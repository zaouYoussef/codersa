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hidePivotFieldList="1" autoCompressPictures="0" defaultThemeVersion="124226"/>
  <bookViews>
    <workbookView xWindow="0" yWindow="0" windowWidth="19200" windowHeight="8235" tabRatio="903" firstSheet="22" activeTab="27"/>
  </bookViews>
  <sheets>
    <sheet name="x" sheetId="3" state="hidden" r:id="rId1"/>
    <sheet name="FF" sheetId="5" state="hidden" r:id="rId2"/>
    <sheet name="02-04-2022" sheetId="515" state="hidden" r:id="rId3"/>
    <sheet name="25-04-2022 (Simulation)" sheetId="535" state="hidden" r:id="rId4"/>
    <sheet name="13-08-2022 (2)" sheetId="617" state="hidden" r:id="rId5"/>
    <sheet name="23-08-2022 (2)" sheetId="625" state="hidden" r:id="rId6"/>
    <sheet name="Garys" sheetId="835" state="hidden" r:id="rId7"/>
    <sheet name="Manque en pcs" sheetId="712" state="hidden" r:id="rId8"/>
    <sheet name="Feuil1" sheetId="1260" state="hidden" r:id="rId9"/>
    <sheet name="Summary %" sheetId="1532" state="hidden" r:id="rId10"/>
    <sheet name="5-5" sheetId="1694" state="hidden" r:id="rId11"/>
    <sheet name="6-5" sheetId="1696" state="hidden" r:id="rId12"/>
    <sheet name="7-5" sheetId="1698" state="hidden" r:id="rId13"/>
    <sheet name="11-5" sheetId="1703" state="hidden" r:id="rId14"/>
    <sheet name="12-5" sheetId="1705" state="hidden" r:id="rId15"/>
    <sheet name="13-5" sheetId="1707" state="hidden" r:id="rId16"/>
    <sheet name="01-05-2026" sheetId="1688" r:id="rId17"/>
    <sheet name="04-05-2026" sheetId="1689" r:id="rId18"/>
    <sheet name="05-05-2026" sheetId="1691" r:id="rId19"/>
    <sheet name="06-05-2026" sheetId="1693" r:id="rId20"/>
    <sheet name="07-05-2026" sheetId="1695" r:id="rId21"/>
    <sheet name="08-05-2026" sheetId="1697" r:id="rId22"/>
    <sheet name="09-05-2026" sheetId="1699" r:id="rId23"/>
    <sheet name="11-05-2026" sheetId="1700" r:id="rId24"/>
    <sheet name="12-05-2026" sheetId="1702" r:id="rId25"/>
    <sheet name="13-05-2026" sheetId="1704" r:id="rId26"/>
    <sheet name="14-05-2026" sheetId="1706" r:id="rId27"/>
    <sheet name="15-05-2026" sheetId="1708" r:id="rId28"/>
    <sheet name="Summary %--" sheetId="1585" r:id="rId29"/>
    <sheet name="9-5" sheetId="1701" state="hidden" r:id="rId30"/>
    <sheet name="Encours au Prép " sheetId="1692" r:id="rId31"/>
    <sheet name="15-5" sheetId="1709" state="hidden" r:id="rId32"/>
    <sheet name="Encours au Prép" sheetId="1579" state="hidden" r:id="rId33"/>
    <sheet name="4-5" sheetId="1690" state="hidden" r:id="rId34"/>
    <sheet name="Obprix" sheetId="1344" state="hidden" r:id="rId35"/>
    <sheet name="Feuil2" sheetId="1339" state="hidden" r:id="rId36"/>
    <sheet name="Obj Prix" sheetId="18" state="hidden" r:id="rId37"/>
    <sheet name="Lancements" sheetId="337" state="hidden" r:id="rId38"/>
  </sheets>
  <definedNames>
    <definedName name="_xlnm._FilterDatabase" localSheetId="16" hidden="1">'01-05-2026'!$A$5:$CU$93</definedName>
    <definedName name="_xlnm._FilterDatabase" localSheetId="2" hidden="1">'02-04-2022'!$A$1:$AF$92</definedName>
    <definedName name="_xlnm._FilterDatabase" localSheetId="17" hidden="1">'04-05-2026'!$A$5:$CT$81</definedName>
    <definedName name="_xlnm._FilterDatabase" localSheetId="18" hidden="1">'05-05-2026'!$A$5:$CT$77</definedName>
    <definedName name="_xlnm._FilterDatabase" localSheetId="19" hidden="1">'06-05-2026'!$A$5:$CT$85</definedName>
    <definedName name="_xlnm._FilterDatabase" localSheetId="20" hidden="1">'07-05-2026'!$A$5:$CT$85</definedName>
    <definedName name="_xlnm._FilterDatabase" localSheetId="21" hidden="1">'08-05-2026'!$A$5:$CT$81</definedName>
    <definedName name="_xlnm._FilterDatabase" localSheetId="22" hidden="1">'09-05-2026'!$A$5:$CT$81</definedName>
    <definedName name="_xlnm._FilterDatabase" localSheetId="23" hidden="1">'11-05-2026'!$A$5:$CT$97</definedName>
    <definedName name="_xlnm._FilterDatabase" localSheetId="24" hidden="1">'12-05-2026'!$A$5:$CT$89</definedName>
    <definedName name="_xlnm._FilterDatabase" localSheetId="25" hidden="1">'13-05-2026'!$A$5:$CT$89</definedName>
    <definedName name="_xlnm._FilterDatabase" localSheetId="4" hidden="1">'13-08-2022 (2)'!$A$5:$CV$81</definedName>
    <definedName name="_xlnm._FilterDatabase" localSheetId="26" hidden="1">'14-05-2026'!$A$5:$CT$93</definedName>
    <definedName name="_xlnm._FilterDatabase" localSheetId="27" hidden="1">'15-05-2026'!$A$5:$CT$98</definedName>
    <definedName name="_xlnm._FilterDatabase" localSheetId="5" hidden="1">'23-08-2022 (2)'!$A$5:$CV$89</definedName>
    <definedName name="_xlnm._FilterDatabase" localSheetId="3" hidden="1">'25-04-2022 (Simulation)'!$A$1:$AF$104</definedName>
    <definedName name="_xlnm._FilterDatabase" localSheetId="1" hidden="1">FF!$B$3:$AA$79</definedName>
    <definedName name="_xlnm._FilterDatabase" localSheetId="6" hidden="1">Garys!$B$5:$K$34</definedName>
    <definedName name="_xlnm.Print_Area" localSheetId="16">'01-05-2026'!$B$1:$AM$77</definedName>
    <definedName name="_xlnm.Print_Area" localSheetId="2">'02-04-2022'!$A$1:$AD$87</definedName>
    <definedName name="_xlnm.Print_Area" localSheetId="17">'04-05-2026'!$B$1:$AM$65</definedName>
    <definedName name="_xlnm.Print_Area" localSheetId="18">'05-05-2026'!$B$1:$AM$61</definedName>
    <definedName name="_xlnm.Print_Area" localSheetId="19">'06-05-2026'!$B$1:$AM$65</definedName>
    <definedName name="_xlnm.Print_Area" localSheetId="20">'07-05-2026'!$B$1:$AM$65</definedName>
    <definedName name="_xlnm.Print_Area" localSheetId="21">'08-05-2026'!$B$1:$AM$61</definedName>
    <definedName name="_xlnm.Print_Area" localSheetId="22">'09-05-2026'!$B$1:$AM$61</definedName>
    <definedName name="_xlnm.Print_Area" localSheetId="23">'11-05-2026'!$B$1:$AM$65</definedName>
    <definedName name="_xlnm.Print_Area" localSheetId="24">'12-05-2026'!$B$1:$AM$61</definedName>
    <definedName name="_xlnm.Print_Area" localSheetId="25">'13-05-2026'!$B$1:$AM$61</definedName>
    <definedName name="_xlnm.Print_Area" localSheetId="4">'13-08-2022 (2)'!$A$1:$AG$81</definedName>
    <definedName name="_xlnm.Print_Area" localSheetId="26">'14-05-2026'!$B$1:$AM$65</definedName>
    <definedName name="_xlnm.Print_Area" localSheetId="27">'15-05-2026'!$B$1:$AM$66</definedName>
    <definedName name="_xlnm.Print_Area" localSheetId="5">'23-08-2022 (2)'!$A$1:$AF$89</definedName>
    <definedName name="_xlnm.Print_Area" localSheetId="3">'25-04-2022 (Simulation)'!$A$1:$AD$99</definedName>
    <definedName name="_xlnm.Print_Area" localSheetId="1">FF!$A$1:$AA$79</definedName>
    <definedName name="_xlnm.Print_Area" localSheetId="9">'Summary %'!$A$1:$Y$60</definedName>
    <definedName name="_xlnm.Print_Area" localSheetId="28">'Summary %--'!$B$1:$Y$56</definedName>
    <definedName name="_xlnm.Print_Titles" localSheetId="2">'02-04-2022'!$2:$5</definedName>
    <definedName name="_xlnm.Print_Titles" localSheetId="4">'13-08-2022 (2)'!$2:$5</definedName>
    <definedName name="_xlnm.Print_Titles" localSheetId="5">'23-08-2022 (2)'!$2:$5</definedName>
    <definedName name="_xlnm.Print_Titles" localSheetId="3">'25-04-2022 (Simulation)'!$2:$5</definedName>
    <definedName name="_xlnm.Print_Titles" localSheetId="1">FF!$1:$3</definedName>
  </definedNames>
  <calcPr calcId="152511"/>
</workbook>
</file>

<file path=xl/calcChain.xml><?xml version="1.0" encoding="utf-8"?>
<calcChain xmlns="http://schemas.openxmlformats.org/spreadsheetml/2006/main">
  <c r="AK2" i="1706" l="1"/>
  <c r="AK7" i="1706"/>
  <c r="AG2" i="1706"/>
  <c r="AI15" i="1706"/>
  <c r="AG7" i="1708"/>
  <c r="AB6" i="1708"/>
  <c r="AT7" i="1708" s="1"/>
  <c r="AT100" i="1708" l="1"/>
  <c r="AT96" i="1708"/>
  <c r="AT88" i="1708"/>
  <c r="X87" i="1708" s="1"/>
  <c r="AT76" i="1708"/>
  <c r="X75" i="1708" s="1"/>
  <c r="AT56" i="1708"/>
  <c r="X55" i="1708" s="1"/>
  <c r="AT40" i="1708"/>
  <c r="AT32" i="1708"/>
  <c r="AT20" i="1708"/>
  <c r="X19" i="1708" s="1"/>
  <c r="AN74" i="1708"/>
  <c r="AN18" i="1708"/>
  <c r="AN14" i="1708"/>
  <c r="AN94" i="1708"/>
  <c r="AO94" i="1708" s="1"/>
  <c r="AK94" i="1708"/>
  <c r="AJ94" i="1708"/>
  <c r="AB94" i="1708"/>
  <c r="J94" i="1708"/>
  <c r="B94" i="1708"/>
  <c r="AK93" i="1708"/>
  <c r="AJ93" i="1708"/>
  <c r="AB93" i="1708"/>
  <c r="I93" i="1708"/>
  <c r="E93" i="1708"/>
  <c r="E94" i="1708" s="1"/>
  <c r="B93" i="1708"/>
  <c r="AF92" i="1708"/>
  <c r="AB92" i="1708"/>
  <c r="G92" i="1708"/>
  <c r="G93" i="1708" s="1"/>
  <c r="G94" i="1708" s="1"/>
  <c r="C92" i="1708"/>
  <c r="AK91" i="1708"/>
  <c r="AJ91" i="1708"/>
  <c r="AB91" i="1708"/>
  <c r="B91" i="1708"/>
  <c r="AB102" i="1708"/>
  <c r="AI100" i="1708" s="1"/>
  <c r="AB101" i="1708"/>
  <c r="AB100" i="1708"/>
  <c r="X100" i="1708" s="1"/>
  <c r="AB99" i="1708"/>
  <c r="AB98" i="1708"/>
  <c r="AB97" i="1708"/>
  <c r="AB96" i="1708"/>
  <c r="AB95" i="1708"/>
  <c r="AB90" i="1708"/>
  <c r="AB89" i="1708"/>
  <c r="AB88" i="1708"/>
  <c r="AB87" i="1708"/>
  <c r="AB86" i="1708"/>
  <c r="AB85" i="1708"/>
  <c r="AB84" i="1708"/>
  <c r="AB83" i="1708"/>
  <c r="AT84" i="1708" s="1"/>
  <c r="AB82" i="1708"/>
  <c r="AH80" i="1708" s="1"/>
  <c r="AB81" i="1708"/>
  <c r="AB80" i="1708"/>
  <c r="AB79" i="1708"/>
  <c r="AT80" i="1708" s="1"/>
  <c r="AB78" i="1708"/>
  <c r="AB77" i="1708"/>
  <c r="AB76" i="1708"/>
  <c r="X76" i="1708" s="1"/>
  <c r="AB75" i="1708"/>
  <c r="AB74" i="1708"/>
  <c r="AI72" i="1708" s="1"/>
  <c r="AK72" i="1708" s="1"/>
  <c r="AB73" i="1708"/>
  <c r="AB72" i="1708"/>
  <c r="AB71" i="1708"/>
  <c r="AT72" i="1708" s="1"/>
  <c r="AB70" i="1708"/>
  <c r="AB69" i="1708"/>
  <c r="AB68" i="1708"/>
  <c r="AB67" i="1708"/>
  <c r="AT68" i="1708" s="1"/>
  <c r="AB66" i="1708"/>
  <c r="AB65" i="1708"/>
  <c r="AB64" i="1708"/>
  <c r="AL64" i="1708" s="1"/>
  <c r="AB63" i="1708"/>
  <c r="AC63" i="1708" s="1"/>
  <c r="AB62" i="1708"/>
  <c r="AB61" i="1708"/>
  <c r="AB60" i="1708"/>
  <c r="X60" i="1708" s="1"/>
  <c r="AB59" i="1708"/>
  <c r="AT60" i="1708" s="1"/>
  <c r="AB58" i="1708"/>
  <c r="AH56" i="1708" s="1"/>
  <c r="AB57" i="1708"/>
  <c r="AB56" i="1708"/>
  <c r="AB55" i="1708"/>
  <c r="AC55" i="1708" s="1"/>
  <c r="H58" i="1708" s="1"/>
  <c r="AB54" i="1708"/>
  <c r="AI52" i="1708" s="1"/>
  <c r="AJ52" i="1708" s="1"/>
  <c r="AB53" i="1708"/>
  <c r="AB52" i="1708"/>
  <c r="AB51" i="1708"/>
  <c r="AT52" i="1708" s="1"/>
  <c r="AB50" i="1708"/>
  <c r="AB49" i="1708"/>
  <c r="AB48" i="1708"/>
  <c r="AB47" i="1708"/>
  <c r="AT48" i="1708" s="1"/>
  <c r="AB46" i="1708"/>
  <c r="AH44" i="1708" s="1"/>
  <c r="AB45" i="1708"/>
  <c r="AB44" i="1708"/>
  <c r="X44" i="1708" s="1"/>
  <c r="AB43" i="1708"/>
  <c r="AT44" i="1708" s="1"/>
  <c r="X43" i="1708" s="1"/>
  <c r="AB42" i="1708"/>
  <c r="AB41" i="1708"/>
  <c r="AB40" i="1708"/>
  <c r="AB39" i="1708"/>
  <c r="AB38" i="1708"/>
  <c r="AH36" i="1708" s="1"/>
  <c r="AB37" i="1708"/>
  <c r="AB36" i="1708"/>
  <c r="X36" i="1708" s="1"/>
  <c r="AB35" i="1708"/>
  <c r="AB34" i="1708"/>
  <c r="AB33" i="1708"/>
  <c r="AB32" i="1708"/>
  <c r="AB31" i="1708"/>
  <c r="X31" i="1708" s="1"/>
  <c r="AB30" i="1708"/>
  <c r="AB29" i="1708"/>
  <c r="AB28" i="1708"/>
  <c r="AB27" i="1708"/>
  <c r="AT28" i="1708" s="1"/>
  <c r="X27" i="1708" s="1"/>
  <c r="AB26" i="1708"/>
  <c r="AB25" i="1708"/>
  <c r="AB24" i="1708"/>
  <c r="AB23" i="1708"/>
  <c r="AC23" i="1708" s="1"/>
  <c r="AB22" i="1708"/>
  <c r="AB21" i="1708"/>
  <c r="AB20" i="1708"/>
  <c r="X20" i="1708" s="1"/>
  <c r="AB19" i="1708"/>
  <c r="AB18" i="1708"/>
  <c r="AB17" i="1708"/>
  <c r="AB16" i="1708"/>
  <c r="AB15" i="1708"/>
  <c r="AT16" i="1708" s="1"/>
  <c r="X15" i="1708" s="1"/>
  <c r="AB14" i="1708"/>
  <c r="AB13" i="1708"/>
  <c r="AB12" i="1708"/>
  <c r="AB11" i="1708"/>
  <c r="AT12" i="1708" s="1"/>
  <c r="AB9" i="1708"/>
  <c r="AB8" i="1708"/>
  <c r="AB7" i="1708"/>
  <c r="X99" i="1708"/>
  <c r="W114" i="1708"/>
  <c r="V114" i="1708"/>
  <c r="U114" i="1708"/>
  <c r="U111" i="1708" s="1"/>
  <c r="T114" i="1708"/>
  <c r="T111" i="1708" s="1"/>
  <c r="S114" i="1708"/>
  <c r="R114" i="1708"/>
  <c r="Q114" i="1708"/>
  <c r="Q111" i="1708" s="1"/>
  <c r="P114" i="1708"/>
  <c r="P111" i="1708" s="1"/>
  <c r="O114" i="1708"/>
  <c r="N114" i="1708"/>
  <c r="N111" i="1708" s="1"/>
  <c r="M114" i="1708"/>
  <c r="M111" i="1708" s="1"/>
  <c r="W108" i="1708"/>
  <c r="V108" i="1708"/>
  <c r="U108" i="1708"/>
  <c r="T108" i="1708"/>
  <c r="S108" i="1708"/>
  <c r="R108" i="1708"/>
  <c r="Q108" i="1708"/>
  <c r="P108" i="1708"/>
  <c r="O108" i="1708"/>
  <c r="N108" i="1708"/>
  <c r="M108" i="1708"/>
  <c r="W106" i="1708"/>
  <c r="V106" i="1708"/>
  <c r="U106" i="1708"/>
  <c r="T106" i="1708"/>
  <c r="S106" i="1708"/>
  <c r="R106" i="1708"/>
  <c r="Q106" i="1708"/>
  <c r="P106" i="1708"/>
  <c r="O106" i="1708"/>
  <c r="N106" i="1708"/>
  <c r="M106" i="1708"/>
  <c r="W104" i="1708"/>
  <c r="V104" i="1708"/>
  <c r="U104" i="1708"/>
  <c r="T104" i="1708"/>
  <c r="S104" i="1708"/>
  <c r="R104" i="1708"/>
  <c r="Q104" i="1708"/>
  <c r="P104" i="1708"/>
  <c r="O104" i="1708"/>
  <c r="N104" i="1708"/>
  <c r="M104" i="1708"/>
  <c r="AN102" i="1708"/>
  <c r="AK102" i="1708"/>
  <c r="AJ102" i="1708"/>
  <c r="J102" i="1708"/>
  <c r="B102" i="1708"/>
  <c r="AK101" i="1708"/>
  <c r="AJ101" i="1708"/>
  <c r="I101" i="1708"/>
  <c r="E101" i="1708"/>
  <c r="E102" i="1708" s="1"/>
  <c r="B101" i="1708"/>
  <c r="AF100" i="1708"/>
  <c r="AL100" i="1708"/>
  <c r="G100" i="1708"/>
  <c r="G101" i="1708" s="1"/>
  <c r="G102" i="1708" s="1"/>
  <c r="C100" i="1708"/>
  <c r="AK99" i="1708"/>
  <c r="AJ99" i="1708"/>
  <c r="AC99" i="1708"/>
  <c r="B99" i="1708"/>
  <c r="AN98" i="1708"/>
  <c r="AO98" i="1708" s="1"/>
  <c r="AP98" i="1708" s="1"/>
  <c r="AK98" i="1708"/>
  <c r="AJ98" i="1708"/>
  <c r="J98" i="1708"/>
  <c r="B98" i="1708"/>
  <c r="AK97" i="1708"/>
  <c r="AJ97" i="1708"/>
  <c r="I97" i="1708"/>
  <c r="E97" i="1708"/>
  <c r="E98" i="1708" s="1"/>
  <c r="B97" i="1708"/>
  <c r="X95" i="1708"/>
  <c r="AF96" i="1708"/>
  <c r="G96" i="1708"/>
  <c r="G97" i="1708" s="1"/>
  <c r="G98" i="1708" s="1"/>
  <c r="C96" i="1708"/>
  <c r="AK95" i="1708"/>
  <c r="AJ95" i="1708"/>
  <c r="AC95" i="1708"/>
  <c r="H98" i="1708" s="1"/>
  <c r="B95" i="1708"/>
  <c r="AN90" i="1708"/>
  <c r="AO90" i="1708" s="1"/>
  <c r="AK90" i="1708"/>
  <c r="AJ90" i="1708"/>
  <c r="J90" i="1708"/>
  <c r="B90" i="1708"/>
  <c r="AK89" i="1708"/>
  <c r="AJ89" i="1708"/>
  <c r="I89" i="1708"/>
  <c r="E89" i="1708"/>
  <c r="E90" i="1708" s="1"/>
  <c r="B89" i="1708"/>
  <c r="AF88" i="1708"/>
  <c r="G88" i="1708"/>
  <c r="G89" i="1708" s="1"/>
  <c r="G90" i="1708" s="1"/>
  <c r="C88" i="1708"/>
  <c r="AK87" i="1708"/>
  <c r="AJ87" i="1708"/>
  <c r="B87" i="1708"/>
  <c r="AN86" i="1708"/>
  <c r="AO86" i="1708" s="1"/>
  <c r="AK86" i="1708"/>
  <c r="AJ86" i="1708"/>
  <c r="J86" i="1708"/>
  <c r="G86" i="1708"/>
  <c r="B86" i="1708"/>
  <c r="AK85" i="1708"/>
  <c r="AJ85" i="1708"/>
  <c r="I85" i="1708"/>
  <c r="G85" i="1708"/>
  <c r="E85" i="1708"/>
  <c r="E86" i="1708" s="1"/>
  <c r="B85" i="1708"/>
  <c r="AF84" i="1708"/>
  <c r="G84" i="1708"/>
  <c r="C84" i="1708"/>
  <c r="AK83" i="1708"/>
  <c r="AJ83" i="1708"/>
  <c r="AC83" i="1708"/>
  <c r="B83" i="1708"/>
  <c r="AN82" i="1708"/>
  <c r="AO81" i="1708" s="1"/>
  <c r="AK82" i="1708"/>
  <c r="AJ82" i="1708"/>
  <c r="J82" i="1708"/>
  <c r="G82" i="1708"/>
  <c r="B82" i="1708"/>
  <c r="AK81" i="1708"/>
  <c r="AJ81" i="1708"/>
  <c r="I81" i="1708"/>
  <c r="G81" i="1708"/>
  <c r="E81" i="1708"/>
  <c r="E82" i="1708" s="1"/>
  <c r="B81" i="1708"/>
  <c r="AF80" i="1708"/>
  <c r="G80" i="1708"/>
  <c r="C80" i="1708"/>
  <c r="AK79" i="1708"/>
  <c r="AJ79" i="1708"/>
  <c r="B79" i="1708"/>
  <c r="AN78" i="1708"/>
  <c r="AO78" i="1708" s="1"/>
  <c r="AK78" i="1708"/>
  <c r="AJ78" i="1708"/>
  <c r="J78" i="1708"/>
  <c r="G78" i="1708"/>
  <c r="B78" i="1708"/>
  <c r="AK77" i="1708"/>
  <c r="AJ77" i="1708"/>
  <c r="I77" i="1708"/>
  <c r="G77" i="1708"/>
  <c r="E77" i="1708"/>
  <c r="E78" i="1708" s="1"/>
  <c r="B77" i="1708"/>
  <c r="AF76" i="1708"/>
  <c r="G76" i="1708"/>
  <c r="C76" i="1708"/>
  <c r="AK75" i="1708"/>
  <c r="AJ75" i="1708"/>
  <c r="AC75" i="1708"/>
  <c r="H78" i="1708" s="1"/>
  <c r="B75" i="1708"/>
  <c r="AO74" i="1708"/>
  <c r="AK74" i="1708"/>
  <c r="AJ74" i="1708"/>
  <c r="J74" i="1708"/>
  <c r="B74" i="1708"/>
  <c r="AK73" i="1708"/>
  <c r="AJ73" i="1708"/>
  <c r="I73" i="1708"/>
  <c r="E73" i="1708"/>
  <c r="E74" i="1708" s="1"/>
  <c r="B73" i="1708"/>
  <c r="AF72" i="1708"/>
  <c r="G72" i="1708"/>
  <c r="G73" i="1708" s="1"/>
  <c r="G74" i="1708" s="1"/>
  <c r="C72" i="1708"/>
  <c r="AK71" i="1708"/>
  <c r="AJ71" i="1708"/>
  <c r="B71" i="1708"/>
  <c r="AN70" i="1708"/>
  <c r="AO70" i="1708" s="1"/>
  <c r="AK70" i="1708"/>
  <c r="AJ70" i="1708"/>
  <c r="J70" i="1708"/>
  <c r="B70" i="1708"/>
  <c r="AK69" i="1708"/>
  <c r="AJ69" i="1708"/>
  <c r="I69" i="1708"/>
  <c r="E69" i="1708"/>
  <c r="E70" i="1708" s="1"/>
  <c r="B69" i="1708"/>
  <c r="AF68" i="1708"/>
  <c r="G68" i="1708"/>
  <c r="G69" i="1708" s="1"/>
  <c r="G70" i="1708" s="1"/>
  <c r="C68" i="1708"/>
  <c r="AK67" i="1708"/>
  <c r="AJ67" i="1708"/>
  <c r="B67" i="1708"/>
  <c r="AN66" i="1708"/>
  <c r="AO66" i="1708" s="1"/>
  <c r="AK66" i="1708"/>
  <c r="AJ66" i="1708"/>
  <c r="J66" i="1708"/>
  <c r="B66" i="1708"/>
  <c r="AK65" i="1708"/>
  <c r="AJ65" i="1708"/>
  <c r="I65" i="1708"/>
  <c r="E65" i="1708"/>
  <c r="E66" i="1708" s="1"/>
  <c r="B65" i="1708"/>
  <c r="AF64" i="1708"/>
  <c r="G64" i="1708"/>
  <c r="G65" i="1708" s="1"/>
  <c r="G66" i="1708" s="1"/>
  <c r="C64" i="1708"/>
  <c r="AK63" i="1708"/>
  <c r="AJ63" i="1708"/>
  <c r="B63" i="1708"/>
  <c r="AN62" i="1708"/>
  <c r="AK62" i="1708"/>
  <c r="AJ62" i="1708"/>
  <c r="J62" i="1708"/>
  <c r="G62" i="1708"/>
  <c r="B62" i="1708"/>
  <c r="AK61" i="1708"/>
  <c r="AJ61" i="1708"/>
  <c r="I61" i="1708"/>
  <c r="G61" i="1708"/>
  <c r="E61" i="1708"/>
  <c r="E62" i="1708" s="1"/>
  <c r="B61" i="1708"/>
  <c r="AF60" i="1708"/>
  <c r="G60" i="1708"/>
  <c r="C60" i="1708"/>
  <c r="AK59" i="1708"/>
  <c r="AJ59" i="1708"/>
  <c r="B59" i="1708"/>
  <c r="AN58" i="1708"/>
  <c r="X57" i="1708" s="1"/>
  <c r="AK58" i="1708"/>
  <c r="AJ58" i="1708"/>
  <c r="J58" i="1708"/>
  <c r="G58" i="1708"/>
  <c r="B58" i="1708"/>
  <c r="AK57" i="1708"/>
  <c r="AJ57" i="1708"/>
  <c r="I57" i="1708"/>
  <c r="G57" i="1708"/>
  <c r="E57" i="1708"/>
  <c r="E58" i="1708" s="1"/>
  <c r="B57" i="1708"/>
  <c r="AF56" i="1708"/>
  <c r="G56" i="1708"/>
  <c r="C56" i="1708"/>
  <c r="AK55" i="1708"/>
  <c r="AJ55" i="1708"/>
  <c r="B55" i="1708"/>
  <c r="AN54" i="1708"/>
  <c r="X53" i="1708" s="1"/>
  <c r="AK54" i="1708"/>
  <c r="AJ54" i="1708"/>
  <c r="J54" i="1708"/>
  <c r="B54" i="1708"/>
  <c r="AK53" i="1708"/>
  <c r="AJ53" i="1708"/>
  <c r="I53" i="1708"/>
  <c r="E53" i="1708"/>
  <c r="E54" i="1708" s="1"/>
  <c r="B53" i="1708"/>
  <c r="AF52" i="1708"/>
  <c r="AL52" i="1708"/>
  <c r="AK51" i="1708"/>
  <c r="AJ51" i="1708"/>
  <c r="B51" i="1708"/>
  <c r="AN50" i="1708"/>
  <c r="X49" i="1708" s="1"/>
  <c r="AK50" i="1708"/>
  <c r="AJ50" i="1708"/>
  <c r="J50" i="1708"/>
  <c r="B50" i="1708"/>
  <c r="AK49" i="1708"/>
  <c r="AJ49" i="1708"/>
  <c r="I49" i="1708"/>
  <c r="E49" i="1708"/>
  <c r="E50" i="1708" s="1"/>
  <c r="B49" i="1708"/>
  <c r="AF48" i="1708"/>
  <c r="AL48" i="1708"/>
  <c r="G48" i="1708"/>
  <c r="G49" i="1708" s="1"/>
  <c r="G50" i="1708" s="1"/>
  <c r="C48" i="1708"/>
  <c r="AK47" i="1708"/>
  <c r="AJ47" i="1708"/>
  <c r="B47" i="1708"/>
  <c r="AN46" i="1708"/>
  <c r="AO46" i="1708" s="1"/>
  <c r="AK46" i="1708"/>
  <c r="AJ46" i="1708"/>
  <c r="J46" i="1708"/>
  <c r="G46" i="1708"/>
  <c r="B46" i="1708"/>
  <c r="AK45" i="1708"/>
  <c r="AJ45" i="1708"/>
  <c r="I45" i="1708"/>
  <c r="G45" i="1708"/>
  <c r="E45" i="1708"/>
  <c r="E46" i="1708" s="1"/>
  <c r="B45" i="1708"/>
  <c r="AF44" i="1708"/>
  <c r="G44" i="1708"/>
  <c r="C44" i="1708"/>
  <c r="AK43" i="1708"/>
  <c r="AJ43" i="1708"/>
  <c r="B43" i="1708"/>
  <c r="AN42" i="1708"/>
  <c r="AK42" i="1708"/>
  <c r="AJ42" i="1708"/>
  <c r="J42" i="1708"/>
  <c r="G42" i="1708"/>
  <c r="B42" i="1708"/>
  <c r="AO41" i="1708"/>
  <c r="AK41" i="1708"/>
  <c r="AJ41" i="1708"/>
  <c r="I41" i="1708"/>
  <c r="G41" i="1708"/>
  <c r="E41" i="1708"/>
  <c r="E42" i="1708" s="1"/>
  <c r="B41" i="1708"/>
  <c r="AF40" i="1708"/>
  <c r="G40" i="1708"/>
  <c r="C40" i="1708"/>
  <c r="AK39" i="1708"/>
  <c r="AJ39" i="1708"/>
  <c r="B39" i="1708"/>
  <c r="AN38" i="1708"/>
  <c r="J38" i="1708"/>
  <c r="B38" i="1708"/>
  <c r="I37" i="1708"/>
  <c r="E37" i="1708"/>
  <c r="E38" i="1708" s="1"/>
  <c r="B37" i="1708"/>
  <c r="AF36" i="1708"/>
  <c r="G36" i="1708"/>
  <c r="G37" i="1708" s="1"/>
  <c r="G38" i="1708" s="1"/>
  <c r="C36" i="1708"/>
  <c r="B35" i="1708"/>
  <c r="AN34" i="1708"/>
  <c r="J34" i="1708"/>
  <c r="B34" i="1708"/>
  <c r="I33" i="1708"/>
  <c r="E33" i="1708"/>
  <c r="E34" i="1708" s="1"/>
  <c r="B33" i="1708"/>
  <c r="AF32" i="1708"/>
  <c r="G32" i="1708"/>
  <c r="G33" i="1708" s="1"/>
  <c r="G34" i="1708" s="1"/>
  <c r="C32" i="1708"/>
  <c r="B31" i="1708"/>
  <c r="AN30" i="1708"/>
  <c r="AK30" i="1708"/>
  <c r="AJ30" i="1708"/>
  <c r="J30" i="1708"/>
  <c r="G30" i="1708"/>
  <c r="B30" i="1708"/>
  <c r="AK29" i="1708"/>
  <c r="AJ29" i="1708"/>
  <c r="I29" i="1708"/>
  <c r="G29" i="1708"/>
  <c r="E29" i="1708"/>
  <c r="E30" i="1708" s="1"/>
  <c r="B29" i="1708"/>
  <c r="AF28" i="1708"/>
  <c r="G28" i="1708"/>
  <c r="C28" i="1708"/>
  <c r="AK27" i="1708"/>
  <c r="AJ27" i="1708"/>
  <c r="B27" i="1708"/>
  <c r="AN26" i="1708"/>
  <c r="AO26" i="1708" s="1"/>
  <c r="AK26" i="1708"/>
  <c r="AJ26" i="1708"/>
  <c r="J26" i="1708"/>
  <c r="B26" i="1708"/>
  <c r="AK25" i="1708"/>
  <c r="AJ25" i="1708"/>
  <c r="I25" i="1708"/>
  <c r="E25" i="1708"/>
  <c r="E26" i="1708" s="1"/>
  <c r="B25" i="1708"/>
  <c r="AF24" i="1708"/>
  <c r="C24" i="1708"/>
  <c r="AK23" i="1708"/>
  <c r="AJ23" i="1708"/>
  <c r="B23" i="1708"/>
  <c r="AN22" i="1708"/>
  <c r="AO21" i="1708" s="1"/>
  <c r="AK22" i="1708"/>
  <c r="AJ22" i="1708"/>
  <c r="J22" i="1708"/>
  <c r="B22" i="1708"/>
  <c r="AK21" i="1708"/>
  <c r="AJ21" i="1708"/>
  <c r="I21" i="1708"/>
  <c r="E21" i="1708"/>
  <c r="E22" i="1708" s="1"/>
  <c r="B21" i="1708"/>
  <c r="AF20" i="1708"/>
  <c r="G20" i="1708"/>
  <c r="G21" i="1708" s="1"/>
  <c r="G22" i="1708" s="1"/>
  <c r="C20" i="1708"/>
  <c r="AK19" i="1708"/>
  <c r="AJ19" i="1708"/>
  <c r="AC19" i="1708"/>
  <c r="B19" i="1708"/>
  <c r="AO18" i="1708"/>
  <c r="AK18" i="1708"/>
  <c r="AJ18" i="1708"/>
  <c r="J18" i="1708"/>
  <c r="G18" i="1708"/>
  <c r="E18" i="1708"/>
  <c r="B18" i="1708"/>
  <c r="AK17" i="1708"/>
  <c r="AJ17" i="1708"/>
  <c r="I17" i="1708"/>
  <c r="G17" i="1708"/>
  <c r="E17" i="1708"/>
  <c r="B17" i="1708"/>
  <c r="AF16" i="1708"/>
  <c r="G16" i="1708"/>
  <c r="AK15" i="1708"/>
  <c r="AJ15" i="1708"/>
  <c r="AC15" i="1708"/>
  <c r="B15" i="1708"/>
  <c r="AO14" i="1708"/>
  <c r="AK14" i="1708"/>
  <c r="AJ14" i="1708"/>
  <c r="J14" i="1708"/>
  <c r="G14" i="1708"/>
  <c r="B14" i="1708"/>
  <c r="AO13" i="1708"/>
  <c r="AK13" i="1708"/>
  <c r="AJ13" i="1708"/>
  <c r="I13" i="1708"/>
  <c r="G13" i="1708"/>
  <c r="B13" i="1708"/>
  <c r="AF12" i="1708"/>
  <c r="AA14" i="1708"/>
  <c r="G12" i="1708"/>
  <c r="C12" i="1708"/>
  <c r="AK11" i="1708"/>
  <c r="AJ11" i="1708"/>
  <c r="B11" i="1708"/>
  <c r="AN9" i="1708"/>
  <c r="AO8" i="1708" s="1"/>
  <c r="AK9" i="1708"/>
  <c r="AJ9" i="1708"/>
  <c r="AI7" i="1708"/>
  <c r="AK8" i="1708"/>
  <c r="AJ8" i="1708"/>
  <c r="E8" i="1708"/>
  <c r="E9" i="1708" s="1"/>
  <c r="BL7" i="1708"/>
  <c r="BK7" i="1708"/>
  <c r="AF7" i="1708"/>
  <c r="C7" i="1708"/>
  <c r="AK6" i="1708"/>
  <c r="AJ6" i="1708"/>
  <c r="AG4" i="1708"/>
  <c r="B3" i="1708"/>
  <c r="AP78" i="1708" l="1"/>
  <c r="AH100" i="1708"/>
  <c r="AP14" i="1708"/>
  <c r="AP90" i="1708"/>
  <c r="X7" i="1708"/>
  <c r="AH96" i="1708"/>
  <c r="X96" i="1708"/>
  <c r="AP66" i="1708"/>
  <c r="AP74" i="1708"/>
  <c r="AI40" i="1708"/>
  <c r="AJ40" i="1708" s="1"/>
  <c r="AH60" i="1708"/>
  <c r="X68" i="1708"/>
  <c r="X13" i="1708"/>
  <c r="AA11" i="1708" s="1"/>
  <c r="AL96" i="1708"/>
  <c r="AH88" i="1708"/>
  <c r="AP86" i="1708"/>
  <c r="AH72" i="1708"/>
  <c r="X40" i="1708"/>
  <c r="AH12" i="1708"/>
  <c r="AH24" i="1708"/>
  <c r="AH28" i="1708"/>
  <c r="X101" i="1708"/>
  <c r="AA99" i="1708" s="1"/>
  <c r="AI92" i="1708"/>
  <c r="AJ92" i="1708" s="1"/>
  <c r="AP13" i="1708"/>
  <c r="AP8" i="1708"/>
  <c r="X28" i="1708"/>
  <c r="X32" i="1708"/>
  <c r="X48" i="1708"/>
  <c r="X80" i="1708"/>
  <c r="X84" i="1708"/>
  <c r="X88" i="1708"/>
  <c r="AO82" i="1708"/>
  <c r="AP82" i="1708" s="1"/>
  <c r="AC36" i="1708"/>
  <c r="X37" i="1708"/>
  <c r="AA35" i="1708" s="1"/>
  <c r="AC68" i="1708"/>
  <c r="AL76" i="1708"/>
  <c r="AO102" i="1708"/>
  <c r="AP94" i="1708"/>
  <c r="AT64" i="1708"/>
  <c r="X63" i="1708" s="1"/>
  <c r="X72" i="1708"/>
  <c r="X29" i="1708"/>
  <c r="AA27" i="1708" s="1"/>
  <c r="X61" i="1708"/>
  <c r="AA59" i="1708" s="1"/>
  <c r="AC76" i="1708"/>
  <c r="AC88" i="1708"/>
  <c r="X81" i="1708"/>
  <c r="AA79" i="1708" s="1"/>
  <c r="X41" i="1708"/>
  <c r="AA39" i="1708" s="1"/>
  <c r="AC32" i="1708"/>
  <c r="X33" i="1708"/>
  <c r="AA31" i="1708" s="1"/>
  <c r="AK92" i="1708"/>
  <c r="AO54" i="1708"/>
  <c r="X52" i="1708"/>
  <c r="X17" i="1708"/>
  <c r="AA15" i="1708" s="1"/>
  <c r="AO30" i="1708"/>
  <c r="AP30" i="1708" s="1"/>
  <c r="X12" i="1708"/>
  <c r="X24" i="1708"/>
  <c r="X56" i="1708"/>
  <c r="X85" i="1708"/>
  <c r="AA83" i="1708" s="1"/>
  <c r="AT24" i="1708"/>
  <c r="X23" i="1708" s="1"/>
  <c r="AO29" i="1708"/>
  <c r="AT36" i="1708"/>
  <c r="X35" i="1708" s="1"/>
  <c r="AH92" i="1708"/>
  <c r="AA94" i="1708"/>
  <c r="X16" i="1708"/>
  <c r="X64" i="1708"/>
  <c r="X97" i="1708"/>
  <c r="AA95" i="1708" s="1"/>
  <c r="AC91" i="1708"/>
  <c r="H94" i="1708" s="1"/>
  <c r="AT92" i="1708"/>
  <c r="X91" i="1708" s="1"/>
  <c r="X73" i="1708"/>
  <c r="AA71" i="1708" s="1"/>
  <c r="AL88" i="1708"/>
  <c r="AO42" i="1708"/>
  <c r="AP42" i="1708" s="1"/>
  <c r="AO62" i="1708"/>
  <c r="AP62" i="1708" s="1"/>
  <c r="AO73" i="1708"/>
  <c r="AP73" i="1708" s="1"/>
  <c r="X69" i="1708"/>
  <c r="AA67" i="1708" s="1"/>
  <c r="X77" i="1708"/>
  <c r="AA75" i="1708" s="1"/>
  <c r="AO93" i="1708"/>
  <c r="AP93" i="1708" s="1"/>
  <c r="AO53" i="1708"/>
  <c r="AP53" i="1708" s="1"/>
  <c r="AO61" i="1708"/>
  <c r="AO69" i="1708"/>
  <c r="AP69" i="1708" s="1"/>
  <c r="AO101" i="1708"/>
  <c r="AP101" i="1708" s="1"/>
  <c r="X8" i="1708"/>
  <c r="AA6" i="1708" s="1"/>
  <c r="X71" i="1708"/>
  <c r="AO17" i="1708"/>
  <c r="X25" i="1708"/>
  <c r="AA23" i="1708" s="1"/>
  <c r="X65" i="1708"/>
  <c r="AA63" i="1708" s="1"/>
  <c r="X89" i="1708"/>
  <c r="AA87" i="1708" s="1"/>
  <c r="X21" i="1708"/>
  <c r="AA19" i="1708" s="1"/>
  <c r="X45" i="1708"/>
  <c r="AA43" i="1708" s="1"/>
  <c r="X92" i="1708"/>
  <c r="P117" i="1708"/>
  <c r="T117" i="1708"/>
  <c r="AL92" i="1708"/>
  <c r="X93" i="1708"/>
  <c r="AA91" i="1708" s="1"/>
  <c r="AC92" i="1708"/>
  <c r="AJ72" i="1708"/>
  <c r="AP17" i="1708"/>
  <c r="AP18" i="1708"/>
  <c r="AP21" i="1708"/>
  <c r="AI24" i="1708"/>
  <c r="AJ24" i="1708" s="1"/>
  <c r="AP26" i="1708"/>
  <c r="AC28" i="1708"/>
  <c r="AP46" i="1708"/>
  <c r="AC48" i="1708"/>
  <c r="AC52" i="1708"/>
  <c r="AC60" i="1708"/>
  <c r="AA62" i="1708"/>
  <c r="AA70" i="1708"/>
  <c r="AC71" i="1708"/>
  <c r="H74" i="1708" s="1"/>
  <c r="AC80" i="1708"/>
  <c r="X83" i="1708"/>
  <c r="AC87" i="1708"/>
  <c r="AM100" i="1708"/>
  <c r="AP102" i="1708"/>
  <c r="AA106" i="1708"/>
  <c r="AM40" i="1708"/>
  <c r="AI44" i="1708"/>
  <c r="AK44" i="1708" s="1"/>
  <c r="AH48" i="1708"/>
  <c r="AA54" i="1708"/>
  <c r="AI64" i="1708"/>
  <c r="AK64" i="1708" s="1"/>
  <c r="AP70" i="1708"/>
  <c r="AA82" i="1708"/>
  <c r="AI84" i="1708"/>
  <c r="AM84" i="1708" s="1"/>
  <c r="AC96" i="1708"/>
  <c r="AG96" i="1708" s="1"/>
  <c r="AC100" i="1708"/>
  <c r="AG100" i="1708" s="1"/>
  <c r="AA104" i="1708"/>
  <c r="V111" i="1708"/>
  <c r="V117" i="1708" s="1"/>
  <c r="AI16" i="1708"/>
  <c r="AM16" i="1708" s="1"/>
  <c r="AI20" i="1708"/>
  <c r="AM20" i="1708" s="1"/>
  <c r="AA30" i="1708"/>
  <c r="AI12" i="1708"/>
  <c r="AJ12" i="1708" s="1"/>
  <c r="AH32" i="1708"/>
  <c r="AC40" i="1708"/>
  <c r="AH40" i="1708"/>
  <c r="AA42" i="1708"/>
  <c r="AC43" i="1708"/>
  <c r="H46" i="1708" s="1"/>
  <c r="AA51" i="1708"/>
  <c r="AP54" i="1708"/>
  <c r="AI56" i="1708"/>
  <c r="AK56" i="1708" s="1"/>
  <c r="AI60" i="1708"/>
  <c r="AH68" i="1708"/>
  <c r="AH76" i="1708"/>
  <c r="R111" i="1708"/>
  <c r="R117" i="1708" s="1"/>
  <c r="H26" i="1708"/>
  <c r="AK7" i="1708"/>
  <c r="AJ7" i="1708"/>
  <c r="H18" i="1708"/>
  <c r="H22" i="1708"/>
  <c r="N117" i="1708"/>
  <c r="AH7" i="1708"/>
  <c r="AL7" i="1708"/>
  <c r="AL24" i="1708"/>
  <c r="AP29" i="1708"/>
  <c r="X39" i="1708"/>
  <c r="AC39" i="1708"/>
  <c r="AC7" i="1708"/>
  <c r="AH20" i="1708"/>
  <c r="AO22" i="1708"/>
  <c r="AP22" i="1708" s="1"/>
  <c r="AC24" i="1708"/>
  <c r="AG24" i="1708" s="1"/>
  <c r="AM24" i="1708"/>
  <c r="AA26" i="1708"/>
  <c r="AC27" i="1708"/>
  <c r="AO45" i="1708"/>
  <c r="AP45" i="1708" s="1"/>
  <c r="AK52" i="1708"/>
  <c r="AO58" i="1708"/>
  <c r="AP58" i="1708" s="1"/>
  <c r="AO57" i="1708"/>
  <c r="AP57" i="1708" s="1"/>
  <c r="AA55" i="1708"/>
  <c r="X59" i="1708"/>
  <c r="AC59" i="1708"/>
  <c r="X67" i="1708"/>
  <c r="AC67" i="1708"/>
  <c r="AO85" i="1708"/>
  <c r="AP85" i="1708" s="1"/>
  <c r="O111" i="1708"/>
  <c r="O117" i="1708" s="1"/>
  <c r="S111" i="1708"/>
  <c r="S117" i="1708" s="1"/>
  <c r="W111" i="1708"/>
  <c r="W117" i="1708" s="1"/>
  <c r="AI28" i="1708"/>
  <c r="X47" i="1708"/>
  <c r="AC47" i="1708"/>
  <c r="AO50" i="1708"/>
  <c r="AP50" i="1708" s="1"/>
  <c r="AO49" i="1708"/>
  <c r="AP49" i="1708" s="1"/>
  <c r="AA47" i="1708"/>
  <c r="AC51" i="1708"/>
  <c r="X51" i="1708"/>
  <c r="AC64" i="1708"/>
  <c r="AG64" i="1708" s="1"/>
  <c r="AA66" i="1708"/>
  <c r="AP81" i="1708"/>
  <c r="AC84" i="1708"/>
  <c r="AG84" i="1708" s="1"/>
  <c r="AK100" i="1708"/>
  <c r="AJ100" i="1708"/>
  <c r="AL12" i="1708"/>
  <c r="AL20" i="1708"/>
  <c r="AC6" i="1708"/>
  <c r="AC20" i="1708"/>
  <c r="AG20" i="1708" s="1"/>
  <c r="AC31" i="1708"/>
  <c r="AP41" i="1708"/>
  <c r="AI48" i="1708"/>
  <c r="AM52" i="1708"/>
  <c r="AH64" i="1708"/>
  <c r="AO65" i="1708"/>
  <c r="AP65" i="1708" s="1"/>
  <c r="AM72" i="1708"/>
  <c r="AC72" i="1708"/>
  <c r="AL72" i="1708"/>
  <c r="AG76" i="1708"/>
  <c r="X79" i="1708"/>
  <c r="AC79" i="1708"/>
  <c r="AI80" i="1708"/>
  <c r="AH84" i="1708"/>
  <c r="AI96" i="1708"/>
  <c r="H102" i="1708"/>
  <c r="AM7" i="1708"/>
  <c r="AO9" i="1708"/>
  <c r="AP9" i="1708" s="1"/>
  <c r="AB4" i="1708"/>
  <c r="AC12" i="1708"/>
  <c r="AH16" i="1708"/>
  <c r="AL16" i="1708"/>
  <c r="AC11" i="1708"/>
  <c r="AC16" i="1708"/>
  <c r="AG16" i="1708" s="1"/>
  <c r="AO25" i="1708"/>
  <c r="AP25" i="1708" s="1"/>
  <c r="AL28" i="1708"/>
  <c r="AC35" i="1708"/>
  <c r="AK40" i="1708"/>
  <c r="AA46" i="1708"/>
  <c r="AC44" i="1708"/>
  <c r="AL44" i="1708"/>
  <c r="AM56" i="1708"/>
  <c r="AC56" i="1708"/>
  <c r="AG56" i="1708" s="1"/>
  <c r="AL56" i="1708"/>
  <c r="AP61" i="1708"/>
  <c r="H66" i="1708"/>
  <c r="AI68" i="1708"/>
  <c r="AI76" i="1708"/>
  <c r="AL84" i="1708"/>
  <c r="AI88" i="1708"/>
  <c r="M117" i="1708"/>
  <c r="Q117" i="1708"/>
  <c r="U117" i="1708"/>
  <c r="AL60" i="1708"/>
  <c r="H86" i="1708"/>
  <c r="AL40" i="1708"/>
  <c r="AH52" i="1708"/>
  <c r="AL68" i="1708"/>
  <c r="AO77" i="1708"/>
  <c r="AP77" i="1708" s="1"/>
  <c r="AL80" i="1708"/>
  <c r="AO89" i="1708"/>
  <c r="AP89" i="1708" s="1"/>
  <c r="AO97" i="1708"/>
  <c r="AP97" i="1708" s="1"/>
  <c r="Q17" i="1707"/>
  <c r="O17" i="1707"/>
  <c r="J17" i="1707"/>
  <c r="H17" i="1707"/>
  <c r="D17" i="1707"/>
  <c r="AG88" i="1708" l="1"/>
  <c r="AG90" i="1708" s="1"/>
  <c r="AM92" i="1708"/>
  <c r="AJ84" i="1708"/>
  <c r="H90" i="1708"/>
  <c r="AK24" i="1708"/>
  <c r="AG92" i="1708"/>
  <c r="AY92" i="1708" s="1"/>
  <c r="AG44" i="1708"/>
  <c r="AG46" i="1708" s="1"/>
  <c r="AK20" i="1708"/>
  <c r="AM44" i="1708"/>
  <c r="AJ20" i="1708"/>
  <c r="AK84" i="1708"/>
  <c r="AM12" i="1708"/>
  <c r="AM64" i="1708"/>
  <c r="AY88" i="1708"/>
  <c r="AG94" i="1708"/>
  <c r="AK12" i="1708"/>
  <c r="AJ64" i="1708"/>
  <c r="AJ56" i="1708"/>
  <c r="AJ44" i="1708"/>
  <c r="AJ16" i="1708"/>
  <c r="AG72" i="1708"/>
  <c r="AY72" i="1708" s="1"/>
  <c r="AK16" i="1708"/>
  <c r="AJ60" i="1708"/>
  <c r="AK60" i="1708"/>
  <c r="AM60" i="1708"/>
  <c r="AG22" i="1708"/>
  <c r="AY20" i="1708"/>
  <c r="AG26" i="1708"/>
  <c r="AY24" i="1708"/>
  <c r="AY44" i="1708"/>
  <c r="AG18" i="1708"/>
  <c r="AY16" i="1708"/>
  <c r="AJ76" i="1708"/>
  <c r="AM76" i="1708"/>
  <c r="AK76" i="1708"/>
  <c r="AJ48" i="1708"/>
  <c r="AK48" i="1708"/>
  <c r="AM48" i="1708"/>
  <c r="AG68" i="1708"/>
  <c r="H70" i="1708"/>
  <c r="AG28" i="1708"/>
  <c r="H30" i="1708"/>
  <c r="H42" i="1708"/>
  <c r="AG40" i="1708"/>
  <c r="AL2" i="1708"/>
  <c r="AG102" i="1708"/>
  <c r="AY100" i="1708"/>
  <c r="AG80" i="1708"/>
  <c r="H82" i="1708"/>
  <c r="AG58" i="1708"/>
  <c r="AY56" i="1708"/>
  <c r="AJ68" i="1708"/>
  <c r="AM68" i="1708"/>
  <c r="AK68" i="1708"/>
  <c r="AG36" i="1708"/>
  <c r="H38" i="1708"/>
  <c r="AK96" i="1708"/>
  <c r="AJ96" i="1708"/>
  <c r="AM96" i="1708"/>
  <c r="AG78" i="1708"/>
  <c r="AY76" i="1708"/>
  <c r="H14" i="1708"/>
  <c r="AG12" i="1708"/>
  <c r="AG98" i="1708"/>
  <c r="AY96" i="1708"/>
  <c r="AK80" i="1708"/>
  <c r="AJ80" i="1708"/>
  <c r="AM80" i="1708"/>
  <c r="H34" i="1708"/>
  <c r="AG32" i="1708"/>
  <c r="H9" i="1708"/>
  <c r="AK28" i="1708"/>
  <c r="AJ28" i="1708"/>
  <c r="AM28" i="1708"/>
  <c r="AT4" i="1708"/>
  <c r="AK88" i="1708"/>
  <c r="AJ88" i="1708"/>
  <c r="AM88" i="1708"/>
  <c r="AY84" i="1708"/>
  <c r="AG86" i="1708"/>
  <c r="AG66" i="1708"/>
  <c r="AY64" i="1708"/>
  <c r="H62" i="1708"/>
  <c r="AG60" i="1708"/>
  <c r="AG52" i="1708"/>
  <c r="H54" i="1708"/>
  <c r="H50" i="1708"/>
  <c r="AG48" i="1708"/>
  <c r="B17" i="1707"/>
  <c r="AN61" i="1706"/>
  <c r="AO61" i="1706" s="1"/>
  <c r="AP61" i="1706" s="1"/>
  <c r="AK61" i="1706"/>
  <c r="AJ61" i="1706"/>
  <c r="AB61" i="1706"/>
  <c r="J61" i="1706"/>
  <c r="G61" i="1706"/>
  <c r="B61" i="1706"/>
  <c r="AK60" i="1706"/>
  <c r="AJ60" i="1706"/>
  <c r="AB60" i="1706"/>
  <c r="AI59" i="1706" s="1"/>
  <c r="AK59" i="1706" s="1"/>
  <c r="I60" i="1706"/>
  <c r="G60" i="1706"/>
  <c r="E60" i="1706"/>
  <c r="E61" i="1706" s="1"/>
  <c r="B60" i="1706"/>
  <c r="AF59" i="1706"/>
  <c r="AB59" i="1706"/>
  <c r="AL59" i="1706" s="1"/>
  <c r="G59" i="1706"/>
  <c r="C59" i="1706"/>
  <c r="AK58" i="1706"/>
  <c r="AJ58" i="1706"/>
  <c r="AB58" i="1706"/>
  <c r="AC58" i="1706" s="1"/>
  <c r="B58" i="1706"/>
  <c r="J41" i="1706"/>
  <c r="J45" i="1706"/>
  <c r="AN45" i="1706"/>
  <c r="AO44" i="1706" s="1"/>
  <c r="AK45" i="1706"/>
  <c r="AJ45" i="1706"/>
  <c r="AB45" i="1706"/>
  <c r="G45" i="1706"/>
  <c r="B45" i="1706"/>
  <c r="AK44" i="1706"/>
  <c r="AJ44" i="1706"/>
  <c r="AB44" i="1706"/>
  <c r="I44" i="1706"/>
  <c r="G44" i="1706"/>
  <c r="E44" i="1706"/>
  <c r="E45" i="1706" s="1"/>
  <c r="B44" i="1706"/>
  <c r="AF43" i="1706"/>
  <c r="AB43" i="1706"/>
  <c r="AA45" i="1706" s="1"/>
  <c r="G43" i="1706"/>
  <c r="C43" i="1706"/>
  <c r="AK42" i="1706"/>
  <c r="AJ42" i="1706"/>
  <c r="AB42" i="1706"/>
  <c r="B42" i="1706"/>
  <c r="AN37" i="1706"/>
  <c r="AB37" i="1706"/>
  <c r="J37" i="1706"/>
  <c r="B37" i="1706"/>
  <c r="AB36" i="1706"/>
  <c r="I36" i="1706"/>
  <c r="E36" i="1706"/>
  <c r="E37" i="1706" s="1"/>
  <c r="B36" i="1706"/>
  <c r="AF35" i="1706"/>
  <c r="AB35" i="1706"/>
  <c r="AC35" i="1706" s="1"/>
  <c r="G35" i="1706"/>
  <c r="G36" i="1706" s="1"/>
  <c r="G37" i="1706" s="1"/>
  <c r="C35" i="1706"/>
  <c r="AB34" i="1706"/>
  <c r="AT35" i="1706" s="1"/>
  <c r="B34" i="1706"/>
  <c r="AK2" i="1708" l="1"/>
  <c r="AG2" i="1708" s="1"/>
  <c r="AG74" i="1708"/>
  <c r="AG62" i="1708"/>
  <c r="AY60" i="1708"/>
  <c r="AG30" i="1708"/>
  <c r="AY28" i="1708"/>
  <c r="AY7" i="1708"/>
  <c r="AG9" i="1708"/>
  <c r="AY80" i="1708"/>
  <c r="AG82" i="1708"/>
  <c r="AG42" i="1708"/>
  <c r="AY40" i="1708"/>
  <c r="AG50" i="1708"/>
  <c r="AY48" i="1708"/>
  <c r="AY52" i="1708"/>
  <c r="AG54" i="1708"/>
  <c r="AY12" i="1708"/>
  <c r="AG14" i="1708"/>
  <c r="AG38" i="1708"/>
  <c r="AY36" i="1708"/>
  <c r="AY68" i="1708"/>
  <c r="AG70" i="1708"/>
  <c r="AG34" i="1708"/>
  <c r="AY32" i="1708"/>
  <c r="AC42" i="1706"/>
  <c r="H45" i="1706" s="1"/>
  <c r="AT43" i="1706"/>
  <c r="AO60" i="1706"/>
  <c r="AP60" i="1706" s="1"/>
  <c r="AH35" i="1706"/>
  <c r="AH43" i="1706"/>
  <c r="AP44" i="1706"/>
  <c r="AH59" i="1706"/>
  <c r="X59" i="1706"/>
  <c r="X42" i="1706"/>
  <c r="AI43" i="1706"/>
  <c r="AO45" i="1706"/>
  <c r="AP45" i="1706" s="1"/>
  <c r="AC59" i="1706"/>
  <c r="X60" i="1706"/>
  <c r="AA58" i="1706" s="1"/>
  <c r="AA61" i="1706"/>
  <c r="AT59" i="1706"/>
  <c r="X58" i="1706" s="1"/>
  <c r="X44" i="1706"/>
  <c r="AA42" i="1706" s="1"/>
  <c r="F17" i="1707"/>
  <c r="X34" i="1706"/>
  <c r="H61" i="1706"/>
  <c r="AG59" i="1706"/>
  <c r="AM59" i="1706"/>
  <c r="AJ59" i="1706"/>
  <c r="X36" i="1706"/>
  <c r="AA34" i="1706" s="1"/>
  <c r="X35" i="1706"/>
  <c r="AM43" i="1706"/>
  <c r="X43" i="1706"/>
  <c r="AL43" i="1706"/>
  <c r="AC43" i="1706"/>
  <c r="AG43" i="1706" s="1"/>
  <c r="AC34" i="1706"/>
  <c r="AT84" i="1706"/>
  <c r="AT85" i="1706"/>
  <c r="AT86" i="1706"/>
  <c r="AJ43" i="1706" l="1"/>
  <c r="AK43" i="1706"/>
  <c r="C17" i="1707"/>
  <c r="AG61" i="1706"/>
  <c r="AY59" i="1706"/>
  <c r="AG45" i="1706"/>
  <c r="AY43" i="1706"/>
  <c r="H37" i="1706"/>
  <c r="AG35" i="1706"/>
  <c r="AT91" i="1706"/>
  <c r="X90" i="1706" s="1"/>
  <c r="AT75" i="1706"/>
  <c r="AT19" i="1706"/>
  <c r="X18" i="1706" s="1"/>
  <c r="W109" i="1706"/>
  <c r="W106" i="1706" s="1"/>
  <c r="V109" i="1706"/>
  <c r="V106" i="1706" s="1"/>
  <c r="U109" i="1706"/>
  <c r="U106" i="1706" s="1"/>
  <c r="T109" i="1706"/>
  <c r="T106" i="1706" s="1"/>
  <c r="S109" i="1706"/>
  <c r="S106" i="1706" s="1"/>
  <c r="R109" i="1706"/>
  <c r="R106" i="1706" s="1"/>
  <c r="Q109" i="1706"/>
  <c r="Q106" i="1706" s="1"/>
  <c r="P109" i="1706"/>
  <c r="P106" i="1706" s="1"/>
  <c r="O109" i="1706"/>
  <c r="O106" i="1706" s="1"/>
  <c r="N109" i="1706"/>
  <c r="N106" i="1706" s="1"/>
  <c r="M109" i="1706"/>
  <c r="M106" i="1706" s="1"/>
  <c r="W103" i="1706"/>
  <c r="V103" i="1706"/>
  <c r="U103" i="1706"/>
  <c r="T103" i="1706"/>
  <c r="S103" i="1706"/>
  <c r="R103" i="1706"/>
  <c r="Q103" i="1706"/>
  <c r="P103" i="1706"/>
  <c r="O103" i="1706"/>
  <c r="N103" i="1706"/>
  <c r="M103" i="1706"/>
  <c r="W101" i="1706"/>
  <c r="V101" i="1706"/>
  <c r="U101" i="1706"/>
  <c r="T101" i="1706"/>
  <c r="S101" i="1706"/>
  <c r="R101" i="1706"/>
  <c r="Q101" i="1706"/>
  <c r="P101" i="1706"/>
  <c r="O101" i="1706"/>
  <c r="N101" i="1706"/>
  <c r="M101" i="1706"/>
  <c r="W99" i="1706"/>
  <c r="V99" i="1706"/>
  <c r="U99" i="1706"/>
  <c r="T99" i="1706"/>
  <c r="S99" i="1706"/>
  <c r="R99" i="1706"/>
  <c r="Q99" i="1706"/>
  <c r="P99" i="1706"/>
  <c r="O99" i="1706"/>
  <c r="N99" i="1706"/>
  <c r="M99" i="1706"/>
  <c r="AN97" i="1706"/>
  <c r="AK97" i="1706"/>
  <c r="AJ97" i="1706"/>
  <c r="AB97" i="1706"/>
  <c r="J97" i="1706"/>
  <c r="B97" i="1706"/>
  <c r="AK96" i="1706"/>
  <c r="AJ96" i="1706"/>
  <c r="AB96" i="1706"/>
  <c r="I96" i="1706"/>
  <c r="E96" i="1706"/>
  <c r="E97" i="1706" s="1"/>
  <c r="B96" i="1706"/>
  <c r="AF95" i="1706"/>
  <c r="AB95" i="1706"/>
  <c r="G95" i="1706"/>
  <c r="G96" i="1706" s="1"/>
  <c r="G97" i="1706" s="1"/>
  <c r="C95" i="1706"/>
  <c r="AK94" i="1706"/>
  <c r="AJ94" i="1706"/>
  <c r="AB94" i="1706"/>
  <c r="AC94" i="1706" s="1"/>
  <c r="B94" i="1706"/>
  <c r="AN93" i="1706"/>
  <c r="AK93" i="1706"/>
  <c r="AJ93" i="1706"/>
  <c r="AB93" i="1706"/>
  <c r="J93" i="1706"/>
  <c r="B93" i="1706"/>
  <c r="AK92" i="1706"/>
  <c r="AJ92" i="1706"/>
  <c r="AB92" i="1706"/>
  <c r="I92" i="1706"/>
  <c r="E92" i="1706"/>
  <c r="E93" i="1706" s="1"/>
  <c r="B92" i="1706"/>
  <c r="AF91" i="1706"/>
  <c r="AB91" i="1706"/>
  <c r="AL91" i="1706" s="1"/>
  <c r="G91" i="1706"/>
  <c r="G92" i="1706" s="1"/>
  <c r="G93" i="1706" s="1"/>
  <c r="C91" i="1706"/>
  <c r="AK90" i="1706"/>
  <c r="AJ90" i="1706"/>
  <c r="AB90" i="1706"/>
  <c r="AC90" i="1706" s="1"/>
  <c r="B90" i="1706"/>
  <c r="AN89" i="1706"/>
  <c r="AO89" i="1706" s="1"/>
  <c r="AK89" i="1706"/>
  <c r="AJ89" i="1706"/>
  <c r="AB89" i="1706"/>
  <c r="J89" i="1706"/>
  <c r="B89" i="1706"/>
  <c r="AK88" i="1706"/>
  <c r="AJ88" i="1706"/>
  <c r="AB88" i="1706"/>
  <c r="I88" i="1706"/>
  <c r="E88" i="1706"/>
  <c r="E89" i="1706" s="1"/>
  <c r="B88" i="1706"/>
  <c r="AF87" i="1706"/>
  <c r="AB87" i="1706"/>
  <c r="AL87" i="1706" s="1"/>
  <c r="G87" i="1706"/>
  <c r="G88" i="1706" s="1"/>
  <c r="G89" i="1706" s="1"/>
  <c r="C87" i="1706"/>
  <c r="AK86" i="1706"/>
  <c r="AJ86" i="1706"/>
  <c r="AB86" i="1706"/>
  <c r="AT87" i="1706" s="1"/>
  <c r="B86" i="1706"/>
  <c r="AN85" i="1706"/>
  <c r="AO85" i="1706" s="1"/>
  <c r="AK85" i="1706"/>
  <c r="AJ85" i="1706"/>
  <c r="AB85" i="1706"/>
  <c r="J85" i="1706"/>
  <c r="G85" i="1706"/>
  <c r="B85" i="1706"/>
  <c r="AK84" i="1706"/>
  <c r="AJ84" i="1706"/>
  <c r="AB84" i="1706"/>
  <c r="I84" i="1706"/>
  <c r="G84" i="1706"/>
  <c r="E84" i="1706"/>
  <c r="E85" i="1706" s="1"/>
  <c r="B84" i="1706"/>
  <c r="AF83" i="1706"/>
  <c r="AB83" i="1706"/>
  <c r="AL83" i="1706" s="1"/>
  <c r="G83" i="1706"/>
  <c r="C83" i="1706"/>
  <c r="AK82" i="1706"/>
  <c r="AJ82" i="1706"/>
  <c r="AB82" i="1706"/>
  <c r="AT83" i="1706" s="1"/>
  <c r="B82" i="1706"/>
  <c r="AN81" i="1706"/>
  <c r="AO81" i="1706" s="1"/>
  <c r="AK81" i="1706"/>
  <c r="AJ81" i="1706"/>
  <c r="AB81" i="1706"/>
  <c r="J81" i="1706"/>
  <c r="G81" i="1706"/>
  <c r="B81" i="1706"/>
  <c r="AK80" i="1706"/>
  <c r="AJ80" i="1706"/>
  <c r="AB80" i="1706"/>
  <c r="I80" i="1706"/>
  <c r="G80" i="1706"/>
  <c r="E80" i="1706"/>
  <c r="E81" i="1706" s="1"/>
  <c r="B80" i="1706"/>
  <c r="AF79" i="1706"/>
  <c r="AB79" i="1706"/>
  <c r="G79" i="1706"/>
  <c r="C79" i="1706"/>
  <c r="AK78" i="1706"/>
  <c r="AJ78" i="1706"/>
  <c r="AB78" i="1706"/>
  <c r="AT79" i="1706" s="1"/>
  <c r="B78" i="1706"/>
  <c r="AN77" i="1706"/>
  <c r="AK77" i="1706"/>
  <c r="AJ77" i="1706"/>
  <c r="AB77" i="1706"/>
  <c r="J77" i="1706"/>
  <c r="G77" i="1706"/>
  <c r="B77" i="1706"/>
  <c r="AK76" i="1706"/>
  <c r="AJ76" i="1706"/>
  <c r="AB76" i="1706"/>
  <c r="I76" i="1706"/>
  <c r="G76" i="1706"/>
  <c r="E76" i="1706"/>
  <c r="E77" i="1706" s="1"/>
  <c r="B76" i="1706"/>
  <c r="X74" i="1706"/>
  <c r="AF75" i="1706"/>
  <c r="AB75" i="1706"/>
  <c r="X75" i="1706" s="1"/>
  <c r="G75" i="1706"/>
  <c r="C75" i="1706"/>
  <c r="AK74" i="1706"/>
  <c r="AJ74" i="1706"/>
  <c r="AB74" i="1706"/>
  <c r="AC74" i="1706" s="1"/>
  <c r="H77" i="1706" s="1"/>
  <c r="B74" i="1706"/>
  <c r="AK73" i="1706"/>
  <c r="AJ73" i="1706"/>
  <c r="AB73" i="1706"/>
  <c r="J73" i="1706"/>
  <c r="B73" i="1706"/>
  <c r="AK72" i="1706"/>
  <c r="AJ72" i="1706"/>
  <c r="AB72" i="1706"/>
  <c r="I72" i="1706"/>
  <c r="E72" i="1706"/>
  <c r="E73" i="1706" s="1"/>
  <c r="B72" i="1706"/>
  <c r="AF71" i="1706"/>
  <c r="AB71" i="1706"/>
  <c r="G71" i="1706"/>
  <c r="G72" i="1706" s="1"/>
  <c r="G73" i="1706" s="1"/>
  <c r="C71" i="1706"/>
  <c r="AK70" i="1706"/>
  <c r="AJ70" i="1706"/>
  <c r="AB70" i="1706"/>
  <c r="AT71" i="1706" s="1"/>
  <c r="B70" i="1706"/>
  <c r="AN69" i="1706"/>
  <c r="AK69" i="1706"/>
  <c r="AJ69" i="1706"/>
  <c r="AB69" i="1706"/>
  <c r="J69" i="1706"/>
  <c r="B69" i="1706"/>
  <c r="AK68" i="1706"/>
  <c r="AJ68" i="1706"/>
  <c r="AB68" i="1706"/>
  <c r="I68" i="1706"/>
  <c r="E68" i="1706"/>
  <c r="E69" i="1706" s="1"/>
  <c r="B68" i="1706"/>
  <c r="AF67" i="1706"/>
  <c r="AB67" i="1706"/>
  <c r="G67" i="1706"/>
  <c r="G68" i="1706" s="1"/>
  <c r="G69" i="1706" s="1"/>
  <c r="C67" i="1706"/>
  <c r="AK66" i="1706"/>
  <c r="AJ66" i="1706"/>
  <c r="AB66" i="1706"/>
  <c r="AT67" i="1706" s="1"/>
  <c r="B66" i="1706"/>
  <c r="AN65" i="1706"/>
  <c r="AO65" i="1706" s="1"/>
  <c r="AK65" i="1706"/>
  <c r="AJ65" i="1706"/>
  <c r="AB65" i="1706"/>
  <c r="J65" i="1706"/>
  <c r="B65" i="1706"/>
  <c r="AK64" i="1706"/>
  <c r="AJ64" i="1706"/>
  <c r="AB64" i="1706"/>
  <c r="I64" i="1706"/>
  <c r="E64" i="1706"/>
  <c r="E65" i="1706" s="1"/>
  <c r="B64" i="1706"/>
  <c r="AF63" i="1706"/>
  <c r="AB63" i="1706"/>
  <c r="AL63" i="1706" s="1"/>
  <c r="G63" i="1706"/>
  <c r="G64" i="1706" s="1"/>
  <c r="G65" i="1706" s="1"/>
  <c r="C63" i="1706"/>
  <c r="AK62" i="1706"/>
  <c r="AJ62" i="1706"/>
  <c r="AB62" i="1706"/>
  <c r="AT63" i="1706" s="1"/>
  <c r="B62" i="1706"/>
  <c r="AN57" i="1706"/>
  <c r="AO57" i="1706" s="1"/>
  <c r="AK57" i="1706"/>
  <c r="AJ57" i="1706"/>
  <c r="AB57" i="1706"/>
  <c r="J57" i="1706"/>
  <c r="G57" i="1706"/>
  <c r="B57" i="1706"/>
  <c r="AK56" i="1706"/>
  <c r="AJ56" i="1706"/>
  <c r="AB56" i="1706"/>
  <c r="I56" i="1706"/>
  <c r="G56" i="1706"/>
  <c r="E56" i="1706"/>
  <c r="E57" i="1706" s="1"/>
  <c r="B56" i="1706"/>
  <c r="AF55" i="1706"/>
  <c r="AB55" i="1706"/>
  <c r="AL55" i="1706" s="1"/>
  <c r="G55" i="1706"/>
  <c r="C55" i="1706"/>
  <c r="AK54" i="1706"/>
  <c r="AJ54" i="1706"/>
  <c r="AB54" i="1706"/>
  <c r="B54" i="1706"/>
  <c r="AN53" i="1706"/>
  <c r="AO52" i="1706" s="1"/>
  <c r="AK53" i="1706"/>
  <c r="AJ53" i="1706"/>
  <c r="AB53" i="1706"/>
  <c r="J53" i="1706"/>
  <c r="B53" i="1706"/>
  <c r="AK52" i="1706"/>
  <c r="AJ52" i="1706"/>
  <c r="AB52" i="1706"/>
  <c r="I52" i="1706"/>
  <c r="E52" i="1706"/>
  <c r="E53" i="1706" s="1"/>
  <c r="B52" i="1706"/>
  <c r="AF51" i="1706"/>
  <c r="AB51" i="1706"/>
  <c r="AA53" i="1706" s="1"/>
  <c r="AK50" i="1706"/>
  <c r="AJ50" i="1706"/>
  <c r="AB50" i="1706"/>
  <c r="AC50" i="1706" s="1"/>
  <c r="H53" i="1706" s="1"/>
  <c r="B50" i="1706"/>
  <c r="AN49" i="1706"/>
  <c r="AO48" i="1706" s="1"/>
  <c r="AK49" i="1706"/>
  <c r="AJ49" i="1706"/>
  <c r="AB49" i="1706"/>
  <c r="J49" i="1706"/>
  <c r="B49" i="1706"/>
  <c r="AK48" i="1706"/>
  <c r="AJ48" i="1706"/>
  <c r="AB48" i="1706"/>
  <c r="I48" i="1706"/>
  <c r="E48" i="1706"/>
  <c r="E49" i="1706" s="1"/>
  <c r="B48" i="1706"/>
  <c r="AF47" i="1706"/>
  <c r="AB47" i="1706"/>
  <c r="AC47" i="1706" s="1"/>
  <c r="G47" i="1706"/>
  <c r="G48" i="1706" s="1"/>
  <c r="G49" i="1706" s="1"/>
  <c r="C47" i="1706"/>
  <c r="AK46" i="1706"/>
  <c r="AJ46" i="1706"/>
  <c r="AB46" i="1706"/>
  <c r="AT47" i="1706" s="1"/>
  <c r="B46" i="1706"/>
  <c r="AN41" i="1706"/>
  <c r="AO40" i="1706" s="1"/>
  <c r="AK41" i="1706"/>
  <c r="AJ41" i="1706"/>
  <c r="AB41" i="1706"/>
  <c r="G41" i="1706"/>
  <c r="B41" i="1706"/>
  <c r="AK40" i="1706"/>
  <c r="AJ40" i="1706"/>
  <c r="AB40" i="1706"/>
  <c r="I40" i="1706"/>
  <c r="G40" i="1706"/>
  <c r="E40" i="1706"/>
  <c r="E41" i="1706" s="1"/>
  <c r="B40" i="1706"/>
  <c r="AF39" i="1706"/>
  <c r="AB39" i="1706"/>
  <c r="AA41" i="1706" s="1"/>
  <c r="G39" i="1706"/>
  <c r="C39" i="1706"/>
  <c r="AK38" i="1706"/>
  <c r="AJ38" i="1706"/>
  <c r="AB38" i="1706"/>
  <c r="AT39" i="1706" s="1"/>
  <c r="B38" i="1706"/>
  <c r="AN33" i="1706"/>
  <c r="AB33" i="1706"/>
  <c r="J33" i="1706"/>
  <c r="B33" i="1706"/>
  <c r="AB32" i="1706"/>
  <c r="I32" i="1706"/>
  <c r="E32" i="1706"/>
  <c r="E33" i="1706" s="1"/>
  <c r="B32" i="1706"/>
  <c r="AF31" i="1706"/>
  <c r="AB31" i="1706"/>
  <c r="AC31" i="1706" s="1"/>
  <c r="G31" i="1706"/>
  <c r="G32" i="1706" s="1"/>
  <c r="G33" i="1706" s="1"/>
  <c r="C31" i="1706"/>
  <c r="AB30" i="1706"/>
  <c r="AT31" i="1706" s="1"/>
  <c r="B30" i="1706"/>
  <c r="AN29" i="1706"/>
  <c r="AO29" i="1706" s="1"/>
  <c r="AK29" i="1706"/>
  <c r="AJ29" i="1706"/>
  <c r="AB29" i="1706"/>
  <c r="J29" i="1706"/>
  <c r="G29" i="1706"/>
  <c r="B29" i="1706"/>
  <c r="AK28" i="1706"/>
  <c r="AJ28" i="1706"/>
  <c r="AB28" i="1706"/>
  <c r="I28" i="1706"/>
  <c r="G28" i="1706"/>
  <c r="E28" i="1706"/>
  <c r="E29" i="1706" s="1"/>
  <c r="B28" i="1706"/>
  <c r="AF27" i="1706"/>
  <c r="AB27" i="1706"/>
  <c r="G27" i="1706"/>
  <c r="C27" i="1706"/>
  <c r="AK26" i="1706"/>
  <c r="AJ26" i="1706"/>
  <c r="AB26" i="1706"/>
  <c r="AT27" i="1706" s="1"/>
  <c r="B26" i="1706"/>
  <c r="AN25" i="1706"/>
  <c r="AO25" i="1706" s="1"/>
  <c r="AK25" i="1706"/>
  <c r="AJ25" i="1706"/>
  <c r="AB25" i="1706"/>
  <c r="J25" i="1706"/>
  <c r="B25" i="1706"/>
  <c r="AK24" i="1706"/>
  <c r="AJ24" i="1706"/>
  <c r="AB24" i="1706"/>
  <c r="I24" i="1706"/>
  <c r="E24" i="1706"/>
  <c r="E25" i="1706" s="1"/>
  <c r="B24" i="1706"/>
  <c r="AF23" i="1706"/>
  <c r="AB23" i="1706"/>
  <c r="C23" i="1706"/>
  <c r="AK22" i="1706"/>
  <c r="AJ22" i="1706"/>
  <c r="AB22" i="1706"/>
  <c r="AT23" i="1706" s="1"/>
  <c r="B22" i="1706"/>
  <c r="AN21" i="1706"/>
  <c r="AO21" i="1706" s="1"/>
  <c r="AK21" i="1706"/>
  <c r="AJ21" i="1706"/>
  <c r="AB21" i="1706"/>
  <c r="J21" i="1706"/>
  <c r="B21" i="1706"/>
  <c r="AK20" i="1706"/>
  <c r="AJ20" i="1706"/>
  <c r="AB20" i="1706"/>
  <c r="I20" i="1706"/>
  <c r="E20" i="1706"/>
  <c r="E21" i="1706" s="1"/>
  <c r="B20" i="1706"/>
  <c r="AF19" i="1706"/>
  <c r="AB19" i="1706"/>
  <c r="AL19" i="1706" s="1"/>
  <c r="G19" i="1706"/>
  <c r="G20" i="1706" s="1"/>
  <c r="G21" i="1706" s="1"/>
  <c r="C19" i="1706"/>
  <c r="AK18" i="1706"/>
  <c r="AJ18" i="1706"/>
  <c r="AB18" i="1706"/>
  <c r="AC18" i="1706" s="1"/>
  <c r="B18" i="1706"/>
  <c r="AO17" i="1706"/>
  <c r="AK17" i="1706"/>
  <c r="AJ17" i="1706"/>
  <c r="AB17" i="1706"/>
  <c r="J17" i="1706"/>
  <c r="G17" i="1706"/>
  <c r="B17" i="1706"/>
  <c r="AK16" i="1706"/>
  <c r="AJ16" i="1706"/>
  <c r="AB16" i="1706"/>
  <c r="I16" i="1706"/>
  <c r="G16" i="1706"/>
  <c r="E16" i="1706"/>
  <c r="E17" i="1706" s="1"/>
  <c r="B16" i="1706"/>
  <c r="AF15" i="1706"/>
  <c r="AB15" i="1706"/>
  <c r="AL15" i="1706" s="1"/>
  <c r="G15" i="1706"/>
  <c r="AK14" i="1706"/>
  <c r="AJ14" i="1706"/>
  <c r="AB14" i="1706"/>
  <c r="AT15" i="1706" s="1"/>
  <c r="B14" i="1706"/>
  <c r="AO13" i="1706"/>
  <c r="AK13" i="1706"/>
  <c r="AJ13" i="1706"/>
  <c r="AB13" i="1706"/>
  <c r="J13" i="1706"/>
  <c r="G13" i="1706"/>
  <c r="B13" i="1706"/>
  <c r="AK12" i="1706"/>
  <c r="AJ12" i="1706"/>
  <c r="AB12" i="1706"/>
  <c r="I12" i="1706"/>
  <c r="G12" i="1706"/>
  <c r="B12" i="1706"/>
  <c r="AF11" i="1706"/>
  <c r="AB11" i="1706"/>
  <c r="AL11" i="1706" s="1"/>
  <c r="G11" i="1706"/>
  <c r="C11" i="1706"/>
  <c r="AK10" i="1706"/>
  <c r="AJ10" i="1706"/>
  <c r="AB10" i="1706"/>
  <c r="AT11" i="1706" s="1"/>
  <c r="B10" i="1706"/>
  <c r="AN9" i="1706"/>
  <c r="AO8" i="1706" s="1"/>
  <c r="AK9" i="1706"/>
  <c r="AJ9" i="1706"/>
  <c r="AB9" i="1706"/>
  <c r="G9" i="1706"/>
  <c r="B9" i="1706"/>
  <c r="AK8" i="1706"/>
  <c r="AJ8" i="1706"/>
  <c r="AB8" i="1706"/>
  <c r="I8" i="1706"/>
  <c r="G8" i="1706"/>
  <c r="E8" i="1706"/>
  <c r="E9" i="1706" s="1"/>
  <c r="B8" i="1706"/>
  <c r="BL7" i="1706"/>
  <c r="BK7" i="1706"/>
  <c r="AF7" i="1706"/>
  <c r="AB7" i="1706"/>
  <c r="AL7" i="1706" s="1"/>
  <c r="G7" i="1706"/>
  <c r="C7" i="1706"/>
  <c r="AK6" i="1706"/>
  <c r="AJ6" i="1706"/>
  <c r="AB6" i="1706"/>
  <c r="AT7" i="1706" s="1"/>
  <c r="B6" i="1706"/>
  <c r="AG4" i="1706"/>
  <c r="B3" i="1706"/>
  <c r="X28" i="1706" l="1"/>
  <c r="AA26" i="1706" s="1"/>
  <c r="X67" i="1706"/>
  <c r="AA69" i="1706"/>
  <c r="AO28" i="1706"/>
  <c r="AP28" i="1706" s="1"/>
  <c r="AP13" i="1706"/>
  <c r="AC30" i="1706"/>
  <c r="H33" i="1706" s="1"/>
  <c r="AO80" i="1706"/>
  <c r="AP80" i="1706" s="1"/>
  <c r="AI83" i="1706"/>
  <c r="AK83" i="1706" s="1"/>
  <c r="AO12" i="1706"/>
  <c r="AP12" i="1706" s="1"/>
  <c r="AC15" i="1706"/>
  <c r="AC46" i="1706"/>
  <c r="H49" i="1706" s="1"/>
  <c r="AC14" i="1706"/>
  <c r="H17" i="1706" s="1"/>
  <c r="AH55" i="1706"/>
  <c r="AG37" i="1706"/>
  <c r="AY35" i="1706"/>
  <c r="AO9" i="1706"/>
  <c r="AP9" i="1706" s="1"/>
  <c r="AO41" i="1706"/>
  <c r="AP41" i="1706" s="1"/>
  <c r="AO56" i="1706"/>
  <c r="AP56" i="1706" s="1"/>
  <c r="AO49" i="1706"/>
  <c r="AP49" i="1706" s="1"/>
  <c r="AC22" i="1706"/>
  <c r="H25" i="1706" s="1"/>
  <c r="X24" i="1706"/>
  <c r="AA22" i="1706" s="1"/>
  <c r="AO24" i="1706"/>
  <c r="AP24" i="1706" s="1"/>
  <c r="X48" i="1706"/>
  <c r="AA46" i="1706" s="1"/>
  <c r="AO53" i="1706"/>
  <c r="AP53" i="1706" s="1"/>
  <c r="X66" i="1706"/>
  <c r="AC78" i="1706"/>
  <c r="H81" i="1706" s="1"/>
  <c r="X82" i="1706"/>
  <c r="AT51" i="1706"/>
  <c r="X50" i="1706" s="1"/>
  <c r="X46" i="1706"/>
  <c r="AI47" i="1706"/>
  <c r="AK47" i="1706" s="1"/>
  <c r="X70" i="1706"/>
  <c r="AC91" i="1706"/>
  <c r="AG91" i="1706" s="1"/>
  <c r="X30" i="1706"/>
  <c r="X38" i="1706"/>
  <c r="X94" i="1706"/>
  <c r="X14" i="1706"/>
  <c r="X54" i="1706"/>
  <c r="X86" i="1706"/>
  <c r="X26" i="1706"/>
  <c r="X22" i="1706"/>
  <c r="X62" i="1706"/>
  <c r="X78" i="1706"/>
  <c r="AP21" i="1706"/>
  <c r="X40" i="1706"/>
  <c r="AA38" i="1706" s="1"/>
  <c r="AC87" i="1706"/>
  <c r="AI79" i="1706"/>
  <c r="AJ79" i="1706" s="1"/>
  <c r="AC19" i="1706"/>
  <c r="AG19" i="1706" s="1"/>
  <c r="AY19" i="1706" s="1"/>
  <c r="AP85" i="1706"/>
  <c r="AC6" i="1706"/>
  <c r="H9" i="1706" s="1"/>
  <c r="AH15" i="1706"/>
  <c r="AH27" i="1706"/>
  <c r="AC39" i="1706"/>
  <c r="AI63" i="1706"/>
  <c r="AJ63" i="1706" s="1"/>
  <c r="AC66" i="1706"/>
  <c r="H69" i="1706" s="1"/>
  <c r="AC70" i="1706"/>
  <c r="H73" i="1706" s="1"/>
  <c r="AC82" i="1706"/>
  <c r="AI11" i="1706"/>
  <c r="AK11" i="1706" s="1"/>
  <c r="AP57" i="1706"/>
  <c r="AP40" i="1706"/>
  <c r="X8" i="1706"/>
  <c r="AA6" i="1706" s="1"/>
  <c r="AP8" i="1706"/>
  <c r="AI7" i="1706"/>
  <c r="AM7" i="1706" s="1"/>
  <c r="AH19" i="1706"/>
  <c r="AH23" i="1706"/>
  <c r="AP25" i="1706"/>
  <c r="AI51" i="1706"/>
  <c r="AK51" i="1706" s="1"/>
  <c r="X56" i="1706"/>
  <c r="AA54" i="1706" s="1"/>
  <c r="AH91" i="1706"/>
  <c r="AI95" i="1706"/>
  <c r="AM95" i="1706" s="1"/>
  <c r="AJ7" i="1706"/>
  <c r="H21" i="1706"/>
  <c r="H97" i="1706"/>
  <c r="AC7" i="1706"/>
  <c r="AC11" i="1706"/>
  <c r="AP17" i="1706"/>
  <c r="AI19" i="1706"/>
  <c r="AM19" i="1706" s="1"/>
  <c r="AC27" i="1706"/>
  <c r="AH31" i="1706"/>
  <c r="AC38" i="1706"/>
  <c r="AH39" i="1706"/>
  <c r="AC83" i="1706"/>
  <c r="AH83" i="1706"/>
  <c r="AH87" i="1706"/>
  <c r="AC95" i="1706"/>
  <c r="AG95" i="1706" s="1"/>
  <c r="AH95" i="1706"/>
  <c r="M112" i="1706"/>
  <c r="Q112" i="1706"/>
  <c r="U112" i="1706"/>
  <c r="AI55" i="1706"/>
  <c r="AP81" i="1706"/>
  <c r="X51" i="1706"/>
  <c r="X15" i="1706"/>
  <c r="AA13" i="1706"/>
  <c r="AK15" i="1706"/>
  <c r="X19" i="1706"/>
  <c r="X32" i="1706"/>
  <c r="AA30" i="1706" s="1"/>
  <c r="AL39" i="1706"/>
  <c r="AP48" i="1706"/>
  <c r="AP52" i="1706"/>
  <c r="AC86" i="1706"/>
  <c r="H89" i="1706" s="1"/>
  <c r="AI87" i="1706"/>
  <c r="AP89" i="1706"/>
  <c r="AB4" i="1706"/>
  <c r="AI27" i="1706"/>
  <c r="AM27" i="1706" s="1"/>
  <c r="AP29" i="1706"/>
  <c r="AH51" i="1706"/>
  <c r="AA81" i="1706"/>
  <c r="X95" i="1706"/>
  <c r="P112" i="1706"/>
  <c r="X10" i="1706"/>
  <c r="AC10" i="1706"/>
  <c r="X71" i="1706"/>
  <c r="H93" i="1706"/>
  <c r="X55" i="1706"/>
  <c r="X39" i="1706"/>
  <c r="X6" i="1706"/>
  <c r="X31" i="1706"/>
  <c r="X7" i="1706"/>
  <c r="X16" i="1706"/>
  <c r="AA14" i="1706" s="1"/>
  <c r="AO16" i="1706"/>
  <c r="AP16" i="1706" s="1"/>
  <c r="X20" i="1706"/>
  <c r="AA18" i="1706" s="1"/>
  <c r="AO20" i="1706"/>
  <c r="AP20" i="1706" s="1"/>
  <c r="AC23" i="1706"/>
  <c r="AI23" i="1706"/>
  <c r="AM23" i="1706" s="1"/>
  <c r="AA25" i="1706"/>
  <c r="AC26" i="1706"/>
  <c r="AG31" i="1706"/>
  <c r="AI39" i="1706"/>
  <c r="AL47" i="1706"/>
  <c r="X52" i="1706"/>
  <c r="AA50" i="1706" s="1"/>
  <c r="AC55" i="1706"/>
  <c r="AO69" i="1706"/>
  <c r="AP69" i="1706" s="1"/>
  <c r="AO68" i="1706"/>
  <c r="AP68" i="1706" s="1"/>
  <c r="X68" i="1706"/>
  <c r="AA66" i="1706" s="1"/>
  <c r="AI91" i="1706"/>
  <c r="AO97" i="1706"/>
  <c r="AP97" i="1706" s="1"/>
  <c r="AO96" i="1706"/>
  <c r="AP96" i="1706" s="1"/>
  <c r="X96" i="1706"/>
  <c r="AA94" i="1706" s="1"/>
  <c r="AA101" i="1706"/>
  <c r="N112" i="1706"/>
  <c r="R112" i="1706"/>
  <c r="V112" i="1706"/>
  <c r="AH7" i="1706"/>
  <c r="X11" i="1706"/>
  <c r="X12" i="1706"/>
  <c r="AA10" i="1706" s="1"/>
  <c r="X27" i="1706"/>
  <c r="AA29" i="1706"/>
  <c r="AH47" i="1706"/>
  <c r="X64" i="1706"/>
  <c r="AA62" i="1706" s="1"/>
  <c r="AO64" i="1706"/>
  <c r="AP64" i="1706" s="1"/>
  <c r="AI67" i="1706"/>
  <c r="AH67" i="1706"/>
  <c r="AO77" i="1706"/>
  <c r="AP77" i="1706" s="1"/>
  <c r="AO76" i="1706"/>
  <c r="AP76" i="1706" s="1"/>
  <c r="X76" i="1706"/>
  <c r="AA74" i="1706" s="1"/>
  <c r="AO93" i="1706"/>
  <c r="AP93" i="1706" s="1"/>
  <c r="AO92" i="1706"/>
  <c r="AP92" i="1706" s="1"/>
  <c r="X92" i="1706"/>
  <c r="AA90" i="1706" s="1"/>
  <c r="X91" i="1706"/>
  <c r="AA99" i="1706"/>
  <c r="O112" i="1706"/>
  <c r="S112" i="1706"/>
  <c r="W112" i="1706"/>
  <c r="T112" i="1706"/>
  <c r="AL23" i="1706"/>
  <c r="AC63" i="1706"/>
  <c r="AI71" i="1706"/>
  <c r="AM71" i="1706" s="1"/>
  <c r="AH71" i="1706"/>
  <c r="X87" i="1706"/>
  <c r="X83" i="1706"/>
  <c r="AH11" i="1706"/>
  <c r="X23" i="1706"/>
  <c r="AL27" i="1706"/>
  <c r="X47" i="1706"/>
  <c r="X63" i="1706"/>
  <c r="AH63" i="1706"/>
  <c r="AA65" i="1706"/>
  <c r="AP65" i="1706"/>
  <c r="AO73" i="1706"/>
  <c r="AP73" i="1706" s="1"/>
  <c r="AO72" i="1706"/>
  <c r="AP72" i="1706" s="1"/>
  <c r="X72" i="1706"/>
  <c r="AA70" i="1706" s="1"/>
  <c r="AI75" i="1706"/>
  <c r="AM75" i="1706" s="1"/>
  <c r="AH75" i="1706"/>
  <c r="X79" i="1706"/>
  <c r="AL51" i="1706"/>
  <c r="AL67" i="1706"/>
  <c r="AL71" i="1706"/>
  <c r="AL75" i="1706"/>
  <c r="AH79" i="1706"/>
  <c r="AL79" i="1706"/>
  <c r="X80" i="1706"/>
  <c r="AA78" i="1706" s="1"/>
  <c r="AL95" i="1706"/>
  <c r="AC51" i="1706"/>
  <c r="AG51" i="1706" s="1"/>
  <c r="AC54" i="1706"/>
  <c r="AC62" i="1706"/>
  <c r="AC67" i="1706"/>
  <c r="AC71" i="1706"/>
  <c r="AC75" i="1706"/>
  <c r="AG75" i="1706" s="1"/>
  <c r="AC79" i="1706"/>
  <c r="X84" i="1706"/>
  <c r="AA82" i="1706" s="1"/>
  <c r="AO84" i="1706"/>
  <c r="AP84" i="1706" s="1"/>
  <c r="X88" i="1706"/>
  <c r="AA86" i="1706" s="1"/>
  <c r="AO88" i="1706"/>
  <c r="AP88" i="1706" s="1"/>
  <c r="J77" i="1704"/>
  <c r="J33" i="1704"/>
  <c r="AM83" i="1706" l="1"/>
  <c r="AG79" i="1706"/>
  <c r="AG81" i="1706" s="1"/>
  <c r="AJ19" i="1706"/>
  <c r="AM79" i="1706"/>
  <c r="AJ83" i="1706"/>
  <c r="AG83" i="1706"/>
  <c r="AY83" i="1706" s="1"/>
  <c r="H85" i="1706"/>
  <c r="AT4" i="1706"/>
  <c r="AG47" i="1706"/>
  <c r="AY47" i="1706" s="1"/>
  <c r="AG15" i="1706"/>
  <c r="AG17" i="1706" s="1"/>
  <c r="AG23" i="1706"/>
  <c r="AG25" i="1706" s="1"/>
  <c r="AK19" i="1706"/>
  <c r="AJ15" i="1706"/>
  <c r="AK63" i="1706"/>
  <c r="AK27" i="1706"/>
  <c r="AJ27" i="1706"/>
  <c r="AM51" i="1706"/>
  <c r="AJ47" i="1706"/>
  <c r="AM63" i="1706"/>
  <c r="AM15" i="1706"/>
  <c r="AJ51" i="1706"/>
  <c r="AM47" i="1706"/>
  <c r="AG67" i="1706"/>
  <c r="AG69" i="1706" s="1"/>
  <c r="AK79" i="1706"/>
  <c r="AG39" i="1706"/>
  <c r="AY39" i="1706" s="1"/>
  <c r="AG7" i="1706"/>
  <c r="AY7" i="1706" s="1"/>
  <c r="AG71" i="1706"/>
  <c r="AG73" i="1706" s="1"/>
  <c r="H41" i="1706"/>
  <c r="AJ11" i="1706"/>
  <c r="AM11" i="1706"/>
  <c r="AK95" i="1706"/>
  <c r="AJ95" i="1706"/>
  <c r="AG87" i="1706"/>
  <c r="AG89" i="1706" s="1"/>
  <c r="AG97" i="1706"/>
  <c r="AY95" i="1706"/>
  <c r="AJ55" i="1706"/>
  <c r="AK55" i="1706"/>
  <c r="AM55" i="1706"/>
  <c r="AK87" i="1706"/>
  <c r="AJ87" i="1706"/>
  <c r="AM87" i="1706"/>
  <c r="AL2" i="1706"/>
  <c r="AG21" i="1706"/>
  <c r="AG53" i="1706"/>
  <c r="AY51" i="1706"/>
  <c r="AG77" i="1706"/>
  <c r="AY75" i="1706"/>
  <c r="H65" i="1706"/>
  <c r="AG63" i="1706"/>
  <c r="AG33" i="1706"/>
  <c r="AY31" i="1706"/>
  <c r="AJ75" i="1706"/>
  <c r="AK75" i="1706"/>
  <c r="H29" i="1706"/>
  <c r="AG27" i="1706"/>
  <c r="AK23" i="1706"/>
  <c r="AJ23" i="1706"/>
  <c r="AJ67" i="1706"/>
  <c r="AK67" i="1706"/>
  <c r="AK71" i="1706"/>
  <c r="AJ71" i="1706"/>
  <c r="AK39" i="1706"/>
  <c r="AJ39" i="1706"/>
  <c r="AM39" i="1706"/>
  <c r="H13" i="1706"/>
  <c r="AG11" i="1706"/>
  <c r="H57" i="1706"/>
  <c r="AG55" i="1706"/>
  <c r="AI4" i="1706"/>
  <c r="AK91" i="1706"/>
  <c r="AM91" i="1706"/>
  <c r="AJ91" i="1706"/>
  <c r="AM67" i="1706"/>
  <c r="AG93" i="1706"/>
  <c r="AY91" i="1706"/>
  <c r="Q17" i="1705"/>
  <c r="O17" i="1705"/>
  <c r="J17" i="1705"/>
  <c r="H17" i="1705"/>
  <c r="D17" i="1705"/>
  <c r="AY79" i="1706" l="1"/>
  <c r="AY15" i="1706"/>
  <c r="AG85" i="1706"/>
  <c r="AY67" i="1706"/>
  <c r="AG49" i="1706"/>
  <c r="AG41" i="1706"/>
  <c r="AY23" i="1706"/>
  <c r="AG9" i="1706"/>
  <c r="AY71" i="1706"/>
  <c r="AY87" i="1706"/>
  <c r="AG13" i="1706"/>
  <c r="AY11" i="1706"/>
  <c r="AG29" i="1706"/>
  <c r="AY27" i="1706"/>
  <c r="AG65" i="1706"/>
  <c r="AY63" i="1706"/>
  <c r="AY55" i="1706"/>
  <c r="AG57" i="1706"/>
  <c r="B17" i="1705"/>
  <c r="F17" i="1705" l="1"/>
  <c r="AT91" i="1704"/>
  <c r="AT71" i="1704"/>
  <c r="X70" i="1704" s="1"/>
  <c r="AT59" i="1704"/>
  <c r="X58" i="1704" s="1"/>
  <c r="AT27" i="1704"/>
  <c r="X26" i="1704" s="1"/>
  <c r="AT19" i="1704"/>
  <c r="W105" i="1704"/>
  <c r="V105" i="1704"/>
  <c r="U105" i="1704"/>
  <c r="U102" i="1704" s="1"/>
  <c r="T105" i="1704"/>
  <c r="S105" i="1704"/>
  <c r="R105" i="1704"/>
  <c r="Q105" i="1704"/>
  <c r="Q102" i="1704" s="1"/>
  <c r="P105" i="1704"/>
  <c r="P102" i="1704" s="1"/>
  <c r="O105" i="1704"/>
  <c r="N105" i="1704"/>
  <c r="M105" i="1704"/>
  <c r="M102" i="1704" s="1"/>
  <c r="T102" i="1704"/>
  <c r="W99" i="1704"/>
  <c r="V99" i="1704"/>
  <c r="U99" i="1704"/>
  <c r="T99" i="1704"/>
  <c r="S99" i="1704"/>
  <c r="R99" i="1704"/>
  <c r="Q99" i="1704"/>
  <c r="P99" i="1704"/>
  <c r="O99" i="1704"/>
  <c r="N99" i="1704"/>
  <c r="M99" i="1704"/>
  <c r="W97" i="1704"/>
  <c r="V97" i="1704"/>
  <c r="U97" i="1704"/>
  <c r="T97" i="1704"/>
  <c r="S97" i="1704"/>
  <c r="R97" i="1704"/>
  <c r="Q97" i="1704"/>
  <c r="P97" i="1704"/>
  <c r="O97" i="1704"/>
  <c r="N97" i="1704"/>
  <c r="M97" i="1704"/>
  <c r="W95" i="1704"/>
  <c r="V95" i="1704"/>
  <c r="U95" i="1704"/>
  <c r="T95" i="1704"/>
  <c r="S95" i="1704"/>
  <c r="R95" i="1704"/>
  <c r="Q95" i="1704"/>
  <c r="P95" i="1704"/>
  <c r="O95" i="1704"/>
  <c r="N95" i="1704"/>
  <c r="M95" i="1704"/>
  <c r="AN93" i="1704"/>
  <c r="AO93" i="1704" s="1"/>
  <c r="AK93" i="1704"/>
  <c r="AJ93" i="1704"/>
  <c r="AB93" i="1704"/>
  <c r="J93" i="1704"/>
  <c r="B93" i="1704"/>
  <c r="AK92" i="1704"/>
  <c r="AJ92" i="1704"/>
  <c r="AB92" i="1704"/>
  <c r="I92" i="1704"/>
  <c r="E92" i="1704"/>
  <c r="E93" i="1704" s="1"/>
  <c r="B92" i="1704"/>
  <c r="X90" i="1704"/>
  <c r="AF91" i="1704"/>
  <c r="AB91" i="1704"/>
  <c r="X91" i="1704" s="1"/>
  <c r="G91" i="1704"/>
  <c r="G92" i="1704" s="1"/>
  <c r="G93" i="1704" s="1"/>
  <c r="C91" i="1704"/>
  <c r="AK90" i="1704"/>
  <c r="AJ90" i="1704"/>
  <c r="AB90" i="1704"/>
  <c r="AC90" i="1704" s="1"/>
  <c r="H93" i="1704" s="1"/>
  <c r="B90" i="1704"/>
  <c r="AN89" i="1704"/>
  <c r="AO89" i="1704" s="1"/>
  <c r="AK89" i="1704"/>
  <c r="AJ89" i="1704"/>
  <c r="AB89" i="1704"/>
  <c r="J89" i="1704"/>
  <c r="B89" i="1704"/>
  <c r="AK88" i="1704"/>
  <c r="AJ88" i="1704"/>
  <c r="AB88" i="1704"/>
  <c r="I88" i="1704"/>
  <c r="E88" i="1704"/>
  <c r="E89" i="1704" s="1"/>
  <c r="B88" i="1704"/>
  <c r="AF87" i="1704"/>
  <c r="AB87" i="1704"/>
  <c r="AL87" i="1704" s="1"/>
  <c r="G87" i="1704"/>
  <c r="G88" i="1704" s="1"/>
  <c r="G89" i="1704" s="1"/>
  <c r="C87" i="1704"/>
  <c r="AK86" i="1704"/>
  <c r="AJ86" i="1704"/>
  <c r="AB86" i="1704"/>
  <c r="AC86" i="1704" s="1"/>
  <c r="H89" i="1704" s="1"/>
  <c r="X86" i="1704"/>
  <c r="B86" i="1704"/>
  <c r="AN85" i="1704"/>
  <c r="AO85" i="1704" s="1"/>
  <c r="AK85" i="1704"/>
  <c r="AJ85" i="1704"/>
  <c r="AB85" i="1704"/>
  <c r="J85" i="1704"/>
  <c r="B85" i="1704"/>
  <c r="AK84" i="1704"/>
  <c r="AJ84" i="1704"/>
  <c r="AB84" i="1704"/>
  <c r="I84" i="1704"/>
  <c r="E84" i="1704"/>
  <c r="E85" i="1704" s="1"/>
  <c r="B84" i="1704"/>
  <c r="AF83" i="1704"/>
  <c r="AB83" i="1704"/>
  <c r="AL83" i="1704" s="1"/>
  <c r="G83" i="1704"/>
  <c r="G84" i="1704" s="1"/>
  <c r="G85" i="1704" s="1"/>
  <c r="C83" i="1704"/>
  <c r="AK82" i="1704"/>
  <c r="AJ82" i="1704"/>
  <c r="AB82" i="1704"/>
  <c r="AC82" i="1704" s="1"/>
  <c r="H85" i="1704" s="1"/>
  <c r="B82" i="1704"/>
  <c r="AN81" i="1704"/>
  <c r="AO81" i="1704" s="1"/>
  <c r="AK81" i="1704"/>
  <c r="AJ81" i="1704"/>
  <c r="AB81" i="1704"/>
  <c r="J81" i="1704"/>
  <c r="G81" i="1704"/>
  <c r="B81" i="1704"/>
  <c r="AK80" i="1704"/>
  <c r="AJ80" i="1704"/>
  <c r="AB80" i="1704"/>
  <c r="I80" i="1704"/>
  <c r="G80" i="1704"/>
  <c r="E80" i="1704"/>
  <c r="E81" i="1704" s="1"/>
  <c r="B80" i="1704"/>
  <c r="AF79" i="1704"/>
  <c r="AB79" i="1704"/>
  <c r="AL79" i="1704" s="1"/>
  <c r="G79" i="1704"/>
  <c r="C79" i="1704"/>
  <c r="AK78" i="1704"/>
  <c r="AJ78" i="1704"/>
  <c r="AB78" i="1704"/>
  <c r="AT79" i="1704" s="1"/>
  <c r="X78" i="1704" s="1"/>
  <c r="B78" i="1704"/>
  <c r="AN77" i="1704"/>
  <c r="AO77" i="1704" s="1"/>
  <c r="AK77" i="1704"/>
  <c r="AJ77" i="1704"/>
  <c r="AB77" i="1704"/>
  <c r="G77" i="1704"/>
  <c r="B77" i="1704"/>
  <c r="AK76" i="1704"/>
  <c r="AJ76" i="1704"/>
  <c r="AB76" i="1704"/>
  <c r="I76" i="1704"/>
  <c r="G76" i="1704"/>
  <c r="E76" i="1704"/>
  <c r="E77" i="1704" s="1"/>
  <c r="B76" i="1704"/>
  <c r="AF75" i="1704"/>
  <c r="AB75" i="1704"/>
  <c r="AL75" i="1704" s="1"/>
  <c r="G75" i="1704"/>
  <c r="C75" i="1704"/>
  <c r="AK74" i="1704"/>
  <c r="AJ74" i="1704"/>
  <c r="AB74" i="1704"/>
  <c r="B74" i="1704"/>
  <c r="AN73" i="1704"/>
  <c r="AO73" i="1704" s="1"/>
  <c r="AK73" i="1704"/>
  <c r="AJ73" i="1704"/>
  <c r="AB73" i="1704"/>
  <c r="J73" i="1704"/>
  <c r="G73" i="1704"/>
  <c r="B73" i="1704"/>
  <c r="AK72" i="1704"/>
  <c r="AJ72" i="1704"/>
  <c r="AB72" i="1704"/>
  <c r="I72" i="1704"/>
  <c r="G72" i="1704"/>
  <c r="E72" i="1704"/>
  <c r="E73" i="1704" s="1"/>
  <c r="B72" i="1704"/>
  <c r="AF71" i="1704"/>
  <c r="AB71" i="1704"/>
  <c r="G71" i="1704"/>
  <c r="C71" i="1704"/>
  <c r="AK70" i="1704"/>
  <c r="AJ70" i="1704"/>
  <c r="AB70" i="1704"/>
  <c r="AC70" i="1704" s="1"/>
  <c r="H73" i="1704" s="1"/>
  <c r="B70" i="1704"/>
  <c r="AN69" i="1704"/>
  <c r="AO69" i="1704" s="1"/>
  <c r="AK69" i="1704"/>
  <c r="AJ69" i="1704"/>
  <c r="AB69" i="1704"/>
  <c r="J69" i="1704"/>
  <c r="B69" i="1704"/>
  <c r="AK68" i="1704"/>
  <c r="AJ68" i="1704"/>
  <c r="AB68" i="1704"/>
  <c r="I68" i="1704"/>
  <c r="E68" i="1704"/>
  <c r="E69" i="1704" s="1"/>
  <c r="B68" i="1704"/>
  <c r="AF67" i="1704"/>
  <c r="AB67" i="1704"/>
  <c r="AL67" i="1704" s="1"/>
  <c r="G67" i="1704"/>
  <c r="G68" i="1704" s="1"/>
  <c r="G69" i="1704" s="1"/>
  <c r="C67" i="1704"/>
  <c r="AK66" i="1704"/>
  <c r="AJ66" i="1704"/>
  <c r="AB66" i="1704"/>
  <c r="AT67" i="1704" s="1"/>
  <c r="B66" i="1704"/>
  <c r="AN65" i="1704"/>
  <c r="AO65" i="1704" s="1"/>
  <c r="AK65" i="1704"/>
  <c r="AJ65" i="1704"/>
  <c r="AB65" i="1704"/>
  <c r="J65" i="1704"/>
  <c r="B65" i="1704"/>
  <c r="AK64" i="1704"/>
  <c r="AJ64" i="1704"/>
  <c r="AB64" i="1704"/>
  <c r="I64" i="1704"/>
  <c r="E64" i="1704"/>
  <c r="E65" i="1704" s="1"/>
  <c r="B64" i="1704"/>
  <c r="AF63" i="1704"/>
  <c r="AB63" i="1704"/>
  <c r="G63" i="1704"/>
  <c r="G64" i="1704" s="1"/>
  <c r="G65" i="1704" s="1"/>
  <c r="C63" i="1704"/>
  <c r="AK62" i="1704"/>
  <c r="AJ62" i="1704"/>
  <c r="AB62" i="1704"/>
  <c r="AT63" i="1704" s="1"/>
  <c r="B62" i="1704"/>
  <c r="AN61" i="1704"/>
  <c r="AO60" i="1704" s="1"/>
  <c r="AK61" i="1704"/>
  <c r="AJ61" i="1704"/>
  <c r="AB61" i="1704"/>
  <c r="J61" i="1704"/>
  <c r="B61" i="1704"/>
  <c r="AK60" i="1704"/>
  <c r="AJ60" i="1704"/>
  <c r="AB60" i="1704"/>
  <c r="I60" i="1704"/>
  <c r="E60" i="1704"/>
  <c r="E61" i="1704" s="1"/>
  <c r="B60" i="1704"/>
  <c r="AF59" i="1704"/>
  <c r="AB59" i="1704"/>
  <c r="G59" i="1704"/>
  <c r="G60" i="1704" s="1"/>
  <c r="G61" i="1704" s="1"/>
  <c r="C59" i="1704"/>
  <c r="AK58" i="1704"/>
  <c r="AJ58" i="1704"/>
  <c r="AB58" i="1704"/>
  <c r="AC58" i="1704" s="1"/>
  <c r="H61" i="1704" s="1"/>
  <c r="B58" i="1704"/>
  <c r="AN57" i="1704"/>
  <c r="AO56" i="1704" s="1"/>
  <c r="AK57" i="1704"/>
  <c r="AJ57" i="1704"/>
  <c r="AB57" i="1704"/>
  <c r="J57" i="1704"/>
  <c r="B57" i="1704"/>
  <c r="AK56" i="1704"/>
  <c r="AJ56" i="1704"/>
  <c r="AB56" i="1704"/>
  <c r="I56" i="1704"/>
  <c r="E56" i="1704"/>
  <c r="E57" i="1704" s="1"/>
  <c r="B56" i="1704"/>
  <c r="AF55" i="1704"/>
  <c r="AB55" i="1704"/>
  <c r="G55" i="1704"/>
  <c r="G56" i="1704" s="1"/>
  <c r="G57" i="1704" s="1"/>
  <c r="C55" i="1704"/>
  <c r="AK54" i="1704"/>
  <c r="AJ54" i="1704"/>
  <c r="AB54" i="1704"/>
  <c r="AT55" i="1704" s="1"/>
  <c r="B54" i="1704"/>
  <c r="AN53" i="1704"/>
  <c r="AO53" i="1704" s="1"/>
  <c r="AK53" i="1704"/>
  <c r="AJ53" i="1704"/>
  <c r="AB53" i="1704"/>
  <c r="J53" i="1704"/>
  <c r="G53" i="1704"/>
  <c r="B53" i="1704"/>
  <c r="AK52" i="1704"/>
  <c r="AJ52" i="1704"/>
  <c r="AB52" i="1704"/>
  <c r="I52" i="1704"/>
  <c r="G52" i="1704"/>
  <c r="E52" i="1704"/>
  <c r="E53" i="1704" s="1"/>
  <c r="B52" i="1704"/>
  <c r="AF51" i="1704"/>
  <c r="AB51" i="1704"/>
  <c r="G51" i="1704"/>
  <c r="C51" i="1704"/>
  <c r="AK50" i="1704"/>
  <c r="AJ50" i="1704"/>
  <c r="AB50" i="1704"/>
  <c r="AT51" i="1704" s="1"/>
  <c r="B50" i="1704"/>
  <c r="AN49" i="1704"/>
  <c r="AO48" i="1704" s="1"/>
  <c r="AK49" i="1704"/>
  <c r="AJ49" i="1704"/>
  <c r="AB49" i="1704"/>
  <c r="J49" i="1704"/>
  <c r="B49" i="1704"/>
  <c r="AK48" i="1704"/>
  <c r="AJ48" i="1704"/>
  <c r="AB48" i="1704"/>
  <c r="I48" i="1704"/>
  <c r="E48" i="1704"/>
  <c r="E49" i="1704" s="1"/>
  <c r="B48" i="1704"/>
  <c r="AF47" i="1704"/>
  <c r="AB47" i="1704"/>
  <c r="AL47" i="1704" s="1"/>
  <c r="AK46" i="1704"/>
  <c r="AJ46" i="1704"/>
  <c r="AB46" i="1704"/>
  <c r="AT47" i="1704" s="1"/>
  <c r="B46" i="1704"/>
  <c r="AN45" i="1704"/>
  <c r="AO44" i="1704" s="1"/>
  <c r="AK45" i="1704"/>
  <c r="AJ45" i="1704"/>
  <c r="AB45" i="1704"/>
  <c r="J45" i="1704"/>
  <c r="B45" i="1704"/>
  <c r="AK44" i="1704"/>
  <c r="AJ44" i="1704"/>
  <c r="AB44" i="1704"/>
  <c r="I44" i="1704"/>
  <c r="E44" i="1704"/>
  <c r="E45" i="1704" s="1"/>
  <c r="B44" i="1704"/>
  <c r="AF43" i="1704"/>
  <c r="AB43" i="1704"/>
  <c r="G43" i="1704"/>
  <c r="G44" i="1704" s="1"/>
  <c r="G45" i="1704" s="1"/>
  <c r="C43" i="1704"/>
  <c r="AK42" i="1704"/>
  <c r="AJ42" i="1704"/>
  <c r="AB42" i="1704"/>
  <c r="AC42" i="1704" s="1"/>
  <c r="B42" i="1704"/>
  <c r="AN41" i="1704"/>
  <c r="AO41" i="1704" s="1"/>
  <c r="AK41" i="1704"/>
  <c r="AJ41" i="1704"/>
  <c r="AB41" i="1704"/>
  <c r="G41" i="1704"/>
  <c r="B41" i="1704"/>
  <c r="AK40" i="1704"/>
  <c r="AJ40" i="1704"/>
  <c r="AB40" i="1704"/>
  <c r="I40" i="1704"/>
  <c r="G40" i="1704"/>
  <c r="E40" i="1704"/>
  <c r="E41" i="1704" s="1"/>
  <c r="B40" i="1704"/>
  <c r="AF39" i="1704"/>
  <c r="AB39" i="1704"/>
  <c r="G39" i="1704"/>
  <c r="C39" i="1704"/>
  <c r="AK38" i="1704"/>
  <c r="AJ38" i="1704"/>
  <c r="AB38" i="1704"/>
  <c r="AT39" i="1704" s="1"/>
  <c r="X38" i="1704" s="1"/>
  <c r="B38" i="1704"/>
  <c r="AN37" i="1704"/>
  <c r="AB37" i="1704"/>
  <c r="J37" i="1704"/>
  <c r="B37" i="1704"/>
  <c r="AB36" i="1704"/>
  <c r="I36" i="1704"/>
  <c r="E36" i="1704"/>
  <c r="E37" i="1704" s="1"/>
  <c r="B36" i="1704"/>
  <c r="AF35" i="1704"/>
  <c r="AB35" i="1704"/>
  <c r="AC35" i="1704" s="1"/>
  <c r="G35" i="1704"/>
  <c r="G36" i="1704" s="1"/>
  <c r="G37" i="1704" s="1"/>
  <c r="C35" i="1704"/>
  <c r="AB34" i="1704"/>
  <c r="B34" i="1704"/>
  <c r="AN33" i="1704"/>
  <c r="AO33" i="1704" s="1"/>
  <c r="AK33" i="1704"/>
  <c r="AJ33" i="1704"/>
  <c r="AB33" i="1704"/>
  <c r="G33" i="1704"/>
  <c r="B33" i="1704"/>
  <c r="AK32" i="1704"/>
  <c r="AJ32" i="1704"/>
  <c r="AB32" i="1704"/>
  <c r="I32" i="1704"/>
  <c r="G32" i="1704"/>
  <c r="E32" i="1704"/>
  <c r="E33" i="1704" s="1"/>
  <c r="B32" i="1704"/>
  <c r="AF31" i="1704"/>
  <c r="AB31" i="1704"/>
  <c r="G31" i="1704"/>
  <c r="C31" i="1704"/>
  <c r="AK30" i="1704"/>
  <c r="AJ30" i="1704"/>
  <c r="AB30" i="1704"/>
  <c r="AT31" i="1704" s="1"/>
  <c r="B30" i="1704"/>
  <c r="AN29" i="1704"/>
  <c r="AO29" i="1704" s="1"/>
  <c r="AK29" i="1704"/>
  <c r="AJ29" i="1704"/>
  <c r="AB29" i="1704"/>
  <c r="J29" i="1704"/>
  <c r="G29" i="1704"/>
  <c r="B29" i="1704"/>
  <c r="AK28" i="1704"/>
  <c r="AJ28" i="1704"/>
  <c r="AB28" i="1704"/>
  <c r="I28" i="1704"/>
  <c r="G28" i="1704"/>
  <c r="E28" i="1704"/>
  <c r="E29" i="1704" s="1"/>
  <c r="B28" i="1704"/>
  <c r="AF27" i="1704"/>
  <c r="AB27" i="1704"/>
  <c r="AL27" i="1704" s="1"/>
  <c r="G27" i="1704"/>
  <c r="C27" i="1704"/>
  <c r="AK26" i="1704"/>
  <c r="AJ26" i="1704"/>
  <c r="AB26" i="1704"/>
  <c r="AC26" i="1704" s="1"/>
  <c r="B26" i="1704"/>
  <c r="AN25" i="1704"/>
  <c r="AO25" i="1704" s="1"/>
  <c r="AK25" i="1704"/>
  <c r="AJ25" i="1704"/>
  <c r="AB25" i="1704"/>
  <c r="J25" i="1704"/>
  <c r="B25" i="1704"/>
  <c r="AK24" i="1704"/>
  <c r="AJ24" i="1704"/>
  <c r="AB24" i="1704"/>
  <c r="I24" i="1704"/>
  <c r="E24" i="1704"/>
  <c r="E25" i="1704" s="1"/>
  <c r="B24" i="1704"/>
  <c r="AF23" i="1704"/>
  <c r="AB23" i="1704"/>
  <c r="AL23" i="1704" s="1"/>
  <c r="C23" i="1704"/>
  <c r="AK22" i="1704"/>
  <c r="AJ22" i="1704"/>
  <c r="AB22" i="1704"/>
  <c r="AT23" i="1704" s="1"/>
  <c r="B22" i="1704"/>
  <c r="AN21" i="1704"/>
  <c r="AO20" i="1704" s="1"/>
  <c r="AK21" i="1704"/>
  <c r="AJ21" i="1704"/>
  <c r="AB21" i="1704"/>
  <c r="J21" i="1704"/>
  <c r="B21" i="1704"/>
  <c r="AK20" i="1704"/>
  <c r="AJ20" i="1704"/>
  <c r="AB20" i="1704"/>
  <c r="I20" i="1704"/>
  <c r="E20" i="1704"/>
  <c r="E21" i="1704" s="1"/>
  <c r="B20" i="1704"/>
  <c r="X18" i="1704"/>
  <c r="AF19" i="1704"/>
  <c r="AB19" i="1704"/>
  <c r="G19" i="1704"/>
  <c r="G20" i="1704" s="1"/>
  <c r="G21" i="1704" s="1"/>
  <c r="C19" i="1704"/>
  <c r="AK18" i="1704"/>
  <c r="AJ18" i="1704"/>
  <c r="AB18" i="1704"/>
  <c r="AC18" i="1704" s="1"/>
  <c r="B18" i="1704"/>
  <c r="AN17" i="1704"/>
  <c r="AO17" i="1704" s="1"/>
  <c r="AK17" i="1704"/>
  <c r="AJ17" i="1704"/>
  <c r="AB17" i="1704"/>
  <c r="J17" i="1704"/>
  <c r="G17" i="1704"/>
  <c r="B17" i="1704"/>
  <c r="AK16" i="1704"/>
  <c r="AJ16" i="1704"/>
  <c r="AB16" i="1704"/>
  <c r="I16" i="1704"/>
  <c r="G16" i="1704"/>
  <c r="E16" i="1704"/>
  <c r="E17" i="1704" s="1"/>
  <c r="B16" i="1704"/>
  <c r="AF15" i="1704"/>
  <c r="AB15" i="1704"/>
  <c r="AL15" i="1704" s="1"/>
  <c r="G15" i="1704"/>
  <c r="AK14" i="1704"/>
  <c r="AJ14" i="1704"/>
  <c r="AB14" i="1704"/>
  <c r="AC14" i="1704" s="1"/>
  <c r="B14" i="1704"/>
  <c r="AN13" i="1704"/>
  <c r="AO13" i="1704" s="1"/>
  <c r="AK13" i="1704"/>
  <c r="AJ13" i="1704"/>
  <c r="AB13" i="1704"/>
  <c r="J13" i="1704"/>
  <c r="G13" i="1704"/>
  <c r="B13" i="1704"/>
  <c r="AK12" i="1704"/>
  <c r="AJ12" i="1704"/>
  <c r="AB12" i="1704"/>
  <c r="I12" i="1704"/>
  <c r="G12" i="1704"/>
  <c r="B12" i="1704"/>
  <c r="AF11" i="1704"/>
  <c r="AB11" i="1704"/>
  <c r="AL11" i="1704" s="1"/>
  <c r="G11" i="1704"/>
  <c r="C11" i="1704"/>
  <c r="AK10" i="1704"/>
  <c r="AJ10" i="1704"/>
  <c r="AB10" i="1704"/>
  <c r="AT11" i="1704" s="1"/>
  <c r="X10" i="1704" s="1"/>
  <c r="B10" i="1704"/>
  <c r="AN9" i="1704"/>
  <c r="AO9" i="1704" s="1"/>
  <c r="AK9" i="1704"/>
  <c r="AJ9" i="1704"/>
  <c r="AB9" i="1704"/>
  <c r="G9" i="1704"/>
  <c r="B9" i="1704"/>
  <c r="AK8" i="1704"/>
  <c r="AJ8" i="1704"/>
  <c r="AB8" i="1704"/>
  <c r="I8" i="1704"/>
  <c r="G8" i="1704"/>
  <c r="E8" i="1704"/>
  <c r="E9" i="1704" s="1"/>
  <c r="B8" i="1704"/>
  <c r="AF7" i="1704"/>
  <c r="AB7" i="1704"/>
  <c r="AC7" i="1704" s="1"/>
  <c r="G7" i="1704"/>
  <c r="C7" i="1704"/>
  <c r="AK6" i="1704"/>
  <c r="AJ6" i="1704"/>
  <c r="AB6" i="1704"/>
  <c r="B6" i="1704"/>
  <c r="AG4" i="1704"/>
  <c r="B3" i="1704"/>
  <c r="X72" i="1704" l="1"/>
  <c r="AA70" i="1704" s="1"/>
  <c r="AO72" i="1704"/>
  <c r="AP72" i="1704" s="1"/>
  <c r="AO32" i="1704"/>
  <c r="AO49" i="1704"/>
  <c r="AP49" i="1704" s="1"/>
  <c r="AI19" i="1704"/>
  <c r="AK19" i="1704" s="1"/>
  <c r="AI55" i="1704"/>
  <c r="X32" i="1704"/>
  <c r="AA30" i="1704" s="1"/>
  <c r="AH71" i="1704"/>
  <c r="AO21" i="1704"/>
  <c r="AP21" i="1704" s="1"/>
  <c r="AO45" i="1704"/>
  <c r="AH35" i="1704"/>
  <c r="X52" i="1704"/>
  <c r="AA50" i="1704" s="1"/>
  <c r="AO24" i="1704"/>
  <c r="AO28" i="1704"/>
  <c r="AP28" i="1704" s="1"/>
  <c r="AO40" i="1704"/>
  <c r="AO52" i="1704"/>
  <c r="AP52" i="1704" s="1"/>
  <c r="AO92" i="1704"/>
  <c r="AP92" i="1704" s="1"/>
  <c r="AH91" i="1704"/>
  <c r="X40" i="1704"/>
  <c r="AA38" i="1704" s="1"/>
  <c r="AH31" i="1704"/>
  <c r="AC78" i="1704"/>
  <c r="H81" i="1704" s="1"/>
  <c r="AC10" i="1704"/>
  <c r="H13" i="1704" s="1"/>
  <c r="AI91" i="1704"/>
  <c r="AK91" i="1704" s="1"/>
  <c r="AI23" i="1704"/>
  <c r="AM23" i="1704" s="1"/>
  <c r="AC38" i="1704"/>
  <c r="H41" i="1704" s="1"/>
  <c r="AO76" i="1704"/>
  <c r="AP76" i="1704" s="1"/>
  <c r="AL71" i="1704"/>
  <c r="AH63" i="1704"/>
  <c r="AH79" i="1704"/>
  <c r="AI51" i="1704"/>
  <c r="AK51" i="1704" s="1"/>
  <c r="AH47" i="1704"/>
  <c r="AI83" i="1704"/>
  <c r="AK83" i="1704" s="1"/>
  <c r="AI59" i="1704"/>
  <c r="AJ59" i="1704" s="1"/>
  <c r="AM55" i="1704"/>
  <c r="AP29" i="1704"/>
  <c r="AI15" i="1704"/>
  <c r="AK15" i="1704" s="1"/>
  <c r="AI7" i="1704"/>
  <c r="AJ7" i="1704" s="1"/>
  <c r="AJ19" i="1704"/>
  <c r="AP24" i="1704"/>
  <c r="AC34" i="1704"/>
  <c r="H37" i="1704" s="1"/>
  <c r="AT35" i="1704"/>
  <c r="X34" i="1704" s="1"/>
  <c r="AH51" i="1704"/>
  <c r="AP53" i="1704"/>
  <c r="P108" i="1704"/>
  <c r="T108" i="1704"/>
  <c r="AT83" i="1704"/>
  <c r="X82" i="1704" s="1"/>
  <c r="AO16" i="1704"/>
  <c r="AP16" i="1704" s="1"/>
  <c r="AH19" i="1704"/>
  <c r="X22" i="1704"/>
  <c r="AO64" i="1704"/>
  <c r="AP64" i="1704" s="1"/>
  <c r="AI63" i="1704"/>
  <c r="AM63" i="1704" s="1"/>
  <c r="AO68" i="1704"/>
  <c r="AP68" i="1704" s="1"/>
  <c r="AI67" i="1704"/>
  <c r="AJ67" i="1704" s="1"/>
  <c r="AP81" i="1704"/>
  <c r="AT15" i="1704"/>
  <c r="X14" i="1704" s="1"/>
  <c r="AA25" i="1704"/>
  <c r="AI31" i="1704"/>
  <c r="AJ31" i="1704" s="1"/>
  <c r="AH43" i="1704"/>
  <c r="X46" i="1704"/>
  <c r="AH87" i="1704"/>
  <c r="AT43" i="1704"/>
  <c r="X42" i="1704" s="1"/>
  <c r="AT75" i="1704"/>
  <c r="X74" i="1704" s="1"/>
  <c r="AC83" i="1704"/>
  <c r="AL39" i="1704"/>
  <c r="AA41" i="1704"/>
  <c r="X36" i="1704"/>
  <c r="AA34" i="1704" s="1"/>
  <c r="C17" i="1705"/>
  <c r="X66" i="1704"/>
  <c r="X24" i="1704"/>
  <c r="AA22" i="1704" s="1"/>
  <c r="AC23" i="1704"/>
  <c r="X23" i="1704"/>
  <c r="X30" i="1704"/>
  <c r="X62" i="1704"/>
  <c r="AP17" i="1704"/>
  <c r="AI27" i="1704"/>
  <c r="AJ27" i="1704" s="1"/>
  <c r="AP20" i="1704"/>
  <c r="AH23" i="1704"/>
  <c r="AP25" i="1704"/>
  <c r="AP69" i="1704"/>
  <c r="AI71" i="1704"/>
  <c r="AJ71" i="1704" s="1"/>
  <c r="AP73" i="1704"/>
  <c r="AC74" i="1704"/>
  <c r="H77" i="1704" s="1"/>
  <c r="AI75" i="1704"/>
  <c r="AM75" i="1704" s="1"/>
  <c r="AI79" i="1704"/>
  <c r="AK79" i="1704" s="1"/>
  <c r="AC87" i="1704"/>
  <c r="AG87" i="1704" s="1"/>
  <c r="AM91" i="1704"/>
  <c r="AP93" i="1704"/>
  <c r="AA97" i="1704"/>
  <c r="N102" i="1704"/>
  <c r="N108" i="1704" s="1"/>
  <c r="AL7" i="1704"/>
  <c r="AP9" i="1704"/>
  <c r="AI11" i="1704"/>
  <c r="AK11" i="1704" s="1"/>
  <c r="AP41" i="1704"/>
  <c r="AP45" i="1704"/>
  <c r="AC51" i="1704"/>
  <c r="AL51" i="1704"/>
  <c r="AP56" i="1704"/>
  <c r="AL63" i="1704"/>
  <c r="AP65" i="1704"/>
  <c r="AC66" i="1704"/>
  <c r="H69" i="1704" s="1"/>
  <c r="AC79" i="1704"/>
  <c r="AA95" i="1704"/>
  <c r="V102" i="1704"/>
  <c r="V108" i="1704" s="1"/>
  <c r="AP13" i="1704"/>
  <c r="AC22" i="1704"/>
  <c r="H25" i="1704" s="1"/>
  <c r="AC30" i="1704"/>
  <c r="H33" i="1704" s="1"/>
  <c r="AP32" i="1704"/>
  <c r="AP33" i="1704"/>
  <c r="AI39" i="1704"/>
  <c r="AJ39" i="1704" s="1"/>
  <c r="AI43" i="1704"/>
  <c r="AK43" i="1704" s="1"/>
  <c r="AI47" i="1704"/>
  <c r="AM47" i="1704" s="1"/>
  <c r="AH55" i="1704"/>
  <c r="AP60" i="1704"/>
  <c r="AC62" i="1704"/>
  <c r="H65" i="1704" s="1"/>
  <c r="AH67" i="1704"/>
  <c r="AH83" i="1704"/>
  <c r="AP85" i="1704"/>
  <c r="AP89" i="1704"/>
  <c r="R102" i="1704"/>
  <c r="R108" i="1704" s="1"/>
  <c r="M108" i="1704"/>
  <c r="Q108" i="1704"/>
  <c r="U108" i="1704"/>
  <c r="AG83" i="1704"/>
  <c r="AG85" i="1704" s="1"/>
  <c r="AB4" i="1704"/>
  <c r="AH7" i="1704"/>
  <c r="AO8" i="1704"/>
  <c r="AP8" i="1704" s="1"/>
  <c r="X8" i="1704"/>
  <c r="AA6" i="1704" s="1"/>
  <c r="AA13" i="1704"/>
  <c r="AC11" i="1704"/>
  <c r="X12" i="1704"/>
  <c r="AA10" i="1704" s="1"/>
  <c r="AO12" i="1704"/>
  <c r="AP12" i="1704" s="1"/>
  <c r="X16" i="1704"/>
  <c r="AA14" i="1704" s="1"/>
  <c r="X83" i="1704"/>
  <c r="X47" i="1704"/>
  <c r="X79" i="1704"/>
  <c r="X35" i="1704"/>
  <c r="X28" i="1704"/>
  <c r="AA26" i="1704" s="1"/>
  <c r="H17" i="1704"/>
  <c r="X59" i="1704"/>
  <c r="AT7" i="1704"/>
  <c r="AC6" i="1704"/>
  <c r="H45" i="1704"/>
  <c r="AC15" i="1704"/>
  <c r="AG15" i="1704" s="1"/>
  <c r="X15" i="1704"/>
  <c r="X7" i="1704"/>
  <c r="X11" i="1704"/>
  <c r="AH11" i="1704"/>
  <c r="AH15" i="1704"/>
  <c r="H21" i="1704"/>
  <c r="AL31" i="1704"/>
  <c r="AP40" i="1704"/>
  <c r="X19" i="1704"/>
  <c r="AC27" i="1704"/>
  <c r="AG27" i="1704" s="1"/>
  <c r="H29" i="1704"/>
  <c r="AC31" i="1704"/>
  <c r="X39" i="1704"/>
  <c r="AH39" i="1704"/>
  <c r="AC43" i="1704"/>
  <c r="AG43" i="1704" s="1"/>
  <c r="X44" i="1704"/>
  <c r="AA42" i="1704" s="1"/>
  <c r="AC46" i="1704"/>
  <c r="AA49" i="1704"/>
  <c r="AC47" i="1704"/>
  <c r="X48" i="1704"/>
  <c r="AA46" i="1704" s="1"/>
  <c r="X51" i="1704"/>
  <c r="AC55" i="1704"/>
  <c r="AL55" i="1704"/>
  <c r="AO57" i="1704"/>
  <c r="AP57" i="1704" s="1"/>
  <c r="AL59" i="1704"/>
  <c r="AO61" i="1704"/>
  <c r="AP61" i="1704" s="1"/>
  <c r="AK71" i="1704"/>
  <c r="X76" i="1704"/>
  <c r="AA74" i="1704" s="1"/>
  <c r="AP77" i="1704"/>
  <c r="AL19" i="1704"/>
  <c r="X20" i="1704"/>
  <c r="AA18" i="1704" s="1"/>
  <c r="AL43" i="1704"/>
  <c r="AP44" i="1704"/>
  <c r="AP48" i="1704"/>
  <c r="X56" i="1704"/>
  <c r="AA54" i="1704" s="1"/>
  <c r="AH75" i="1704"/>
  <c r="AC19" i="1704"/>
  <c r="AG19" i="1704" s="1"/>
  <c r="X27" i="1704"/>
  <c r="X31" i="1704"/>
  <c r="AA33" i="1704"/>
  <c r="AC39" i="1704"/>
  <c r="X54" i="1704"/>
  <c r="AC54" i="1704"/>
  <c r="AH59" i="1704"/>
  <c r="X60" i="1704"/>
  <c r="AA58" i="1704" s="1"/>
  <c r="AC63" i="1704"/>
  <c r="X63" i="1704"/>
  <c r="X64" i="1704"/>
  <c r="AA62" i="1704" s="1"/>
  <c r="AC67" i="1704"/>
  <c r="X67" i="1704"/>
  <c r="X68" i="1704"/>
  <c r="AA66" i="1704" s="1"/>
  <c r="AM71" i="1704"/>
  <c r="AC71" i="1704"/>
  <c r="AG71" i="1704" s="1"/>
  <c r="X71" i="1704"/>
  <c r="AH27" i="1704"/>
  <c r="X43" i="1704"/>
  <c r="X50" i="1704"/>
  <c r="AC50" i="1704"/>
  <c r="AA57" i="1704"/>
  <c r="X55" i="1704"/>
  <c r="AJ55" i="1704"/>
  <c r="AK55" i="1704"/>
  <c r="AC59" i="1704"/>
  <c r="AG59" i="1704" s="1"/>
  <c r="AC75" i="1704"/>
  <c r="AA77" i="1704"/>
  <c r="X75" i="1704"/>
  <c r="AI87" i="1704"/>
  <c r="O102" i="1704"/>
  <c r="O108" i="1704" s="1"/>
  <c r="S102" i="1704"/>
  <c r="S108" i="1704" s="1"/>
  <c r="W102" i="1704"/>
  <c r="W108" i="1704" s="1"/>
  <c r="X87" i="1704"/>
  <c r="X88" i="1704"/>
  <c r="AA86" i="1704" s="1"/>
  <c r="AO88" i="1704"/>
  <c r="AP88" i="1704" s="1"/>
  <c r="AL91" i="1704"/>
  <c r="X92" i="1704"/>
  <c r="AA90" i="1704" s="1"/>
  <c r="X80" i="1704"/>
  <c r="AA78" i="1704" s="1"/>
  <c r="AO80" i="1704"/>
  <c r="AP80" i="1704" s="1"/>
  <c r="X84" i="1704"/>
  <c r="AA82" i="1704" s="1"/>
  <c r="AO84" i="1704"/>
  <c r="AP84" i="1704" s="1"/>
  <c r="AC91" i="1704"/>
  <c r="AG91" i="1704" s="1"/>
  <c r="AN93" i="1702"/>
  <c r="AO93" i="1702" s="1"/>
  <c r="AK93" i="1702"/>
  <c r="AJ93" i="1702"/>
  <c r="AB93" i="1702"/>
  <c r="J93" i="1702"/>
  <c r="B93" i="1702"/>
  <c r="AK92" i="1702"/>
  <c r="AJ92" i="1702"/>
  <c r="AB92" i="1702"/>
  <c r="I92" i="1702"/>
  <c r="E92" i="1702"/>
  <c r="E93" i="1702" s="1"/>
  <c r="B92" i="1702"/>
  <c r="AT91" i="1702"/>
  <c r="X90" i="1702" s="1"/>
  <c r="AF91" i="1702"/>
  <c r="AB91" i="1702"/>
  <c r="X91" i="1702" s="1"/>
  <c r="G91" i="1702"/>
  <c r="G92" i="1702" s="1"/>
  <c r="G93" i="1702" s="1"/>
  <c r="C91" i="1702"/>
  <c r="AK90" i="1702"/>
  <c r="AJ90" i="1702"/>
  <c r="AB90" i="1702"/>
  <c r="AC90" i="1702" s="1"/>
  <c r="B90" i="1702"/>
  <c r="AM19" i="1704" l="1"/>
  <c r="AM83" i="1704"/>
  <c r="AK23" i="1704"/>
  <c r="AJ83" i="1704"/>
  <c r="AJ91" i="1704"/>
  <c r="AG79" i="1704"/>
  <c r="AG81" i="1704" s="1"/>
  <c r="AK63" i="1704"/>
  <c r="AG11" i="1704"/>
  <c r="AY11" i="1704" s="1"/>
  <c r="AM7" i="1704"/>
  <c r="AG63" i="1704"/>
  <c r="AY63" i="1704" s="1"/>
  <c r="AJ23" i="1704"/>
  <c r="AK7" i="1704"/>
  <c r="AM51" i="1704"/>
  <c r="AJ15" i="1704"/>
  <c r="AM59" i="1704"/>
  <c r="AK59" i="1704"/>
  <c r="AG31" i="1704"/>
  <c r="AG33" i="1704" s="1"/>
  <c r="AG75" i="1704"/>
  <c r="AG77" i="1704" s="1"/>
  <c r="AG39" i="1704"/>
  <c r="AY39" i="1704" s="1"/>
  <c r="AG35" i="1704"/>
  <c r="AY35" i="1704" s="1"/>
  <c r="AJ75" i="1704"/>
  <c r="AK31" i="1704"/>
  <c r="AK75" i="1704"/>
  <c r="AJ51" i="1704"/>
  <c r="AK27" i="1704"/>
  <c r="AG23" i="1704"/>
  <c r="AY23" i="1704" s="1"/>
  <c r="AM31" i="1704"/>
  <c r="AK67" i="1704"/>
  <c r="AM67" i="1704"/>
  <c r="AM79" i="1704"/>
  <c r="AJ79" i="1704"/>
  <c r="AJ63" i="1704"/>
  <c r="AM43" i="1704"/>
  <c r="AJ43" i="1704"/>
  <c r="AK39" i="1704"/>
  <c r="AM27" i="1704"/>
  <c r="AM15" i="1704"/>
  <c r="AJ11" i="1704"/>
  <c r="AM11" i="1704"/>
  <c r="AH91" i="1702"/>
  <c r="AG67" i="1704"/>
  <c r="AG69" i="1704" s="1"/>
  <c r="AM39" i="1704"/>
  <c r="AL2" i="1704"/>
  <c r="AJ47" i="1704"/>
  <c r="AK47" i="1704"/>
  <c r="AY83" i="1704"/>
  <c r="AG21" i="1704"/>
  <c r="AY19" i="1704"/>
  <c r="AY43" i="1704"/>
  <c r="AG45" i="1704"/>
  <c r="AG17" i="1704"/>
  <c r="AY15" i="1704"/>
  <c r="AG29" i="1704"/>
  <c r="AY27" i="1704"/>
  <c r="AK87" i="1704"/>
  <c r="AJ87" i="1704"/>
  <c r="AM87" i="1704"/>
  <c r="AI4" i="1704"/>
  <c r="AG93" i="1704"/>
  <c r="AY91" i="1704"/>
  <c r="AY59" i="1704"/>
  <c r="AG61" i="1704"/>
  <c r="AY71" i="1704"/>
  <c r="AG73" i="1704"/>
  <c r="AG55" i="1704"/>
  <c r="H57" i="1704"/>
  <c r="H9" i="1704"/>
  <c r="AG7" i="1704"/>
  <c r="AT4" i="1704"/>
  <c r="X6" i="1704"/>
  <c r="AG51" i="1704"/>
  <c r="H53" i="1704"/>
  <c r="AG47" i="1704"/>
  <c r="H49" i="1704"/>
  <c r="AG89" i="1704"/>
  <c r="AY87" i="1704"/>
  <c r="AO92" i="1702"/>
  <c r="AP92" i="1702" s="1"/>
  <c r="AI91" i="1702"/>
  <c r="AJ91" i="1702" s="1"/>
  <c r="AP93" i="1702"/>
  <c r="H93" i="1702"/>
  <c r="AL91" i="1702"/>
  <c r="X92" i="1702"/>
  <c r="AA90" i="1702" s="1"/>
  <c r="AC91" i="1702"/>
  <c r="AG91" i="1702" s="1"/>
  <c r="Q18" i="1703"/>
  <c r="O18" i="1703"/>
  <c r="J18" i="1703"/>
  <c r="H18" i="1703"/>
  <c r="D18" i="1703"/>
  <c r="AG13" i="1704" l="1"/>
  <c r="AY79" i="1704"/>
  <c r="AG37" i="1704"/>
  <c r="AG65" i="1704"/>
  <c r="AG41" i="1704"/>
  <c r="AY31" i="1704"/>
  <c r="AY67" i="1704"/>
  <c r="AG25" i="1704"/>
  <c r="AY75" i="1704"/>
  <c r="AM91" i="1702"/>
  <c r="AK2" i="1704"/>
  <c r="AG2" i="1704" s="1"/>
  <c r="AK91" i="1702"/>
  <c r="AY51" i="1704"/>
  <c r="AG53" i="1704"/>
  <c r="AY55" i="1704"/>
  <c r="AG57" i="1704"/>
  <c r="AG49" i="1704"/>
  <c r="AY47" i="1704"/>
  <c r="AG9" i="1704"/>
  <c r="AY7" i="1704"/>
  <c r="AY91" i="1702"/>
  <c r="AG93" i="1702"/>
  <c r="B18" i="1703"/>
  <c r="F18" i="1703" l="1"/>
  <c r="AT71" i="1702"/>
  <c r="X70" i="1702" s="1"/>
  <c r="AT59" i="1702"/>
  <c r="AT27" i="1702"/>
  <c r="X26" i="1702" s="1"/>
  <c r="AT19" i="1702"/>
  <c r="X18" i="1702" s="1"/>
  <c r="W105" i="1702"/>
  <c r="V105" i="1702"/>
  <c r="U105" i="1702"/>
  <c r="U102" i="1702" s="1"/>
  <c r="T105" i="1702"/>
  <c r="S105" i="1702"/>
  <c r="R105" i="1702"/>
  <c r="Q105" i="1702"/>
  <c r="Q102" i="1702" s="1"/>
  <c r="P105" i="1702"/>
  <c r="P102" i="1702" s="1"/>
  <c r="O105" i="1702"/>
  <c r="N105" i="1702"/>
  <c r="N102" i="1702" s="1"/>
  <c r="M105" i="1702"/>
  <c r="M102" i="1702" s="1"/>
  <c r="W99" i="1702"/>
  <c r="V99" i="1702"/>
  <c r="U99" i="1702"/>
  <c r="T99" i="1702"/>
  <c r="S99" i="1702"/>
  <c r="R99" i="1702"/>
  <c r="Q99" i="1702"/>
  <c r="P99" i="1702"/>
  <c r="O99" i="1702"/>
  <c r="N99" i="1702"/>
  <c r="M99" i="1702"/>
  <c r="W97" i="1702"/>
  <c r="V97" i="1702"/>
  <c r="U97" i="1702"/>
  <c r="T97" i="1702"/>
  <c r="S97" i="1702"/>
  <c r="R97" i="1702"/>
  <c r="Q97" i="1702"/>
  <c r="P97" i="1702"/>
  <c r="O97" i="1702"/>
  <c r="N97" i="1702"/>
  <c r="M97" i="1702"/>
  <c r="W95" i="1702"/>
  <c r="V95" i="1702"/>
  <c r="U95" i="1702"/>
  <c r="T95" i="1702"/>
  <c r="S95" i="1702"/>
  <c r="R95" i="1702"/>
  <c r="Q95" i="1702"/>
  <c r="P95" i="1702"/>
  <c r="O95" i="1702"/>
  <c r="N95" i="1702"/>
  <c r="M95" i="1702"/>
  <c r="AN89" i="1702"/>
  <c r="AO89" i="1702" s="1"/>
  <c r="AK89" i="1702"/>
  <c r="AJ89" i="1702"/>
  <c r="AB89" i="1702"/>
  <c r="J89" i="1702"/>
  <c r="B89" i="1702"/>
  <c r="AK88" i="1702"/>
  <c r="AJ88" i="1702"/>
  <c r="AB88" i="1702"/>
  <c r="I88" i="1702"/>
  <c r="E88" i="1702"/>
  <c r="E89" i="1702" s="1"/>
  <c r="B88" i="1702"/>
  <c r="AF87" i="1702"/>
  <c r="AB87" i="1702"/>
  <c r="AL87" i="1702" s="1"/>
  <c r="G87" i="1702"/>
  <c r="G88" i="1702" s="1"/>
  <c r="G89" i="1702" s="1"/>
  <c r="C87" i="1702"/>
  <c r="AK86" i="1702"/>
  <c r="AJ86" i="1702"/>
  <c r="AB86" i="1702"/>
  <c r="AC86" i="1702" s="1"/>
  <c r="B86" i="1702"/>
  <c r="AN85" i="1702"/>
  <c r="AO85" i="1702" s="1"/>
  <c r="AK85" i="1702"/>
  <c r="AJ85" i="1702"/>
  <c r="AB85" i="1702"/>
  <c r="J85" i="1702"/>
  <c r="B85" i="1702"/>
  <c r="AK84" i="1702"/>
  <c r="AJ84" i="1702"/>
  <c r="AB84" i="1702"/>
  <c r="I84" i="1702"/>
  <c r="E84" i="1702"/>
  <c r="E85" i="1702" s="1"/>
  <c r="B84" i="1702"/>
  <c r="AF83" i="1702"/>
  <c r="AB83" i="1702"/>
  <c r="G83" i="1702"/>
  <c r="G84" i="1702" s="1"/>
  <c r="G85" i="1702" s="1"/>
  <c r="C83" i="1702"/>
  <c r="AK82" i="1702"/>
  <c r="AJ82" i="1702"/>
  <c r="AB82" i="1702"/>
  <c r="AT83" i="1702" s="1"/>
  <c r="B82" i="1702"/>
  <c r="AN81" i="1702"/>
  <c r="AK81" i="1702"/>
  <c r="AJ81" i="1702"/>
  <c r="AB81" i="1702"/>
  <c r="J81" i="1702"/>
  <c r="G81" i="1702"/>
  <c r="B81" i="1702"/>
  <c r="AK80" i="1702"/>
  <c r="AJ80" i="1702"/>
  <c r="AB80" i="1702"/>
  <c r="I80" i="1702"/>
  <c r="G80" i="1702"/>
  <c r="E80" i="1702"/>
  <c r="E81" i="1702" s="1"/>
  <c r="B80" i="1702"/>
  <c r="AF79" i="1702"/>
  <c r="AB79" i="1702"/>
  <c r="AL79" i="1702" s="1"/>
  <c r="G79" i="1702"/>
  <c r="C79" i="1702"/>
  <c r="AK78" i="1702"/>
  <c r="AJ78" i="1702"/>
  <c r="AB78" i="1702"/>
  <c r="AT79" i="1702" s="1"/>
  <c r="B78" i="1702"/>
  <c r="AN77" i="1702"/>
  <c r="AO77" i="1702" s="1"/>
  <c r="AK77" i="1702"/>
  <c r="AJ77" i="1702"/>
  <c r="AB77" i="1702"/>
  <c r="J77" i="1702"/>
  <c r="G77" i="1702"/>
  <c r="B77" i="1702"/>
  <c r="AK76" i="1702"/>
  <c r="AJ76" i="1702"/>
  <c r="AB76" i="1702"/>
  <c r="I76" i="1702"/>
  <c r="G76" i="1702"/>
  <c r="E76" i="1702"/>
  <c r="E77" i="1702" s="1"/>
  <c r="B76" i="1702"/>
  <c r="AF75" i="1702"/>
  <c r="AB75" i="1702"/>
  <c r="G75" i="1702"/>
  <c r="C75" i="1702"/>
  <c r="AK74" i="1702"/>
  <c r="AJ74" i="1702"/>
  <c r="AB74" i="1702"/>
  <c r="AC74" i="1702" s="1"/>
  <c r="B74" i="1702"/>
  <c r="AN73" i="1702"/>
  <c r="AO73" i="1702" s="1"/>
  <c r="AK73" i="1702"/>
  <c r="AJ73" i="1702"/>
  <c r="AB73" i="1702"/>
  <c r="J73" i="1702"/>
  <c r="G73" i="1702"/>
  <c r="B73" i="1702"/>
  <c r="AK72" i="1702"/>
  <c r="AJ72" i="1702"/>
  <c r="AB72" i="1702"/>
  <c r="I72" i="1702"/>
  <c r="G72" i="1702"/>
  <c r="E72" i="1702"/>
  <c r="E73" i="1702" s="1"/>
  <c r="B72" i="1702"/>
  <c r="AF71" i="1702"/>
  <c r="AB71" i="1702"/>
  <c r="G71" i="1702"/>
  <c r="C71" i="1702"/>
  <c r="AK70" i="1702"/>
  <c r="AJ70" i="1702"/>
  <c r="AB70" i="1702"/>
  <c r="AC70" i="1702" s="1"/>
  <c r="B70" i="1702"/>
  <c r="AN69" i="1702"/>
  <c r="AO68" i="1702" s="1"/>
  <c r="AK69" i="1702"/>
  <c r="AJ69" i="1702"/>
  <c r="AB69" i="1702"/>
  <c r="J69" i="1702"/>
  <c r="B69" i="1702"/>
  <c r="AK68" i="1702"/>
  <c r="AJ68" i="1702"/>
  <c r="AB68" i="1702"/>
  <c r="I68" i="1702"/>
  <c r="E68" i="1702"/>
  <c r="E69" i="1702" s="1"/>
  <c r="B68" i="1702"/>
  <c r="AF67" i="1702"/>
  <c r="AB67" i="1702"/>
  <c r="G67" i="1702"/>
  <c r="G68" i="1702" s="1"/>
  <c r="G69" i="1702" s="1"/>
  <c r="C67" i="1702"/>
  <c r="AK66" i="1702"/>
  <c r="AJ66" i="1702"/>
  <c r="AB66" i="1702"/>
  <c r="AT67" i="1702" s="1"/>
  <c r="B66" i="1702"/>
  <c r="AN65" i="1702"/>
  <c r="AO64" i="1702" s="1"/>
  <c r="AK65" i="1702"/>
  <c r="AJ65" i="1702"/>
  <c r="AB65" i="1702"/>
  <c r="J65" i="1702"/>
  <c r="B65" i="1702"/>
  <c r="AK64" i="1702"/>
  <c r="AJ64" i="1702"/>
  <c r="AB64" i="1702"/>
  <c r="I64" i="1702"/>
  <c r="E64" i="1702"/>
  <c r="E65" i="1702" s="1"/>
  <c r="B64" i="1702"/>
  <c r="AF63" i="1702"/>
  <c r="AB63" i="1702"/>
  <c r="G63" i="1702"/>
  <c r="G64" i="1702" s="1"/>
  <c r="G65" i="1702" s="1"/>
  <c r="C63" i="1702"/>
  <c r="AK62" i="1702"/>
  <c r="AJ62" i="1702"/>
  <c r="AB62" i="1702"/>
  <c r="B62" i="1702"/>
  <c r="AN61" i="1702"/>
  <c r="AO61" i="1702" s="1"/>
  <c r="AK61" i="1702"/>
  <c r="AJ61" i="1702"/>
  <c r="AB61" i="1702"/>
  <c r="J61" i="1702"/>
  <c r="B61" i="1702"/>
  <c r="AK60" i="1702"/>
  <c r="AJ60" i="1702"/>
  <c r="AB60" i="1702"/>
  <c r="I60" i="1702"/>
  <c r="E60" i="1702"/>
  <c r="E61" i="1702" s="1"/>
  <c r="B60" i="1702"/>
  <c r="AF59" i="1702"/>
  <c r="AB59" i="1702"/>
  <c r="G59" i="1702"/>
  <c r="G60" i="1702" s="1"/>
  <c r="G61" i="1702" s="1"/>
  <c r="C59" i="1702"/>
  <c r="AK58" i="1702"/>
  <c r="AJ58" i="1702"/>
  <c r="AB58" i="1702"/>
  <c r="AC58" i="1702" s="1"/>
  <c r="B58" i="1702"/>
  <c r="AN57" i="1702"/>
  <c r="AO56" i="1702" s="1"/>
  <c r="AK57" i="1702"/>
  <c r="AJ57" i="1702"/>
  <c r="AB57" i="1702"/>
  <c r="J57" i="1702"/>
  <c r="B57" i="1702"/>
  <c r="AK56" i="1702"/>
  <c r="AJ56" i="1702"/>
  <c r="AB56" i="1702"/>
  <c r="I56" i="1702"/>
  <c r="E56" i="1702"/>
  <c r="E57" i="1702" s="1"/>
  <c r="B56" i="1702"/>
  <c r="AF55" i="1702"/>
  <c r="AB55" i="1702"/>
  <c r="G55" i="1702"/>
  <c r="G56" i="1702" s="1"/>
  <c r="G57" i="1702" s="1"/>
  <c r="C55" i="1702"/>
  <c r="AK54" i="1702"/>
  <c r="AJ54" i="1702"/>
  <c r="AB54" i="1702"/>
  <c r="AT55" i="1702" s="1"/>
  <c r="B54" i="1702"/>
  <c r="AN53" i="1702"/>
  <c r="AK53" i="1702"/>
  <c r="AJ53" i="1702"/>
  <c r="AB53" i="1702"/>
  <c r="J53" i="1702"/>
  <c r="G53" i="1702"/>
  <c r="B53" i="1702"/>
  <c r="AK52" i="1702"/>
  <c r="AJ52" i="1702"/>
  <c r="AB52" i="1702"/>
  <c r="I52" i="1702"/>
  <c r="G52" i="1702"/>
  <c r="E52" i="1702"/>
  <c r="E53" i="1702" s="1"/>
  <c r="B52" i="1702"/>
  <c r="AF51" i="1702"/>
  <c r="AB51" i="1702"/>
  <c r="AL51" i="1702" s="1"/>
  <c r="G51" i="1702"/>
  <c r="C51" i="1702"/>
  <c r="AK50" i="1702"/>
  <c r="AJ50" i="1702"/>
  <c r="AB50" i="1702"/>
  <c r="AT51" i="1702" s="1"/>
  <c r="B50" i="1702"/>
  <c r="AN49" i="1702"/>
  <c r="AK49" i="1702"/>
  <c r="AJ49" i="1702"/>
  <c r="AB49" i="1702"/>
  <c r="J49" i="1702"/>
  <c r="B49" i="1702"/>
  <c r="AK48" i="1702"/>
  <c r="AJ48" i="1702"/>
  <c r="AB48" i="1702"/>
  <c r="I48" i="1702"/>
  <c r="E48" i="1702"/>
  <c r="E49" i="1702" s="1"/>
  <c r="B48" i="1702"/>
  <c r="AF47" i="1702"/>
  <c r="AB47" i="1702"/>
  <c r="AL47" i="1702" s="1"/>
  <c r="AK46" i="1702"/>
  <c r="AJ46" i="1702"/>
  <c r="AB46" i="1702"/>
  <c r="B46" i="1702"/>
  <c r="AN45" i="1702"/>
  <c r="AO44" i="1702" s="1"/>
  <c r="AK45" i="1702"/>
  <c r="AJ45" i="1702"/>
  <c r="AB45" i="1702"/>
  <c r="J45" i="1702"/>
  <c r="B45" i="1702"/>
  <c r="AK44" i="1702"/>
  <c r="AJ44" i="1702"/>
  <c r="AB44" i="1702"/>
  <c r="I44" i="1702"/>
  <c r="E44" i="1702"/>
  <c r="E45" i="1702" s="1"/>
  <c r="B44" i="1702"/>
  <c r="AF43" i="1702"/>
  <c r="AB43" i="1702"/>
  <c r="AC43" i="1702" s="1"/>
  <c r="G43" i="1702"/>
  <c r="G44" i="1702" s="1"/>
  <c r="G45" i="1702" s="1"/>
  <c r="C43" i="1702"/>
  <c r="AK42" i="1702"/>
  <c r="AJ42" i="1702"/>
  <c r="AB42" i="1702"/>
  <c r="AT43" i="1702" s="1"/>
  <c r="B42" i="1702"/>
  <c r="AN41" i="1702"/>
  <c r="AO40" i="1702" s="1"/>
  <c r="AK41" i="1702"/>
  <c r="AJ41" i="1702"/>
  <c r="AB41" i="1702"/>
  <c r="G41" i="1702"/>
  <c r="B41" i="1702"/>
  <c r="AK40" i="1702"/>
  <c r="AJ40" i="1702"/>
  <c r="AB40" i="1702"/>
  <c r="I40" i="1702"/>
  <c r="G40" i="1702"/>
  <c r="E40" i="1702"/>
  <c r="E41" i="1702" s="1"/>
  <c r="B40" i="1702"/>
  <c r="AF39" i="1702"/>
  <c r="AB39" i="1702"/>
  <c r="AA41" i="1702" s="1"/>
  <c r="G39" i="1702"/>
  <c r="C39" i="1702"/>
  <c r="AK38" i="1702"/>
  <c r="AJ38" i="1702"/>
  <c r="AB38" i="1702"/>
  <c r="AT39" i="1702" s="1"/>
  <c r="B38" i="1702"/>
  <c r="AN37" i="1702"/>
  <c r="AB37" i="1702"/>
  <c r="J37" i="1702"/>
  <c r="B37" i="1702"/>
  <c r="AB36" i="1702"/>
  <c r="I36" i="1702"/>
  <c r="E36" i="1702"/>
  <c r="E37" i="1702" s="1"/>
  <c r="B36" i="1702"/>
  <c r="AF35" i="1702"/>
  <c r="AB35" i="1702"/>
  <c r="AC35" i="1702" s="1"/>
  <c r="G35" i="1702"/>
  <c r="G36" i="1702" s="1"/>
  <c r="G37" i="1702" s="1"/>
  <c r="C35" i="1702"/>
  <c r="AB34" i="1702"/>
  <c r="AT35" i="1702" s="1"/>
  <c r="B34" i="1702"/>
  <c r="AN33" i="1702"/>
  <c r="AO33" i="1702" s="1"/>
  <c r="AK33" i="1702"/>
  <c r="AJ33" i="1702"/>
  <c r="AB33" i="1702"/>
  <c r="J33" i="1702"/>
  <c r="G33" i="1702"/>
  <c r="B33" i="1702"/>
  <c r="AK32" i="1702"/>
  <c r="AJ32" i="1702"/>
  <c r="AB32" i="1702"/>
  <c r="I32" i="1702"/>
  <c r="G32" i="1702"/>
  <c r="E32" i="1702"/>
  <c r="E33" i="1702" s="1"/>
  <c r="B32" i="1702"/>
  <c r="AF31" i="1702"/>
  <c r="AB31" i="1702"/>
  <c r="X31" i="1702" s="1"/>
  <c r="G31" i="1702"/>
  <c r="C31" i="1702"/>
  <c r="AK30" i="1702"/>
  <c r="AJ30" i="1702"/>
  <c r="AB30" i="1702"/>
  <c r="AT31" i="1702" s="1"/>
  <c r="B30" i="1702"/>
  <c r="AN29" i="1702"/>
  <c r="AO29" i="1702" s="1"/>
  <c r="AK29" i="1702"/>
  <c r="AJ29" i="1702"/>
  <c r="AB29" i="1702"/>
  <c r="J29" i="1702"/>
  <c r="G29" i="1702"/>
  <c r="B29" i="1702"/>
  <c r="AK28" i="1702"/>
  <c r="AJ28" i="1702"/>
  <c r="AB28" i="1702"/>
  <c r="I28" i="1702"/>
  <c r="G28" i="1702"/>
  <c r="E28" i="1702"/>
  <c r="E29" i="1702" s="1"/>
  <c r="B28" i="1702"/>
  <c r="AF27" i="1702"/>
  <c r="AB27" i="1702"/>
  <c r="AL27" i="1702" s="1"/>
  <c r="G27" i="1702"/>
  <c r="C27" i="1702"/>
  <c r="AK26" i="1702"/>
  <c r="AJ26" i="1702"/>
  <c r="AB26" i="1702"/>
  <c r="AC26" i="1702" s="1"/>
  <c r="B26" i="1702"/>
  <c r="AN25" i="1702"/>
  <c r="AO25" i="1702" s="1"/>
  <c r="AK25" i="1702"/>
  <c r="AJ25" i="1702"/>
  <c r="AB25" i="1702"/>
  <c r="J25" i="1702"/>
  <c r="B25" i="1702"/>
  <c r="AK24" i="1702"/>
  <c r="AJ24" i="1702"/>
  <c r="AB24" i="1702"/>
  <c r="I24" i="1702"/>
  <c r="E24" i="1702"/>
  <c r="E25" i="1702" s="1"/>
  <c r="B24" i="1702"/>
  <c r="AF23" i="1702"/>
  <c r="AB23" i="1702"/>
  <c r="AL23" i="1702" s="1"/>
  <c r="C23" i="1702"/>
  <c r="AK22" i="1702"/>
  <c r="AJ22" i="1702"/>
  <c r="AB22" i="1702"/>
  <c r="AC22" i="1702" s="1"/>
  <c r="B22" i="1702"/>
  <c r="AN21" i="1702"/>
  <c r="AK21" i="1702"/>
  <c r="AJ21" i="1702"/>
  <c r="AB21" i="1702"/>
  <c r="J21" i="1702"/>
  <c r="B21" i="1702"/>
  <c r="AK20" i="1702"/>
  <c r="AJ20" i="1702"/>
  <c r="AB20" i="1702"/>
  <c r="I20" i="1702"/>
  <c r="E20" i="1702"/>
  <c r="E21" i="1702" s="1"/>
  <c r="B20" i="1702"/>
  <c r="AF19" i="1702"/>
  <c r="AB19" i="1702"/>
  <c r="X19" i="1702" s="1"/>
  <c r="G19" i="1702"/>
  <c r="G20" i="1702" s="1"/>
  <c r="G21" i="1702" s="1"/>
  <c r="C19" i="1702"/>
  <c r="AK18" i="1702"/>
  <c r="AJ18" i="1702"/>
  <c r="AB18" i="1702"/>
  <c r="AC18" i="1702" s="1"/>
  <c r="H21" i="1702" s="1"/>
  <c r="B18" i="1702"/>
  <c r="AN17" i="1702"/>
  <c r="AK17" i="1702"/>
  <c r="AJ17" i="1702"/>
  <c r="AB17" i="1702"/>
  <c r="J17" i="1702"/>
  <c r="G17" i="1702"/>
  <c r="B17" i="1702"/>
  <c r="AK16" i="1702"/>
  <c r="AJ16" i="1702"/>
  <c r="AB16" i="1702"/>
  <c r="I16" i="1702"/>
  <c r="G16" i="1702"/>
  <c r="E16" i="1702"/>
  <c r="E17" i="1702" s="1"/>
  <c r="B16" i="1702"/>
  <c r="AF15" i="1702"/>
  <c r="AB15" i="1702"/>
  <c r="AC15" i="1702" s="1"/>
  <c r="G15" i="1702"/>
  <c r="AK14" i="1702"/>
  <c r="AJ14" i="1702"/>
  <c r="AB14" i="1702"/>
  <c r="AT15" i="1702" s="1"/>
  <c r="B14" i="1702"/>
  <c r="AN13" i="1702"/>
  <c r="AO13" i="1702" s="1"/>
  <c r="AK13" i="1702"/>
  <c r="AJ13" i="1702"/>
  <c r="AB13" i="1702"/>
  <c r="J13" i="1702"/>
  <c r="G13" i="1702"/>
  <c r="B13" i="1702"/>
  <c r="AK12" i="1702"/>
  <c r="AJ12" i="1702"/>
  <c r="AB12" i="1702"/>
  <c r="I12" i="1702"/>
  <c r="G12" i="1702"/>
  <c r="B12" i="1702"/>
  <c r="AF11" i="1702"/>
  <c r="AB11" i="1702"/>
  <c r="AL11" i="1702" s="1"/>
  <c r="G11" i="1702"/>
  <c r="C11" i="1702"/>
  <c r="AK10" i="1702"/>
  <c r="AJ10" i="1702"/>
  <c r="AB10" i="1702"/>
  <c r="AT11" i="1702" s="1"/>
  <c r="B10" i="1702"/>
  <c r="AN9" i="1702"/>
  <c r="AO9" i="1702" s="1"/>
  <c r="AK9" i="1702"/>
  <c r="AJ9" i="1702"/>
  <c r="AB9" i="1702"/>
  <c r="G9" i="1702"/>
  <c r="B9" i="1702"/>
  <c r="AK8" i="1702"/>
  <c r="AJ8" i="1702"/>
  <c r="AB8" i="1702"/>
  <c r="I8" i="1702"/>
  <c r="G8" i="1702"/>
  <c r="E8" i="1702"/>
  <c r="E9" i="1702" s="1"/>
  <c r="B8" i="1702"/>
  <c r="BL7" i="1702"/>
  <c r="BK7" i="1702"/>
  <c r="AF7" i="1702"/>
  <c r="AB7" i="1702"/>
  <c r="G7" i="1702"/>
  <c r="C7" i="1702"/>
  <c r="AK6" i="1702"/>
  <c r="AJ6" i="1702"/>
  <c r="AB6" i="1702"/>
  <c r="AT7" i="1702" s="1"/>
  <c r="B6" i="1702"/>
  <c r="AG4" i="1702"/>
  <c r="B3" i="1702"/>
  <c r="V43" i="1585"/>
  <c r="V28" i="1585"/>
  <c r="V32" i="1585"/>
  <c r="V38" i="1585"/>
  <c r="V37" i="1585"/>
  <c r="V39" i="1585"/>
  <c r="V44" i="1585"/>
  <c r="V29" i="1585"/>
  <c r="V40" i="1585"/>
  <c r="V45" i="1585"/>
  <c r="V33" i="1585"/>
  <c r="V41" i="1585"/>
  <c r="V35" i="1585"/>
  <c r="V30" i="1585"/>
  <c r="V34" i="1585"/>
  <c r="V31" i="1585"/>
  <c r="V36" i="1585"/>
  <c r="V42" i="1585"/>
  <c r="AL83" i="1702" l="1"/>
  <c r="X83" i="1702"/>
  <c r="AI23" i="1702"/>
  <c r="AM23" i="1702" s="1"/>
  <c r="AP25" i="1702"/>
  <c r="AT47" i="1702"/>
  <c r="X46" i="1702" s="1"/>
  <c r="AC62" i="1702"/>
  <c r="H65" i="1702" s="1"/>
  <c r="AT63" i="1702"/>
  <c r="X62" i="1702" s="1"/>
  <c r="AH75" i="1702"/>
  <c r="C18" i="1703"/>
  <c r="AH51" i="1702"/>
  <c r="AO60" i="1702"/>
  <c r="AP60" i="1702" s="1"/>
  <c r="AC31" i="1702"/>
  <c r="AO65" i="1702"/>
  <c r="AH31" i="1702"/>
  <c r="AI39" i="1702"/>
  <c r="AK39" i="1702" s="1"/>
  <c r="AO41" i="1702"/>
  <c r="AP41" i="1702" s="1"/>
  <c r="X56" i="1702"/>
  <c r="AA54" i="1702" s="1"/>
  <c r="AO57" i="1702"/>
  <c r="AP57" i="1702" s="1"/>
  <c r="AP64" i="1702"/>
  <c r="AC83" i="1702"/>
  <c r="AT75" i="1702"/>
  <c r="X74" i="1702" s="1"/>
  <c r="AO32" i="1702"/>
  <c r="AP32" i="1702" s="1"/>
  <c r="AO45" i="1702"/>
  <c r="AO69" i="1702"/>
  <c r="AP69" i="1702" s="1"/>
  <c r="AC79" i="1702"/>
  <c r="AO88" i="1702"/>
  <c r="AP88" i="1702" s="1"/>
  <c r="AO72" i="1702"/>
  <c r="AP72" i="1702" s="1"/>
  <c r="AI87" i="1702"/>
  <c r="AM87" i="1702" s="1"/>
  <c r="AO8" i="1702"/>
  <c r="AP8" i="1702" s="1"/>
  <c r="AH11" i="1702"/>
  <c r="AI63" i="1702"/>
  <c r="AK63" i="1702" s="1"/>
  <c r="X8" i="1702"/>
  <c r="AA6" i="1702" s="1"/>
  <c r="AP29" i="1702"/>
  <c r="X32" i="1702"/>
  <c r="AA30" i="1702" s="1"/>
  <c r="AH35" i="1702"/>
  <c r="AH43" i="1702"/>
  <c r="X64" i="1702"/>
  <c r="AA62" i="1702" s="1"/>
  <c r="AI79" i="1702"/>
  <c r="AJ79" i="1702" s="1"/>
  <c r="X86" i="1702"/>
  <c r="AC46" i="1702"/>
  <c r="H49" i="1702" s="1"/>
  <c r="AT23" i="1702"/>
  <c r="X22" i="1702" s="1"/>
  <c r="X66" i="1702"/>
  <c r="X38" i="1702"/>
  <c r="X14" i="1702"/>
  <c r="X34" i="1702"/>
  <c r="AI43" i="1702"/>
  <c r="AK43" i="1702" s="1"/>
  <c r="AI7" i="1702"/>
  <c r="AJ7" i="1702" s="1"/>
  <c r="AC27" i="1702"/>
  <c r="AG27" i="1702" s="1"/>
  <c r="AG29" i="1702" s="1"/>
  <c r="X44" i="1702"/>
  <c r="AA42" i="1702" s="1"/>
  <c r="AC51" i="1702"/>
  <c r="AC55" i="1702"/>
  <c r="X58" i="1702"/>
  <c r="AH59" i="1702"/>
  <c r="AO76" i="1702"/>
  <c r="AP76" i="1702" s="1"/>
  <c r="AP9" i="1702"/>
  <c r="AC14" i="1702"/>
  <c r="H17" i="1702" s="1"/>
  <c r="X15" i="1702"/>
  <c r="AP40" i="1702"/>
  <c r="AC87" i="1702"/>
  <c r="AG87" i="1702" s="1"/>
  <c r="P108" i="1702"/>
  <c r="X51" i="1702"/>
  <c r="AI51" i="1702"/>
  <c r="AJ51" i="1702" s="1"/>
  <c r="X76" i="1702"/>
  <c r="AA74" i="1702" s="1"/>
  <c r="T102" i="1702"/>
  <c r="T108" i="1702" s="1"/>
  <c r="AC11" i="1702"/>
  <c r="AA13" i="1702"/>
  <c r="AP13" i="1702"/>
  <c r="AH23" i="1702"/>
  <c r="AH27" i="1702"/>
  <c r="AA33" i="1702"/>
  <c r="X36" i="1702"/>
  <c r="AA34" i="1702" s="1"/>
  <c r="AL43" i="1702"/>
  <c r="AP44" i="1702"/>
  <c r="AP45" i="1702"/>
  <c r="AH55" i="1702"/>
  <c r="AH79" i="1702"/>
  <c r="AA97" i="1702"/>
  <c r="AH19" i="1702"/>
  <c r="AP33" i="1702"/>
  <c r="AH63" i="1702"/>
  <c r="AP89" i="1702"/>
  <c r="AA95" i="1702"/>
  <c r="V102" i="1702"/>
  <c r="V108" i="1702" s="1"/>
  <c r="AP65" i="1702"/>
  <c r="AC6" i="1702"/>
  <c r="H9" i="1702" s="1"/>
  <c r="AI11" i="1702"/>
  <c r="AJ11" i="1702" s="1"/>
  <c r="AA57" i="1702"/>
  <c r="AI59" i="1702"/>
  <c r="AP61" i="1702"/>
  <c r="AC66" i="1702"/>
  <c r="H69" i="1702" s="1"/>
  <c r="AP68" i="1702"/>
  <c r="AI67" i="1702"/>
  <c r="AM67" i="1702" s="1"/>
  <c r="AI71" i="1702"/>
  <c r="AM71" i="1702" s="1"/>
  <c r="AP73" i="1702"/>
  <c r="AI75" i="1702"/>
  <c r="AK75" i="1702" s="1"/>
  <c r="AH83" i="1702"/>
  <c r="AP85" i="1702"/>
  <c r="X88" i="1702"/>
  <c r="AA86" i="1702" s="1"/>
  <c r="R102" i="1702"/>
  <c r="R108" i="1702" s="1"/>
  <c r="AO16" i="1702"/>
  <c r="AP16" i="1702" s="1"/>
  <c r="X16" i="1702"/>
  <c r="AA14" i="1702" s="1"/>
  <c r="AO17" i="1702"/>
  <c r="AP17" i="1702" s="1"/>
  <c r="X79" i="1702"/>
  <c r="X55" i="1702"/>
  <c r="X43" i="1702"/>
  <c r="X27" i="1702"/>
  <c r="X60" i="1702"/>
  <c r="AA58" i="1702" s="1"/>
  <c r="X35" i="1702"/>
  <c r="X7" i="1702"/>
  <c r="AB4" i="1702"/>
  <c r="X6" i="1702"/>
  <c r="AI19" i="1702"/>
  <c r="AM19" i="1702" s="1"/>
  <c r="H25" i="1702"/>
  <c r="X23" i="1702"/>
  <c r="AA25" i="1702"/>
  <c r="AC23" i="1702"/>
  <c r="AG23" i="1702" s="1"/>
  <c r="H29" i="1702"/>
  <c r="X30" i="1702"/>
  <c r="AC30" i="1702"/>
  <c r="X39" i="1702"/>
  <c r="AA49" i="1702"/>
  <c r="AC47" i="1702"/>
  <c r="X47" i="1702"/>
  <c r="AI15" i="1702"/>
  <c r="AH15" i="1702"/>
  <c r="AK23" i="1702"/>
  <c r="AI27" i="1702"/>
  <c r="X10" i="1702"/>
  <c r="AC10" i="1702"/>
  <c r="AO20" i="1702"/>
  <c r="AP20" i="1702" s="1"/>
  <c r="X20" i="1702"/>
  <c r="AA18" i="1702" s="1"/>
  <c r="AO21" i="1702"/>
  <c r="AP21" i="1702" s="1"/>
  <c r="AI31" i="1702"/>
  <c r="N108" i="1702"/>
  <c r="AL15" i="1702"/>
  <c r="AL19" i="1702"/>
  <c r="X40" i="1702"/>
  <c r="AA38" i="1702" s="1"/>
  <c r="H61" i="1702"/>
  <c r="AC71" i="1702"/>
  <c r="AG71" i="1702" s="1"/>
  <c r="X71" i="1702"/>
  <c r="AL71" i="1702"/>
  <c r="H77" i="1702"/>
  <c r="AO81" i="1702"/>
  <c r="AP81" i="1702" s="1"/>
  <c r="AO80" i="1702"/>
  <c r="AP80" i="1702" s="1"/>
  <c r="X80" i="1702"/>
  <c r="AA78" i="1702" s="1"/>
  <c r="X82" i="1702"/>
  <c r="AC82" i="1702"/>
  <c r="O102" i="1702"/>
  <c r="O108" i="1702" s="1"/>
  <c r="S102" i="1702"/>
  <c r="S108" i="1702" s="1"/>
  <c r="W102" i="1702"/>
  <c r="W108" i="1702" s="1"/>
  <c r="AC67" i="1702"/>
  <c r="X67" i="1702"/>
  <c r="AL67" i="1702"/>
  <c r="H73" i="1702"/>
  <c r="AH39" i="1702"/>
  <c r="AL39" i="1702"/>
  <c r="AI47" i="1702"/>
  <c r="AM47" i="1702" s="1"/>
  <c r="AO53" i="1702"/>
  <c r="AP53" i="1702" s="1"/>
  <c r="AO52" i="1702"/>
  <c r="AP52" i="1702" s="1"/>
  <c r="X52" i="1702"/>
  <c r="AA50" i="1702" s="1"/>
  <c r="X54" i="1702"/>
  <c r="AC54" i="1702"/>
  <c r="X11" i="1702"/>
  <c r="AO12" i="1702"/>
  <c r="AP12" i="1702" s="1"/>
  <c r="AC19" i="1702"/>
  <c r="AG19" i="1702" s="1"/>
  <c r="AC34" i="1702"/>
  <c r="AC39" i="1702"/>
  <c r="AH47" i="1702"/>
  <c r="AP56" i="1702"/>
  <c r="AC59" i="1702"/>
  <c r="AG59" i="1702" s="1"/>
  <c r="X59" i="1702"/>
  <c r="AL59" i="1702"/>
  <c r="AH67" i="1702"/>
  <c r="X68" i="1702"/>
  <c r="AA66" i="1702" s="1"/>
  <c r="AC75" i="1702"/>
  <c r="AG75" i="1702" s="1"/>
  <c r="AA77" i="1702"/>
  <c r="X75" i="1702"/>
  <c r="AL75" i="1702"/>
  <c r="AP77" i="1702"/>
  <c r="H89" i="1702"/>
  <c r="X42" i="1702"/>
  <c r="AC42" i="1702"/>
  <c r="AH7" i="1702"/>
  <c r="AL7" i="1702"/>
  <c r="X12" i="1702"/>
  <c r="AA10" i="1702" s="1"/>
  <c r="X87" i="1702"/>
  <c r="AC7" i="1702"/>
  <c r="X24" i="1702"/>
  <c r="AA22" i="1702" s="1"/>
  <c r="AO24" i="1702"/>
  <c r="AP24" i="1702" s="1"/>
  <c r="X28" i="1702"/>
  <c r="AA26" i="1702" s="1"/>
  <c r="AO28" i="1702"/>
  <c r="AP28" i="1702" s="1"/>
  <c r="AL31" i="1702"/>
  <c r="AC38" i="1702"/>
  <c r="AO49" i="1702"/>
  <c r="AP49" i="1702" s="1"/>
  <c r="AO48" i="1702"/>
  <c r="AP48" i="1702" s="1"/>
  <c r="X48" i="1702"/>
  <c r="AA46" i="1702" s="1"/>
  <c r="X50" i="1702"/>
  <c r="AC50" i="1702"/>
  <c r="AI55" i="1702"/>
  <c r="AM63" i="1702"/>
  <c r="AC63" i="1702"/>
  <c r="X63" i="1702"/>
  <c r="AL63" i="1702"/>
  <c r="AH71" i="1702"/>
  <c r="X72" i="1702"/>
  <c r="AA70" i="1702" s="1"/>
  <c r="X78" i="1702"/>
  <c r="AC78" i="1702"/>
  <c r="AI83" i="1702"/>
  <c r="M108" i="1702"/>
  <c r="Q108" i="1702"/>
  <c r="U108" i="1702"/>
  <c r="AL55" i="1702"/>
  <c r="X84" i="1702"/>
  <c r="AA82" i="1702" s="1"/>
  <c r="AO84" i="1702"/>
  <c r="AP84" i="1702" s="1"/>
  <c r="AH87" i="1702"/>
  <c r="J37" i="1700"/>
  <c r="J25" i="1700"/>
  <c r="AG47" i="1702" l="1"/>
  <c r="AY47" i="1702" s="1"/>
  <c r="AM39" i="1702"/>
  <c r="AJ23" i="1702"/>
  <c r="AJ39" i="1702"/>
  <c r="AG63" i="1702"/>
  <c r="AG65" i="1702" s="1"/>
  <c r="AM7" i="1702"/>
  <c r="AK51" i="1702"/>
  <c r="AM79" i="1702"/>
  <c r="AJ43" i="1702"/>
  <c r="AM43" i="1702"/>
  <c r="AJ87" i="1702"/>
  <c r="AK87" i="1702"/>
  <c r="AM11" i="1702"/>
  <c r="AM75" i="1702"/>
  <c r="AJ63" i="1702"/>
  <c r="AY27" i="1702"/>
  <c r="AM51" i="1702"/>
  <c r="AG7" i="1702"/>
  <c r="AG9" i="1702" s="1"/>
  <c r="AJ75" i="1702"/>
  <c r="AK79" i="1702"/>
  <c r="AK11" i="1702"/>
  <c r="AG67" i="1702"/>
  <c r="AG69" i="1702" s="1"/>
  <c r="AG15" i="1702"/>
  <c r="AY15" i="1702" s="1"/>
  <c r="AK7" i="1702"/>
  <c r="AI4" i="1702"/>
  <c r="AK59" i="1702"/>
  <c r="AJ59" i="1702"/>
  <c r="AK71" i="1702"/>
  <c r="AJ71" i="1702"/>
  <c r="AM59" i="1702"/>
  <c r="AK67" i="1702"/>
  <c r="AJ67" i="1702"/>
  <c r="AY63" i="1702"/>
  <c r="AY59" i="1702"/>
  <c r="AG61" i="1702"/>
  <c r="AG21" i="1702"/>
  <c r="AY19" i="1702"/>
  <c r="AY71" i="1702"/>
  <c r="AG73" i="1702"/>
  <c r="AG25" i="1702"/>
  <c r="AY23" i="1702"/>
  <c r="H81" i="1702"/>
  <c r="AG79" i="1702"/>
  <c r="H53" i="1702"/>
  <c r="AG51" i="1702"/>
  <c r="AG77" i="1702"/>
  <c r="AY75" i="1702"/>
  <c r="AG31" i="1702"/>
  <c r="H33" i="1702"/>
  <c r="H41" i="1702"/>
  <c r="AG39" i="1702"/>
  <c r="AG43" i="1702"/>
  <c r="H45" i="1702"/>
  <c r="AK27" i="1702"/>
  <c r="AJ27" i="1702"/>
  <c r="AM27" i="1702"/>
  <c r="AJ19" i="1702"/>
  <c r="AK19" i="1702"/>
  <c r="H37" i="1702"/>
  <c r="AG35" i="1702"/>
  <c r="AG49" i="1702"/>
  <c r="H85" i="1702"/>
  <c r="AG83" i="1702"/>
  <c r="AJ15" i="1702"/>
  <c r="AK15" i="1702"/>
  <c r="AJ83" i="1702"/>
  <c r="AK83" i="1702"/>
  <c r="AM83" i="1702"/>
  <c r="AJ55" i="1702"/>
  <c r="AM55" i="1702"/>
  <c r="AK55" i="1702"/>
  <c r="H57" i="1702"/>
  <c r="AG55" i="1702"/>
  <c r="AL2" i="1702"/>
  <c r="AG89" i="1702"/>
  <c r="AY87" i="1702"/>
  <c r="AM15" i="1702"/>
  <c r="AK47" i="1702"/>
  <c r="AJ47" i="1702"/>
  <c r="AK31" i="1702"/>
  <c r="AJ31" i="1702"/>
  <c r="AM31" i="1702"/>
  <c r="H13" i="1702"/>
  <c r="AG11" i="1702"/>
  <c r="AT4" i="1702"/>
  <c r="I68" i="1700"/>
  <c r="AN69" i="1700"/>
  <c r="AO69" i="1700" s="1"/>
  <c r="AK69" i="1700"/>
  <c r="AJ69" i="1700"/>
  <c r="AB69" i="1700"/>
  <c r="J69" i="1700"/>
  <c r="B69" i="1700"/>
  <c r="AK68" i="1700"/>
  <c r="AJ68" i="1700"/>
  <c r="AB68" i="1700"/>
  <c r="E68" i="1700"/>
  <c r="E69" i="1700" s="1"/>
  <c r="B68" i="1700"/>
  <c r="AF67" i="1700"/>
  <c r="AB67" i="1700"/>
  <c r="AL67" i="1700" s="1"/>
  <c r="G67" i="1700"/>
  <c r="G68" i="1700" s="1"/>
  <c r="G69" i="1700" s="1"/>
  <c r="C67" i="1700"/>
  <c r="AK66" i="1700"/>
  <c r="AJ66" i="1700"/>
  <c r="AB66" i="1700"/>
  <c r="AT67" i="1700" s="1"/>
  <c r="B66" i="1700"/>
  <c r="V27" i="1585"/>
  <c r="AO68" i="1700" l="1"/>
  <c r="AP68" i="1700" s="1"/>
  <c r="AY7" i="1702"/>
  <c r="AG17" i="1702"/>
  <c r="AY67" i="1702"/>
  <c r="AK2" i="1702"/>
  <c r="AG2" i="1702" s="1"/>
  <c r="AY55" i="1702"/>
  <c r="AG57" i="1702"/>
  <c r="AG41" i="1702"/>
  <c r="AY39" i="1702"/>
  <c r="AG53" i="1702"/>
  <c r="AY51" i="1702"/>
  <c r="AG13" i="1702"/>
  <c r="AY11" i="1702"/>
  <c r="AG81" i="1702"/>
  <c r="AY79" i="1702"/>
  <c r="AG85" i="1702"/>
  <c r="AY83" i="1702"/>
  <c r="AG37" i="1702"/>
  <c r="AY35" i="1702"/>
  <c r="AG45" i="1702"/>
  <c r="AY43" i="1702"/>
  <c r="AY31" i="1702"/>
  <c r="AG33" i="1702"/>
  <c r="X66" i="1700"/>
  <c r="AP69" i="1700"/>
  <c r="AI67" i="1700"/>
  <c r="AJ67" i="1700" s="1"/>
  <c r="AC67" i="1700"/>
  <c r="AC66" i="1700"/>
  <c r="AH67" i="1700"/>
  <c r="Q16" i="1692"/>
  <c r="O16" i="1692"/>
  <c r="J16" i="1692"/>
  <c r="H16" i="1692"/>
  <c r="AK67" i="1700" l="1"/>
  <c r="AM67" i="1700"/>
  <c r="H69" i="1700"/>
  <c r="AG67" i="1700"/>
  <c r="AG69" i="1700" l="1"/>
  <c r="AY67" i="1700"/>
  <c r="J13" i="1700"/>
  <c r="AT47" i="1700" l="1"/>
  <c r="X46" i="1700" s="1"/>
  <c r="AT19" i="1700"/>
  <c r="X18" i="1700" s="1"/>
  <c r="AN33" i="1700"/>
  <c r="AO33" i="1700" s="1"/>
  <c r="AK33" i="1700"/>
  <c r="AJ33" i="1700"/>
  <c r="AB33" i="1700"/>
  <c r="J33" i="1700"/>
  <c r="G33" i="1700"/>
  <c r="B33" i="1700"/>
  <c r="AK32" i="1700"/>
  <c r="AJ32" i="1700"/>
  <c r="AB32" i="1700"/>
  <c r="I32" i="1700"/>
  <c r="G32" i="1700"/>
  <c r="E32" i="1700"/>
  <c r="E33" i="1700" s="1"/>
  <c r="B32" i="1700"/>
  <c r="AF31" i="1700"/>
  <c r="AB31" i="1700"/>
  <c r="G31" i="1700"/>
  <c r="C31" i="1700"/>
  <c r="AK30" i="1700"/>
  <c r="AJ30" i="1700"/>
  <c r="AB30" i="1700"/>
  <c r="B30" i="1700"/>
  <c r="AB97" i="1700"/>
  <c r="AB96" i="1700"/>
  <c r="AB95" i="1700"/>
  <c r="X95" i="1700" s="1"/>
  <c r="AB94" i="1700"/>
  <c r="AC94" i="1700" s="1"/>
  <c r="H97" i="1700" s="1"/>
  <c r="AB93" i="1700"/>
  <c r="AB92" i="1700"/>
  <c r="AB91" i="1700"/>
  <c r="AB90" i="1700"/>
  <c r="AC90" i="1700" s="1"/>
  <c r="H93" i="1700" s="1"/>
  <c r="AB89" i="1700"/>
  <c r="AB88" i="1700"/>
  <c r="AB87" i="1700"/>
  <c r="AB86" i="1700"/>
  <c r="AC86" i="1700" s="1"/>
  <c r="H89" i="1700" s="1"/>
  <c r="AB85" i="1700"/>
  <c r="AB84" i="1700"/>
  <c r="AB83" i="1700"/>
  <c r="AB82" i="1700"/>
  <c r="AC82" i="1700" s="1"/>
  <c r="H85" i="1700" s="1"/>
  <c r="AB81" i="1700"/>
  <c r="AB80" i="1700"/>
  <c r="AB79" i="1700"/>
  <c r="AB78" i="1700"/>
  <c r="AT79" i="1700" s="1"/>
  <c r="AB77" i="1700"/>
  <c r="AB76" i="1700"/>
  <c r="AB75" i="1700"/>
  <c r="AB74" i="1700"/>
  <c r="AT75" i="1700" s="1"/>
  <c r="X74" i="1700" s="1"/>
  <c r="AB73" i="1700"/>
  <c r="AB72" i="1700"/>
  <c r="AB71" i="1700"/>
  <c r="AB70" i="1700"/>
  <c r="AT71" i="1700" s="1"/>
  <c r="AB65" i="1700"/>
  <c r="AB64" i="1700"/>
  <c r="AB63" i="1700"/>
  <c r="AB62" i="1700"/>
  <c r="AT63" i="1700" s="1"/>
  <c r="AB61" i="1700"/>
  <c r="AB60" i="1700"/>
  <c r="AB59" i="1700"/>
  <c r="AC59" i="1700" s="1"/>
  <c r="AB58" i="1700"/>
  <c r="AB57" i="1700"/>
  <c r="AB56" i="1700"/>
  <c r="AB55" i="1700"/>
  <c r="AL55" i="1700" s="1"/>
  <c r="AB54" i="1700"/>
  <c r="AT55" i="1700" s="1"/>
  <c r="AB53" i="1700"/>
  <c r="AB52" i="1700"/>
  <c r="AB51" i="1700"/>
  <c r="X51" i="1700" s="1"/>
  <c r="AB50" i="1700"/>
  <c r="AT51" i="1700" s="1"/>
  <c r="AB49" i="1700"/>
  <c r="AB48" i="1700"/>
  <c r="AB47" i="1700"/>
  <c r="AB46" i="1700"/>
  <c r="AC46" i="1700" s="1"/>
  <c r="H49" i="1700" s="1"/>
  <c r="AB45" i="1700"/>
  <c r="AB44" i="1700"/>
  <c r="AB43" i="1700"/>
  <c r="AB42" i="1700"/>
  <c r="AC42" i="1700" s="1"/>
  <c r="H45" i="1700" s="1"/>
  <c r="AB41" i="1700"/>
  <c r="AB40" i="1700"/>
  <c r="AB39" i="1700"/>
  <c r="AL39" i="1700" s="1"/>
  <c r="AB38" i="1700"/>
  <c r="AC38" i="1700" s="1"/>
  <c r="H41" i="1700" s="1"/>
  <c r="AB37" i="1700"/>
  <c r="AB36" i="1700"/>
  <c r="AB35" i="1700"/>
  <c r="AC35" i="1700" s="1"/>
  <c r="AB34" i="1700"/>
  <c r="AT35" i="1700" s="1"/>
  <c r="AB29" i="1700"/>
  <c r="AB28" i="1700"/>
  <c r="AB27" i="1700"/>
  <c r="AB26" i="1700"/>
  <c r="AC26" i="1700" s="1"/>
  <c r="H29" i="1700" s="1"/>
  <c r="AB25" i="1700"/>
  <c r="AB24" i="1700"/>
  <c r="AB23" i="1700"/>
  <c r="AB22" i="1700"/>
  <c r="AB21" i="1700"/>
  <c r="AB20" i="1700"/>
  <c r="AB19" i="1700"/>
  <c r="X19" i="1700" s="1"/>
  <c r="AB18" i="1700"/>
  <c r="AC18" i="1700" s="1"/>
  <c r="H21" i="1700" s="1"/>
  <c r="AB17" i="1700"/>
  <c r="AB16" i="1700"/>
  <c r="AB15" i="1700"/>
  <c r="AB14" i="1700"/>
  <c r="AC14" i="1700" s="1"/>
  <c r="H17" i="1700" s="1"/>
  <c r="AB13" i="1700"/>
  <c r="AB12" i="1700"/>
  <c r="AB11" i="1700"/>
  <c r="AC11" i="1700" s="1"/>
  <c r="AB10" i="1700"/>
  <c r="X48" i="1700"/>
  <c r="AA46" i="1700" s="1"/>
  <c r="X47" i="1700"/>
  <c r="AB9" i="1700"/>
  <c r="AB8" i="1700"/>
  <c r="AB7" i="1700"/>
  <c r="AC7" i="1700" s="1"/>
  <c r="AB6" i="1700"/>
  <c r="AC6" i="1700" s="1"/>
  <c r="W109" i="1700"/>
  <c r="W106" i="1700" s="1"/>
  <c r="V109" i="1700"/>
  <c r="V106" i="1700" s="1"/>
  <c r="U109" i="1700"/>
  <c r="U106" i="1700" s="1"/>
  <c r="T109" i="1700"/>
  <c r="T106" i="1700" s="1"/>
  <c r="S109" i="1700"/>
  <c r="S106" i="1700" s="1"/>
  <c r="R109" i="1700"/>
  <c r="R106" i="1700" s="1"/>
  <c r="Q109" i="1700"/>
  <c r="Q106" i="1700" s="1"/>
  <c r="P109" i="1700"/>
  <c r="P106" i="1700" s="1"/>
  <c r="O109" i="1700"/>
  <c r="O106" i="1700" s="1"/>
  <c r="N109" i="1700"/>
  <c r="N106" i="1700" s="1"/>
  <c r="M109" i="1700"/>
  <c r="M106" i="1700" s="1"/>
  <c r="W103" i="1700"/>
  <c r="V103" i="1700"/>
  <c r="U103" i="1700"/>
  <c r="T103" i="1700"/>
  <c r="S103" i="1700"/>
  <c r="R103" i="1700"/>
  <c r="Q103" i="1700"/>
  <c r="P103" i="1700"/>
  <c r="O103" i="1700"/>
  <c r="N103" i="1700"/>
  <c r="M103" i="1700"/>
  <c r="W101" i="1700"/>
  <c r="V101" i="1700"/>
  <c r="U101" i="1700"/>
  <c r="T101" i="1700"/>
  <c r="S101" i="1700"/>
  <c r="R101" i="1700"/>
  <c r="Q101" i="1700"/>
  <c r="P101" i="1700"/>
  <c r="O101" i="1700"/>
  <c r="N101" i="1700"/>
  <c r="M101" i="1700"/>
  <c r="W99" i="1700"/>
  <c r="V99" i="1700"/>
  <c r="U99" i="1700"/>
  <c r="T99" i="1700"/>
  <c r="S99" i="1700"/>
  <c r="R99" i="1700"/>
  <c r="Q99" i="1700"/>
  <c r="P99" i="1700"/>
  <c r="O99" i="1700"/>
  <c r="N99" i="1700"/>
  <c r="M99" i="1700"/>
  <c r="AN97" i="1700"/>
  <c r="X96" i="1700" s="1"/>
  <c r="AK97" i="1700"/>
  <c r="AJ97" i="1700"/>
  <c r="J97" i="1700"/>
  <c r="B97" i="1700"/>
  <c r="AK96" i="1700"/>
  <c r="AJ96" i="1700"/>
  <c r="I96" i="1700"/>
  <c r="E96" i="1700"/>
  <c r="E97" i="1700" s="1"/>
  <c r="B96" i="1700"/>
  <c r="AF95" i="1700"/>
  <c r="G95" i="1700"/>
  <c r="G96" i="1700" s="1"/>
  <c r="G97" i="1700" s="1"/>
  <c r="C95" i="1700"/>
  <c r="AK94" i="1700"/>
  <c r="AJ94" i="1700"/>
  <c r="B94" i="1700"/>
  <c r="AN93" i="1700"/>
  <c r="X92" i="1700" s="1"/>
  <c r="AK93" i="1700"/>
  <c r="AJ93" i="1700"/>
  <c r="J93" i="1700"/>
  <c r="B93" i="1700"/>
  <c r="AK92" i="1700"/>
  <c r="AJ92" i="1700"/>
  <c r="I92" i="1700"/>
  <c r="E92" i="1700"/>
  <c r="E93" i="1700" s="1"/>
  <c r="B92" i="1700"/>
  <c r="AF91" i="1700"/>
  <c r="G91" i="1700"/>
  <c r="G92" i="1700" s="1"/>
  <c r="G93" i="1700" s="1"/>
  <c r="C91" i="1700"/>
  <c r="AK90" i="1700"/>
  <c r="AJ90" i="1700"/>
  <c r="B90" i="1700"/>
  <c r="AN89" i="1700"/>
  <c r="AK89" i="1700"/>
  <c r="AJ89" i="1700"/>
  <c r="J89" i="1700"/>
  <c r="B89" i="1700"/>
  <c r="AK88" i="1700"/>
  <c r="AJ88" i="1700"/>
  <c r="I88" i="1700"/>
  <c r="E88" i="1700"/>
  <c r="E89" i="1700" s="1"/>
  <c r="B88" i="1700"/>
  <c r="AF87" i="1700"/>
  <c r="G87" i="1700"/>
  <c r="G88" i="1700" s="1"/>
  <c r="G89" i="1700" s="1"/>
  <c r="C87" i="1700"/>
  <c r="AK86" i="1700"/>
  <c r="AJ86" i="1700"/>
  <c r="B86" i="1700"/>
  <c r="AN85" i="1700"/>
  <c r="X84" i="1700" s="1"/>
  <c r="AK85" i="1700"/>
  <c r="AJ85" i="1700"/>
  <c r="J85" i="1700"/>
  <c r="G85" i="1700"/>
  <c r="B85" i="1700"/>
  <c r="AK84" i="1700"/>
  <c r="AJ84" i="1700"/>
  <c r="I84" i="1700"/>
  <c r="G84" i="1700"/>
  <c r="E84" i="1700"/>
  <c r="E85" i="1700" s="1"/>
  <c r="B84" i="1700"/>
  <c r="AF83" i="1700"/>
  <c r="G83" i="1700"/>
  <c r="C83" i="1700"/>
  <c r="AK82" i="1700"/>
  <c r="AJ82" i="1700"/>
  <c r="B82" i="1700"/>
  <c r="AN81" i="1700"/>
  <c r="AK81" i="1700"/>
  <c r="AJ81" i="1700"/>
  <c r="J81" i="1700"/>
  <c r="G81" i="1700"/>
  <c r="B81" i="1700"/>
  <c r="AK80" i="1700"/>
  <c r="AJ80" i="1700"/>
  <c r="I80" i="1700"/>
  <c r="G80" i="1700"/>
  <c r="E80" i="1700"/>
  <c r="E81" i="1700" s="1"/>
  <c r="B80" i="1700"/>
  <c r="AF79" i="1700"/>
  <c r="G79" i="1700"/>
  <c r="C79" i="1700"/>
  <c r="AK78" i="1700"/>
  <c r="AJ78" i="1700"/>
  <c r="B78" i="1700"/>
  <c r="AN77" i="1700"/>
  <c r="AO77" i="1700" s="1"/>
  <c r="AK77" i="1700"/>
  <c r="AJ77" i="1700"/>
  <c r="J77" i="1700"/>
  <c r="G77" i="1700"/>
  <c r="B77" i="1700"/>
  <c r="AK76" i="1700"/>
  <c r="AJ76" i="1700"/>
  <c r="I76" i="1700"/>
  <c r="G76" i="1700"/>
  <c r="E76" i="1700"/>
  <c r="E77" i="1700" s="1"/>
  <c r="B76" i="1700"/>
  <c r="AF75" i="1700"/>
  <c r="G75" i="1700"/>
  <c r="C75" i="1700"/>
  <c r="AK74" i="1700"/>
  <c r="AJ74" i="1700"/>
  <c r="B74" i="1700"/>
  <c r="AN73" i="1700"/>
  <c r="AO72" i="1700" s="1"/>
  <c r="AK73" i="1700"/>
  <c r="AJ73" i="1700"/>
  <c r="J73" i="1700"/>
  <c r="B73" i="1700"/>
  <c r="AK72" i="1700"/>
  <c r="AJ72" i="1700"/>
  <c r="I72" i="1700"/>
  <c r="E72" i="1700"/>
  <c r="E73" i="1700" s="1"/>
  <c r="B72" i="1700"/>
  <c r="AF71" i="1700"/>
  <c r="G71" i="1700"/>
  <c r="G72" i="1700" s="1"/>
  <c r="G73" i="1700" s="1"/>
  <c r="C71" i="1700"/>
  <c r="AK70" i="1700"/>
  <c r="AJ70" i="1700"/>
  <c r="B70" i="1700"/>
  <c r="AN65" i="1700"/>
  <c r="AO64" i="1700" s="1"/>
  <c r="AK65" i="1700"/>
  <c r="AJ65" i="1700"/>
  <c r="J65" i="1700"/>
  <c r="B65" i="1700"/>
  <c r="AK64" i="1700"/>
  <c r="AJ64" i="1700"/>
  <c r="I64" i="1700"/>
  <c r="E64" i="1700"/>
  <c r="E65" i="1700" s="1"/>
  <c r="B64" i="1700"/>
  <c r="AF63" i="1700"/>
  <c r="G63" i="1700"/>
  <c r="G64" i="1700" s="1"/>
  <c r="G65" i="1700" s="1"/>
  <c r="C63" i="1700"/>
  <c r="AK62" i="1700"/>
  <c r="AJ62" i="1700"/>
  <c r="B62" i="1700"/>
  <c r="AN61" i="1700"/>
  <c r="AO60" i="1700" s="1"/>
  <c r="AK61" i="1700"/>
  <c r="AJ61" i="1700"/>
  <c r="J61" i="1700"/>
  <c r="B61" i="1700"/>
  <c r="AK60" i="1700"/>
  <c r="AJ60" i="1700"/>
  <c r="I60" i="1700"/>
  <c r="E60" i="1700"/>
  <c r="E61" i="1700" s="1"/>
  <c r="B60" i="1700"/>
  <c r="AF59" i="1700"/>
  <c r="G59" i="1700"/>
  <c r="G60" i="1700" s="1"/>
  <c r="G61" i="1700" s="1"/>
  <c r="C59" i="1700"/>
  <c r="AK58" i="1700"/>
  <c r="AJ58" i="1700"/>
  <c r="B58" i="1700"/>
  <c r="AN57" i="1700"/>
  <c r="AO57" i="1700" s="1"/>
  <c r="AK57" i="1700"/>
  <c r="AJ57" i="1700"/>
  <c r="J57" i="1700"/>
  <c r="G57" i="1700"/>
  <c r="B57" i="1700"/>
  <c r="AK56" i="1700"/>
  <c r="AJ56" i="1700"/>
  <c r="I56" i="1700"/>
  <c r="G56" i="1700"/>
  <c r="E56" i="1700"/>
  <c r="E57" i="1700" s="1"/>
  <c r="B56" i="1700"/>
  <c r="AF55" i="1700"/>
  <c r="G55" i="1700"/>
  <c r="C55" i="1700"/>
  <c r="AK54" i="1700"/>
  <c r="AJ54" i="1700"/>
  <c r="B54" i="1700"/>
  <c r="AN53" i="1700"/>
  <c r="AO52" i="1700" s="1"/>
  <c r="AK53" i="1700"/>
  <c r="AJ53" i="1700"/>
  <c r="J53" i="1700"/>
  <c r="B53" i="1700"/>
  <c r="AK52" i="1700"/>
  <c r="AJ52" i="1700"/>
  <c r="I52" i="1700"/>
  <c r="E52" i="1700"/>
  <c r="E53" i="1700" s="1"/>
  <c r="B52" i="1700"/>
  <c r="AF51" i="1700"/>
  <c r="AK50" i="1700"/>
  <c r="AJ50" i="1700"/>
  <c r="B50" i="1700"/>
  <c r="AN49" i="1700"/>
  <c r="AO49" i="1700" s="1"/>
  <c r="AP49" i="1700" s="1"/>
  <c r="AK49" i="1700"/>
  <c r="AJ49" i="1700"/>
  <c r="J49" i="1700"/>
  <c r="B49" i="1700"/>
  <c r="AK48" i="1700"/>
  <c r="AJ48" i="1700"/>
  <c r="I48" i="1700"/>
  <c r="E48" i="1700"/>
  <c r="E49" i="1700" s="1"/>
  <c r="B48" i="1700"/>
  <c r="AF47" i="1700"/>
  <c r="G47" i="1700"/>
  <c r="G48" i="1700" s="1"/>
  <c r="G49" i="1700" s="1"/>
  <c r="AK46" i="1700"/>
  <c r="AJ46" i="1700"/>
  <c r="B46" i="1700"/>
  <c r="AN45" i="1700"/>
  <c r="AO45" i="1700" s="1"/>
  <c r="AK45" i="1700"/>
  <c r="AJ45" i="1700"/>
  <c r="J45" i="1700"/>
  <c r="B45" i="1700"/>
  <c r="AK44" i="1700"/>
  <c r="AJ44" i="1700"/>
  <c r="I44" i="1700"/>
  <c r="E44" i="1700"/>
  <c r="E45" i="1700" s="1"/>
  <c r="B44" i="1700"/>
  <c r="AF43" i="1700"/>
  <c r="G43" i="1700"/>
  <c r="G44" i="1700" s="1"/>
  <c r="G45" i="1700" s="1"/>
  <c r="C43" i="1700"/>
  <c r="AK42" i="1700"/>
  <c r="AJ42" i="1700"/>
  <c r="B42" i="1700"/>
  <c r="AN41" i="1700"/>
  <c r="AO40" i="1700" s="1"/>
  <c r="AK41" i="1700"/>
  <c r="AJ41" i="1700"/>
  <c r="G41" i="1700"/>
  <c r="B41" i="1700"/>
  <c r="AK40" i="1700"/>
  <c r="AJ40" i="1700"/>
  <c r="I40" i="1700"/>
  <c r="G40" i="1700"/>
  <c r="E40" i="1700"/>
  <c r="E41" i="1700" s="1"/>
  <c r="B40" i="1700"/>
  <c r="AF39" i="1700"/>
  <c r="G39" i="1700"/>
  <c r="C39" i="1700"/>
  <c r="AK38" i="1700"/>
  <c r="AJ38" i="1700"/>
  <c r="B38" i="1700"/>
  <c r="AN37" i="1700"/>
  <c r="B37" i="1700"/>
  <c r="I36" i="1700"/>
  <c r="E36" i="1700"/>
  <c r="E37" i="1700" s="1"/>
  <c r="B36" i="1700"/>
  <c r="AF35" i="1700"/>
  <c r="G35" i="1700"/>
  <c r="C35" i="1700"/>
  <c r="B34" i="1700"/>
  <c r="AN29" i="1700"/>
  <c r="AO29" i="1700" s="1"/>
  <c r="AK29" i="1700"/>
  <c r="AJ29" i="1700"/>
  <c r="J29" i="1700"/>
  <c r="G29" i="1700"/>
  <c r="B29" i="1700"/>
  <c r="AK28" i="1700"/>
  <c r="AJ28" i="1700"/>
  <c r="I28" i="1700"/>
  <c r="G28" i="1700"/>
  <c r="E28" i="1700"/>
  <c r="E29" i="1700" s="1"/>
  <c r="B28" i="1700"/>
  <c r="AF27" i="1700"/>
  <c r="G27" i="1700"/>
  <c r="C27" i="1700"/>
  <c r="AK26" i="1700"/>
  <c r="AJ26" i="1700"/>
  <c r="B26" i="1700"/>
  <c r="AN25" i="1700"/>
  <c r="AO24" i="1700" s="1"/>
  <c r="AK25" i="1700"/>
  <c r="AJ25" i="1700"/>
  <c r="B25" i="1700"/>
  <c r="AK24" i="1700"/>
  <c r="AJ24" i="1700"/>
  <c r="I24" i="1700"/>
  <c r="E24" i="1700"/>
  <c r="E25" i="1700" s="1"/>
  <c r="B24" i="1700"/>
  <c r="AF23" i="1700"/>
  <c r="C23" i="1700"/>
  <c r="AK22" i="1700"/>
  <c r="AJ22" i="1700"/>
  <c r="B22" i="1700"/>
  <c r="AN21" i="1700"/>
  <c r="AO20" i="1700" s="1"/>
  <c r="AK21" i="1700"/>
  <c r="AJ21" i="1700"/>
  <c r="J21" i="1700"/>
  <c r="B21" i="1700"/>
  <c r="AK20" i="1700"/>
  <c r="AJ20" i="1700"/>
  <c r="I20" i="1700"/>
  <c r="E20" i="1700"/>
  <c r="E21" i="1700" s="1"/>
  <c r="B20" i="1700"/>
  <c r="AF19" i="1700"/>
  <c r="G19" i="1700"/>
  <c r="G20" i="1700" s="1"/>
  <c r="G21" i="1700" s="1"/>
  <c r="C19" i="1700"/>
  <c r="AK18" i="1700"/>
  <c r="AJ18" i="1700"/>
  <c r="B18" i="1700"/>
  <c r="AN17" i="1700"/>
  <c r="AK17" i="1700"/>
  <c r="AJ17" i="1700"/>
  <c r="J17" i="1700"/>
  <c r="G17" i="1700"/>
  <c r="B17" i="1700"/>
  <c r="AK16" i="1700"/>
  <c r="AJ16" i="1700"/>
  <c r="I16" i="1700"/>
  <c r="G16" i="1700"/>
  <c r="E16" i="1700"/>
  <c r="E17" i="1700" s="1"/>
  <c r="B16" i="1700"/>
  <c r="AF15" i="1700"/>
  <c r="G15" i="1700"/>
  <c r="AK14" i="1700"/>
  <c r="AJ14" i="1700"/>
  <c r="B14" i="1700"/>
  <c r="AN13" i="1700"/>
  <c r="AK13" i="1700"/>
  <c r="AJ13" i="1700"/>
  <c r="G13" i="1700"/>
  <c r="B13" i="1700"/>
  <c r="AK12" i="1700"/>
  <c r="AJ12" i="1700"/>
  <c r="I12" i="1700"/>
  <c r="G12" i="1700"/>
  <c r="B12" i="1700"/>
  <c r="AF11" i="1700"/>
  <c r="G11" i="1700"/>
  <c r="C11" i="1700"/>
  <c r="AK10" i="1700"/>
  <c r="AJ10" i="1700"/>
  <c r="B10" i="1700"/>
  <c r="AN9" i="1700"/>
  <c r="AO9" i="1700" s="1"/>
  <c r="AK9" i="1700"/>
  <c r="AJ9" i="1700"/>
  <c r="G9" i="1700"/>
  <c r="B9" i="1700"/>
  <c r="AK8" i="1700"/>
  <c r="AJ8" i="1700"/>
  <c r="I8" i="1700"/>
  <c r="G8" i="1700"/>
  <c r="E8" i="1700"/>
  <c r="E9" i="1700" s="1"/>
  <c r="B8" i="1700"/>
  <c r="BL7" i="1700"/>
  <c r="BK7" i="1700"/>
  <c r="AF7" i="1700"/>
  <c r="G7" i="1700"/>
  <c r="C7" i="1700"/>
  <c r="AK6" i="1700"/>
  <c r="AJ6" i="1700"/>
  <c r="B6" i="1700"/>
  <c r="AG4" i="1700"/>
  <c r="B3" i="1700"/>
  <c r="AH35" i="1700" l="1"/>
  <c r="AI79" i="1700"/>
  <c r="AJ79" i="1700" s="1"/>
  <c r="AH47" i="1700"/>
  <c r="AC10" i="1700"/>
  <c r="H13" i="1700" s="1"/>
  <c r="AT11" i="1700"/>
  <c r="AP45" i="1700"/>
  <c r="AP9" i="1700"/>
  <c r="AI71" i="1700"/>
  <c r="AK71" i="1700" s="1"/>
  <c r="AO8" i="1700"/>
  <c r="AI63" i="1700"/>
  <c r="AM63" i="1700" s="1"/>
  <c r="AO76" i="1700"/>
  <c r="AH71" i="1700"/>
  <c r="AA41" i="1700"/>
  <c r="X60" i="1700"/>
  <c r="AA58" i="1700" s="1"/>
  <c r="AC55" i="1700"/>
  <c r="AL19" i="1700"/>
  <c r="X36" i="1700"/>
  <c r="AA34" i="1700" s="1"/>
  <c r="AL51" i="1700"/>
  <c r="AC74" i="1700"/>
  <c r="H77" i="1700" s="1"/>
  <c r="X12" i="1700"/>
  <c r="AA10" i="1700" s="1"/>
  <c r="AC51" i="1700"/>
  <c r="X80" i="1700"/>
  <c r="AA78" i="1700" s="1"/>
  <c r="AI31" i="1700"/>
  <c r="AK31" i="1700" s="1"/>
  <c r="X15" i="1700"/>
  <c r="X27" i="1700"/>
  <c r="X43" i="1700"/>
  <c r="X55" i="1700"/>
  <c r="X83" i="1700"/>
  <c r="X35" i="1700"/>
  <c r="AO48" i="1700"/>
  <c r="AP48" i="1700" s="1"/>
  <c r="X56" i="1700"/>
  <c r="AA54" i="1700" s="1"/>
  <c r="AI7" i="1700"/>
  <c r="AK7" i="1700" s="1"/>
  <c r="X10" i="1700"/>
  <c r="AI11" i="1700"/>
  <c r="AJ11" i="1700" s="1"/>
  <c r="AH19" i="1700"/>
  <c r="AC22" i="1700"/>
  <c r="H25" i="1700" s="1"/>
  <c r="AT23" i="1700"/>
  <c r="X22" i="1700" s="1"/>
  <c r="AI47" i="1700"/>
  <c r="AM47" i="1700" s="1"/>
  <c r="AI51" i="1700"/>
  <c r="AJ51" i="1700" s="1"/>
  <c r="AC58" i="1700"/>
  <c r="H61" i="1700" s="1"/>
  <c r="AT59" i="1700"/>
  <c r="X58" i="1700" s="1"/>
  <c r="AH31" i="1700"/>
  <c r="AP33" i="1700"/>
  <c r="G36" i="1700"/>
  <c r="X23" i="1700"/>
  <c r="X68" i="1700"/>
  <c r="AA66" i="1700" s="1"/>
  <c r="X67" i="1700"/>
  <c r="AC30" i="1700"/>
  <c r="H33" i="1700" s="1"/>
  <c r="AT31" i="1700"/>
  <c r="X30" i="1700" s="1"/>
  <c r="X79" i="1700"/>
  <c r="AI43" i="1700"/>
  <c r="AK43" i="1700" s="1"/>
  <c r="AI39" i="1700"/>
  <c r="AJ39" i="1700" s="1"/>
  <c r="AO41" i="1700"/>
  <c r="AP41" i="1700" s="1"/>
  <c r="X20" i="1700"/>
  <c r="AA18" i="1700" s="1"/>
  <c r="X39" i="1700"/>
  <c r="X63" i="1700"/>
  <c r="X11" i="1700"/>
  <c r="X59" i="1700"/>
  <c r="X71" i="1700"/>
  <c r="X75" i="1700"/>
  <c r="X91" i="1700"/>
  <c r="AO61" i="1700"/>
  <c r="AP61" i="1700" s="1"/>
  <c r="X7" i="1700"/>
  <c r="X40" i="1700"/>
  <c r="AA38" i="1700" s="1"/>
  <c r="AH55" i="1700"/>
  <c r="AO32" i="1700"/>
  <c r="AP32" i="1700" s="1"/>
  <c r="AT15" i="1700"/>
  <c r="X14" i="1700" s="1"/>
  <c r="X8" i="1700"/>
  <c r="AA6" i="1700" s="1"/>
  <c r="X28" i="1700"/>
  <c r="AA26" i="1700" s="1"/>
  <c r="X16" i="1700"/>
  <c r="AA14" i="1700" s="1"/>
  <c r="AT83" i="1700"/>
  <c r="X82" i="1700" s="1"/>
  <c r="AL59" i="1700"/>
  <c r="AO16" i="1700"/>
  <c r="AP16" i="1700" s="1"/>
  <c r="AO17" i="1700"/>
  <c r="AP17" i="1700" s="1"/>
  <c r="AP20" i="1700"/>
  <c r="AP40" i="1700"/>
  <c r="AO53" i="1700"/>
  <c r="AP53" i="1700" s="1"/>
  <c r="AI55" i="1700"/>
  <c r="AJ55" i="1700" s="1"/>
  <c r="AO65" i="1700"/>
  <c r="AP65" i="1700" s="1"/>
  <c r="X64" i="1700"/>
  <c r="AA62" i="1700" s="1"/>
  <c r="X76" i="1700"/>
  <c r="AA74" i="1700" s="1"/>
  <c r="AT87" i="1700"/>
  <c r="X86" i="1700" s="1"/>
  <c r="X24" i="1700"/>
  <c r="AA22" i="1700" s="1"/>
  <c r="X44" i="1700"/>
  <c r="AA42" i="1700" s="1"/>
  <c r="X52" i="1700"/>
  <c r="AA50" i="1700" s="1"/>
  <c r="X34" i="1700"/>
  <c r="AA33" i="1700"/>
  <c r="AT39" i="1700"/>
  <c r="X38" i="1700" s="1"/>
  <c r="AO44" i="1700"/>
  <c r="AP44" i="1700" s="1"/>
  <c r="X72" i="1700"/>
  <c r="AA70" i="1700" s="1"/>
  <c r="X88" i="1700"/>
  <c r="AA86" i="1700" s="1"/>
  <c r="AT27" i="1700"/>
  <c r="X26" i="1700" s="1"/>
  <c r="AT43" i="1700"/>
  <c r="X42" i="1700" s="1"/>
  <c r="AT95" i="1700"/>
  <c r="X94" i="1700" s="1"/>
  <c r="X78" i="1700"/>
  <c r="X31" i="1700"/>
  <c r="AL31" i="1700"/>
  <c r="X32" i="1700"/>
  <c r="AA30" i="1700" s="1"/>
  <c r="AC31" i="1700"/>
  <c r="U112" i="1700"/>
  <c r="X87" i="1700"/>
  <c r="AB4" i="1700"/>
  <c r="AK79" i="1700"/>
  <c r="X90" i="1700"/>
  <c r="AO25" i="1700"/>
  <c r="AP25" i="1700" s="1"/>
  <c r="AO56" i="1700"/>
  <c r="AP56" i="1700" s="1"/>
  <c r="AO73" i="1700"/>
  <c r="AP73" i="1700" s="1"/>
  <c r="AO21" i="1700"/>
  <c r="AP21" i="1700" s="1"/>
  <c r="AO28" i="1700"/>
  <c r="AP28" i="1700" s="1"/>
  <c r="AP8" i="1700"/>
  <c r="AI19" i="1700"/>
  <c r="AK19" i="1700" s="1"/>
  <c r="AC23" i="1700"/>
  <c r="AA25" i="1700"/>
  <c r="AI27" i="1700"/>
  <c r="AK27" i="1700" s="1"/>
  <c r="AP64" i="1700"/>
  <c r="AP29" i="1700"/>
  <c r="AP57" i="1700"/>
  <c r="AI59" i="1700"/>
  <c r="AM59" i="1700" s="1"/>
  <c r="AP72" i="1700"/>
  <c r="AP76" i="1700"/>
  <c r="AA99" i="1700"/>
  <c r="P112" i="1700"/>
  <c r="AI15" i="1700"/>
  <c r="AM15" i="1700" s="1"/>
  <c r="AH15" i="1700"/>
  <c r="AP24" i="1700"/>
  <c r="AP52" i="1700"/>
  <c r="AH51" i="1700"/>
  <c r="AI75" i="1700"/>
  <c r="AM75" i="1700" s="1"/>
  <c r="AP77" i="1700"/>
  <c r="AA53" i="1700"/>
  <c r="M112" i="1700"/>
  <c r="Q112" i="1700"/>
  <c r="H9" i="1700"/>
  <c r="AG7" i="1700"/>
  <c r="AL7" i="1700"/>
  <c r="AG11" i="1700"/>
  <c r="AL11" i="1700"/>
  <c r="AA13" i="1700"/>
  <c r="AO13" i="1700"/>
  <c r="AP13" i="1700" s="1"/>
  <c r="AO12" i="1700"/>
  <c r="AP12" i="1700" s="1"/>
  <c r="AL15" i="1700"/>
  <c r="AC19" i="1700"/>
  <c r="AG19" i="1700" s="1"/>
  <c r="AL23" i="1700"/>
  <c r="AC27" i="1700"/>
  <c r="AG27" i="1700" s="1"/>
  <c r="AC34" i="1700"/>
  <c r="AH39" i="1700"/>
  <c r="X54" i="1700"/>
  <c r="AC54" i="1700"/>
  <c r="AC63" i="1700"/>
  <c r="AH7" i="1700"/>
  <c r="AH11" i="1700"/>
  <c r="AH23" i="1700"/>
  <c r="AL27" i="1700"/>
  <c r="AC39" i="1700"/>
  <c r="AG39" i="1700" s="1"/>
  <c r="AC43" i="1700"/>
  <c r="AG43" i="1700" s="1"/>
  <c r="AL43" i="1700"/>
  <c r="AI91" i="1700"/>
  <c r="AM91" i="1700" s="1"/>
  <c r="AH91" i="1700"/>
  <c r="AT7" i="1700"/>
  <c r="X6" i="1700" s="1"/>
  <c r="AC15" i="1700"/>
  <c r="AG15" i="1700" s="1"/>
  <c r="AI23" i="1700"/>
  <c r="AM23" i="1700" s="1"/>
  <c r="AH27" i="1700"/>
  <c r="AC50" i="1700"/>
  <c r="X50" i="1700"/>
  <c r="AP60" i="1700"/>
  <c r="AJ63" i="1700"/>
  <c r="X70" i="1700"/>
  <c r="AC70" i="1700"/>
  <c r="AM79" i="1700"/>
  <c r="AC79" i="1700"/>
  <c r="AH79" i="1700"/>
  <c r="AL79" i="1700"/>
  <c r="AA81" i="1700"/>
  <c r="AO81" i="1700"/>
  <c r="AP81" i="1700" s="1"/>
  <c r="AO80" i="1700"/>
  <c r="AP80" i="1700" s="1"/>
  <c r="AH43" i="1700"/>
  <c r="AL47" i="1700"/>
  <c r="AC47" i="1700"/>
  <c r="AG47" i="1700" s="1"/>
  <c r="AH59" i="1700"/>
  <c r="AH63" i="1700"/>
  <c r="AL63" i="1700"/>
  <c r="AL71" i="1700"/>
  <c r="AC71" i="1700"/>
  <c r="AC75" i="1700"/>
  <c r="AH75" i="1700"/>
  <c r="AL75" i="1700"/>
  <c r="AI83" i="1700"/>
  <c r="AM83" i="1700" s="1"/>
  <c r="AH83" i="1700"/>
  <c r="AA61" i="1700"/>
  <c r="X62" i="1700"/>
  <c r="AC62" i="1700"/>
  <c r="AO89" i="1700"/>
  <c r="AP89" i="1700" s="1"/>
  <c r="AO88" i="1700"/>
  <c r="AP88" i="1700" s="1"/>
  <c r="AO97" i="1700"/>
  <c r="AP97" i="1700" s="1"/>
  <c r="AO96" i="1700"/>
  <c r="AP96" i="1700" s="1"/>
  <c r="AA94" i="1700"/>
  <c r="AA101" i="1700"/>
  <c r="N112" i="1700"/>
  <c r="R112" i="1700"/>
  <c r="V112" i="1700"/>
  <c r="AI87" i="1700"/>
  <c r="AM87" i="1700" s="1"/>
  <c r="AH87" i="1700"/>
  <c r="AI95" i="1700"/>
  <c r="AM95" i="1700" s="1"/>
  <c r="AH95" i="1700"/>
  <c r="O112" i="1700"/>
  <c r="S112" i="1700"/>
  <c r="W112" i="1700"/>
  <c r="T112" i="1700"/>
  <c r="AO85" i="1700"/>
  <c r="AP85" i="1700" s="1"/>
  <c r="AO84" i="1700"/>
  <c r="AP84" i="1700" s="1"/>
  <c r="AA82" i="1700"/>
  <c r="AO93" i="1700"/>
  <c r="AP93" i="1700" s="1"/>
  <c r="AO92" i="1700"/>
  <c r="AP92" i="1700" s="1"/>
  <c r="AA90" i="1700"/>
  <c r="AL83" i="1700"/>
  <c r="AL87" i="1700"/>
  <c r="AL91" i="1700"/>
  <c r="AL95" i="1700"/>
  <c r="AC78" i="1700"/>
  <c r="AC83" i="1700"/>
  <c r="AG83" i="1700" s="1"/>
  <c r="AC87" i="1700"/>
  <c r="AG87" i="1700" s="1"/>
  <c r="AC91" i="1700"/>
  <c r="AG91" i="1700" s="1"/>
  <c r="AC95" i="1700"/>
  <c r="AG95" i="1700" s="1"/>
  <c r="AT91" i="1699"/>
  <c r="X90" i="1699" s="1"/>
  <c r="AT71" i="1699"/>
  <c r="X70" i="1699" s="1"/>
  <c r="AT67" i="1699"/>
  <c r="X66" i="1699" s="1"/>
  <c r="AT43" i="1699"/>
  <c r="X42" i="1699" s="1"/>
  <c r="AT19" i="1699"/>
  <c r="X18" i="1699" s="1"/>
  <c r="AB93" i="1699"/>
  <c r="AB92" i="1699"/>
  <c r="AB91" i="1699"/>
  <c r="AL91" i="1699" s="1"/>
  <c r="AB90" i="1699"/>
  <c r="AC90" i="1699" s="1"/>
  <c r="AB89" i="1699"/>
  <c r="AB88" i="1699"/>
  <c r="AB87" i="1699"/>
  <c r="AB86" i="1699"/>
  <c r="AT87" i="1699" s="1"/>
  <c r="AB85" i="1699"/>
  <c r="AB84" i="1699"/>
  <c r="AB83" i="1699"/>
  <c r="AB82" i="1699"/>
  <c r="AT83" i="1699" s="1"/>
  <c r="X82" i="1699" s="1"/>
  <c r="AB81" i="1699"/>
  <c r="AB80" i="1699"/>
  <c r="AB79" i="1699"/>
  <c r="AL79" i="1699" s="1"/>
  <c r="AB78" i="1699"/>
  <c r="AT79" i="1699" s="1"/>
  <c r="AB77" i="1699"/>
  <c r="AB76" i="1699"/>
  <c r="AB75" i="1699"/>
  <c r="X75" i="1699" s="1"/>
  <c r="AB74" i="1699"/>
  <c r="AT75" i="1699" s="1"/>
  <c r="AB73" i="1699"/>
  <c r="AB72" i="1699"/>
  <c r="AB71" i="1699"/>
  <c r="AL71" i="1699" s="1"/>
  <c r="AB70" i="1699"/>
  <c r="AC70" i="1699" s="1"/>
  <c r="AB69" i="1699"/>
  <c r="AB68" i="1699"/>
  <c r="AB67" i="1699"/>
  <c r="X67" i="1699" s="1"/>
  <c r="AB66" i="1699"/>
  <c r="AC66" i="1699" s="1"/>
  <c r="AB65" i="1699"/>
  <c r="AB64" i="1699"/>
  <c r="AB63" i="1699"/>
  <c r="AB62" i="1699"/>
  <c r="AT63" i="1699" s="1"/>
  <c r="AB61" i="1699"/>
  <c r="AB60" i="1699"/>
  <c r="AB59" i="1699"/>
  <c r="AB58" i="1699"/>
  <c r="AT59" i="1699" s="1"/>
  <c r="AB57" i="1699"/>
  <c r="AB56" i="1699"/>
  <c r="AB55" i="1699"/>
  <c r="AA57" i="1699" s="1"/>
  <c r="AB54" i="1699"/>
  <c r="AC54" i="1699" s="1"/>
  <c r="H57" i="1699" s="1"/>
  <c r="AB53" i="1699"/>
  <c r="AB52" i="1699"/>
  <c r="AB51" i="1699"/>
  <c r="AB50" i="1699"/>
  <c r="AC50" i="1699" s="1"/>
  <c r="H53" i="1699" s="1"/>
  <c r="AB49" i="1699"/>
  <c r="AB48" i="1699"/>
  <c r="AB47" i="1699"/>
  <c r="X47" i="1699" s="1"/>
  <c r="AB46" i="1699"/>
  <c r="AT47" i="1699" s="1"/>
  <c r="AB45" i="1699"/>
  <c r="AB44" i="1699"/>
  <c r="AB43" i="1699"/>
  <c r="AB42" i="1699"/>
  <c r="AC42" i="1699" s="1"/>
  <c r="AB41" i="1699"/>
  <c r="AB40" i="1699"/>
  <c r="AB39" i="1699"/>
  <c r="AL39" i="1699" s="1"/>
  <c r="AB38" i="1699"/>
  <c r="AT39" i="1699" s="1"/>
  <c r="X38" i="1699" s="1"/>
  <c r="AB37" i="1699"/>
  <c r="AB36" i="1699"/>
  <c r="AB35" i="1699"/>
  <c r="AB34" i="1699"/>
  <c r="AT35" i="1699" s="1"/>
  <c r="X34" i="1699" s="1"/>
  <c r="AB33" i="1699"/>
  <c r="AB32" i="1699"/>
  <c r="AB31" i="1699"/>
  <c r="AA33" i="1699" s="1"/>
  <c r="AB30" i="1699"/>
  <c r="AT31" i="1699" s="1"/>
  <c r="AB29" i="1699"/>
  <c r="AB28" i="1699"/>
  <c r="AB27" i="1699"/>
  <c r="AL27" i="1699" s="1"/>
  <c r="AB26" i="1699"/>
  <c r="AT27" i="1699" s="1"/>
  <c r="AB25" i="1699"/>
  <c r="AB24" i="1699"/>
  <c r="AB23" i="1699"/>
  <c r="AB22" i="1699"/>
  <c r="AB21" i="1699"/>
  <c r="AB20" i="1699"/>
  <c r="AB19" i="1699"/>
  <c r="X19" i="1699" s="1"/>
  <c r="AB18" i="1699"/>
  <c r="AC18" i="1699" s="1"/>
  <c r="H21" i="1699" s="1"/>
  <c r="AB17" i="1699"/>
  <c r="AB16" i="1699"/>
  <c r="AB15" i="1699"/>
  <c r="AL15" i="1699" s="1"/>
  <c r="AB14" i="1699"/>
  <c r="AT15" i="1699" s="1"/>
  <c r="AB13" i="1699"/>
  <c r="AB12" i="1699"/>
  <c r="AB11" i="1699"/>
  <c r="AB10" i="1699"/>
  <c r="AB9" i="1699"/>
  <c r="AB8" i="1699"/>
  <c r="W105" i="1699"/>
  <c r="V105" i="1699"/>
  <c r="V102" i="1699" s="1"/>
  <c r="U105" i="1699"/>
  <c r="U102" i="1699" s="1"/>
  <c r="T105" i="1699"/>
  <c r="T102" i="1699" s="1"/>
  <c r="S105" i="1699"/>
  <c r="R105" i="1699"/>
  <c r="R102" i="1699" s="1"/>
  <c r="Q105" i="1699"/>
  <c r="Q102" i="1699" s="1"/>
  <c r="P105" i="1699"/>
  <c r="P102" i="1699" s="1"/>
  <c r="O105" i="1699"/>
  <c r="N105" i="1699"/>
  <c r="N102" i="1699" s="1"/>
  <c r="M105" i="1699"/>
  <c r="M102" i="1699" s="1"/>
  <c r="W99" i="1699"/>
  <c r="V99" i="1699"/>
  <c r="U99" i="1699"/>
  <c r="T99" i="1699"/>
  <c r="S99" i="1699"/>
  <c r="R99" i="1699"/>
  <c r="Q99" i="1699"/>
  <c r="P99" i="1699"/>
  <c r="O99" i="1699"/>
  <c r="N99" i="1699"/>
  <c r="M99" i="1699"/>
  <c r="W97" i="1699"/>
  <c r="V97" i="1699"/>
  <c r="U97" i="1699"/>
  <c r="T97" i="1699"/>
  <c r="S97" i="1699"/>
  <c r="R97" i="1699"/>
  <c r="Q97" i="1699"/>
  <c r="P97" i="1699"/>
  <c r="O97" i="1699"/>
  <c r="N97" i="1699"/>
  <c r="M97" i="1699"/>
  <c r="W95" i="1699"/>
  <c r="V95" i="1699"/>
  <c r="U95" i="1699"/>
  <c r="T95" i="1699"/>
  <c r="S95" i="1699"/>
  <c r="R95" i="1699"/>
  <c r="Q95" i="1699"/>
  <c r="P95" i="1699"/>
  <c r="O95" i="1699"/>
  <c r="N95" i="1699"/>
  <c r="M95" i="1699"/>
  <c r="AN93" i="1699"/>
  <c r="AO93" i="1699" s="1"/>
  <c r="AK93" i="1699"/>
  <c r="AJ93" i="1699"/>
  <c r="J93" i="1699"/>
  <c r="B93" i="1699"/>
  <c r="AK92" i="1699"/>
  <c r="AJ92" i="1699"/>
  <c r="I92" i="1699"/>
  <c r="E92" i="1699"/>
  <c r="E93" i="1699" s="1"/>
  <c r="B92" i="1699"/>
  <c r="AF91" i="1699"/>
  <c r="G91" i="1699"/>
  <c r="G92" i="1699" s="1"/>
  <c r="G93" i="1699" s="1"/>
  <c r="C91" i="1699"/>
  <c r="AK90" i="1699"/>
  <c r="AJ90" i="1699"/>
  <c r="B90" i="1699"/>
  <c r="AN89" i="1699"/>
  <c r="AO89" i="1699" s="1"/>
  <c r="AK89" i="1699"/>
  <c r="AJ89" i="1699"/>
  <c r="J89" i="1699"/>
  <c r="B89" i="1699"/>
  <c r="AK88" i="1699"/>
  <c r="AJ88" i="1699"/>
  <c r="I88" i="1699"/>
  <c r="E88" i="1699"/>
  <c r="E89" i="1699" s="1"/>
  <c r="B88" i="1699"/>
  <c r="AF87" i="1699"/>
  <c r="G87" i="1699"/>
  <c r="G88" i="1699" s="1"/>
  <c r="G89" i="1699" s="1"/>
  <c r="C87" i="1699"/>
  <c r="AK86" i="1699"/>
  <c r="AJ86" i="1699"/>
  <c r="B86" i="1699"/>
  <c r="AN85" i="1699"/>
  <c r="AO85" i="1699" s="1"/>
  <c r="AK85" i="1699"/>
  <c r="AJ85" i="1699"/>
  <c r="J85" i="1699"/>
  <c r="B85" i="1699"/>
  <c r="AK84" i="1699"/>
  <c r="AJ84" i="1699"/>
  <c r="I84" i="1699"/>
  <c r="E84" i="1699"/>
  <c r="E85" i="1699" s="1"/>
  <c r="B84" i="1699"/>
  <c r="AF83" i="1699"/>
  <c r="G83" i="1699"/>
  <c r="G84" i="1699" s="1"/>
  <c r="G85" i="1699" s="1"/>
  <c r="C83" i="1699"/>
  <c r="AK82" i="1699"/>
  <c r="AJ82" i="1699"/>
  <c r="B82" i="1699"/>
  <c r="AN81" i="1699"/>
  <c r="AO81" i="1699" s="1"/>
  <c r="AP81" i="1699" s="1"/>
  <c r="AK81" i="1699"/>
  <c r="AJ81" i="1699"/>
  <c r="J81" i="1699"/>
  <c r="G81" i="1699"/>
  <c r="B81" i="1699"/>
  <c r="AK80" i="1699"/>
  <c r="AJ80" i="1699"/>
  <c r="I80" i="1699"/>
  <c r="G80" i="1699"/>
  <c r="E80" i="1699"/>
  <c r="E81" i="1699" s="1"/>
  <c r="B80" i="1699"/>
  <c r="AF79" i="1699"/>
  <c r="G79" i="1699"/>
  <c r="C79" i="1699"/>
  <c r="AK78" i="1699"/>
  <c r="AJ78" i="1699"/>
  <c r="B78" i="1699"/>
  <c r="AN77" i="1699"/>
  <c r="AO77" i="1699" s="1"/>
  <c r="AK77" i="1699"/>
  <c r="AJ77" i="1699"/>
  <c r="J77" i="1699"/>
  <c r="G77" i="1699"/>
  <c r="B77" i="1699"/>
  <c r="AK76" i="1699"/>
  <c r="AJ76" i="1699"/>
  <c r="I76" i="1699"/>
  <c r="G76" i="1699"/>
  <c r="E76" i="1699"/>
  <c r="E77" i="1699" s="1"/>
  <c r="B76" i="1699"/>
  <c r="AF75" i="1699"/>
  <c r="G75" i="1699"/>
  <c r="C75" i="1699"/>
  <c r="AK74" i="1699"/>
  <c r="AJ74" i="1699"/>
  <c r="B74" i="1699"/>
  <c r="AN73" i="1699"/>
  <c r="AO73" i="1699" s="1"/>
  <c r="AK73" i="1699"/>
  <c r="AJ73" i="1699"/>
  <c r="J73" i="1699"/>
  <c r="G73" i="1699"/>
  <c r="B73" i="1699"/>
  <c r="AK72" i="1699"/>
  <c r="AJ72" i="1699"/>
  <c r="I72" i="1699"/>
  <c r="G72" i="1699"/>
  <c r="E72" i="1699"/>
  <c r="E73" i="1699" s="1"/>
  <c r="B72" i="1699"/>
  <c r="AF71" i="1699"/>
  <c r="G71" i="1699"/>
  <c r="C71" i="1699"/>
  <c r="AK70" i="1699"/>
  <c r="AJ70" i="1699"/>
  <c r="B70" i="1699"/>
  <c r="AN69" i="1699"/>
  <c r="AO69" i="1699" s="1"/>
  <c r="AP69" i="1699" s="1"/>
  <c r="AK69" i="1699"/>
  <c r="AJ69" i="1699"/>
  <c r="J69" i="1699"/>
  <c r="G69" i="1699"/>
  <c r="B69" i="1699"/>
  <c r="AK68" i="1699"/>
  <c r="AJ68" i="1699"/>
  <c r="I68" i="1699"/>
  <c r="G68" i="1699"/>
  <c r="E68" i="1699"/>
  <c r="E69" i="1699" s="1"/>
  <c r="B68" i="1699"/>
  <c r="AF67" i="1699"/>
  <c r="G67" i="1699"/>
  <c r="C67" i="1699"/>
  <c r="AK66" i="1699"/>
  <c r="AJ66" i="1699"/>
  <c r="B66" i="1699"/>
  <c r="AN65" i="1699"/>
  <c r="AK65" i="1699"/>
  <c r="AJ65" i="1699"/>
  <c r="J65" i="1699"/>
  <c r="B65" i="1699"/>
  <c r="AK64" i="1699"/>
  <c r="AJ64" i="1699"/>
  <c r="I64" i="1699"/>
  <c r="E64" i="1699"/>
  <c r="E65" i="1699" s="1"/>
  <c r="B64" i="1699"/>
  <c r="AF63" i="1699"/>
  <c r="G63" i="1699"/>
  <c r="G64" i="1699" s="1"/>
  <c r="G65" i="1699" s="1"/>
  <c r="C63" i="1699"/>
  <c r="AK62" i="1699"/>
  <c r="AJ62" i="1699"/>
  <c r="B62" i="1699"/>
  <c r="AN61" i="1699"/>
  <c r="AK61" i="1699"/>
  <c r="AJ61" i="1699"/>
  <c r="J61" i="1699"/>
  <c r="B61" i="1699"/>
  <c r="AK60" i="1699"/>
  <c r="AJ60" i="1699"/>
  <c r="I60" i="1699"/>
  <c r="E60" i="1699"/>
  <c r="E61" i="1699" s="1"/>
  <c r="B60" i="1699"/>
  <c r="AF59" i="1699"/>
  <c r="G59" i="1699"/>
  <c r="G60" i="1699" s="1"/>
  <c r="G61" i="1699" s="1"/>
  <c r="C59" i="1699"/>
  <c r="AK58" i="1699"/>
  <c r="AJ58" i="1699"/>
  <c r="B58" i="1699"/>
  <c r="AN57" i="1699"/>
  <c r="AK57" i="1699"/>
  <c r="AJ57" i="1699"/>
  <c r="J57" i="1699"/>
  <c r="B57" i="1699"/>
  <c r="AK56" i="1699"/>
  <c r="AJ56" i="1699"/>
  <c r="I56" i="1699"/>
  <c r="E56" i="1699"/>
  <c r="E57" i="1699" s="1"/>
  <c r="B56" i="1699"/>
  <c r="AF55" i="1699"/>
  <c r="G55" i="1699"/>
  <c r="G56" i="1699" s="1"/>
  <c r="G57" i="1699" s="1"/>
  <c r="C55" i="1699"/>
  <c r="AK54" i="1699"/>
  <c r="AJ54" i="1699"/>
  <c r="B54" i="1699"/>
  <c r="AN53" i="1699"/>
  <c r="AK53" i="1699"/>
  <c r="AJ53" i="1699"/>
  <c r="J53" i="1699"/>
  <c r="G53" i="1699"/>
  <c r="B53" i="1699"/>
  <c r="AK52" i="1699"/>
  <c r="AJ52" i="1699"/>
  <c r="I52" i="1699"/>
  <c r="G52" i="1699"/>
  <c r="E52" i="1699"/>
  <c r="E53" i="1699" s="1"/>
  <c r="B52" i="1699"/>
  <c r="AF51" i="1699"/>
  <c r="G51" i="1699"/>
  <c r="C51" i="1699"/>
  <c r="AK50" i="1699"/>
  <c r="AJ50" i="1699"/>
  <c r="B50" i="1699"/>
  <c r="AN49" i="1699"/>
  <c r="AK49" i="1699"/>
  <c r="AJ49" i="1699"/>
  <c r="J49" i="1699"/>
  <c r="B49" i="1699"/>
  <c r="AK48" i="1699"/>
  <c r="AJ48" i="1699"/>
  <c r="I48" i="1699"/>
  <c r="E48" i="1699"/>
  <c r="E49" i="1699" s="1"/>
  <c r="B48" i="1699"/>
  <c r="AF47" i="1699"/>
  <c r="AK46" i="1699"/>
  <c r="AJ46" i="1699"/>
  <c r="B46" i="1699"/>
  <c r="AN45" i="1699"/>
  <c r="AO45" i="1699" s="1"/>
  <c r="AK45" i="1699"/>
  <c r="AJ45" i="1699"/>
  <c r="J45" i="1699"/>
  <c r="B45" i="1699"/>
  <c r="AK44" i="1699"/>
  <c r="AJ44" i="1699"/>
  <c r="I44" i="1699"/>
  <c r="E44" i="1699"/>
  <c r="E45" i="1699" s="1"/>
  <c r="B44" i="1699"/>
  <c r="AF43" i="1699"/>
  <c r="G43" i="1699"/>
  <c r="G44" i="1699" s="1"/>
  <c r="G45" i="1699" s="1"/>
  <c r="AK42" i="1699"/>
  <c r="AJ42" i="1699"/>
  <c r="B42" i="1699"/>
  <c r="AN41" i="1699"/>
  <c r="AK41" i="1699"/>
  <c r="AJ41" i="1699"/>
  <c r="J41" i="1699"/>
  <c r="B41" i="1699"/>
  <c r="AK40" i="1699"/>
  <c r="AJ40" i="1699"/>
  <c r="I40" i="1699"/>
  <c r="E40" i="1699"/>
  <c r="E41" i="1699" s="1"/>
  <c r="B40" i="1699"/>
  <c r="AF39" i="1699"/>
  <c r="G39" i="1699"/>
  <c r="G40" i="1699" s="1"/>
  <c r="G41" i="1699" s="1"/>
  <c r="C39" i="1699"/>
  <c r="AK38" i="1699"/>
  <c r="AJ38" i="1699"/>
  <c r="B38" i="1699"/>
  <c r="AN37" i="1699"/>
  <c r="AO37" i="1699" s="1"/>
  <c r="AK37" i="1699"/>
  <c r="AJ37" i="1699"/>
  <c r="G37" i="1699"/>
  <c r="B37" i="1699"/>
  <c r="AK36" i="1699"/>
  <c r="AJ36" i="1699"/>
  <c r="I36" i="1699"/>
  <c r="G36" i="1699"/>
  <c r="E36" i="1699"/>
  <c r="E37" i="1699" s="1"/>
  <c r="B36" i="1699"/>
  <c r="AF35" i="1699"/>
  <c r="G35" i="1699"/>
  <c r="C35" i="1699"/>
  <c r="AK34" i="1699"/>
  <c r="AJ34" i="1699"/>
  <c r="B34" i="1699"/>
  <c r="AN33" i="1699"/>
  <c r="J33" i="1699"/>
  <c r="B33" i="1699"/>
  <c r="I32" i="1699"/>
  <c r="E32" i="1699"/>
  <c r="E33" i="1699" s="1"/>
  <c r="B32" i="1699"/>
  <c r="AF31" i="1699"/>
  <c r="G31" i="1699"/>
  <c r="G32" i="1699" s="1"/>
  <c r="G33" i="1699" s="1"/>
  <c r="C31" i="1699"/>
  <c r="B30" i="1699"/>
  <c r="AN29" i="1699"/>
  <c r="AK29" i="1699"/>
  <c r="AJ29" i="1699"/>
  <c r="J29" i="1699"/>
  <c r="G29" i="1699"/>
  <c r="B29" i="1699"/>
  <c r="AK28" i="1699"/>
  <c r="AJ28" i="1699"/>
  <c r="I28" i="1699"/>
  <c r="G28" i="1699"/>
  <c r="E28" i="1699"/>
  <c r="E29" i="1699" s="1"/>
  <c r="B28" i="1699"/>
  <c r="AF27" i="1699"/>
  <c r="G27" i="1699"/>
  <c r="C27" i="1699"/>
  <c r="AK26" i="1699"/>
  <c r="AJ26" i="1699"/>
  <c r="B26" i="1699"/>
  <c r="AN25" i="1699"/>
  <c r="AO25" i="1699" s="1"/>
  <c r="AK25" i="1699"/>
  <c r="AJ25" i="1699"/>
  <c r="J25" i="1699"/>
  <c r="B25" i="1699"/>
  <c r="AK24" i="1699"/>
  <c r="AJ24" i="1699"/>
  <c r="I24" i="1699"/>
  <c r="E24" i="1699"/>
  <c r="E25" i="1699" s="1"/>
  <c r="B24" i="1699"/>
  <c r="AF23" i="1699"/>
  <c r="C23" i="1699"/>
  <c r="AK22" i="1699"/>
  <c r="AJ22" i="1699"/>
  <c r="B22" i="1699"/>
  <c r="AN21" i="1699"/>
  <c r="AO20" i="1699" s="1"/>
  <c r="AK21" i="1699"/>
  <c r="AJ21" i="1699"/>
  <c r="J21" i="1699"/>
  <c r="B21" i="1699"/>
  <c r="AK20" i="1699"/>
  <c r="AJ20" i="1699"/>
  <c r="I20" i="1699"/>
  <c r="E20" i="1699"/>
  <c r="E21" i="1699" s="1"/>
  <c r="B20" i="1699"/>
  <c r="AF19" i="1699"/>
  <c r="G19" i="1699"/>
  <c r="G20" i="1699" s="1"/>
  <c r="G21" i="1699" s="1"/>
  <c r="C19" i="1699"/>
  <c r="AK18" i="1699"/>
  <c r="AJ18" i="1699"/>
  <c r="B18" i="1699"/>
  <c r="AN17" i="1699"/>
  <c r="AK17" i="1699"/>
  <c r="AJ17" i="1699"/>
  <c r="J17" i="1699"/>
  <c r="G17" i="1699"/>
  <c r="B17" i="1699"/>
  <c r="AK16" i="1699"/>
  <c r="AJ16" i="1699"/>
  <c r="I16" i="1699"/>
  <c r="G16" i="1699"/>
  <c r="E16" i="1699"/>
  <c r="E17" i="1699" s="1"/>
  <c r="B16" i="1699"/>
  <c r="AF15" i="1699"/>
  <c r="G15" i="1699"/>
  <c r="AK14" i="1699"/>
  <c r="AJ14" i="1699"/>
  <c r="B14" i="1699"/>
  <c r="AN13" i="1699"/>
  <c r="AO13" i="1699" s="1"/>
  <c r="AK13" i="1699"/>
  <c r="AJ13" i="1699"/>
  <c r="J13" i="1699"/>
  <c r="G13" i="1699"/>
  <c r="B13" i="1699"/>
  <c r="AK12" i="1699"/>
  <c r="AJ12" i="1699"/>
  <c r="I12" i="1699"/>
  <c r="G12" i="1699"/>
  <c r="B12" i="1699"/>
  <c r="AF11" i="1699"/>
  <c r="G11" i="1699"/>
  <c r="C11" i="1699"/>
  <c r="AK10" i="1699"/>
  <c r="AJ10" i="1699"/>
  <c r="B10" i="1699"/>
  <c r="AN9" i="1699"/>
  <c r="AO8" i="1699" s="1"/>
  <c r="AK9" i="1699"/>
  <c r="AJ9" i="1699"/>
  <c r="G9" i="1699"/>
  <c r="B9" i="1699"/>
  <c r="AK8" i="1699"/>
  <c r="AJ8" i="1699"/>
  <c r="I8" i="1699"/>
  <c r="G8" i="1699"/>
  <c r="E8" i="1699"/>
  <c r="E9" i="1699" s="1"/>
  <c r="B8" i="1699"/>
  <c r="BL7" i="1699"/>
  <c r="BK7" i="1699"/>
  <c r="AF7" i="1699"/>
  <c r="AB7" i="1699"/>
  <c r="AL7" i="1699" s="1"/>
  <c r="G7" i="1699"/>
  <c r="C7" i="1699"/>
  <c r="AK6" i="1699"/>
  <c r="AJ6" i="1699"/>
  <c r="AB6" i="1699"/>
  <c r="AT7" i="1699" s="1"/>
  <c r="B6" i="1699"/>
  <c r="AG4" i="1699"/>
  <c r="B3" i="1699"/>
  <c r="AC74" i="1699" l="1"/>
  <c r="H77" i="1699" s="1"/>
  <c r="AC82" i="1699"/>
  <c r="H85" i="1699" s="1"/>
  <c r="AC30" i="1699"/>
  <c r="AM71" i="1700"/>
  <c r="AJ71" i="1700"/>
  <c r="AI39" i="1699"/>
  <c r="AJ39" i="1699" s="1"/>
  <c r="AK63" i="1700"/>
  <c r="AP45" i="1699"/>
  <c r="AJ47" i="1700"/>
  <c r="AK11" i="1700"/>
  <c r="AP93" i="1699"/>
  <c r="AK47" i="1700"/>
  <c r="AM11" i="1700"/>
  <c r="AH31" i="1699"/>
  <c r="AI67" i="1699"/>
  <c r="AJ67" i="1699" s="1"/>
  <c r="AJ7" i="1700"/>
  <c r="AK39" i="1700"/>
  <c r="AG23" i="1700"/>
  <c r="AY23" i="1700" s="1"/>
  <c r="AK51" i="1700"/>
  <c r="AG31" i="1700"/>
  <c r="AY31" i="1700" s="1"/>
  <c r="AJ31" i="1700"/>
  <c r="AG59" i="1700"/>
  <c r="AY59" i="1700" s="1"/>
  <c r="AM7" i="1700"/>
  <c r="AK55" i="1700"/>
  <c r="AM43" i="1700"/>
  <c r="AJ43" i="1700"/>
  <c r="AM51" i="1700"/>
  <c r="AM31" i="1700"/>
  <c r="AG75" i="1700"/>
  <c r="AY75" i="1700" s="1"/>
  <c r="AM55" i="1700"/>
  <c r="G37" i="1700"/>
  <c r="AM39" i="1700"/>
  <c r="AI15" i="1699"/>
  <c r="AM15" i="1699" s="1"/>
  <c r="AI23" i="1699"/>
  <c r="AJ23" i="1699" s="1"/>
  <c r="AI71" i="1699"/>
  <c r="AK71" i="1699" s="1"/>
  <c r="AJ59" i="1700"/>
  <c r="AJ27" i="1700"/>
  <c r="AM27" i="1700"/>
  <c r="AK59" i="1700"/>
  <c r="AJ19" i="1700"/>
  <c r="AK15" i="1700"/>
  <c r="AJ15" i="1700"/>
  <c r="AM19" i="1700"/>
  <c r="AJ75" i="1700"/>
  <c r="AK75" i="1700"/>
  <c r="AY47" i="1700"/>
  <c r="AG49" i="1700"/>
  <c r="AY27" i="1700"/>
  <c r="AG29" i="1700"/>
  <c r="AY15" i="1700"/>
  <c r="AG17" i="1700"/>
  <c r="AG89" i="1700"/>
  <c r="AY87" i="1700"/>
  <c r="AG85" i="1700"/>
  <c r="AY83" i="1700"/>
  <c r="AK83" i="1700"/>
  <c r="AJ83" i="1700"/>
  <c r="AY39" i="1700"/>
  <c r="AG41" i="1700"/>
  <c r="AG21" i="1700"/>
  <c r="AY19" i="1700"/>
  <c r="AI4" i="1700"/>
  <c r="AL2" i="1700"/>
  <c r="AK95" i="1700"/>
  <c r="AJ95" i="1700"/>
  <c r="AG93" i="1700"/>
  <c r="AY91" i="1700"/>
  <c r="AG71" i="1700"/>
  <c r="H73" i="1700"/>
  <c r="H53" i="1700"/>
  <c r="AG51" i="1700"/>
  <c r="AK91" i="1700"/>
  <c r="AJ91" i="1700"/>
  <c r="H81" i="1700"/>
  <c r="AG79" i="1700"/>
  <c r="AG63" i="1700"/>
  <c r="H65" i="1700"/>
  <c r="AY43" i="1700"/>
  <c r="AG45" i="1700"/>
  <c r="AG35" i="1700"/>
  <c r="H37" i="1700"/>
  <c r="AG13" i="1700"/>
  <c r="AY11" i="1700"/>
  <c r="AY7" i="1700"/>
  <c r="AG9" i="1700"/>
  <c r="AG97" i="1700"/>
  <c r="AY95" i="1700"/>
  <c r="AK87" i="1700"/>
  <c r="AJ87" i="1700"/>
  <c r="AG61" i="1700"/>
  <c r="AJ23" i="1700"/>
  <c r="AK23" i="1700"/>
  <c r="AT4" i="1700"/>
  <c r="AG55" i="1700"/>
  <c r="H57" i="1700"/>
  <c r="AI43" i="1699"/>
  <c r="AM43" i="1699" s="1"/>
  <c r="AI47" i="1699"/>
  <c r="AK47" i="1699" s="1"/>
  <c r="X23" i="1699"/>
  <c r="X87" i="1699"/>
  <c r="AP89" i="1699"/>
  <c r="AI27" i="1699"/>
  <c r="AM27" i="1699" s="1"/>
  <c r="AP13" i="1699"/>
  <c r="X56" i="1699"/>
  <c r="AA54" i="1699" s="1"/>
  <c r="AH91" i="1699"/>
  <c r="AH59" i="1699"/>
  <c r="AH63" i="1699"/>
  <c r="AI59" i="1699"/>
  <c r="AK59" i="1699" s="1"/>
  <c r="AP8" i="1699"/>
  <c r="X52" i="1699"/>
  <c r="AA50" i="1699" s="1"/>
  <c r="AO76" i="1699"/>
  <c r="AP76" i="1699" s="1"/>
  <c r="AL87" i="1699"/>
  <c r="X32" i="1699"/>
  <c r="AA30" i="1699" s="1"/>
  <c r="AA69" i="1699"/>
  <c r="X40" i="1699"/>
  <c r="AA38" i="1699" s="1"/>
  <c r="X44" i="1699"/>
  <c r="AA42" i="1699" s="1"/>
  <c r="X60" i="1699"/>
  <c r="AA58" i="1699" s="1"/>
  <c r="X68" i="1699"/>
  <c r="AA66" i="1699" s="1"/>
  <c r="AT23" i="1699"/>
  <c r="X22" i="1699" s="1"/>
  <c r="X26" i="1699"/>
  <c r="AC46" i="1699"/>
  <c r="X46" i="1699"/>
  <c r="X86" i="1699"/>
  <c r="X50" i="1699"/>
  <c r="X12" i="1699"/>
  <c r="AA10" i="1699" s="1"/>
  <c r="X76" i="1699"/>
  <c r="AA74" i="1699" s="1"/>
  <c r="X80" i="1699"/>
  <c r="AA78" i="1699" s="1"/>
  <c r="X84" i="1699"/>
  <c r="AA82" i="1699" s="1"/>
  <c r="X16" i="1699"/>
  <c r="AA14" i="1699" s="1"/>
  <c r="X28" i="1699"/>
  <c r="AA26" i="1699" s="1"/>
  <c r="X20" i="1699"/>
  <c r="AA18" i="1699" s="1"/>
  <c r="X88" i="1699"/>
  <c r="AA86" i="1699" s="1"/>
  <c r="AI35" i="1699"/>
  <c r="AJ35" i="1699" s="1"/>
  <c r="AH39" i="1699"/>
  <c r="AH55" i="1699"/>
  <c r="AI63" i="1699"/>
  <c r="AK63" i="1699" s="1"/>
  <c r="AI75" i="1699"/>
  <c r="AJ75" i="1699" s="1"/>
  <c r="AI79" i="1699"/>
  <c r="AK79" i="1699" s="1"/>
  <c r="AI83" i="1699"/>
  <c r="AK83" i="1699" s="1"/>
  <c r="AH87" i="1699"/>
  <c r="AI91" i="1699"/>
  <c r="AJ91" i="1699" s="1"/>
  <c r="X31" i="1699"/>
  <c r="X11" i="1699"/>
  <c r="X27" i="1699"/>
  <c r="X35" i="1699"/>
  <c r="X39" i="1699"/>
  <c r="X43" i="1699"/>
  <c r="X51" i="1699"/>
  <c r="X55" i="1699"/>
  <c r="X59" i="1699"/>
  <c r="X63" i="1699"/>
  <c r="X91" i="1699"/>
  <c r="AO9" i="1699"/>
  <c r="AP9" i="1699" s="1"/>
  <c r="X15" i="1699"/>
  <c r="X48" i="1699"/>
  <c r="AA46" i="1699" s="1"/>
  <c r="X64" i="1699"/>
  <c r="AA62" i="1699" s="1"/>
  <c r="X71" i="1699"/>
  <c r="X79" i="1699"/>
  <c r="AO41" i="1699"/>
  <c r="AP41" i="1699" s="1"/>
  <c r="AO52" i="1699"/>
  <c r="AP52" i="1699" s="1"/>
  <c r="AO53" i="1699"/>
  <c r="AP53" i="1699" s="1"/>
  <c r="X36" i="1699"/>
  <c r="AA34" i="1699" s="1"/>
  <c r="X72" i="1699"/>
  <c r="AA70" i="1699" s="1"/>
  <c r="X92" i="1699"/>
  <c r="AA90" i="1699" s="1"/>
  <c r="X54" i="1699"/>
  <c r="AO40" i="1699"/>
  <c r="AP40" i="1699" s="1"/>
  <c r="AL43" i="1699"/>
  <c r="AL59" i="1699"/>
  <c r="AL67" i="1699"/>
  <c r="AA77" i="1699"/>
  <c r="AC87" i="1699"/>
  <c r="X24" i="1699"/>
  <c r="AA22" i="1699" s="1"/>
  <c r="X83" i="1699"/>
  <c r="AL19" i="1699"/>
  <c r="AO24" i="1699"/>
  <c r="AP24" i="1699" s="1"/>
  <c r="AC67" i="1699"/>
  <c r="AG67" i="1699" s="1"/>
  <c r="AO72" i="1699"/>
  <c r="AP72" i="1699" s="1"/>
  <c r="AI7" i="1699"/>
  <c r="AK7" i="1699" s="1"/>
  <c r="AL83" i="1699"/>
  <c r="AL35" i="1699"/>
  <c r="AL63" i="1699"/>
  <c r="AL55" i="1699"/>
  <c r="AL47" i="1699"/>
  <c r="AC11" i="1699"/>
  <c r="X14" i="1699"/>
  <c r="X30" i="1699"/>
  <c r="X78" i="1699"/>
  <c r="AO12" i="1699"/>
  <c r="AP12" i="1699" s="1"/>
  <c r="AO36" i="1699"/>
  <c r="AP36" i="1699" s="1"/>
  <c r="AO68" i="1699"/>
  <c r="AP68" i="1699" s="1"/>
  <c r="AC79" i="1699"/>
  <c r="AA97" i="1699"/>
  <c r="AC6" i="1699"/>
  <c r="H9" i="1699" s="1"/>
  <c r="X74" i="1699"/>
  <c r="AA95" i="1699"/>
  <c r="X8" i="1699"/>
  <c r="AA6" i="1699" s="1"/>
  <c r="AP37" i="1699"/>
  <c r="AK39" i="1699"/>
  <c r="AC43" i="1699"/>
  <c r="AG43" i="1699" s="1"/>
  <c r="AI51" i="1699"/>
  <c r="AM51" i="1699" s="1"/>
  <c r="AC59" i="1699"/>
  <c r="AC63" i="1699"/>
  <c r="AH67" i="1699"/>
  <c r="AC71" i="1699"/>
  <c r="AG71" i="1699" s="1"/>
  <c r="AH71" i="1699"/>
  <c r="AP73" i="1699"/>
  <c r="AH75" i="1699"/>
  <c r="AC78" i="1699"/>
  <c r="H81" i="1699" s="1"/>
  <c r="AC83" i="1699"/>
  <c r="AG83" i="1699" s="1"/>
  <c r="AL75" i="1699"/>
  <c r="AB4" i="1699"/>
  <c r="AC14" i="1699"/>
  <c r="AP20" i="1699"/>
  <c r="AC15" i="1699"/>
  <c r="AH19" i="1699"/>
  <c r="AC22" i="1699"/>
  <c r="H25" i="1699" s="1"/>
  <c r="AM23" i="1699"/>
  <c r="AC7" i="1699"/>
  <c r="AC19" i="1699"/>
  <c r="AG19" i="1699" s="1"/>
  <c r="AC23" i="1699"/>
  <c r="AP25" i="1699"/>
  <c r="AC27" i="1699"/>
  <c r="AH27" i="1699"/>
  <c r="AC31" i="1699"/>
  <c r="AG31" i="1699" s="1"/>
  <c r="AI55" i="1699"/>
  <c r="AK75" i="1699"/>
  <c r="AP77" i="1699"/>
  <c r="AH79" i="1699"/>
  <c r="AH83" i="1699"/>
  <c r="AP85" i="1699"/>
  <c r="AC91" i="1699"/>
  <c r="AG91" i="1699" s="1"/>
  <c r="P108" i="1699"/>
  <c r="T108" i="1699"/>
  <c r="AA25" i="1699"/>
  <c r="H33" i="1699"/>
  <c r="X6" i="1699"/>
  <c r="X7" i="1699"/>
  <c r="AL11" i="1699"/>
  <c r="AA13" i="1699"/>
  <c r="AO21" i="1699"/>
  <c r="AP21" i="1699" s="1"/>
  <c r="AC26" i="1699"/>
  <c r="AO29" i="1699"/>
  <c r="AP29" i="1699" s="1"/>
  <c r="AO28" i="1699"/>
  <c r="AP28" i="1699" s="1"/>
  <c r="AH35" i="1699"/>
  <c r="H45" i="1699"/>
  <c r="H49" i="1699"/>
  <c r="AO57" i="1699"/>
  <c r="AP57" i="1699" s="1"/>
  <c r="AO56" i="1699"/>
  <c r="AP56" i="1699" s="1"/>
  <c r="AC62" i="1699"/>
  <c r="X62" i="1699"/>
  <c r="AO65" i="1699"/>
  <c r="AP65" i="1699" s="1"/>
  <c r="AO64" i="1699"/>
  <c r="AP64" i="1699" s="1"/>
  <c r="AH7" i="1699"/>
  <c r="AH11" i="1699"/>
  <c r="AI19" i="1699"/>
  <c r="AL23" i="1699"/>
  <c r="AC35" i="1699"/>
  <c r="AA37" i="1699"/>
  <c r="AH47" i="1699"/>
  <c r="AC51" i="1699"/>
  <c r="AG51" i="1699" s="1"/>
  <c r="AH51" i="1699"/>
  <c r="AL51" i="1699"/>
  <c r="AI11" i="1699"/>
  <c r="AM11" i="1699" s="1"/>
  <c r="AH15" i="1699"/>
  <c r="AO17" i="1699"/>
  <c r="AP17" i="1699" s="1"/>
  <c r="AO16" i="1699"/>
  <c r="AP16" i="1699" s="1"/>
  <c r="AH23" i="1699"/>
  <c r="AC58" i="1699"/>
  <c r="X58" i="1699"/>
  <c r="AO61" i="1699"/>
  <c r="AP61" i="1699" s="1"/>
  <c r="AO60" i="1699"/>
  <c r="AP60" i="1699" s="1"/>
  <c r="H73" i="1699"/>
  <c r="X10" i="1699"/>
  <c r="AC10" i="1699"/>
  <c r="AM39" i="1699"/>
  <c r="AC39" i="1699"/>
  <c r="AJ43" i="1699"/>
  <c r="AK43" i="1699"/>
  <c r="AC47" i="1699"/>
  <c r="AG47" i="1699" s="1"/>
  <c r="AO49" i="1699"/>
  <c r="AP49" i="1699" s="1"/>
  <c r="AO48" i="1699"/>
  <c r="AP48" i="1699" s="1"/>
  <c r="H69" i="1699"/>
  <c r="AC34" i="1699"/>
  <c r="AC38" i="1699"/>
  <c r="AO44" i="1699"/>
  <c r="AP44" i="1699" s="1"/>
  <c r="AC55" i="1699"/>
  <c r="AG55" i="1699" s="1"/>
  <c r="AM67" i="1699"/>
  <c r="AC75" i="1699"/>
  <c r="AG75" i="1699" s="1"/>
  <c r="AI87" i="1699"/>
  <c r="H93" i="1699"/>
  <c r="AK91" i="1699"/>
  <c r="N108" i="1699"/>
  <c r="R108" i="1699"/>
  <c r="V108" i="1699"/>
  <c r="AH43" i="1699"/>
  <c r="U108" i="1699"/>
  <c r="O102" i="1699"/>
  <c r="O108" i="1699" s="1"/>
  <c r="S102" i="1699"/>
  <c r="S108" i="1699" s="1"/>
  <c r="W102" i="1699"/>
  <c r="W108" i="1699" s="1"/>
  <c r="AC86" i="1699"/>
  <c r="Q108" i="1699"/>
  <c r="M108" i="1699"/>
  <c r="AO92" i="1699"/>
  <c r="AP92" i="1699" s="1"/>
  <c r="AO80" i="1699"/>
  <c r="AP80" i="1699" s="1"/>
  <c r="AO84" i="1699"/>
  <c r="AP84" i="1699" s="1"/>
  <c r="AO88" i="1699"/>
  <c r="AP88" i="1699" s="1"/>
  <c r="Q16" i="1698"/>
  <c r="O16" i="1698"/>
  <c r="J16" i="1698"/>
  <c r="H16" i="1698"/>
  <c r="D16" i="1698"/>
  <c r="V26" i="1585"/>
  <c r="B14" i="1692"/>
  <c r="B13" i="1692"/>
  <c r="AJ15" i="1699" l="1"/>
  <c r="AK15" i="1699"/>
  <c r="AM71" i="1699"/>
  <c r="AK67" i="1699"/>
  <c r="AK23" i="1699"/>
  <c r="AG25" i="1700"/>
  <c r="AG33" i="1700"/>
  <c r="AJ71" i="1699"/>
  <c r="AJ79" i="1699"/>
  <c r="AG77" i="1700"/>
  <c r="AJ47" i="1699"/>
  <c r="AM47" i="1699"/>
  <c r="AK2" i="1700"/>
  <c r="AG2" i="1700" s="1"/>
  <c r="AG81" i="1700"/>
  <c r="AY79" i="1700"/>
  <c r="AG53" i="1700"/>
  <c r="AY51" i="1700"/>
  <c r="AY55" i="1700"/>
  <c r="AG57" i="1700"/>
  <c r="AG37" i="1700"/>
  <c r="AY35" i="1700"/>
  <c r="AY63" i="1700"/>
  <c r="AG65" i="1700"/>
  <c r="AY71" i="1700"/>
  <c r="AG73" i="1700"/>
  <c r="AK27" i="1699"/>
  <c r="AJ27" i="1699"/>
  <c r="AM59" i="1699"/>
  <c r="AJ59" i="1699"/>
  <c r="AM91" i="1699"/>
  <c r="AM79" i="1699"/>
  <c r="AM75" i="1699"/>
  <c r="AM63" i="1699"/>
  <c r="AJ63" i="1699"/>
  <c r="AM35" i="1699"/>
  <c r="AJ7" i="1699"/>
  <c r="AM7" i="1699"/>
  <c r="AM83" i="1699"/>
  <c r="AJ83" i="1699"/>
  <c r="AK35" i="1699"/>
  <c r="AG79" i="1699"/>
  <c r="AG81" i="1699" s="1"/>
  <c r="AG7" i="1699"/>
  <c r="AY7" i="1699" s="1"/>
  <c r="AG15" i="1699"/>
  <c r="AG17" i="1699" s="1"/>
  <c r="H17" i="1699"/>
  <c r="AJ55" i="1699"/>
  <c r="AK55" i="1699"/>
  <c r="AJ51" i="1699"/>
  <c r="AK51" i="1699"/>
  <c r="AY79" i="1699"/>
  <c r="AL2" i="1699"/>
  <c r="AG23" i="1699"/>
  <c r="AM55" i="1699"/>
  <c r="AG77" i="1699"/>
  <c r="AY75" i="1699"/>
  <c r="AG57" i="1699"/>
  <c r="AY55" i="1699"/>
  <c r="AG49" i="1699"/>
  <c r="AY47" i="1699"/>
  <c r="AK87" i="1699"/>
  <c r="AM87" i="1699"/>
  <c r="AJ87" i="1699"/>
  <c r="AY43" i="1699"/>
  <c r="AG45" i="1699"/>
  <c r="H13" i="1699"/>
  <c r="AG11" i="1699"/>
  <c r="H65" i="1699"/>
  <c r="AG63" i="1699"/>
  <c r="H29" i="1699"/>
  <c r="AG27" i="1699"/>
  <c r="AG93" i="1699"/>
  <c r="AY91" i="1699"/>
  <c r="AG53" i="1699"/>
  <c r="AY51" i="1699"/>
  <c r="H41" i="1699"/>
  <c r="AG39" i="1699"/>
  <c r="AJ11" i="1699"/>
  <c r="AK11" i="1699"/>
  <c r="AG9" i="1699"/>
  <c r="AT4" i="1699"/>
  <c r="AG87" i="1699"/>
  <c r="H89" i="1699"/>
  <c r="AG85" i="1699"/>
  <c r="AY83" i="1699"/>
  <c r="H37" i="1699"/>
  <c r="AG35" i="1699"/>
  <c r="H61" i="1699"/>
  <c r="AG59" i="1699"/>
  <c r="AK19" i="1699"/>
  <c r="AJ19" i="1699"/>
  <c r="AM19" i="1699"/>
  <c r="AI4" i="1699"/>
  <c r="AG69" i="1699"/>
  <c r="AY67" i="1699"/>
  <c r="AG73" i="1699"/>
  <c r="AY71" i="1699"/>
  <c r="AY19" i="1699"/>
  <c r="AG21" i="1699"/>
  <c r="AY31" i="1699"/>
  <c r="AG33" i="1699"/>
  <c r="B16" i="1698"/>
  <c r="G53" i="1697"/>
  <c r="G52" i="1697"/>
  <c r="G51" i="1697"/>
  <c r="F13" i="1692"/>
  <c r="F14" i="1692"/>
  <c r="V25" i="1585"/>
  <c r="M13" i="1692" l="1"/>
  <c r="T13" i="1692"/>
  <c r="I13" i="1692"/>
  <c r="K13" i="1692"/>
  <c r="L13" i="1692"/>
  <c r="S13" i="1692"/>
  <c r="R13" i="1692"/>
  <c r="P13" i="1692"/>
  <c r="T14" i="1692"/>
  <c r="W14" i="1692" s="1"/>
  <c r="P14" i="1692"/>
  <c r="I14" i="1692"/>
  <c r="L14" i="1692"/>
  <c r="S14" i="1692"/>
  <c r="R14" i="1692"/>
  <c r="M14" i="1692"/>
  <c r="K14" i="1692"/>
  <c r="AK2" i="1699"/>
  <c r="AG2" i="1699" s="1"/>
  <c r="AY15" i="1699"/>
  <c r="AG25" i="1699"/>
  <c r="AY23" i="1699"/>
  <c r="AG89" i="1699"/>
  <c r="AY87" i="1699"/>
  <c r="AG61" i="1699"/>
  <c r="AY59" i="1699"/>
  <c r="AG29" i="1699"/>
  <c r="AY27" i="1699"/>
  <c r="AG13" i="1699"/>
  <c r="AY11" i="1699"/>
  <c r="AY39" i="1699"/>
  <c r="AG41" i="1699"/>
  <c r="AY35" i="1699"/>
  <c r="AG37" i="1699"/>
  <c r="AG65" i="1699"/>
  <c r="AY63" i="1699"/>
  <c r="L12" i="1698"/>
  <c r="K12" i="1698"/>
  <c r="R12" i="1698"/>
  <c r="I12" i="1698"/>
  <c r="P12" i="1698"/>
  <c r="P8" i="1698"/>
  <c r="I8" i="1698"/>
  <c r="M8" i="1698"/>
  <c r="S8" i="1698"/>
  <c r="L8" i="1698"/>
  <c r="R8" i="1698"/>
  <c r="K8" i="1698"/>
  <c r="T8" i="1698"/>
  <c r="L6" i="1698"/>
  <c r="K6" i="1698"/>
  <c r="P6" i="1698"/>
  <c r="I6" i="1698"/>
  <c r="T6" i="1698"/>
  <c r="M6" i="1698"/>
  <c r="F16" i="1698"/>
  <c r="S6" i="1698"/>
  <c r="R6" i="1698"/>
  <c r="P13" i="1698"/>
  <c r="T13" i="1698"/>
  <c r="M13" i="1698"/>
  <c r="S13" i="1698"/>
  <c r="L13" i="1698"/>
  <c r="R13" i="1698"/>
  <c r="K13" i="1698"/>
  <c r="I13" i="1698"/>
  <c r="L14" i="1698"/>
  <c r="I14" i="1698"/>
  <c r="M14" i="1698"/>
  <c r="T7" i="1698"/>
  <c r="S7" i="1698"/>
  <c r="R7" i="1698"/>
  <c r="K7" i="1698"/>
  <c r="P7" i="1698"/>
  <c r="I7" i="1698"/>
  <c r="M7" i="1698"/>
  <c r="L7" i="1698"/>
  <c r="I11" i="1698"/>
  <c r="T11" i="1698"/>
  <c r="M11" i="1698"/>
  <c r="S11" i="1698"/>
  <c r="L11" i="1698"/>
  <c r="R11" i="1698"/>
  <c r="K11" i="1698"/>
  <c r="P11" i="1698"/>
  <c r="P10" i="1698"/>
  <c r="I10" i="1698"/>
  <c r="S10" i="1698"/>
  <c r="L10" i="1698"/>
  <c r="R10" i="1698"/>
  <c r="K10" i="1698"/>
  <c r="T10" i="1698"/>
  <c r="M10" i="1698"/>
  <c r="R9" i="1698"/>
  <c r="I9" i="1698"/>
  <c r="M9" i="1698"/>
  <c r="L9" i="1698"/>
  <c r="K9" i="1698"/>
  <c r="P9" i="1698"/>
  <c r="AB93" i="1697"/>
  <c r="AB92" i="1697"/>
  <c r="AB91" i="1697"/>
  <c r="AL91" i="1697" s="1"/>
  <c r="AB90" i="1697"/>
  <c r="X90" i="1697" s="1"/>
  <c r="AB89" i="1697"/>
  <c r="AB88" i="1697"/>
  <c r="AB87" i="1697"/>
  <c r="AL87" i="1697" s="1"/>
  <c r="AB86" i="1697"/>
  <c r="AC86" i="1697" s="1"/>
  <c r="AB85" i="1697"/>
  <c r="AB84" i="1697"/>
  <c r="AB83" i="1697"/>
  <c r="AB82" i="1697"/>
  <c r="AB81" i="1697"/>
  <c r="AB80" i="1697"/>
  <c r="AB79" i="1697"/>
  <c r="AL79" i="1697" s="1"/>
  <c r="AB78" i="1697"/>
  <c r="AT79" i="1697" s="1"/>
  <c r="X78" i="1697" s="1"/>
  <c r="AB77" i="1697"/>
  <c r="AB76" i="1697"/>
  <c r="AB75" i="1697"/>
  <c r="X75" i="1697" s="1"/>
  <c r="AB74" i="1697"/>
  <c r="AB73" i="1697"/>
  <c r="AB72" i="1697"/>
  <c r="AB71" i="1697"/>
  <c r="AL71" i="1697" s="1"/>
  <c r="AB70" i="1697"/>
  <c r="X70" i="1697" s="1"/>
  <c r="AB69" i="1697"/>
  <c r="AB68" i="1697"/>
  <c r="AB67" i="1697"/>
  <c r="X67" i="1697" s="1"/>
  <c r="AB66" i="1697"/>
  <c r="X66" i="1697" s="1"/>
  <c r="AB65" i="1697"/>
  <c r="AB64" i="1697"/>
  <c r="AB63" i="1697"/>
  <c r="AL63" i="1697" s="1"/>
  <c r="AB62" i="1697"/>
  <c r="AT63" i="1697" s="1"/>
  <c r="AB61" i="1697"/>
  <c r="AB60" i="1697"/>
  <c r="AB59" i="1697"/>
  <c r="AB58" i="1697"/>
  <c r="AT59" i="1697" s="1"/>
  <c r="X58" i="1697" s="1"/>
  <c r="AB57" i="1697"/>
  <c r="AB56" i="1697"/>
  <c r="AB55" i="1697"/>
  <c r="AL55" i="1697" s="1"/>
  <c r="AB54" i="1697"/>
  <c r="AT55" i="1697" s="1"/>
  <c r="AB53" i="1697"/>
  <c r="AB52" i="1697"/>
  <c r="AB51" i="1697"/>
  <c r="AL51" i="1697" s="1"/>
  <c r="AB50" i="1697"/>
  <c r="AT51" i="1697" s="1"/>
  <c r="AB49" i="1697"/>
  <c r="AB48" i="1697"/>
  <c r="AB47" i="1697"/>
  <c r="X47" i="1697" s="1"/>
  <c r="AB46" i="1697"/>
  <c r="AT47" i="1697" s="1"/>
  <c r="AB45" i="1697"/>
  <c r="AB44" i="1697"/>
  <c r="AB43" i="1697"/>
  <c r="AB42" i="1697"/>
  <c r="X42" i="1697" s="1"/>
  <c r="AB41" i="1697"/>
  <c r="AB40" i="1697"/>
  <c r="AB39" i="1697"/>
  <c r="AB38" i="1697"/>
  <c r="AT39" i="1697" s="1"/>
  <c r="X38" i="1697" s="1"/>
  <c r="AB37" i="1697"/>
  <c r="AB36" i="1697"/>
  <c r="AB35" i="1697"/>
  <c r="AB34" i="1697"/>
  <c r="AB33" i="1697"/>
  <c r="AB32" i="1697"/>
  <c r="AB31" i="1697"/>
  <c r="AB30" i="1697"/>
  <c r="AT31" i="1697" s="1"/>
  <c r="X30" i="1697" s="1"/>
  <c r="AB29" i="1697"/>
  <c r="AB28" i="1697"/>
  <c r="AB27" i="1697"/>
  <c r="AB26" i="1697"/>
  <c r="AC26" i="1697" s="1"/>
  <c r="AB25" i="1697"/>
  <c r="AB24" i="1697"/>
  <c r="AB23" i="1697"/>
  <c r="AB22" i="1697"/>
  <c r="AT23" i="1697" s="1"/>
  <c r="AB21" i="1697"/>
  <c r="AB20" i="1697"/>
  <c r="AB19" i="1697"/>
  <c r="AB18" i="1697"/>
  <c r="X18" i="1697" s="1"/>
  <c r="AB17" i="1697"/>
  <c r="AB16" i="1697"/>
  <c r="AB15" i="1697"/>
  <c r="AB14" i="1697"/>
  <c r="AB13" i="1697"/>
  <c r="AB12" i="1697"/>
  <c r="AB11" i="1697"/>
  <c r="AB10" i="1697"/>
  <c r="AT11" i="1697" s="1"/>
  <c r="AB9" i="1697"/>
  <c r="AB8" i="1697"/>
  <c r="AB7" i="1697"/>
  <c r="AB6" i="1697"/>
  <c r="W105" i="1697"/>
  <c r="V105" i="1697"/>
  <c r="V102" i="1697" s="1"/>
  <c r="U105" i="1697"/>
  <c r="U102" i="1697" s="1"/>
  <c r="T105" i="1697"/>
  <c r="T102" i="1697" s="1"/>
  <c r="S105" i="1697"/>
  <c r="R105" i="1697"/>
  <c r="Q105" i="1697"/>
  <c r="Q102" i="1697" s="1"/>
  <c r="P105" i="1697"/>
  <c r="P102" i="1697" s="1"/>
  <c r="O105" i="1697"/>
  <c r="N105" i="1697"/>
  <c r="N102" i="1697" s="1"/>
  <c r="M105" i="1697"/>
  <c r="M102" i="1697" s="1"/>
  <c r="W99" i="1697"/>
  <c r="V99" i="1697"/>
  <c r="U99" i="1697"/>
  <c r="T99" i="1697"/>
  <c r="S99" i="1697"/>
  <c r="R99" i="1697"/>
  <c r="Q99" i="1697"/>
  <c r="P99" i="1697"/>
  <c r="O99" i="1697"/>
  <c r="N99" i="1697"/>
  <c r="M99" i="1697"/>
  <c r="W97" i="1697"/>
  <c r="V97" i="1697"/>
  <c r="U97" i="1697"/>
  <c r="T97" i="1697"/>
  <c r="S97" i="1697"/>
  <c r="R97" i="1697"/>
  <c r="Q97" i="1697"/>
  <c r="P97" i="1697"/>
  <c r="O97" i="1697"/>
  <c r="N97" i="1697"/>
  <c r="M97" i="1697"/>
  <c r="W95" i="1697"/>
  <c r="V95" i="1697"/>
  <c r="U95" i="1697"/>
  <c r="T95" i="1697"/>
  <c r="S95" i="1697"/>
  <c r="R95" i="1697"/>
  <c r="Q95" i="1697"/>
  <c r="P95" i="1697"/>
  <c r="O95" i="1697"/>
  <c r="N95" i="1697"/>
  <c r="M95" i="1697"/>
  <c r="AN93" i="1697"/>
  <c r="AK93" i="1697"/>
  <c r="AJ93" i="1697"/>
  <c r="J93" i="1697"/>
  <c r="B93" i="1697"/>
  <c r="AK92" i="1697"/>
  <c r="AJ92" i="1697"/>
  <c r="I92" i="1697"/>
  <c r="E92" i="1697"/>
  <c r="E93" i="1697" s="1"/>
  <c r="B92" i="1697"/>
  <c r="AF91" i="1697"/>
  <c r="G91" i="1697"/>
  <c r="G92" i="1697" s="1"/>
  <c r="G93" i="1697" s="1"/>
  <c r="C91" i="1697"/>
  <c r="AK90" i="1697"/>
  <c r="AJ90" i="1697"/>
  <c r="AC90" i="1697"/>
  <c r="B90" i="1697"/>
  <c r="AN89" i="1697"/>
  <c r="AO89" i="1697" s="1"/>
  <c r="AK89" i="1697"/>
  <c r="AJ89" i="1697"/>
  <c r="J89" i="1697"/>
  <c r="B89" i="1697"/>
  <c r="AK88" i="1697"/>
  <c r="AJ88" i="1697"/>
  <c r="I88" i="1697"/>
  <c r="E88" i="1697"/>
  <c r="E89" i="1697" s="1"/>
  <c r="B88" i="1697"/>
  <c r="AF87" i="1697"/>
  <c r="G87" i="1697"/>
  <c r="G88" i="1697" s="1"/>
  <c r="G89" i="1697" s="1"/>
  <c r="C87" i="1697"/>
  <c r="AK86" i="1697"/>
  <c r="AJ86" i="1697"/>
  <c r="B86" i="1697"/>
  <c r="AN85" i="1697"/>
  <c r="AK85" i="1697"/>
  <c r="AJ85" i="1697"/>
  <c r="J85" i="1697"/>
  <c r="B85" i="1697"/>
  <c r="AK84" i="1697"/>
  <c r="AJ84" i="1697"/>
  <c r="I84" i="1697"/>
  <c r="E84" i="1697"/>
  <c r="E85" i="1697" s="1"/>
  <c r="B84" i="1697"/>
  <c r="AF83" i="1697"/>
  <c r="G83" i="1697"/>
  <c r="G84" i="1697" s="1"/>
  <c r="G85" i="1697" s="1"/>
  <c r="C83" i="1697"/>
  <c r="AK82" i="1697"/>
  <c r="AJ82" i="1697"/>
  <c r="B82" i="1697"/>
  <c r="AN81" i="1697"/>
  <c r="AK81" i="1697"/>
  <c r="AJ81" i="1697"/>
  <c r="J81" i="1697"/>
  <c r="G81" i="1697"/>
  <c r="B81" i="1697"/>
  <c r="AK80" i="1697"/>
  <c r="AJ80" i="1697"/>
  <c r="I80" i="1697"/>
  <c r="G80" i="1697"/>
  <c r="E80" i="1697"/>
  <c r="E81" i="1697" s="1"/>
  <c r="B80" i="1697"/>
  <c r="AF79" i="1697"/>
  <c r="G79" i="1697"/>
  <c r="C79" i="1697"/>
  <c r="AK78" i="1697"/>
  <c r="AJ78" i="1697"/>
  <c r="B78" i="1697"/>
  <c r="AN77" i="1697"/>
  <c r="AO77" i="1697" s="1"/>
  <c r="AP77" i="1697" s="1"/>
  <c r="AK77" i="1697"/>
  <c r="AJ77" i="1697"/>
  <c r="J77" i="1697"/>
  <c r="G77" i="1697"/>
  <c r="B77" i="1697"/>
  <c r="AK76" i="1697"/>
  <c r="AJ76" i="1697"/>
  <c r="I76" i="1697"/>
  <c r="G76" i="1697"/>
  <c r="E76" i="1697"/>
  <c r="E77" i="1697" s="1"/>
  <c r="B76" i="1697"/>
  <c r="AF75" i="1697"/>
  <c r="G75" i="1697"/>
  <c r="C75" i="1697"/>
  <c r="AK74" i="1697"/>
  <c r="AJ74" i="1697"/>
  <c r="B74" i="1697"/>
  <c r="AN73" i="1697"/>
  <c r="AK73" i="1697"/>
  <c r="AJ73" i="1697"/>
  <c r="J73" i="1697"/>
  <c r="G73" i="1697"/>
  <c r="B73" i="1697"/>
  <c r="AK72" i="1697"/>
  <c r="AJ72" i="1697"/>
  <c r="I72" i="1697"/>
  <c r="G72" i="1697"/>
  <c r="E72" i="1697"/>
  <c r="E73" i="1697" s="1"/>
  <c r="B72" i="1697"/>
  <c r="AF71" i="1697"/>
  <c r="G71" i="1697"/>
  <c r="C71" i="1697"/>
  <c r="AK70" i="1697"/>
  <c r="AJ70" i="1697"/>
  <c r="AC70" i="1697"/>
  <c r="B70" i="1697"/>
  <c r="AN69" i="1697"/>
  <c r="AO69" i="1697" s="1"/>
  <c r="AK69" i="1697"/>
  <c r="AJ69" i="1697"/>
  <c r="J69" i="1697"/>
  <c r="G69" i="1697"/>
  <c r="B69" i="1697"/>
  <c r="AK68" i="1697"/>
  <c r="AJ68" i="1697"/>
  <c r="I68" i="1697"/>
  <c r="G68" i="1697"/>
  <c r="E68" i="1697"/>
  <c r="E69" i="1697" s="1"/>
  <c r="B68" i="1697"/>
  <c r="AF67" i="1697"/>
  <c r="G67" i="1697"/>
  <c r="C67" i="1697"/>
  <c r="AK66" i="1697"/>
  <c r="AJ66" i="1697"/>
  <c r="AC66" i="1697"/>
  <c r="H69" i="1697" s="1"/>
  <c r="B66" i="1697"/>
  <c r="AN65" i="1697"/>
  <c r="AO64" i="1697" s="1"/>
  <c r="AK65" i="1697"/>
  <c r="AJ65" i="1697"/>
  <c r="J65" i="1697"/>
  <c r="B65" i="1697"/>
  <c r="AK64" i="1697"/>
  <c r="AJ64" i="1697"/>
  <c r="I64" i="1697"/>
  <c r="E64" i="1697"/>
  <c r="E65" i="1697" s="1"/>
  <c r="B64" i="1697"/>
  <c r="AF63" i="1697"/>
  <c r="G63" i="1697"/>
  <c r="G64" i="1697" s="1"/>
  <c r="G65" i="1697" s="1"/>
  <c r="C63" i="1697"/>
  <c r="AK62" i="1697"/>
  <c r="AJ62" i="1697"/>
  <c r="B62" i="1697"/>
  <c r="AN61" i="1697"/>
  <c r="AO61" i="1697" s="1"/>
  <c r="AK61" i="1697"/>
  <c r="AJ61" i="1697"/>
  <c r="J61" i="1697"/>
  <c r="B61" i="1697"/>
  <c r="AK60" i="1697"/>
  <c r="AJ60" i="1697"/>
  <c r="I60" i="1697"/>
  <c r="E60" i="1697"/>
  <c r="E61" i="1697" s="1"/>
  <c r="B60" i="1697"/>
  <c r="AF59" i="1697"/>
  <c r="G59" i="1697"/>
  <c r="G60" i="1697" s="1"/>
  <c r="G61" i="1697" s="1"/>
  <c r="C59" i="1697"/>
  <c r="AK58" i="1697"/>
  <c r="AJ58" i="1697"/>
  <c r="B58" i="1697"/>
  <c r="AN57" i="1697"/>
  <c r="AO56" i="1697" s="1"/>
  <c r="AK57" i="1697"/>
  <c r="AJ57" i="1697"/>
  <c r="J57" i="1697"/>
  <c r="B57" i="1697"/>
  <c r="AK56" i="1697"/>
  <c r="AJ56" i="1697"/>
  <c r="I56" i="1697"/>
  <c r="E56" i="1697"/>
  <c r="E57" i="1697" s="1"/>
  <c r="B56" i="1697"/>
  <c r="AF55" i="1697"/>
  <c r="G55" i="1697"/>
  <c r="G56" i="1697" s="1"/>
  <c r="G57" i="1697" s="1"/>
  <c r="C55" i="1697"/>
  <c r="AK54" i="1697"/>
  <c r="AJ54" i="1697"/>
  <c r="B54" i="1697"/>
  <c r="AN53" i="1697"/>
  <c r="AO53" i="1697" s="1"/>
  <c r="AK53" i="1697"/>
  <c r="AJ53" i="1697"/>
  <c r="J53" i="1697"/>
  <c r="B53" i="1697"/>
  <c r="AK52" i="1697"/>
  <c r="AJ52" i="1697"/>
  <c r="I52" i="1697"/>
  <c r="E52" i="1697"/>
  <c r="E53" i="1697" s="1"/>
  <c r="B52" i="1697"/>
  <c r="AF51" i="1697"/>
  <c r="C51" i="1697"/>
  <c r="AK50" i="1697"/>
  <c r="AJ50" i="1697"/>
  <c r="B50" i="1697"/>
  <c r="AN49" i="1697"/>
  <c r="AO49" i="1697" s="1"/>
  <c r="AP49" i="1697" s="1"/>
  <c r="AK49" i="1697"/>
  <c r="AJ49" i="1697"/>
  <c r="J49" i="1697"/>
  <c r="B49" i="1697"/>
  <c r="AK48" i="1697"/>
  <c r="AJ48" i="1697"/>
  <c r="I48" i="1697"/>
  <c r="E48" i="1697"/>
  <c r="E49" i="1697" s="1"/>
  <c r="B48" i="1697"/>
  <c r="AF47" i="1697"/>
  <c r="AK46" i="1697"/>
  <c r="AJ46" i="1697"/>
  <c r="B46" i="1697"/>
  <c r="AN45" i="1697"/>
  <c r="AO45" i="1697" s="1"/>
  <c r="AK45" i="1697"/>
  <c r="AJ45" i="1697"/>
  <c r="J45" i="1697"/>
  <c r="B45" i="1697"/>
  <c r="AK44" i="1697"/>
  <c r="AJ44" i="1697"/>
  <c r="I44" i="1697"/>
  <c r="E44" i="1697"/>
  <c r="E45" i="1697" s="1"/>
  <c r="B44" i="1697"/>
  <c r="AF43" i="1697"/>
  <c r="G43" i="1697"/>
  <c r="G44" i="1697" s="1"/>
  <c r="G45" i="1697" s="1"/>
  <c r="AK42" i="1697"/>
  <c r="AJ42" i="1697"/>
  <c r="AC42" i="1697"/>
  <c r="H45" i="1697" s="1"/>
  <c r="B42" i="1697"/>
  <c r="AN41" i="1697"/>
  <c r="AO41" i="1697" s="1"/>
  <c r="AP41" i="1697" s="1"/>
  <c r="AK41" i="1697"/>
  <c r="AJ41" i="1697"/>
  <c r="J41" i="1697"/>
  <c r="B41" i="1697"/>
  <c r="AK40" i="1697"/>
  <c r="AJ40" i="1697"/>
  <c r="I40" i="1697"/>
  <c r="E40" i="1697"/>
  <c r="E41" i="1697" s="1"/>
  <c r="B40" i="1697"/>
  <c r="AF39" i="1697"/>
  <c r="G39" i="1697"/>
  <c r="G40" i="1697" s="1"/>
  <c r="G41" i="1697" s="1"/>
  <c r="C39" i="1697"/>
  <c r="AK38" i="1697"/>
  <c r="AJ38" i="1697"/>
  <c r="B38" i="1697"/>
  <c r="AN37" i="1697"/>
  <c r="AO37" i="1697" s="1"/>
  <c r="AK37" i="1697"/>
  <c r="AJ37" i="1697"/>
  <c r="G37" i="1697"/>
  <c r="B37" i="1697"/>
  <c r="AK36" i="1697"/>
  <c r="AJ36" i="1697"/>
  <c r="I36" i="1697"/>
  <c r="G36" i="1697"/>
  <c r="E36" i="1697"/>
  <c r="E37" i="1697" s="1"/>
  <c r="B36" i="1697"/>
  <c r="AF35" i="1697"/>
  <c r="G35" i="1697"/>
  <c r="C35" i="1697"/>
  <c r="AK34" i="1697"/>
  <c r="AJ34" i="1697"/>
  <c r="B34" i="1697"/>
  <c r="AN33" i="1697"/>
  <c r="J33" i="1697"/>
  <c r="B33" i="1697"/>
  <c r="I32" i="1697"/>
  <c r="E32" i="1697"/>
  <c r="E33" i="1697" s="1"/>
  <c r="B32" i="1697"/>
  <c r="AF31" i="1697"/>
  <c r="G31" i="1697"/>
  <c r="G32" i="1697" s="1"/>
  <c r="G33" i="1697" s="1"/>
  <c r="C31" i="1697"/>
  <c r="B30" i="1697"/>
  <c r="AN29" i="1697"/>
  <c r="AO29" i="1697" s="1"/>
  <c r="AK29" i="1697"/>
  <c r="AJ29" i="1697"/>
  <c r="J29" i="1697"/>
  <c r="G29" i="1697"/>
  <c r="B29" i="1697"/>
  <c r="AK28" i="1697"/>
  <c r="AJ28" i="1697"/>
  <c r="I28" i="1697"/>
  <c r="G28" i="1697"/>
  <c r="E28" i="1697"/>
  <c r="E29" i="1697" s="1"/>
  <c r="B28" i="1697"/>
  <c r="AF27" i="1697"/>
  <c r="G27" i="1697"/>
  <c r="C27" i="1697"/>
  <c r="AK26" i="1697"/>
  <c r="AJ26" i="1697"/>
  <c r="B26" i="1697"/>
  <c r="AN25" i="1697"/>
  <c r="AO24" i="1697" s="1"/>
  <c r="AK25" i="1697"/>
  <c r="AJ25" i="1697"/>
  <c r="J25" i="1697"/>
  <c r="B25" i="1697"/>
  <c r="AK24" i="1697"/>
  <c r="AJ24" i="1697"/>
  <c r="I24" i="1697"/>
  <c r="E24" i="1697"/>
  <c r="E25" i="1697" s="1"/>
  <c r="B24" i="1697"/>
  <c r="AF23" i="1697"/>
  <c r="C23" i="1697"/>
  <c r="AK22" i="1697"/>
  <c r="AJ22" i="1697"/>
  <c r="B22" i="1697"/>
  <c r="AN21" i="1697"/>
  <c r="AK21" i="1697"/>
  <c r="AJ21" i="1697"/>
  <c r="J21" i="1697"/>
  <c r="B21" i="1697"/>
  <c r="AK20" i="1697"/>
  <c r="AJ20" i="1697"/>
  <c r="I20" i="1697"/>
  <c r="E20" i="1697"/>
  <c r="E21" i="1697" s="1"/>
  <c r="B20" i="1697"/>
  <c r="AF19" i="1697"/>
  <c r="G19" i="1697"/>
  <c r="G20" i="1697" s="1"/>
  <c r="G21" i="1697" s="1"/>
  <c r="C19" i="1697"/>
  <c r="AK18" i="1697"/>
  <c r="AJ18" i="1697"/>
  <c r="AC18" i="1697"/>
  <c r="B18" i="1697"/>
  <c r="AN17" i="1697"/>
  <c r="AO17" i="1697" s="1"/>
  <c r="AK17" i="1697"/>
  <c r="AJ17" i="1697"/>
  <c r="J17" i="1697"/>
  <c r="G17" i="1697"/>
  <c r="B17" i="1697"/>
  <c r="AK16" i="1697"/>
  <c r="AJ16" i="1697"/>
  <c r="I16" i="1697"/>
  <c r="G16" i="1697"/>
  <c r="E16" i="1697"/>
  <c r="E17" i="1697" s="1"/>
  <c r="B16" i="1697"/>
  <c r="AF15" i="1697"/>
  <c r="G15" i="1697"/>
  <c r="AK14" i="1697"/>
  <c r="AJ14" i="1697"/>
  <c r="B14" i="1697"/>
  <c r="AN13" i="1697"/>
  <c r="AO13" i="1697" s="1"/>
  <c r="AK13" i="1697"/>
  <c r="AJ13" i="1697"/>
  <c r="J13" i="1697"/>
  <c r="G13" i="1697"/>
  <c r="B13" i="1697"/>
  <c r="AK12" i="1697"/>
  <c r="AJ12" i="1697"/>
  <c r="I12" i="1697"/>
  <c r="G12" i="1697"/>
  <c r="B12" i="1697"/>
  <c r="AF11" i="1697"/>
  <c r="G11" i="1697"/>
  <c r="C11" i="1697"/>
  <c r="AK10" i="1697"/>
  <c r="AJ10" i="1697"/>
  <c r="B10" i="1697"/>
  <c r="AN9" i="1697"/>
  <c r="AO8" i="1697" s="1"/>
  <c r="AP8" i="1697" s="1"/>
  <c r="AK9" i="1697"/>
  <c r="AJ9" i="1697"/>
  <c r="G9" i="1697"/>
  <c r="B9" i="1697"/>
  <c r="AK8" i="1697"/>
  <c r="AJ8" i="1697"/>
  <c r="I8" i="1697"/>
  <c r="G8" i="1697"/>
  <c r="E8" i="1697"/>
  <c r="E9" i="1697" s="1"/>
  <c r="B8" i="1697"/>
  <c r="BL7" i="1697"/>
  <c r="BK7" i="1697"/>
  <c r="AF7" i="1697"/>
  <c r="G7" i="1697"/>
  <c r="C7" i="1697"/>
  <c r="AK6" i="1697"/>
  <c r="AJ6" i="1697"/>
  <c r="B6" i="1697"/>
  <c r="AG4" i="1697"/>
  <c r="B3" i="1697"/>
  <c r="AL23" i="1697" l="1"/>
  <c r="AA25" i="1697"/>
  <c r="AC87" i="1697"/>
  <c r="AG87" i="1697" s="1"/>
  <c r="AA69" i="1697"/>
  <c r="X80" i="1697"/>
  <c r="X84" i="1697"/>
  <c r="AT7" i="1697"/>
  <c r="X6" i="1697" s="1"/>
  <c r="X23" i="1697"/>
  <c r="X87" i="1697"/>
  <c r="AC14" i="1697"/>
  <c r="H17" i="1697" s="1"/>
  <c r="AT15" i="1697"/>
  <c r="X14" i="1697" s="1"/>
  <c r="AT35" i="1697"/>
  <c r="X34" i="1697" s="1"/>
  <c r="AC82" i="1697"/>
  <c r="H85" i="1697" s="1"/>
  <c r="AT83" i="1697"/>
  <c r="X82" i="1697" s="1"/>
  <c r="AI39" i="1697"/>
  <c r="AK39" i="1697" s="1"/>
  <c r="AH67" i="1697"/>
  <c r="AI87" i="1697"/>
  <c r="AK87" i="1697" s="1"/>
  <c r="X20" i="1697"/>
  <c r="AA18" i="1697" s="1"/>
  <c r="AA77" i="1697"/>
  <c r="AL75" i="1697"/>
  <c r="AH75" i="1697"/>
  <c r="AC91" i="1697"/>
  <c r="AI71" i="1697"/>
  <c r="AK71" i="1697" s="1"/>
  <c r="AP45" i="1697"/>
  <c r="AL47" i="1697"/>
  <c r="AH47" i="1697"/>
  <c r="AC78" i="1697"/>
  <c r="AC22" i="1697"/>
  <c r="H25" i="1697" s="1"/>
  <c r="AC30" i="1697"/>
  <c r="H33" i="1697" s="1"/>
  <c r="X92" i="1697"/>
  <c r="AA90" i="1697" s="1"/>
  <c r="AH39" i="1697"/>
  <c r="AP37" i="1697"/>
  <c r="AP13" i="1697"/>
  <c r="AH83" i="1697"/>
  <c r="AI79" i="1697"/>
  <c r="AM79" i="1697" s="1"/>
  <c r="AC71" i="1697"/>
  <c r="AG71" i="1697" s="1"/>
  <c r="AC46" i="1697"/>
  <c r="H49" i="1697" s="1"/>
  <c r="AI35" i="1697"/>
  <c r="AK35" i="1697" s="1"/>
  <c r="AH35" i="1697"/>
  <c r="AI27" i="1697"/>
  <c r="AK27" i="1697" s="1"/>
  <c r="X72" i="1697"/>
  <c r="AA70" i="1697" s="1"/>
  <c r="AO76" i="1697"/>
  <c r="AP76" i="1697" s="1"/>
  <c r="AC51" i="1697"/>
  <c r="AI23" i="1697"/>
  <c r="AJ23" i="1697" s="1"/>
  <c r="AP17" i="1697"/>
  <c r="AI11" i="1697"/>
  <c r="AK11" i="1697" s="1"/>
  <c r="AC62" i="1697"/>
  <c r="H65" i="1697" s="1"/>
  <c r="AA57" i="1697"/>
  <c r="X7" i="1697"/>
  <c r="X31" i="1697"/>
  <c r="AO72" i="1697"/>
  <c r="AP72" i="1697" s="1"/>
  <c r="AO73" i="1697"/>
  <c r="AP73" i="1697" s="1"/>
  <c r="AT75" i="1697"/>
  <c r="X74" i="1697" s="1"/>
  <c r="AO92" i="1697"/>
  <c r="AP92" i="1697" s="1"/>
  <c r="AO36" i="1697"/>
  <c r="AP36" i="1697" s="1"/>
  <c r="X24" i="1697"/>
  <c r="AA22" i="1697" s="1"/>
  <c r="X32" i="1697"/>
  <c r="AA30" i="1697" s="1"/>
  <c r="X40" i="1697"/>
  <c r="AA38" i="1697" s="1"/>
  <c r="X48" i="1697"/>
  <c r="AA46" i="1697" s="1"/>
  <c r="X56" i="1697"/>
  <c r="AA54" i="1697" s="1"/>
  <c r="X64" i="1697"/>
  <c r="AA62" i="1697" s="1"/>
  <c r="X71" i="1697"/>
  <c r="X79" i="1697"/>
  <c r="X88" i="1697"/>
  <c r="AA86" i="1697" s="1"/>
  <c r="X11" i="1697"/>
  <c r="X15" i="1697"/>
  <c r="X83" i="1697"/>
  <c r="AT27" i="1697"/>
  <c r="X26" i="1697" s="1"/>
  <c r="AO48" i="1697"/>
  <c r="AP48" i="1697" s="1"/>
  <c r="AO52" i="1697"/>
  <c r="AP52" i="1697" s="1"/>
  <c r="AO93" i="1697"/>
  <c r="AP93" i="1697" s="1"/>
  <c r="X19" i="1697"/>
  <c r="X27" i="1697"/>
  <c r="X35" i="1697"/>
  <c r="X43" i="1697"/>
  <c r="X51" i="1697"/>
  <c r="X59" i="1697"/>
  <c r="X91" i="1697"/>
  <c r="X12" i="1697"/>
  <c r="AA10" i="1697" s="1"/>
  <c r="X28" i="1697"/>
  <c r="AA26" i="1697" s="1"/>
  <c r="X36" i="1697"/>
  <c r="AA34" i="1697" s="1"/>
  <c r="X44" i="1697"/>
  <c r="AA42" i="1697" s="1"/>
  <c r="X52" i="1697"/>
  <c r="AA50" i="1697" s="1"/>
  <c r="X60" i="1697"/>
  <c r="AA58" i="1697" s="1"/>
  <c r="X68" i="1697"/>
  <c r="AA66" i="1697" s="1"/>
  <c r="AO68" i="1697"/>
  <c r="AP68" i="1697" s="1"/>
  <c r="X8" i="1697"/>
  <c r="AA6" i="1697" s="1"/>
  <c r="X16" i="1697"/>
  <c r="AA14" i="1697" s="1"/>
  <c r="X39" i="1697"/>
  <c r="X55" i="1697"/>
  <c r="X63" i="1697"/>
  <c r="X76" i="1697"/>
  <c r="AA74" i="1697" s="1"/>
  <c r="AT87" i="1697"/>
  <c r="X86" i="1697" s="1"/>
  <c r="C16" i="1698"/>
  <c r="AH23" i="1697"/>
  <c r="AL83" i="1697"/>
  <c r="AI91" i="1697"/>
  <c r="AK91" i="1697" s="1"/>
  <c r="AL11" i="1697"/>
  <c r="AP61" i="1697"/>
  <c r="P108" i="1697"/>
  <c r="T108" i="1697"/>
  <c r="X62" i="1697"/>
  <c r="X10" i="1697"/>
  <c r="AO40" i="1697"/>
  <c r="AP40" i="1697" s="1"/>
  <c r="AO60" i="1697"/>
  <c r="AP60" i="1697" s="1"/>
  <c r="AH19" i="1697"/>
  <c r="AH31" i="1697"/>
  <c r="AI47" i="1697"/>
  <c r="AJ47" i="1697" s="1"/>
  <c r="AP56" i="1697"/>
  <c r="AC58" i="1697"/>
  <c r="H61" i="1697" s="1"/>
  <c r="AI59" i="1697"/>
  <c r="AM59" i="1697" s="1"/>
  <c r="AP64" i="1697"/>
  <c r="AH71" i="1697"/>
  <c r="AC74" i="1697"/>
  <c r="H77" i="1697" s="1"/>
  <c r="AC83" i="1697"/>
  <c r="AG83" i="1697" s="1"/>
  <c r="AH87" i="1697"/>
  <c r="AP89" i="1697"/>
  <c r="AA97" i="1697"/>
  <c r="AI67" i="1697"/>
  <c r="AM67" i="1697" s="1"/>
  <c r="AI15" i="1697"/>
  <c r="AK15" i="1697" s="1"/>
  <c r="AP53" i="1697"/>
  <c r="AC55" i="1697"/>
  <c r="AI55" i="1697"/>
  <c r="AJ55" i="1697" s="1"/>
  <c r="AI63" i="1697"/>
  <c r="AK63" i="1697" s="1"/>
  <c r="AA95" i="1697"/>
  <c r="V108" i="1697"/>
  <c r="AP24" i="1697"/>
  <c r="AP29" i="1697"/>
  <c r="AC47" i="1697"/>
  <c r="AI51" i="1697"/>
  <c r="AJ51" i="1697" s="1"/>
  <c r="AP69" i="1697"/>
  <c r="AI75" i="1697"/>
  <c r="AM75" i="1697" s="1"/>
  <c r="AC79" i="1697"/>
  <c r="AH79" i="1697"/>
  <c r="AI83" i="1697"/>
  <c r="AK83" i="1697" s="1"/>
  <c r="R102" i="1697"/>
  <c r="R108" i="1697" s="1"/>
  <c r="AI7" i="1697"/>
  <c r="AM7" i="1697" s="1"/>
  <c r="AH7" i="1697"/>
  <c r="AA13" i="1697"/>
  <c r="AC11" i="1697"/>
  <c r="AC43" i="1697"/>
  <c r="AG43" i="1697" s="1"/>
  <c r="AL43" i="1697"/>
  <c r="H81" i="1697"/>
  <c r="H89" i="1697"/>
  <c r="AB4" i="1697"/>
  <c r="H29" i="1697"/>
  <c r="AC35" i="1697"/>
  <c r="AA37" i="1697"/>
  <c r="AM35" i="1697"/>
  <c r="AL35" i="1697"/>
  <c r="X50" i="1697"/>
  <c r="AC50" i="1697"/>
  <c r="AH55" i="1697"/>
  <c r="AC59" i="1697"/>
  <c r="AL59" i="1697"/>
  <c r="H73" i="1697"/>
  <c r="AO20" i="1697"/>
  <c r="AP20" i="1697" s="1"/>
  <c r="AO21" i="1697"/>
  <c r="AP21" i="1697" s="1"/>
  <c r="AA33" i="1697"/>
  <c r="AC31" i="1697"/>
  <c r="X46" i="1697"/>
  <c r="AO57" i="1697"/>
  <c r="AP57" i="1697" s="1"/>
  <c r="H93" i="1697"/>
  <c r="AG91" i="1697"/>
  <c r="AH11" i="1697"/>
  <c r="H21" i="1697"/>
  <c r="AI19" i="1697"/>
  <c r="AC23" i="1697"/>
  <c r="AC39" i="1697"/>
  <c r="AL39" i="1697"/>
  <c r="AI43" i="1697"/>
  <c r="AH43" i="1697"/>
  <c r="AL7" i="1697"/>
  <c r="X54" i="1697"/>
  <c r="AC54" i="1697"/>
  <c r="AH63" i="1697"/>
  <c r="AO65" i="1697"/>
  <c r="AP65" i="1697" s="1"/>
  <c r="O102" i="1697"/>
  <c r="O108" i="1697" s="1"/>
  <c r="S102" i="1697"/>
  <c r="S108" i="1697" s="1"/>
  <c r="W102" i="1697"/>
  <c r="W108" i="1697" s="1"/>
  <c r="AC10" i="1697"/>
  <c r="AO16" i="1697"/>
  <c r="AP16" i="1697" s="1"/>
  <c r="X22" i="1697"/>
  <c r="AO28" i="1697"/>
  <c r="AP28" i="1697" s="1"/>
  <c r="AC34" i="1697"/>
  <c r="AJ35" i="1697"/>
  <c r="AC38" i="1697"/>
  <c r="AH51" i="1697"/>
  <c r="AC63" i="1697"/>
  <c r="AL67" i="1697"/>
  <c r="AO81" i="1697"/>
  <c r="AP81" i="1697" s="1"/>
  <c r="AO80" i="1697"/>
  <c r="AP80" i="1697" s="1"/>
  <c r="AA78" i="1697"/>
  <c r="AO85" i="1697"/>
  <c r="AP85" i="1697" s="1"/>
  <c r="AO84" i="1697"/>
  <c r="AP84" i="1697" s="1"/>
  <c r="AA82" i="1697"/>
  <c r="AJ87" i="1697"/>
  <c r="AC67" i="1697"/>
  <c r="AG67" i="1697" s="1"/>
  <c r="N108" i="1697"/>
  <c r="AC7" i="1697"/>
  <c r="AO9" i="1697"/>
  <c r="AP9" i="1697" s="1"/>
  <c r="AH15" i="1697"/>
  <c r="AL15" i="1697"/>
  <c r="AL19" i="1697"/>
  <c r="AO25" i="1697"/>
  <c r="AP25" i="1697" s="1"/>
  <c r="AH27" i="1697"/>
  <c r="AL27" i="1697"/>
  <c r="AJ39" i="1697"/>
  <c r="AC6" i="1697"/>
  <c r="AO12" i="1697"/>
  <c r="AP12" i="1697" s="1"/>
  <c r="AC15" i="1697"/>
  <c r="AG15" i="1697" s="1"/>
  <c r="AC19" i="1697"/>
  <c r="AG19" i="1697" s="1"/>
  <c r="AC27" i="1697"/>
  <c r="AG27" i="1697" s="1"/>
  <c r="AO44" i="1697"/>
  <c r="AP44" i="1697" s="1"/>
  <c r="AH59" i="1697"/>
  <c r="AC75" i="1697"/>
  <c r="M108" i="1697"/>
  <c r="Q108" i="1697"/>
  <c r="U108" i="1697"/>
  <c r="AO88" i="1697"/>
  <c r="AP88" i="1697" s="1"/>
  <c r="AH91" i="1697"/>
  <c r="Q20" i="1696"/>
  <c r="O20" i="1696"/>
  <c r="H20" i="1696"/>
  <c r="D20" i="1696"/>
  <c r="J6" i="1696"/>
  <c r="J20" i="1696" s="1"/>
  <c r="V24" i="1585"/>
  <c r="AM39" i="1697" l="1"/>
  <c r="AG79" i="1697"/>
  <c r="AG81" i="1697" s="1"/>
  <c r="AK79" i="1697"/>
  <c r="AM63" i="1697"/>
  <c r="AG23" i="1697"/>
  <c r="AY23" i="1697" s="1"/>
  <c r="AM87" i="1697"/>
  <c r="AJ79" i="1697"/>
  <c r="AJ71" i="1697"/>
  <c r="AM71" i="1697"/>
  <c r="AG47" i="1697"/>
  <c r="AG49" i="1697" s="1"/>
  <c r="AG75" i="1697"/>
  <c r="AG77" i="1697" s="1"/>
  <c r="AG31" i="1697"/>
  <c r="AY31" i="1697" s="1"/>
  <c r="AJ91" i="1697"/>
  <c r="AJ27" i="1697"/>
  <c r="AK23" i="1697"/>
  <c r="AM27" i="1697"/>
  <c r="AM23" i="1697"/>
  <c r="AM55" i="1697"/>
  <c r="AM11" i="1697"/>
  <c r="AJ11" i="1697"/>
  <c r="AK51" i="1697"/>
  <c r="AG63" i="1697"/>
  <c r="AG65" i="1697" s="1"/>
  <c r="AJ15" i="1697"/>
  <c r="AJ63" i="1697"/>
  <c r="AK47" i="1697"/>
  <c r="AM91" i="1697"/>
  <c r="AJ83" i="1697"/>
  <c r="AM51" i="1697"/>
  <c r="AM47" i="1697"/>
  <c r="AM15" i="1697"/>
  <c r="AM83" i="1697"/>
  <c r="AJ75" i="1697"/>
  <c r="AK75" i="1697"/>
  <c r="AK67" i="1697"/>
  <c r="AJ67" i="1697"/>
  <c r="AK55" i="1697"/>
  <c r="AJ59" i="1697"/>
  <c r="AK59" i="1697"/>
  <c r="AG59" i="1697"/>
  <c r="AG61" i="1697" s="1"/>
  <c r="AY27" i="1697"/>
  <c r="AG29" i="1697"/>
  <c r="AG17" i="1697"/>
  <c r="AY15" i="1697"/>
  <c r="AG73" i="1697"/>
  <c r="AY71" i="1697"/>
  <c r="AG45" i="1697"/>
  <c r="AY43" i="1697"/>
  <c r="H9" i="1697"/>
  <c r="AG7" i="1697"/>
  <c r="AL2" i="1697"/>
  <c r="AG21" i="1697"/>
  <c r="AY19" i="1697"/>
  <c r="AG93" i="1697"/>
  <c r="AY91" i="1697"/>
  <c r="H53" i="1697"/>
  <c r="AG51" i="1697"/>
  <c r="AT4" i="1697"/>
  <c r="H13" i="1697"/>
  <c r="AG11" i="1697"/>
  <c r="AK43" i="1697"/>
  <c r="AJ43" i="1697"/>
  <c r="AG55" i="1697"/>
  <c r="H57" i="1697"/>
  <c r="AG89" i="1697"/>
  <c r="AY87" i="1697"/>
  <c r="AJ7" i="1697"/>
  <c r="AI4" i="1697"/>
  <c r="AK7" i="1697"/>
  <c r="AG39" i="1697"/>
  <c r="H41" i="1697"/>
  <c r="AG69" i="1697"/>
  <c r="AY67" i="1697"/>
  <c r="AG35" i="1697"/>
  <c r="H37" i="1697"/>
  <c r="AG85" i="1697"/>
  <c r="AY83" i="1697"/>
  <c r="AK19" i="1697"/>
  <c r="AJ19" i="1697"/>
  <c r="AM19" i="1697"/>
  <c r="AM43" i="1697"/>
  <c r="B20" i="1696"/>
  <c r="AY79" i="1697" l="1"/>
  <c r="AY63" i="1697"/>
  <c r="AG25" i="1697"/>
  <c r="AY47" i="1697"/>
  <c r="AY75" i="1697"/>
  <c r="AG33" i="1697"/>
  <c r="AY59" i="1697"/>
  <c r="AK2" i="1697"/>
  <c r="AG2" i="1697" s="1"/>
  <c r="AY35" i="1697"/>
  <c r="AG37" i="1697"/>
  <c r="AG41" i="1697"/>
  <c r="AY39" i="1697"/>
  <c r="AG13" i="1697"/>
  <c r="AY11" i="1697"/>
  <c r="AY51" i="1697"/>
  <c r="AG53" i="1697"/>
  <c r="AG9" i="1697"/>
  <c r="AY7" i="1697"/>
  <c r="AG57" i="1697"/>
  <c r="AY55" i="1697"/>
  <c r="R11" i="1696"/>
  <c r="K11" i="1696"/>
  <c r="I11" i="1696"/>
  <c r="P11" i="1696"/>
  <c r="M11" i="1696"/>
  <c r="L11" i="1696"/>
  <c r="K16" i="1696"/>
  <c r="I16" i="1696"/>
  <c r="M16" i="1696"/>
  <c r="L16" i="1696"/>
  <c r="S13" i="1696"/>
  <c r="L13" i="1696"/>
  <c r="K13" i="1696"/>
  <c r="R13" i="1696"/>
  <c r="P13" i="1696"/>
  <c r="I13" i="1696"/>
  <c r="T13" i="1696"/>
  <c r="M13" i="1696"/>
  <c r="T14" i="1696"/>
  <c r="M14" i="1696"/>
  <c r="S14" i="1696"/>
  <c r="R14" i="1696"/>
  <c r="K14" i="1696"/>
  <c r="P14" i="1696"/>
  <c r="I14" i="1696"/>
  <c r="L14" i="1696"/>
  <c r="R15" i="1696"/>
  <c r="I15" i="1696"/>
  <c r="P15" i="1696"/>
  <c r="L15" i="1696"/>
  <c r="K15" i="1696"/>
  <c r="F20" i="1696"/>
  <c r="I6" i="1696"/>
  <c r="V6" i="1696"/>
  <c r="L6" i="1696"/>
  <c r="R6" i="1696"/>
  <c r="P6" i="1696"/>
  <c r="M6" i="1696"/>
  <c r="K6" i="1696"/>
  <c r="R8" i="1696"/>
  <c r="K8" i="1696"/>
  <c r="P8" i="1696"/>
  <c r="I8" i="1696"/>
  <c r="T8" i="1696"/>
  <c r="M8" i="1696"/>
  <c r="S8" i="1696"/>
  <c r="L8" i="1696"/>
  <c r="S9" i="1696"/>
  <c r="L9" i="1696"/>
  <c r="R9" i="1696"/>
  <c r="K9" i="1696"/>
  <c r="P9" i="1696"/>
  <c r="I9" i="1696"/>
  <c r="T9" i="1696"/>
  <c r="M9" i="1696"/>
  <c r="K12" i="1696"/>
  <c r="I12" i="1696"/>
  <c r="M12" i="1696"/>
  <c r="L12" i="1696"/>
  <c r="P7" i="1696"/>
  <c r="I7" i="1696"/>
  <c r="T7" i="1696"/>
  <c r="M7" i="1696"/>
  <c r="S7" i="1696"/>
  <c r="L7" i="1696"/>
  <c r="R7" i="1696"/>
  <c r="K7" i="1696"/>
  <c r="M18" i="1696"/>
  <c r="I18" i="1696"/>
  <c r="T10" i="1696"/>
  <c r="M10" i="1696"/>
  <c r="S10" i="1696"/>
  <c r="L10" i="1696"/>
  <c r="R10" i="1696"/>
  <c r="K10" i="1696"/>
  <c r="P10" i="1696"/>
  <c r="I10" i="1696"/>
  <c r="T17" i="1696"/>
  <c r="M17" i="1696"/>
  <c r="L17" i="1696"/>
  <c r="I17" i="1696"/>
  <c r="W109" i="1695"/>
  <c r="W106" i="1695" s="1"/>
  <c r="V109" i="1695"/>
  <c r="V106" i="1695" s="1"/>
  <c r="U109" i="1695"/>
  <c r="U106" i="1695" s="1"/>
  <c r="T109" i="1695"/>
  <c r="T106" i="1695" s="1"/>
  <c r="S109" i="1695"/>
  <c r="S106" i="1695" s="1"/>
  <c r="R109" i="1695"/>
  <c r="R106" i="1695" s="1"/>
  <c r="Q109" i="1695"/>
  <c r="Q106" i="1695" s="1"/>
  <c r="P109" i="1695"/>
  <c r="P106" i="1695" s="1"/>
  <c r="O109" i="1695"/>
  <c r="O106" i="1695" s="1"/>
  <c r="N109" i="1695"/>
  <c r="N106" i="1695" s="1"/>
  <c r="M109" i="1695"/>
  <c r="M106" i="1695" s="1"/>
  <c r="W103" i="1695"/>
  <c r="V103" i="1695"/>
  <c r="U103" i="1695"/>
  <c r="T103" i="1695"/>
  <c r="S103" i="1695"/>
  <c r="R103" i="1695"/>
  <c r="Q103" i="1695"/>
  <c r="P103" i="1695"/>
  <c r="O103" i="1695"/>
  <c r="N103" i="1695"/>
  <c r="M103" i="1695"/>
  <c r="W101" i="1695"/>
  <c r="V101" i="1695"/>
  <c r="U101" i="1695"/>
  <c r="T101" i="1695"/>
  <c r="S101" i="1695"/>
  <c r="R101" i="1695"/>
  <c r="Q101" i="1695"/>
  <c r="P101" i="1695"/>
  <c r="O101" i="1695"/>
  <c r="N101" i="1695"/>
  <c r="M101" i="1695"/>
  <c r="W99" i="1695"/>
  <c r="V99" i="1695"/>
  <c r="U99" i="1695"/>
  <c r="T99" i="1695"/>
  <c r="S99" i="1695"/>
  <c r="R99" i="1695"/>
  <c r="Q99" i="1695"/>
  <c r="P99" i="1695"/>
  <c r="O99" i="1695"/>
  <c r="N99" i="1695"/>
  <c r="M99" i="1695"/>
  <c r="AN97" i="1695"/>
  <c r="AK97" i="1695"/>
  <c r="AJ97" i="1695"/>
  <c r="AB97" i="1695"/>
  <c r="J97" i="1695"/>
  <c r="B97" i="1695"/>
  <c r="AK96" i="1695"/>
  <c r="AJ96" i="1695"/>
  <c r="AB96" i="1695"/>
  <c r="I96" i="1695"/>
  <c r="E96" i="1695"/>
  <c r="E97" i="1695" s="1"/>
  <c r="B96" i="1695"/>
  <c r="AF95" i="1695"/>
  <c r="AB95" i="1695"/>
  <c r="AL95" i="1695" s="1"/>
  <c r="G95" i="1695"/>
  <c r="G96" i="1695" s="1"/>
  <c r="G97" i="1695" s="1"/>
  <c r="C95" i="1695"/>
  <c r="AK94" i="1695"/>
  <c r="AJ94" i="1695"/>
  <c r="AB94" i="1695"/>
  <c r="B94" i="1695"/>
  <c r="AN93" i="1695"/>
  <c r="AK93" i="1695"/>
  <c r="AJ93" i="1695"/>
  <c r="AB93" i="1695"/>
  <c r="J93" i="1695"/>
  <c r="B93" i="1695"/>
  <c r="AK92" i="1695"/>
  <c r="AJ92" i="1695"/>
  <c r="AB92" i="1695"/>
  <c r="I92" i="1695"/>
  <c r="E92" i="1695"/>
  <c r="E93" i="1695" s="1"/>
  <c r="B92" i="1695"/>
  <c r="AF91" i="1695"/>
  <c r="AB91" i="1695"/>
  <c r="AL91" i="1695" s="1"/>
  <c r="G91" i="1695"/>
  <c r="G92" i="1695" s="1"/>
  <c r="G93" i="1695" s="1"/>
  <c r="C91" i="1695"/>
  <c r="AK90" i="1695"/>
  <c r="AJ90" i="1695"/>
  <c r="AB90" i="1695"/>
  <c r="B90" i="1695"/>
  <c r="AN89" i="1695"/>
  <c r="AK89" i="1695"/>
  <c r="AJ89" i="1695"/>
  <c r="AB89" i="1695"/>
  <c r="J89" i="1695"/>
  <c r="B89" i="1695"/>
  <c r="AK88" i="1695"/>
  <c r="AJ88" i="1695"/>
  <c r="AB88" i="1695"/>
  <c r="I88" i="1695"/>
  <c r="E88" i="1695"/>
  <c r="E89" i="1695" s="1"/>
  <c r="B88" i="1695"/>
  <c r="AF87" i="1695"/>
  <c r="AB87" i="1695"/>
  <c r="AL87" i="1695" s="1"/>
  <c r="G87" i="1695"/>
  <c r="G88" i="1695" s="1"/>
  <c r="G89" i="1695" s="1"/>
  <c r="C87" i="1695"/>
  <c r="AK86" i="1695"/>
  <c r="AJ86" i="1695"/>
  <c r="AB86" i="1695"/>
  <c r="B86" i="1695"/>
  <c r="AN85" i="1695"/>
  <c r="AK85" i="1695"/>
  <c r="AJ85" i="1695"/>
  <c r="AB85" i="1695"/>
  <c r="J85" i="1695"/>
  <c r="G85" i="1695"/>
  <c r="B85" i="1695"/>
  <c r="AK84" i="1695"/>
  <c r="AJ84" i="1695"/>
  <c r="AB84" i="1695"/>
  <c r="I84" i="1695"/>
  <c r="G84" i="1695"/>
  <c r="E84" i="1695"/>
  <c r="E85" i="1695" s="1"/>
  <c r="B84" i="1695"/>
  <c r="AF83" i="1695"/>
  <c r="AB83" i="1695"/>
  <c r="AL83" i="1695" s="1"/>
  <c r="G83" i="1695"/>
  <c r="C83" i="1695"/>
  <c r="AK82" i="1695"/>
  <c r="AJ82" i="1695"/>
  <c r="AB82" i="1695"/>
  <c r="AT83" i="1695" s="1"/>
  <c r="X82" i="1695" s="1"/>
  <c r="B82" i="1695"/>
  <c r="AN81" i="1695"/>
  <c r="AO81" i="1695" s="1"/>
  <c r="AK81" i="1695"/>
  <c r="AJ81" i="1695"/>
  <c r="AB81" i="1695"/>
  <c r="J81" i="1695"/>
  <c r="G81" i="1695"/>
  <c r="B81" i="1695"/>
  <c r="AK80" i="1695"/>
  <c r="AJ80" i="1695"/>
  <c r="AB80" i="1695"/>
  <c r="I80" i="1695"/>
  <c r="G80" i="1695"/>
  <c r="E80" i="1695"/>
  <c r="E81" i="1695" s="1"/>
  <c r="B80" i="1695"/>
  <c r="AF79" i="1695"/>
  <c r="AB79" i="1695"/>
  <c r="X79" i="1695" s="1"/>
  <c r="G79" i="1695"/>
  <c r="C79" i="1695"/>
  <c r="AK78" i="1695"/>
  <c r="AJ78" i="1695"/>
  <c r="AB78" i="1695"/>
  <c r="B78" i="1695"/>
  <c r="AN77" i="1695"/>
  <c r="AO77" i="1695" s="1"/>
  <c r="AK77" i="1695"/>
  <c r="AJ77" i="1695"/>
  <c r="AB77" i="1695"/>
  <c r="J77" i="1695"/>
  <c r="G77" i="1695"/>
  <c r="B77" i="1695"/>
  <c r="AK76" i="1695"/>
  <c r="AJ76" i="1695"/>
  <c r="AB76" i="1695"/>
  <c r="I76" i="1695"/>
  <c r="G76" i="1695"/>
  <c r="E76" i="1695"/>
  <c r="E77" i="1695" s="1"/>
  <c r="B76" i="1695"/>
  <c r="X74" i="1695"/>
  <c r="AF75" i="1695"/>
  <c r="AB75" i="1695"/>
  <c r="G75" i="1695"/>
  <c r="C75" i="1695"/>
  <c r="AK74" i="1695"/>
  <c r="AJ74" i="1695"/>
  <c r="AB74" i="1695"/>
  <c r="AC74" i="1695" s="1"/>
  <c r="H77" i="1695" s="1"/>
  <c r="B74" i="1695"/>
  <c r="AN73" i="1695"/>
  <c r="AO73" i="1695" s="1"/>
  <c r="AK73" i="1695"/>
  <c r="AJ73" i="1695"/>
  <c r="AB73" i="1695"/>
  <c r="J73" i="1695"/>
  <c r="G73" i="1695"/>
  <c r="B73" i="1695"/>
  <c r="AK72" i="1695"/>
  <c r="AJ72" i="1695"/>
  <c r="AB72" i="1695"/>
  <c r="I72" i="1695"/>
  <c r="G72" i="1695"/>
  <c r="E72" i="1695"/>
  <c r="E73" i="1695" s="1"/>
  <c r="B72" i="1695"/>
  <c r="AT71" i="1695"/>
  <c r="X70" i="1695" s="1"/>
  <c r="AF71" i="1695"/>
  <c r="AB71" i="1695"/>
  <c r="G71" i="1695"/>
  <c r="C71" i="1695"/>
  <c r="AK70" i="1695"/>
  <c r="AJ70" i="1695"/>
  <c r="AB70" i="1695"/>
  <c r="AC70" i="1695" s="1"/>
  <c r="H73" i="1695" s="1"/>
  <c r="B70" i="1695"/>
  <c r="AN69" i="1695"/>
  <c r="AK69" i="1695"/>
  <c r="AJ69" i="1695"/>
  <c r="AB69" i="1695"/>
  <c r="J69" i="1695"/>
  <c r="B69" i="1695"/>
  <c r="AK68" i="1695"/>
  <c r="AJ68" i="1695"/>
  <c r="AB68" i="1695"/>
  <c r="I68" i="1695"/>
  <c r="E68" i="1695"/>
  <c r="E69" i="1695" s="1"/>
  <c r="B68" i="1695"/>
  <c r="AF67" i="1695"/>
  <c r="AB67" i="1695"/>
  <c r="G67" i="1695"/>
  <c r="G68" i="1695" s="1"/>
  <c r="G69" i="1695" s="1"/>
  <c r="C67" i="1695"/>
  <c r="AK66" i="1695"/>
  <c r="AJ66" i="1695"/>
  <c r="AB66" i="1695"/>
  <c r="B66" i="1695"/>
  <c r="AN65" i="1695"/>
  <c r="AK65" i="1695"/>
  <c r="AJ65" i="1695"/>
  <c r="AB65" i="1695"/>
  <c r="J65" i="1695"/>
  <c r="B65" i="1695"/>
  <c r="AK64" i="1695"/>
  <c r="AJ64" i="1695"/>
  <c r="AB64" i="1695"/>
  <c r="I64" i="1695"/>
  <c r="E64" i="1695"/>
  <c r="E65" i="1695" s="1"/>
  <c r="B64" i="1695"/>
  <c r="AF63" i="1695"/>
  <c r="AB63" i="1695"/>
  <c r="G63" i="1695"/>
  <c r="G64" i="1695" s="1"/>
  <c r="G65" i="1695" s="1"/>
  <c r="C63" i="1695"/>
  <c r="AK62" i="1695"/>
  <c r="AJ62" i="1695"/>
  <c r="AB62" i="1695"/>
  <c r="AT63" i="1695" s="1"/>
  <c r="B62" i="1695"/>
  <c r="AN61" i="1695"/>
  <c r="AK61" i="1695"/>
  <c r="AJ61" i="1695"/>
  <c r="AB61" i="1695"/>
  <c r="J61" i="1695"/>
  <c r="B61" i="1695"/>
  <c r="AK60" i="1695"/>
  <c r="AJ60" i="1695"/>
  <c r="AB60" i="1695"/>
  <c r="I60" i="1695"/>
  <c r="E60" i="1695"/>
  <c r="E61" i="1695" s="1"/>
  <c r="B60" i="1695"/>
  <c r="AF59" i="1695"/>
  <c r="AB59" i="1695"/>
  <c r="G59" i="1695"/>
  <c r="G60" i="1695" s="1"/>
  <c r="G61" i="1695" s="1"/>
  <c r="C59" i="1695"/>
  <c r="AK58" i="1695"/>
  <c r="AJ58" i="1695"/>
  <c r="AB58" i="1695"/>
  <c r="AC58" i="1695" s="1"/>
  <c r="B58" i="1695"/>
  <c r="AN57" i="1695"/>
  <c r="AO57" i="1695" s="1"/>
  <c r="AK57" i="1695"/>
  <c r="AJ57" i="1695"/>
  <c r="AB57" i="1695"/>
  <c r="J57" i="1695"/>
  <c r="G57" i="1695"/>
  <c r="B57" i="1695"/>
  <c r="AK56" i="1695"/>
  <c r="AJ56" i="1695"/>
  <c r="AB56" i="1695"/>
  <c r="I56" i="1695"/>
  <c r="G56" i="1695"/>
  <c r="E56" i="1695"/>
  <c r="E57" i="1695" s="1"/>
  <c r="B56" i="1695"/>
  <c r="AF55" i="1695"/>
  <c r="AB55" i="1695"/>
  <c r="G55" i="1695"/>
  <c r="C55" i="1695"/>
  <c r="AK54" i="1695"/>
  <c r="AJ54" i="1695"/>
  <c r="AB54" i="1695"/>
  <c r="B54" i="1695"/>
  <c r="AN53" i="1695"/>
  <c r="AO53" i="1695" s="1"/>
  <c r="AK53" i="1695"/>
  <c r="AJ53" i="1695"/>
  <c r="AB53" i="1695"/>
  <c r="J53" i="1695"/>
  <c r="B53" i="1695"/>
  <c r="AK52" i="1695"/>
  <c r="AJ52" i="1695"/>
  <c r="AB52" i="1695"/>
  <c r="I52" i="1695"/>
  <c r="E52" i="1695"/>
  <c r="E53" i="1695" s="1"/>
  <c r="B52" i="1695"/>
  <c r="AF51" i="1695"/>
  <c r="AB51" i="1695"/>
  <c r="X51" i="1695" s="1"/>
  <c r="AK50" i="1695"/>
  <c r="AJ50" i="1695"/>
  <c r="AB50" i="1695"/>
  <c r="AT51" i="1695" s="1"/>
  <c r="B50" i="1695"/>
  <c r="AN49" i="1695"/>
  <c r="AO49" i="1695" s="1"/>
  <c r="AK49" i="1695"/>
  <c r="AJ49" i="1695"/>
  <c r="AB49" i="1695"/>
  <c r="J49" i="1695"/>
  <c r="B49" i="1695"/>
  <c r="AK48" i="1695"/>
  <c r="AJ48" i="1695"/>
  <c r="AB48" i="1695"/>
  <c r="I48" i="1695"/>
  <c r="E48" i="1695"/>
  <c r="E49" i="1695" s="1"/>
  <c r="B48" i="1695"/>
  <c r="X46" i="1695"/>
  <c r="AF47" i="1695"/>
  <c r="AB47" i="1695"/>
  <c r="G47" i="1695"/>
  <c r="G48" i="1695" s="1"/>
  <c r="G49" i="1695" s="1"/>
  <c r="AK46" i="1695"/>
  <c r="AJ46" i="1695"/>
  <c r="AB46" i="1695"/>
  <c r="AC46" i="1695" s="1"/>
  <c r="B46" i="1695"/>
  <c r="AN45" i="1695"/>
  <c r="AO45" i="1695" s="1"/>
  <c r="AK45" i="1695"/>
  <c r="AJ45" i="1695"/>
  <c r="AB45" i="1695"/>
  <c r="J45" i="1695"/>
  <c r="B45" i="1695"/>
  <c r="AK44" i="1695"/>
  <c r="AJ44" i="1695"/>
  <c r="AB44" i="1695"/>
  <c r="I44" i="1695"/>
  <c r="E44" i="1695"/>
  <c r="E45" i="1695" s="1"/>
  <c r="B44" i="1695"/>
  <c r="AF43" i="1695"/>
  <c r="AB43" i="1695"/>
  <c r="AL43" i="1695" s="1"/>
  <c r="G43" i="1695"/>
  <c r="G44" i="1695" s="1"/>
  <c r="G45" i="1695" s="1"/>
  <c r="C43" i="1695"/>
  <c r="AK42" i="1695"/>
  <c r="AJ42" i="1695"/>
  <c r="AB42" i="1695"/>
  <c r="B42" i="1695"/>
  <c r="AN41" i="1695"/>
  <c r="AK41" i="1695"/>
  <c r="AJ41" i="1695"/>
  <c r="AB41" i="1695"/>
  <c r="G41" i="1695"/>
  <c r="B41" i="1695"/>
  <c r="AK40" i="1695"/>
  <c r="AJ40" i="1695"/>
  <c r="AB40" i="1695"/>
  <c r="I40" i="1695"/>
  <c r="G40" i="1695"/>
  <c r="E40" i="1695"/>
  <c r="E41" i="1695" s="1"/>
  <c r="B40" i="1695"/>
  <c r="AF39" i="1695"/>
  <c r="AB39" i="1695"/>
  <c r="AL39" i="1695" s="1"/>
  <c r="G39" i="1695"/>
  <c r="C39" i="1695"/>
  <c r="AK38" i="1695"/>
  <c r="AJ38" i="1695"/>
  <c r="AB38" i="1695"/>
  <c r="AC38" i="1695" s="1"/>
  <c r="H41" i="1695" s="1"/>
  <c r="B38" i="1695"/>
  <c r="AN37" i="1695"/>
  <c r="AB37" i="1695"/>
  <c r="J37" i="1695"/>
  <c r="B37" i="1695"/>
  <c r="AB36" i="1695"/>
  <c r="I36" i="1695"/>
  <c r="E36" i="1695"/>
  <c r="E37" i="1695" s="1"/>
  <c r="B36" i="1695"/>
  <c r="AF35" i="1695"/>
  <c r="AB35" i="1695"/>
  <c r="AA37" i="1695" s="1"/>
  <c r="G35" i="1695"/>
  <c r="G36" i="1695" s="1"/>
  <c r="G37" i="1695" s="1"/>
  <c r="C35" i="1695"/>
  <c r="AB34" i="1695"/>
  <c r="AT35" i="1695" s="1"/>
  <c r="B34" i="1695"/>
  <c r="AN33" i="1695"/>
  <c r="AO33" i="1695" s="1"/>
  <c r="AK33" i="1695"/>
  <c r="AJ33" i="1695"/>
  <c r="AB33" i="1695"/>
  <c r="J33" i="1695"/>
  <c r="G33" i="1695"/>
  <c r="B33" i="1695"/>
  <c r="AK32" i="1695"/>
  <c r="AJ32" i="1695"/>
  <c r="AB32" i="1695"/>
  <c r="I32" i="1695"/>
  <c r="G32" i="1695"/>
  <c r="E32" i="1695"/>
  <c r="E33" i="1695" s="1"/>
  <c r="B32" i="1695"/>
  <c r="AF31" i="1695"/>
  <c r="AB31" i="1695"/>
  <c r="AL31" i="1695" s="1"/>
  <c r="G31" i="1695"/>
  <c r="C31" i="1695"/>
  <c r="AK30" i="1695"/>
  <c r="AJ30" i="1695"/>
  <c r="AB30" i="1695"/>
  <c r="B30" i="1695"/>
  <c r="AN29" i="1695"/>
  <c r="AO29" i="1695" s="1"/>
  <c r="AK29" i="1695"/>
  <c r="AJ29" i="1695"/>
  <c r="AB29" i="1695"/>
  <c r="J29" i="1695"/>
  <c r="B29" i="1695"/>
  <c r="AK28" i="1695"/>
  <c r="AJ28" i="1695"/>
  <c r="AB28" i="1695"/>
  <c r="I28" i="1695"/>
  <c r="E28" i="1695"/>
  <c r="E29" i="1695" s="1"/>
  <c r="B28" i="1695"/>
  <c r="AF27" i="1695"/>
  <c r="AB27" i="1695"/>
  <c r="AL27" i="1695" s="1"/>
  <c r="C27" i="1695"/>
  <c r="AK26" i="1695"/>
  <c r="AJ26" i="1695"/>
  <c r="AB26" i="1695"/>
  <c r="B26" i="1695"/>
  <c r="AN25" i="1695"/>
  <c r="AO25" i="1695" s="1"/>
  <c r="AK25" i="1695"/>
  <c r="AJ25" i="1695"/>
  <c r="AB25" i="1695"/>
  <c r="J25" i="1695"/>
  <c r="B25" i="1695"/>
  <c r="AK24" i="1695"/>
  <c r="AJ24" i="1695"/>
  <c r="AB24" i="1695"/>
  <c r="I24" i="1695"/>
  <c r="E24" i="1695"/>
  <c r="E25" i="1695" s="1"/>
  <c r="B24" i="1695"/>
  <c r="AF23" i="1695"/>
  <c r="AB23" i="1695"/>
  <c r="G23" i="1695"/>
  <c r="G24" i="1695" s="1"/>
  <c r="G25" i="1695" s="1"/>
  <c r="C23" i="1695"/>
  <c r="AK22" i="1695"/>
  <c r="AJ22" i="1695"/>
  <c r="AB22" i="1695"/>
  <c r="AC22" i="1695" s="1"/>
  <c r="B22" i="1695"/>
  <c r="AN21" i="1695"/>
  <c r="AO21" i="1695" s="1"/>
  <c r="AK21" i="1695"/>
  <c r="AJ21" i="1695"/>
  <c r="AB21" i="1695"/>
  <c r="J21" i="1695"/>
  <c r="G21" i="1695"/>
  <c r="B21" i="1695"/>
  <c r="AK20" i="1695"/>
  <c r="AJ20" i="1695"/>
  <c r="AB20" i="1695"/>
  <c r="I20" i="1695"/>
  <c r="G20" i="1695"/>
  <c r="E20" i="1695"/>
  <c r="E21" i="1695" s="1"/>
  <c r="B20" i="1695"/>
  <c r="AF19" i="1695"/>
  <c r="AB19" i="1695"/>
  <c r="G19" i="1695"/>
  <c r="AK18" i="1695"/>
  <c r="AJ18" i="1695"/>
  <c r="AB18" i="1695"/>
  <c r="AC18" i="1695" s="1"/>
  <c r="H21" i="1695" s="1"/>
  <c r="B18" i="1695"/>
  <c r="AN17" i="1695"/>
  <c r="AO17" i="1695" s="1"/>
  <c r="AK17" i="1695"/>
  <c r="AJ17" i="1695"/>
  <c r="AB17" i="1695"/>
  <c r="J17" i="1695"/>
  <c r="G17" i="1695"/>
  <c r="B17" i="1695"/>
  <c r="AK16" i="1695"/>
  <c r="AJ16" i="1695"/>
  <c r="AB16" i="1695"/>
  <c r="I16" i="1695"/>
  <c r="G16" i="1695"/>
  <c r="B16" i="1695"/>
  <c r="AF15" i="1695"/>
  <c r="AB15" i="1695"/>
  <c r="G15" i="1695"/>
  <c r="C15" i="1695"/>
  <c r="AK14" i="1695"/>
  <c r="AJ14" i="1695"/>
  <c r="AB14" i="1695"/>
  <c r="B14" i="1695"/>
  <c r="AN13" i="1695"/>
  <c r="AO12" i="1695" s="1"/>
  <c r="AK13" i="1695"/>
  <c r="AJ13" i="1695"/>
  <c r="AB13" i="1695"/>
  <c r="J13" i="1695"/>
  <c r="G13" i="1695"/>
  <c r="B13" i="1695"/>
  <c r="AK12" i="1695"/>
  <c r="AJ12" i="1695"/>
  <c r="AB12" i="1695"/>
  <c r="X12" i="1695"/>
  <c r="AA10" i="1695" s="1"/>
  <c r="I12" i="1695"/>
  <c r="G12" i="1695"/>
  <c r="B12" i="1695"/>
  <c r="AT11" i="1695"/>
  <c r="X10" i="1695" s="1"/>
  <c r="AF11" i="1695"/>
  <c r="AB11" i="1695"/>
  <c r="AL11" i="1695" s="1"/>
  <c r="X11" i="1695"/>
  <c r="G11" i="1695"/>
  <c r="C11" i="1695"/>
  <c r="AK10" i="1695"/>
  <c r="AJ10" i="1695"/>
  <c r="AB10" i="1695"/>
  <c r="AC10" i="1695" s="1"/>
  <c r="B10" i="1695"/>
  <c r="AN9" i="1695"/>
  <c r="AO8" i="1695" s="1"/>
  <c r="AK9" i="1695"/>
  <c r="AJ9" i="1695"/>
  <c r="AB9" i="1695"/>
  <c r="G9" i="1695"/>
  <c r="B9" i="1695"/>
  <c r="AK8" i="1695"/>
  <c r="AJ8" i="1695"/>
  <c r="AB8" i="1695"/>
  <c r="I8" i="1695"/>
  <c r="G8" i="1695"/>
  <c r="E8" i="1695"/>
  <c r="E9" i="1695" s="1"/>
  <c r="B8" i="1695"/>
  <c r="BL7" i="1695"/>
  <c r="AF7" i="1695"/>
  <c r="AB7" i="1695"/>
  <c r="AL7" i="1695" s="1"/>
  <c r="G7" i="1695"/>
  <c r="C7" i="1695"/>
  <c r="AK6" i="1695"/>
  <c r="AJ6" i="1695"/>
  <c r="AB6" i="1695"/>
  <c r="AT7" i="1695" s="1"/>
  <c r="X6" i="1695" s="1"/>
  <c r="B6" i="1695"/>
  <c r="AG4" i="1695"/>
  <c r="B3" i="1695"/>
  <c r="AT15" i="1695" l="1"/>
  <c r="X14" i="1695" s="1"/>
  <c r="X16" i="1695"/>
  <c r="AA14" i="1695" s="1"/>
  <c r="AO76" i="1695"/>
  <c r="AO9" i="1695"/>
  <c r="AP9" i="1695" s="1"/>
  <c r="AH91" i="1695"/>
  <c r="AO20" i="1695"/>
  <c r="AO16" i="1695"/>
  <c r="AP16" i="1695" s="1"/>
  <c r="AO13" i="1695"/>
  <c r="AP13" i="1695" s="1"/>
  <c r="AP17" i="1695"/>
  <c r="AL19" i="1695"/>
  <c r="X20" i="1695"/>
  <c r="AA18" i="1695" s="1"/>
  <c r="AC91" i="1695"/>
  <c r="AI15" i="1695"/>
  <c r="AJ15" i="1695" s="1"/>
  <c r="AI51" i="1695"/>
  <c r="AJ51" i="1695" s="1"/>
  <c r="X56" i="1695"/>
  <c r="AA54" i="1695" s="1"/>
  <c r="AO24" i="1695"/>
  <c r="AP24" i="1695" s="1"/>
  <c r="AI27" i="1695"/>
  <c r="AJ27" i="1695" s="1"/>
  <c r="AP29" i="1695"/>
  <c r="AP45" i="1695"/>
  <c r="AC95" i="1695"/>
  <c r="AT59" i="1695"/>
  <c r="X58" i="1695" s="1"/>
  <c r="AC6" i="1695"/>
  <c r="H9" i="1695" s="1"/>
  <c r="X24" i="1695"/>
  <c r="AA22" i="1695" s="1"/>
  <c r="AP25" i="1695"/>
  <c r="X28" i="1695"/>
  <c r="AA26" i="1695" s="1"/>
  <c r="AO28" i="1695"/>
  <c r="AP28" i="1695" s="1"/>
  <c r="AH27" i="1695"/>
  <c r="AO32" i="1695"/>
  <c r="AP32" i="1695" s="1"/>
  <c r="AO44" i="1695"/>
  <c r="AP44" i="1695" s="1"/>
  <c r="AO48" i="1695"/>
  <c r="AP48" i="1695" s="1"/>
  <c r="AO52" i="1695"/>
  <c r="AP52" i="1695" s="1"/>
  <c r="AO56" i="1695"/>
  <c r="AP56" i="1695" s="1"/>
  <c r="AC78" i="1695"/>
  <c r="H81" i="1695" s="1"/>
  <c r="AT79" i="1695"/>
  <c r="X78" i="1695" s="1"/>
  <c r="AC82" i="1695"/>
  <c r="H85" i="1695" s="1"/>
  <c r="X35" i="1695"/>
  <c r="AP21" i="1695"/>
  <c r="AC50" i="1695"/>
  <c r="H53" i="1695" s="1"/>
  <c r="X50" i="1695"/>
  <c r="AT27" i="1695"/>
  <c r="X26" i="1695" s="1"/>
  <c r="AT39" i="1695"/>
  <c r="X38" i="1695" s="1"/>
  <c r="AT43" i="1695"/>
  <c r="X42" i="1695" s="1"/>
  <c r="AC27" i="1695"/>
  <c r="AH35" i="1695"/>
  <c r="AC42" i="1695"/>
  <c r="H45" i="1695" s="1"/>
  <c r="AO72" i="1695"/>
  <c r="X76" i="1695"/>
  <c r="AA74" i="1695" s="1"/>
  <c r="X91" i="1695"/>
  <c r="AH95" i="1695"/>
  <c r="AC35" i="1695"/>
  <c r="AH19" i="1695"/>
  <c r="AH23" i="1695"/>
  <c r="AH59" i="1695"/>
  <c r="AP57" i="1695"/>
  <c r="AI67" i="1695"/>
  <c r="AK67" i="1695" s="1"/>
  <c r="AI59" i="1695"/>
  <c r="AK59" i="1695" s="1"/>
  <c r="AI39" i="1695"/>
  <c r="AJ39" i="1695" s="1"/>
  <c r="AI31" i="1695"/>
  <c r="AM31" i="1695" s="1"/>
  <c r="AP33" i="1695"/>
  <c r="AI19" i="1695"/>
  <c r="AK19" i="1695" s="1"/>
  <c r="AC55" i="1695"/>
  <c r="AC23" i="1695"/>
  <c r="AG23" i="1695" s="1"/>
  <c r="AC19" i="1695"/>
  <c r="AG19" i="1695" s="1"/>
  <c r="AL75" i="1695"/>
  <c r="X36" i="1695"/>
  <c r="AA34" i="1695" s="1"/>
  <c r="AC31" i="1695"/>
  <c r="C20" i="1696"/>
  <c r="U112" i="1695"/>
  <c r="AC7" i="1695"/>
  <c r="AC11" i="1695"/>
  <c r="AG11" i="1695" s="1"/>
  <c r="AI71" i="1695"/>
  <c r="AM71" i="1695" s="1"/>
  <c r="AC87" i="1695"/>
  <c r="AA101" i="1695"/>
  <c r="AL51" i="1695"/>
  <c r="Q112" i="1695"/>
  <c r="AP12" i="1695"/>
  <c r="X7" i="1695"/>
  <c r="AC43" i="1695"/>
  <c r="AH47" i="1695"/>
  <c r="X8" i="1695"/>
  <c r="AA6" i="1695" s="1"/>
  <c r="AH11" i="1695"/>
  <c r="AC14" i="1695"/>
  <c r="H17" i="1695" s="1"/>
  <c r="AL15" i="1695"/>
  <c r="AT19" i="1695"/>
  <c r="X18" i="1695" s="1"/>
  <c r="AI23" i="1695"/>
  <c r="X27" i="1695"/>
  <c r="AH31" i="1695"/>
  <c r="AC39" i="1695"/>
  <c r="AG39" i="1695" s="1"/>
  <c r="X44" i="1695"/>
  <c r="AA42" i="1695" s="1"/>
  <c r="AP49" i="1695"/>
  <c r="AH51" i="1695"/>
  <c r="AL55" i="1695"/>
  <c r="AH63" i="1695"/>
  <c r="AH71" i="1695"/>
  <c r="AP76" i="1695"/>
  <c r="AP77" i="1695"/>
  <c r="AI79" i="1695"/>
  <c r="AJ79" i="1695" s="1"/>
  <c r="AC83" i="1695"/>
  <c r="AH87" i="1695"/>
  <c r="AP73" i="1695"/>
  <c r="M112" i="1695"/>
  <c r="AA41" i="1695"/>
  <c r="AI47" i="1695"/>
  <c r="AM47" i="1695" s="1"/>
  <c r="AP53" i="1695"/>
  <c r="AI63" i="1695"/>
  <c r="AM63" i="1695" s="1"/>
  <c r="AI75" i="1695"/>
  <c r="AM75" i="1695" s="1"/>
  <c r="P112" i="1695"/>
  <c r="H25" i="1695"/>
  <c r="H13" i="1695"/>
  <c r="X22" i="1695"/>
  <c r="X32" i="1695"/>
  <c r="AA30" i="1695" s="1"/>
  <c r="X43" i="1695"/>
  <c r="AI43" i="1695"/>
  <c r="AH43" i="1695"/>
  <c r="AI55" i="1695"/>
  <c r="AM55" i="1695" s="1"/>
  <c r="AH55" i="1695"/>
  <c r="AO65" i="1695"/>
  <c r="AP65" i="1695" s="1"/>
  <c r="AO64" i="1695"/>
  <c r="AP64" i="1695" s="1"/>
  <c r="X64" i="1695"/>
  <c r="AA62" i="1695" s="1"/>
  <c r="AL67" i="1695"/>
  <c r="X67" i="1695"/>
  <c r="AC67" i="1695"/>
  <c r="AO85" i="1695"/>
  <c r="AP85" i="1695" s="1"/>
  <c r="AO84" i="1695"/>
  <c r="AP84" i="1695" s="1"/>
  <c r="X84" i="1695"/>
  <c r="AA82" i="1695" s="1"/>
  <c r="X83" i="1695"/>
  <c r="AO89" i="1695"/>
  <c r="AP89" i="1695" s="1"/>
  <c r="AO88" i="1695"/>
  <c r="AP88" i="1695" s="1"/>
  <c r="X88" i="1695"/>
  <c r="AA86" i="1695" s="1"/>
  <c r="X87" i="1695"/>
  <c r="AB4" i="1695"/>
  <c r="AI11" i="1695"/>
  <c r="AC26" i="1695"/>
  <c r="X31" i="1695"/>
  <c r="AH39" i="1695"/>
  <c r="AT55" i="1695"/>
  <c r="X54" i="1695" s="1"/>
  <c r="AC54" i="1695"/>
  <c r="H61" i="1695"/>
  <c r="AJ63" i="1695"/>
  <c r="X68" i="1695"/>
  <c r="AA66" i="1695" s="1"/>
  <c r="AO69" i="1695"/>
  <c r="AP69" i="1695" s="1"/>
  <c r="AO68" i="1695"/>
  <c r="AP68" i="1695" s="1"/>
  <c r="X72" i="1695"/>
  <c r="AA70" i="1695" s="1"/>
  <c r="AL71" i="1695"/>
  <c r="X71" i="1695"/>
  <c r="AA73" i="1695"/>
  <c r="AC71" i="1695"/>
  <c r="AG71" i="1695" s="1"/>
  <c r="X75" i="1695"/>
  <c r="AO93" i="1695"/>
  <c r="AP93" i="1695" s="1"/>
  <c r="AO92" i="1695"/>
  <c r="AP92" i="1695" s="1"/>
  <c r="X92" i="1695"/>
  <c r="AA90" i="1695" s="1"/>
  <c r="AO97" i="1695"/>
  <c r="AP97" i="1695" s="1"/>
  <c r="AO96" i="1695"/>
  <c r="AP96" i="1695" s="1"/>
  <c r="X96" i="1695"/>
  <c r="AA94" i="1695" s="1"/>
  <c r="X95" i="1695"/>
  <c r="X39" i="1695"/>
  <c r="X15" i="1695"/>
  <c r="AH15" i="1695"/>
  <c r="AH67" i="1695"/>
  <c r="AP72" i="1695"/>
  <c r="AH79" i="1695"/>
  <c r="AT87" i="1695"/>
  <c r="X86" i="1695" s="1"/>
  <c r="AC86" i="1695"/>
  <c r="AT91" i="1695"/>
  <c r="X90" i="1695" s="1"/>
  <c r="AC90" i="1695"/>
  <c r="AP20" i="1695"/>
  <c r="AT31" i="1695"/>
  <c r="X30" i="1695" s="1"/>
  <c r="AC30" i="1695"/>
  <c r="AI7" i="1695"/>
  <c r="AH7" i="1695"/>
  <c r="AP8" i="1695"/>
  <c r="AA17" i="1695"/>
  <c r="AM15" i="1695"/>
  <c r="AC15" i="1695"/>
  <c r="AG15" i="1695" s="1"/>
  <c r="X34" i="1695"/>
  <c r="AC34" i="1695"/>
  <c r="AO41" i="1695"/>
  <c r="AP41" i="1695" s="1"/>
  <c r="AO40" i="1695"/>
  <c r="AP40" i="1695" s="1"/>
  <c r="X40" i="1695"/>
  <c r="AA38" i="1695" s="1"/>
  <c r="H49" i="1695"/>
  <c r="X47" i="1695"/>
  <c r="AL47" i="1695"/>
  <c r="X48" i="1695"/>
  <c r="AA46" i="1695" s="1"/>
  <c r="AC47" i="1695"/>
  <c r="AG47" i="1695" s="1"/>
  <c r="AO60" i="1695"/>
  <c r="AP60" i="1695" s="1"/>
  <c r="X60" i="1695"/>
  <c r="AA58" i="1695" s="1"/>
  <c r="AO61" i="1695"/>
  <c r="AP61" i="1695" s="1"/>
  <c r="AL63" i="1695"/>
  <c r="X63" i="1695"/>
  <c r="AC63" i="1695"/>
  <c r="AK79" i="1695"/>
  <c r="AP81" i="1695"/>
  <c r="AH83" i="1695"/>
  <c r="AI83" i="1695"/>
  <c r="X94" i="1695"/>
  <c r="AC94" i="1695"/>
  <c r="AA61" i="1695"/>
  <c r="X59" i="1695"/>
  <c r="N112" i="1695"/>
  <c r="R112" i="1695"/>
  <c r="V112" i="1695"/>
  <c r="AC79" i="1695"/>
  <c r="X19" i="1695"/>
  <c r="X23" i="1695"/>
  <c r="AC51" i="1695"/>
  <c r="X52" i="1695"/>
  <c r="AA50" i="1695" s="1"/>
  <c r="AC59" i="1695"/>
  <c r="AG59" i="1695" s="1"/>
  <c r="X62" i="1695"/>
  <c r="AC62" i="1695"/>
  <c r="AT67" i="1695"/>
  <c r="X66" i="1695" s="1"/>
  <c r="AC66" i="1695"/>
  <c r="AH75" i="1695"/>
  <c r="X80" i="1695"/>
  <c r="AA78" i="1695" s="1"/>
  <c r="AO80" i="1695"/>
  <c r="AP80" i="1695" s="1"/>
  <c r="AA99" i="1695"/>
  <c r="O112" i="1695"/>
  <c r="S112" i="1695"/>
  <c r="W112" i="1695"/>
  <c r="T112" i="1695"/>
  <c r="AL23" i="1695"/>
  <c r="X55" i="1695"/>
  <c r="AL59" i="1695"/>
  <c r="AC75" i="1695"/>
  <c r="AG75" i="1695" s="1"/>
  <c r="AL79" i="1695"/>
  <c r="AA81" i="1695"/>
  <c r="AI87" i="1695"/>
  <c r="AI91" i="1695"/>
  <c r="AI95" i="1695"/>
  <c r="AN81" i="1693"/>
  <c r="AO81" i="1693" s="1"/>
  <c r="AK81" i="1693"/>
  <c r="AJ81" i="1693"/>
  <c r="AB81" i="1693"/>
  <c r="J81" i="1693"/>
  <c r="G81" i="1693"/>
  <c r="B81" i="1693"/>
  <c r="AK80" i="1693"/>
  <c r="AJ80" i="1693"/>
  <c r="AB80" i="1693"/>
  <c r="I80" i="1693"/>
  <c r="G80" i="1693"/>
  <c r="E80" i="1693"/>
  <c r="E81" i="1693" s="1"/>
  <c r="B80" i="1693"/>
  <c r="AT79" i="1693"/>
  <c r="X78" i="1693" s="1"/>
  <c r="AF79" i="1693"/>
  <c r="AB79" i="1693"/>
  <c r="X79" i="1693" s="1"/>
  <c r="G79" i="1693"/>
  <c r="C79" i="1693"/>
  <c r="AK78" i="1693"/>
  <c r="AJ78" i="1693"/>
  <c r="AB78" i="1693"/>
  <c r="AC78" i="1693" s="1"/>
  <c r="H81" i="1693" s="1"/>
  <c r="B78" i="1693"/>
  <c r="AG83" i="1695" l="1"/>
  <c r="AY83" i="1695" s="1"/>
  <c r="AM27" i="1695"/>
  <c r="AJ67" i="1695"/>
  <c r="AM19" i="1695"/>
  <c r="AK71" i="1695"/>
  <c r="AG43" i="1695"/>
  <c r="AG45" i="1695" s="1"/>
  <c r="AG7" i="1695"/>
  <c r="AY7" i="1695" s="1"/>
  <c r="AK15" i="1695"/>
  <c r="AM79" i="1695"/>
  <c r="AM51" i="1695"/>
  <c r="AM39" i="1695"/>
  <c r="AK51" i="1695"/>
  <c r="AG79" i="1695"/>
  <c r="AG81" i="1695" s="1"/>
  <c r="AK27" i="1695"/>
  <c r="AJ47" i="1695"/>
  <c r="AJ19" i="1695"/>
  <c r="AJ31" i="1695"/>
  <c r="AG51" i="1695"/>
  <c r="AY51" i="1695" s="1"/>
  <c r="AI79" i="1693"/>
  <c r="AK79" i="1693" s="1"/>
  <c r="AO80" i="1693"/>
  <c r="AP80" i="1693" s="1"/>
  <c r="X80" i="1693"/>
  <c r="AA78" i="1693" s="1"/>
  <c r="AK39" i="1695"/>
  <c r="AK47" i="1695"/>
  <c r="AJ59" i="1695"/>
  <c r="AM67" i="1695"/>
  <c r="AK63" i="1695"/>
  <c r="AM59" i="1695"/>
  <c r="AK31" i="1695"/>
  <c r="AJ71" i="1695"/>
  <c r="AK23" i="1695"/>
  <c r="AJ23" i="1695"/>
  <c r="AM23" i="1695"/>
  <c r="AL2" i="1695"/>
  <c r="AJ75" i="1695"/>
  <c r="AK75" i="1695"/>
  <c r="AG41" i="1695"/>
  <c r="AY39" i="1695"/>
  <c r="AY59" i="1695"/>
  <c r="AG61" i="1695"/>
  <c r="AY47" i="1695"/>
  <c r="AG49" i="1695"/>
  <c r="AJ83" i="1695"/>
  <c r="AM83" i="1695"/>
  <c r="AK83" i="1695"/>
  <c r="AG31" i="1695"/>
  <c r="H33" i="1695"/>
  <c r="H93" i="1695"/>
  <c r="AG91" i="1695"/>
  <c r="AG85" i="1695"/>
  <c r="AG21" i="1695"/>
  <c r="AY19" i="1695"/>
  <c r="AG25" i="1695"/>
  <c r="AY23" i="1695"/>
  <c r="AM91" i="1695"/>
  <c r="AK91" i="1695"/>
  <c r="AJ91" i="1695"/>
  <c r="AY71" i="1695"/>
  <c r="AG73" i="1695"/>
  <c r="H29" i="1695"/>
  <c r="AG27" i="1695"/>
  <c r="AK11" i="1695"/>
  <c r="AM11" i="1695"/>
  <c r="AJ11" i="1695"/>
  <c r="AM43" i="1695"/>
  <c r="AK43" i="1695"/>
  <c r="AJ43" i="1695"/>
  <c r="AY11" i="1695"/>
  <c r="AG13" i="1695"/>
  <c r="H37" i="1695"/>
  <c r="AG35" i="1695"/>
  <c r="AM7" i="1695"/>
  <c r="AI4" i="1695"/>
  <c r="AJ7" i="1695"/>
  <c r="AK7" i="1695"/>
  <c r="AT4" i="1695"/>
  <c r="AM95" i="1695"/>
  <c r="AK95" i="1695"/>
  <c r="AJ95" i="1695"/>
  <c r="AG67" i="1695"/>
  <c r="H69" i="1695"/>
  <c r="AY75" i="1695"/>
  <c r="AG77" i="1695"/>
  <c r="AM87" i="1695"/>
  <c r="AK87" i="1695"/>
  <c r="AJ87" i="1695"/>
  <c r="AG63" i="1695"/>
  <c r="H65" i="1695"/>
  <c r="H97" i="1695"/>
  <c r="AG95" i="1695"/>
  <c r="AY15" i="1695"/>
  <c r="AG17" i="1695"/>
  <c r="H89" i="1695"/>
  <c r="AG87" i="1695"/>
  <c r="AG55" i="1695"/>
  <c r="H57" i="1695"/>
  <c r="AK55" i="1695"/>
  <c r="AJ55" i="1695"/>
  <c r="AH79" i="1693"/>
  <c r="AP81" i="1693"/>
  <c r="AA81" i="1693"/>
  <c r="AL79" i="1693"/>
  <c r="AC79" i="1693"/>
  <c r="AG79" i="1693" s="1"/>
  <c r="AN93" i="1693"/>
  <c r="AO93" i="1693" s="1"/>
  <c r="AK93" i="1693"/>
  <c r="AJ93" i="1693"/>
  <c r="AB93" i="1693"/>
  <c r="J93" i="1693"/>
  <c r="B93" i="1693"/>
  <c r="AK92" i="1693"/>
  <c r="AJ92" i="1693"/>
  <c r="AB92" i="1693"/>
  <c r="I92" i="1693"/>
  <c r="E92" i="1693"/>
  <c r="E93" i="1693" s="1"/>
  <c r="B92" i="1693"/>
  <c r="AF91" i="1693"/>
  <c r="AB91" i="1693"/>
  <c r="G91" i="1693"/>
  <c r="G92" i="1693" s="1"/>
  <c r="G93" i="1693" s="1"/>
  <c r="C91" i="1693"/>
  <c r="AK90" i="1693"/>
  <c r="AJ90" i="1693"/>
  <c r="AB90" i="1693"/>
  <c r="X90" i="1693" s="1"/>
  <c r="B90" i="1693"/>
  <c r="V23" i="1585"/>
  <c r="AY79" i="1695" l="1"/>
  <c r="AG9" i="1695"/>
  <c r="AY43" i="1695"/>
  <c r="AJ79" i="1693"/>
  <c r="AM79" i="1693"/>
  <c r="AG53" i="1695"/>
  <c r="AI91" i="1693"/>
  <c r="AK91" i="1693" s="1"/>
  <c r="AG69" i="1695"/>
  <c r="AY67" i="1695"/>
  <c r="AG93" i="1695"/>
  <c r="AY91" i="1695"/>
  <c r="AY55" i="1695"/>
  <c r="AG57" i="1695"/>
  <c r="AY63" i="1695"/>
  <c r="AG65" i="1695"/>
  <c r="AK2" i="1695"/>
  <c r="AG2" i="1695" s="1"/>
  <c r="AG37" i="1695"/>
  <c r="AY35" i="1695"/>
  <c r="AG89" i="1695"/>
  <c r="AY87" i="1695"/>
  <c r="AG97" i="1695"/>
  <c r="AY95" i="1695"/>
  <c r="AY27" i="1695"/>
  <c r="AG29" i="1695"/>
  <c r="AY31" i="1695"/>
  <c r="AG33" i="1695"/>
  <c r="AP93" i="1693"/>
  <c r="AC90" i="1693"/>
  <c r="H93" i="1693" s="1"/>
  <c r="AY79" i="1693"/>
  <c r="AG81" i="1693"/>
  <c r="AH91" i="1693"/>
  <c r="AO92" i="1693"/>
  <c r="AP92" i="1693" s="1"/>
  <c r="X92" i="1693"/>
  <c r="AA90" i="1693" s="1"/>
  <c r="AL91" i="1693"/>
  <c r="AC91" i="1693"/>
  <c r="AJ91" i="1693" l="1"/>
  <c r="AM91" i="1693"/>
  <c r="AG91" i="1693"/>
  <c r="AY91" i="1693" s="1"/>
  <c r="AN53" i="1693"/>
  <c r="AO53" i="1693" s="1"/>
  <c r="AK53" i="1693"/>
  <c r="AJ53" i="1693"/>
  <c r="AB53" i="1693"/>
  <c r="J53" i="1693"/>
  <c r="B53" i="1693"/>
  <c r="AK52" i="1693"/>
  <c r="AJ52" i="1693"/>
  <c r="AB52" i="1693"/>
  <c r="I52" i="1693"/>
  <c r="E52" i="1693"/>
  <c r="E53" i="1693" s="1"/>
  <c r="B52" i="1693"/>
  <c r="AF51" i="1693"/>
  <c r="AB51" i="1693"/>
  <c r="AL51" i="1693" s="1"/>
  <c r="AK50" i="1693"/>
  <c r="AJ50" i="1693"/>
  <c r="AB50" i="1693"/>
  <c r="X50" i="1693" s="1"/>
  <c r="B50" i="1693"/>
  <c r="AN29" i="1693"/>
  <c r="AO29" i="1693" s="1"/>
  <c r="AK29" i="1693"/>
  <c r="AJ29" i="1693"/>
  <c r="AB29" i="1693"/>
  <c r="J29" i="1693"/>
  <c r="B29" i="1693"/>
  <c r="AK28" i="1693"/>
  <c r="AJ28" i="1693"/>
  <c r="AB28" i="1693"/>
  <c r="I28" i="1693"/>
  <c r="E28" i="1693"/>
  <c r="E29" i="1693" s="1"/>
  <c r="B28" i="1693"/>
  <c r="AF27" i="1693"/>
  <c r="AB27" i="1693"/>
  <c r="AL27" i="1693" s="1"/>
  <c r="C27" i="1693"/>
  <c r="AK26" i="1693"/>
  <c r="AJ26" i="1693"/>
  <c r="AB26" i="1693"/>
  <c r="X26" i="1693" s="1"/>
  <c r="B26" i="1693"/>
  <c r="AG93" i="1693" l="1"/>
  <c r="AC50" i="1693"/>
  <c r="H53" i="1693" s="1"/>
  <c r="X52" i="1693"/>
  <c r="AA50" i="1693" s="1"/>
  <c r="AC26" i="1693"/>
  <c r="H29" i="1693" s="1"/>
  <c r="AH27" i="1693"/>
  <c r="AO52" i="1693"/>
  <c r="AP52" i="1693" s="1"/>
  <c r="AP29" i="1693"/>
  <c r="AC27" i="1693"/>
  <c r="AG27" i="1693" s="1"/>
  <c r="AI27" i="1693"/>
  <c r="AM27" i="1693" s="1"/>
  <c r="AP53" i="1693"/>
  <c r="AI51" i="1693"/>
  <c r="AK51" i="1693" s="1"/>
  <c r="AH51" i="1693"/>
  <c r="AC51" i="1693"/>
  <c r="X28" i="1693"/>
  <c r="AA26" i="1693" s="1"/>
  <c r="AO28" i="1693"/>
  <c r="AP28" i="1693" s="1"/>
  <c r="AG51" i="1693" l="1"/>
  <c r="AG53" i="1693" s="1"/>
  <c r="AJ51" i="1693"/>
  <c r="AM51" i="1693"/>
  <c r="AJ27" i="1693"/>
  <c r="AK27" i="1693"/>
  <c r="AY27" i="1693"/>
  <c r="AG29" i="1693"/>
  <c r="Q19" i="1694"/>
  <c r="O19" i="1694"/>
  <c r="J19" i="1694"/>
  <c r="H19" i="1694"/>
  <c r="D19" i="1694"/>
  <c r="AY51" i="1693" l="1"/>
  <c r="B19" i="1694"/>
  <c r="AN65" i="1693"/>
  <c r="M12" i="1694" l="1"/>
  <c r="K12" i="1694"/>
  <c r="I12" i="1694"/>
  <c r="L12" i="1694"/>
  <c r="P13" i="1694"/>
  <c r="I13" i="1694"/>
  <c r="L13" i="1694"/>
  <c r="K13" i="1694"/>
  <c r="T13" i="1694"/>
  <c r="M13" i="1694"/>
  <c r="S13" i="1694"/>
  <c r="R13" i="1694"/>
  <c r="F19" i="1694"/>
  <c r="R6" i="1694"/>
  <c r="K6" i="1694"/>
  <c r="P6" i="1694"/>
  <c r="M6" i="1694"/>
  <c r="V6" i="1694"/>
  <c r="L6" i="1694"/>
  <c r="I6" i="1694"/>
  <c r="C19" i="1694"/>
  <c r="S10" i="1694"/>
  <c r="L10" i="1694"/>
  <c r="P10" i="1694"/>
  <c r="I10" i="1694"/>
  <c r="T10" i="1694"/>
  <c r="R10" i="1694"/>
  <c r="K10" i="1694"/>
  <c r="M10" i="1694"/>
  <c r="P8" i="1694"/>
  <c r="I8" i="1694"/>
  <c r="L8" i="1694"/>
  <c r="K8" i="1694"/>
  <c r="T8" i="1694"/>
  <c r="M8" i="1694"/>
  <c r="S8" i="1694"/>
  <c r="R8" i="1694"/>
  <c r="R14" i="1694"/>
  <c r="K14" i="1694"/>
  <c r="T14" i="1694"/>
  <c r="L14" i="1694"/>
  <c r="P14" i="1694"/>
  <c r="I14" i="1694"/>
  <c r="M14" i="1694"/>
  <c r="S14" i="1694"/>
  <c r="M16" i="1694"/>
  <c r="I16" i="1694"/>
  <c r="L16" i="1694"/>
  <c r="K16" i="1694"/>
  <c r="M11" i="1694"/>
  <c r="K11" i="1694"/>
  <c r="P11" i="1694"/>
  <c r="I11" i="1694"/>
  <c r="L11" i="1694"/>
  <c r="R11" i="1694"/>
  <c r="R9" i="1694"/>
  <c r="K9" i="1694"/>
  <c r="P9" i="1694"/>
  <c r="T9" i="1694"/>
  <c r="M9" i="1694"/>
  <c r="S9" i="1694"/>
  <c r="I9" i="1694"/>
  <c r="L9" i="1694"/>
  <c r="L15" i="1694"/>
  <c r="R15" i="1694"/>
  <c r="K15" i="1694"/>
  <c r="I15" i="1694"/>
  <c r="P15" i="1694"/>
  <c r="T7" i="1694"/>
  <c r="M7" i="1694"/>
  <c r="L7" i="1694"/>
  <c r="K7" i="1694"/>
  <c r="P7" i="1694"/>
  <c r="I7" i="1694"/>
  <c r="S7" i="1694"/>
  <c r="R7" i="1694"/>
  <c r="AT71" i="1693"/>
  <c r="AT11" i="1693"/>
  <c r="W109" i="1693" l="1"/>
  <c r="V109" i="1693"/>
  <c r="V106" i="1693" s="1"/>
  <c r="U109" i="1693"/>
  <c r="U106" i="1693" s="1"/>
  <c r="T109" i="1693"/>
  <c r="T106" i="1693" s="1"/>
  <c r="S109" i="1693"/>
  <c r="S106" i="1693" s="1"/>
  <c r="R109" i="1693"/>
  <c r="R106" i="1693" s="1"/>
  <c r="Q109" i="1693"/>
  <c r="Q106" i="1693" s="1"/>
  <c r="P109" i="1693"/>
  <c r="P106" i="1693" s="1"/>
  <c r="O109" i="1693"/>
  <c r="O106" i="1693" s="1"/>
  <c r="N109" i="1693"/>
  <c r="N106" i="1693" s="1"/>
  <c r="M109" i="1693"/>
  <c r="M106" i="1693" s="1"/>
  <c r="W103" i="1693"/>
  <c r="V103" i="1693"/>
  <c r="U103" i="1693"/>
  <c r="T103" i="1693"/>
  <c r="S103" i="1693"/>
  <c r="R103" i="1693"/>
  <c r="Q103" i="1693"/>
  <c r="P103" i="1693"/>
  <c r="O103" i="1693"/>
  <c r="N103" i="1693"/>
  <c r="M103" i="1693"/>
  <c r="W101" i="1693"/>
  <c r="V101" i="1693"/>
  <c r="U101" i="1693"/>
  <c r="T101" i="1693"/>
  <c r="S101" i="1693"/>
  <c r="R101" i="1693"/>
  <c r="Q101" i="1693"/>
  <c r="P101" i="1693"/>
  <c r="O101" i="1693"/>
  <c r="N101" i="1693"/>
  <c r="M101" i="1693"/>
  <c r="W99" i="1693"/>
  <c r="V99" i="1693"/>
  <c r="U99" i="1693"/>
  <c r="T99" i="1693"/>
  <c r="S99" i="1693"/>
  <c r="R99" i="1693"/>
  <c r="Q99" i="1693"/>
  <c r="P99" i="1693"/>
  <c r="O99" i="1693"/>
  <c r="N99" i="1693"/>
  <c r="M99" i="1693"/>
  <c r="AN97" i="1693"/>
  <c r="AK97" i="1693"/>
  <c r="AJ97" i="1693"/>
  <c r="AB97" i="1693"/>
  <c r="J97" i="1693"/>
  <c r="B97" i="1693"/>
  <c r="AK96" i="1693"/>
  <c r="AJ96" i="1693"/>
  <c r="AB96" i="1693"/>
  <c r="I96" i="1693"/>
  <c r="E96" i="1693"/>
  <c r="E97" i="1693" s="1"/>
  <c r="B96" i="1693"/>
  <c r="AF95" i="1693"/>
  <c r="AB95" i="1693"/>
  <c r="X91" i="1693" s="1"/>
  <c r="G95" i="1693"/>
  <c r="G96" i="1693" s="1"/>
  <c r="G97" i="1693" s="1"/>
  <c r="C95" i="1693"/>
  <c r="AK94" i="1693"/>
  <c r="AJ94" i="1693"/>
  <c r="AB94" i="1693"/>
  <c r="B94" i="1693"/>
  <c r="AN89" i="1693"/>
  <c r="AO89" i="1693" s="1"/>
  <c r="AK89" i="1693"/>
  <c r="AJ89" i="1693"/>
  <c r="AB89" i="1693"/>
  <c r="J89" i="1693"/>
  <c r="B89" i="1693"/>
  <c r="AK88" i="1693"/>
  <c r="AJ88" i="1693"/>
  <c r="AB88" i="1693"/>
  <c r="I88" i="1693"/>
  <c r="E88" i="1693"/>
  <c r="E89" i="1693" s="1"/>
  <c r="B88" i="1693"/>
  <c r="AF87" i="1693"/>
  <c r="AB87" i="1693"/>
  <c r="AL87" i="1693" s="1"/>
  <c r="G87" i="1693"/>
  <c r="G88" i="1693" s="1"/>
  <c r="G89" i="1693" s="1"/>
  <c r="C87" i="1693"/>
  <c r="AK86" i="1693"/>
  <c r="AJ86" i="1693"/>
  <c r="AB86" i="1693"/>
  <c r="B86" i="1693"/>
  <c r="AN85" i="1693"/>
  <c r="AK85" i="1693"/>
  <c r="AJ85" i="1693"/>
  <c r="AB85" i="1693"/>
  <c r="J85" i="1693"/>
  <c r="G85" i="1693"/>
  <c r="B85" i="1693"/>
  <c r="AK84" i="1693"/>
  <c r="AJ84" i="1693"/>
  <c r="AB84" i="1693"/>
  <c r="I84" i="1693"/>
  <c r="G84" i="1693"/>
  <c r="E84" i="1693"/>
  <c r="E85" i="1693" s="1"/>
  <c r="B84" i="1693"/>
  <c r="AF83" i="1693"/>
  <c r="AB83" i="1693"/>
  <c r="AL83" i="1693" s="1"/>
  <c r="G83" i="1693"/>
  <c r="C83" i="1693"/>
  <c r="AK82" i="1693"/>
  <c r="AJ82" i="1693"/>
  <c r="AB82" i="1693"/>
  <c r="AT83" i="1693" s="1"/>
  <c r="X82" i="1693" s="1"/>
  <c r="B82" i="1693"/>
  <c r="AN77" i="1693"/>
  <c r="AO77" i="1693" s="1"/>
  <c r="AK77" i="1693"/>
  <c r="AJ77" i="1693"/>
  <c r="AB77" i="1693"/>
  <c r="J77" i="1693"/>
  <c r="G77" i="1693"/>
  <c r="B77" i="1693"/>
  <c r="AK76" i="1693"/>
  <c r="AJ76" i="1693"/>
  <c r="AB76" i="1693"/>
  <c r="I76" i="1693"/>
  <c r="G76" i="1693"/>
  <c r="E76" i="1693"/>
  <c r="E77" i="1693" s="1"/>
  <c r="B76" i="1693"/>
  <c r="AF75" i="1693"/>
  <c r="AB75" i="1693"/>
  <c r="G75" i="1693"/>
  <c r="C75" i="1693"/>
  <c r="AK74" i="1693"/>
  <c r="AJ74" i="1693"/>
  <c r="AB74" i="1693"/>
  <c r="AT75" i="1693" s="1"/>
  <c r="B74" i="1693"/>
  <c r="AN73" i="1693"/>
  <c r="AO73" i="1693" s="1"/>
  <c r="AK73" i="1693"/>
  <c r="AJ73" i="1693"/>
  <c r="AB73" i="1693"/>
  <c r="J73" i="1693"/>
  <c r="G73" i="1693"/>
  <c r="B73" i="1693"/>
  <c r="AK72" i="1693"/>
  <c r="AJ72" i="1693"/>
  <c r="AB72" i="1693"/>
  <c r="I72" i="1693"/>
  <c r="G72" i="1693"/>
  <c r="E72" i="1693"/>
  <c r="E73" i="1693" s="1"/>
  <c r="B72" i="1693"/>
  <c r="AF71" i="1693"/>
  <c r="AB71" i="1693"/>
  <c r="G71" i="1693"/>
  <c r="C71" i="1693"/>
  <c r="AK70" i="1693"/>
  <c r="AJ70" i="1693"/>
  <c r="AB70" i="1693"/>
  <c r="AC70" i="1693" s="1"/>
  <c r="H73" i="1693" s="1"/>
  <c r="X70" i="1693"/>
  <c r="B70" i="1693"/>
  <c r="AN69" i="1693"/>
  <c r="AO69" i="1693" s="1"/>
  <c r="AK69" i="1693"/>
  <c r="AJ69" i="1693"/>
  <c r="AB69" i="1693"/>
  <c r="J69" i="1693"/>
  <c r="B69" i="1693"/>
  <c r="AK68" i="1693"/>
  <c r="AJ68" i="1693"/>
  <c r="AB68" i="1693"/>
  <c r="I68" i="1693"/>
  <c r="E68" i="1693"/>
  <c r="E69" i="1693" s="1"/>
  <c r="B68" i="1693"/>
  <c r="AF67" i="1693"/>
  <c r="AB67" i="1693"/>
  <c r="G67" i="1693"/>
  <c r="G68" i="1693" s="1"/>
  <c r="G69" i="1693" s="1"/>
  <c r="C67" i="1693"/>
  <c r="AK66" i="1693"/>
  <c r="AJ66" i="1693"/>
  <c r="AB66" i="1693"/>
  <c r="B66" i="1693"/>
  <c r="AO65" i="1693"/>
  <c r="AK65" i="1693"/>
  <c r="AJ65" i="1693"/>
  <c r="AB65" i="1693"/>
  <c r="J65" i="1693"/>
  <c r="B65" i="1693"/>
  <c r="AO64" i="1693"/>
  <c r="AK64" i="1693"/>
  <c r="AJ64" i="1693"/>
  <c r="AB64" i="1693"/>
  <c r="I64" i="1693"/>
  <c r="E64" i="1693"/>
  <c r="E65" i="1693" s="1"/>
  <c r="B64" i="1693"/>
  <c r="AF63" i="1693"/>
  <c r="AB63" i="1693"/>
  <c r="G63" i="1693"/>
  <c r="G64" i="1693" s="1"/>
  <c r="G65" i="1693" s="1"/>
  <c r="C63" i="1693"/>
  <c r="AK62" i="1693"/>
  <c r="AJ62" i="1693"/>
  <c r="AB62" i="1693"/>
  <c r="AT63" i="1693" s="1"/>
  <c r="B62" i="1693"/>
  <c r="AN61" i="1693"/>
  <c r="AO60" i="1693" s="1"/>
  <c r="AK61" i="1693"/>
  <c r="AJ61" i="1693"/>
  <c r="AB61" i="1693"/>
  <c r="J61" i="1693"/>
  <c r="B61" i="1693"/>
  <c r="AK60" i="1693"/>
  <c r="AJ60" i="1693"/>
  <c r="AB60" i="1693"/>
  <c r="I60" i="1693"/>
  <c r="E60" i="1693"/>
  <c r="E61" i="1693" s="1"/>
  <c r="B60" i="1693"/>
  <c r="AF59" i="1693"/>
  <c r="AB59" i="1693"/>
  <c r="G59" i="1693"/>
  <c r="G60" i="1693" s="1"/>
  <c r="G61" i="1693" s="1"/>
  <c r="C59" i="1693"/>
  <c r="AK58" i="1693"/>
  <c r="AJ58" i="1693"/>
  <c r="AB58" i="1693"/>
  <c r="B58" i="1693"/>
  <c r="AN57" i="1693"/>
  <c r="AO57" i="1693" s="1"/>
  <c r="AK57" i="1693"/>
  <c r="AJ57" i="1693"/>
  <c r="AB57" i="1693"/>
  <c r="J57" i="1693"/>
  <c r="G57" i="1693"/>
  <c r="B57" i="1693"/>
  <c r="AK56" i="1693"/>
  <c r="AJ56" i="1693"/>
  <c r="AB56" i="1693"/>
  <c r="I56" i="1693"/>
  <c r="G56" i="1693"/>
  <c r="E56" i="1693"/>
  <c r="E57" i="1693" s="1"/>
  <c r="B56" i="1693"/>
  <c r="AF55" i="1693"/>
  <c r="AB55" i="1693"/>
  <c r="AC55" i="1693" s="1"/>
  <c r="G55" i="1693"/>
  <c r="C55" i="1693"/>
  <c r="AK54" i="1693"/>
  <c r="AJ54" i="1693"/>
  <c r="AB54" i="1693"/>
  <c r="B54" i="1693"/>
  <c r="AN49" i="1693"/>
  <c r="AO48" i="1693" s="1"/>
  <c r="AK49" i="1693"/>
  <c r="AJ49" i="1693"/>
  <c r="AB49" i="1693"/>
  <c r="J49" i="1693"/>
  <c r="B49" i="1693"/>
  <c r="AK48" i="1693"/>
  <c r="AJ48" i="1693"/>
  <c r="AB48" i="1693"/>
  <c r="I48" i="1693"/>
  <c r="E48" i="1693"/>
  <c r="E49" i="1693" s="1"/>
  <c r="B48" i="1693"/>
  <c r="AF47" i="1693"/>
  <c r="AB47" i="1693"/>
  <c r="G47" i="1693"/>
  <c r="G48" i="1693" s="1"/>
  <c r="G49" i="1693" s="1"/>
  <c r="AK46" i="1693"/>
  <c r="AJ46" i="1693"/>
  <c r="AB46" i="1693"/>
  <c r="AT47" i="1693" s="1"/>
  <c r="B46" i="1693"/>
  <c r="AN45" i="1693"/>
  <c r="AO45" i="1693" s="1"/>
  <c r="AK45" i="1693"/>
  <c r="AJ45" i="1693"/>
  <c r="AB45" i="1693"/>
  <c r="J45" i="1693"/>
  <c r="B45" i="1693"/>
  <c r="AK44" i="1693"/>
  <c r="AJ44" i="1693"/>
  <c r="AB44" i="1693"/>
  <c r="I44" i="1693"/>
  <c r="E44" i="1693"/>
  <c r="E45" i="1693" s="1"/>
  <c r="B44" i="1693"/>
  <c r="AF43" i="1693"/>
  <c r="AB43" i="1693"/>
  <c r="G43" i="1693"/>
  <c r="G44" i="1693" s="1"/>
  <c r="G45" i="1693" s="1"/>
  <c r="C43" i="1693"/>
  <c r="AK42" i="1693"/>
  <c r="AJ42" i="1693"/>
  <c r="AB42" i="1693"/>
  <c r="AT43" i="1693" s="1"/>
  <c r="B42" i="1693"/>
  <c r="AN41" i="1693"/>
  <c r="AK41" i="1693"/>
  <c r="AJ41" i="1693"/>
  <c r="AB41" i="1693"/>
  <c r="G41" i="1693"/>
  <c r="B41" i="1693"/>
  <c r="AK40" i="1693"/>
  <c r="AJ40" i="1693"/>
  <c r="AB40" i="1693"/>
  <c r="I40" i="1693"/>
  <c r="G40" i="1693"/>
  <c r="E40" i="1693"/>
  <c r="E41" i="1693" s="1"/>
  <c r="B40" i="1693"/>
  <c r="AF39" i="1693"/>
  <c r="AB39" i="1693"/>
  <c r="AA41" i="1693" s="1"/>
  <c r="G39" i="1693"/>
  <c r="C39" i="1693"/>
  <c r="AK38" i="1693"/>
  <c r="AJ38" i="1693"/>
  <c r="AB38" i="1693"/>
  <c r="AT39" i="1693" s="1"/>
  <c r="B38" i="1693"/>
  <c r="AN37" i="1693"/>
  <c r="AB37" i="1693"/>
  <c r="J37" i="1693"/>
  <c r="B37" i="1693"/>
  <c r="AB36" i="1693"/>
  <c r="I36" i="1693"/>
  <c r="E36" i="1693"/>
  <c r="E37" i="1693" s="1"/>
  <c r="B36" i="1693"/>
  <c r="AF35" i="1693"/>
  <c r="AB35" i="1693"/>
  <c r="G35" i="1693"/>
  <c r="G36" i="1693" s="1"/>
  <c r="G37" i="1693" s="1"/>
  <c r="C35" i="1693"/>
  <c r="AB34" i="1693"/>
  <c r="AT35" i="1693" s="1"/>
  <c r="B34" i="1693"/>
  <c r="AN33" i="1693"/>
  <c r="AK33" i="1693"/>
  <c r="AJ33" i="1693"/>
  <c r="AB33" i="1693"/>
  <c r="J33" i="1693"/>
  <c r="G33" i="1693"/>
  <c r="B33" i="1693"/>
  <c r="AK32" i="1693"/>
  <c r="AJ32" i="1693"/>
  <c r="AB32" i="1693"/>
  <c r="I32" i="1693"/>
  <c r="G32" i="1693"/>
  <c r="E32" i="1693"/>
  <c r="E33" i="1693" s="1"/>
  <c r="B32" i="1693"/>
  <c r="AF31" i="1693"/>
  <c r="AB31" i="1693"/>
  <c r="AL31" i="1693" s="1"/>
  <c r="G31" i="1693"/>
  <c r="C31" i="1693"/>
  <c r="AK30" i="1693"/>
  <c r="AJ30" i="1693"/>
  <c r="AB30" i="1693"/>
  <c r="AT31" i="1693" s="1"/>
  <c r="B30" i="1693"/>
  <c r="AN25" i="1693"/>
  <c r="AK25" i="1693"/>
  <c r="AJ25" i="1693"/>
  <c r="AB25" i="1693"/>
  <c r="J25" i="1693"/>
  <c r="B25" i="1693"/>
  <c r="AK24" i="1693"/>
  <c r="AJ24" i="1693"/>
  <c r="AB24" i="1693"/>
  <c r="I24" i="1693"/>
  <c r="E24" i="1693"/>
  <c r="E25" i="1693" s="1"/>
  <c r="B24" i="1693"/>
  <c r="AF23" i="1693"/>
  <c r="AB23" i="1693"/>
  <c r="G23" i="1693"/>
  <c r="G24" i="1693" s="1"/>
  <c r="G25" i="1693" s="1"/>
  <c r="C23" i="1693"/>
  <c r="AK22" i="1693"/>
  <c r="AJ22" i="1693"/>
  <c r="AB22" i="1693"/>
  <c r="AT23" i="1693" s="1"/>
  <c r="B22" i="1693"/>
  <c r="AN21" i="1693"/>
  <c r="AK21" i="1693"/>
  <c r="AJ21" i="1693"/>
  <c r="AB21" i="1693"/>
  <c r="J21" i="1693"/>
  <c r="G21" i="1693"/>
  <c r="B21" i="1693"/>
  <c r="AK20" i="1693"/>
  <c r="AJ20" i="1693"/>
  <c r="AB20" i="1693"/>
  <c r="I20" i="1693"/>
  <c r="G20" i="1693"/>
  <c r="E20" i="1693"/>
  <c r="E21" i="1693" s="1"/>
  <c r="B20" i="1693"/>
  <c r="AF19" i="1693"/>
  <c r="AB19" i="1693"/>
  <c r="AL19" i="1693" s="1"/>
  <c r="G19" i="1693"/>
  <c r="AK18" i="1693"/>
  <c r="AJ18" i="1693"/>
  <c r="AB18" i="1693"/>
  <c r="B18" i="1693"/>
  <c r="AN17" i="1693"/>
  <c r="AO17" i="1693" s="1"/>
  <c r="AK17" i="1693"/>
  <c r="AJ17" i="1693"/>
  <c r="AB17" i="1693"/>
  <c r="J17" i="1693"/>
  <c r="G17" i="1693"/>
  <c r="B17" i="1693"/>
  <c r="AK16" i="1693"/>
  <c r="AJ16" i="1693"/>
  <c r="AB16" i="1693"/>
  <c r="I16" i="1693"/>
  <c r="G16" i="1693"/>
  <c r="B16" i="1693"/>
  <c r="AF15" i="1693"/>
  <c r="AB15" i="1693"/>
  <c r="AA17" i="1693" s="1"/>
  <c r="G15" i="1693"/>
  <c r="C15" i="1693"/>
  <c r="AK14" i="1693"/>
  <c r="AJ14" i="1693"/>
  <c r="AB14" i="1693"/>
  <c r="AT15" i="1693" s="1"/>
  <c r="B14" i="1693"/>
  <c r="AN13" i="1693"/>
  <c r="AO12" i="1693" s="1"/>
  <c r="AK13" i="1693"/>
  <c r="AJ13" i="1693"/>
  <c r="AB13" i="1693"/>
  <c r="J13" i="1693"/>
  <c r="G13" i="1693"/>
  <c r="B13" i="1693"/>
  <c r="AK12" i="1693"/>
  <c r="AJ12" i="1693"/>
  <c r="AB12" i="1693"/>
  <c r="X12" i="1693"/>
  <c r="AA10" i="1693" s="1"/>
  <c r="I12" i="1693"/>
  <c r="G12" i="1693"/>
  <c r="B12" i="1693"/>
  <c r="X10" i="1693"/>
  <c r="AF11" i="1693"/>
  <c r="AB11" i="1693"/>
  <c r="AL11" i="1693" s="1"/>
  <c r="X11" i="1693"/>
  <c r="G11" i="1693"/>
  <c r="C11" i="1693"/>
  <c r="AK10" i="1693"/>
  <c r="AJ10" i="1693"/>
  <c r="AB10" i="1693"/>
  <c r="AC10" i="1693" s="1"/>
  <c r="H13" i="1693" s="1"/>
  <c r="B10" i="1693"/>
  <c r="AN9" i="1693"/>
  <c r="AK9" i="1693"/>
  <c r="AJ9" i="1693"/>
  <c r="AB9" i="1693"/>
  <c r="G9" i="1693"/>
  <c r="B9" i="1693"/>
  <c r="AK8" i="1693"/>
  <c r="AJ8" i="1693"/>
  <c r="AB8" i="1693"/>
  <c r="I8" i="1693"/>
  <c r="G8" i="1693"/>
  <c r="E8" i="1693"/>
  <c r="E9" i="1693" s="1"/>
  <c r="B8" i="1693"/>
  <c r="BL7" i="1693"/>
  <c r="BK7" i="1693"/>
  <c r="AF7" i="1693"/>
  <c r="AB7" i="1693"/>
  <c r="AL7" i="1693" s="1"/>
  <c r="G7" i="1693"/>
  <c r="C7" i="1693"/>
  <c r="AK6" i="1693"/>
  <c r="AJ6" i="1693"/>
  <c r="AB6" i="1693"/>
  <c r="AT7" i="1693" s="1"/>
  <c r="B6" i="1693"/>
  <c r="AG4" i="1693"/>
  <c r="B3" i="1693"/>
  <c r="B11" i="1692"/>
  <c r="B12" i="1692"/>
  <c r="X68" i="1693" l="1"/>
  <c r="AA66" i="1693" s="1"/>
  <c r="AO68" i="1693"/>
  <c r="AI23" i="1693"/>
  <c r="AJ23" i="1693" s="1"/>
  <c r="AO61" i="1693"/>
  <c r="AP61" i="1693" s="1"/>
  <c r="X76" i="1693"/>
  <c r="AA74" i="1693" s="1"/>
  <c r="X60" i="1693"/>
  <c r="AA58" i="1693" s="1"/>
  <c r="AC94" i="1693"/>
  <c r="H97" i="1693" s="1"/>
  <c r="AO49" i="1693"/>
  <c r="AP49" i="1693" s="1"/>
  <c r="AO76" i="1693"/>
  <c r="AP76" i="1693" s="1"/>
  <c r="X72" i="1693"/>
  <c r="AA70" i="1693" s="1"/>
  <c r="AO88" i="1693"/>
  <c r="AP88" i="1693" s="1"/>
  <c r="X44" i="1693"/>
  <c r="AA42" i="1693" s="1"/>
  <c r="AO72" i="1693"/>
  <c r="AP72" i="1693" s="1"/>
  <c r="X48" i="1693"/>
  <c r="AA46" i="1693" s="1"/>
  <c r="X51" i="1693"/>
  <c r="AP65" i="1693"/>
  <c r="AH39" i="1693"/>
  <c r="X39" i="1693"/>
  <c r="AI15" i="1693"/>
  <c r="AJ15" i="1693" s="1"/>
  <c r="AL23" i="1693"/>
  <c r="X27" i="1693"/>
  <c r="AH43" i="1693"/>
  <c r="Q112" i="1693"/>
  <c r="AI7" i="1693"/>
  <c r="AJ7" i="1693" s="1"/>
  <c r="AC22" i="1693"/>
  <c r="H25" i="1693" s="1"/>
  <c r="X22" i="1693"/>
  <c r="AO16" i="1693"/>
  <c r="AP16" i="1693" s="1"/>
  <c r="X34" i="1693"/>
  <c r="AO41" i="1693"/>
  <c r="AP41" i="1693" s="1"/>
  <c r="AO44" i="1693"/>
  <c r="AP44" i="1693" s="1"/>
  <c r="AO56" i="1693"/>
  <c r="X74" i="1693"/>
  <c r="X64" i="1693"/>
  <c r="AA62" i="1693" s="1"/>
  <c r="AH35" i="1693"/>
  <c r="AC39" i="1693"/>
  <c r="AC54" i="1693"/>
  <c r="AG55" i="1693" s="1"/>
  <c r="AG57" i="1693" s="1"/>
  <c r="AT55" i="1693"/>
  <c r="X54" i="1693" s="1"/>
  <c r="X94" i="1693"/>
  <c r="U112" i="1693"/>
  <c r="AH75" i="1693"/>
  <c r="AC18" i="1693"/>
  <c r="H21" i="1693" s="1"/>
  <c r="AT19" i="1693"/>
  <c r="X18" i="1693" s="1"/>
  <c r="AC30" i="1693"/>
  <c r="H33" i="1693" s="1"/>
  <c r="X30" i="1693"/>
  <c r="AC46" i="1693"/>
  <c r="H49" i="1693" s="1"/>
  <c r="X56" i="1693"/>
  <c r="AA54" i="1693" s="1"/>
  <c r="AC58" i="1693"/>
  <c r="H61" i="1693" s="1"/>
  <c r="AT59" i="1693"/>
  <c r="X58" i="1693" s="1"/>
  <c r="AT67" i="1693"/>
  <c r="X66" i="1693" s="1"/>
  <c r="AC82" i="1693"/>
  <c r="H85" i="1693" s="1"/>
  <c r="AT87" i="1693"/>
  <c r="X86" i="1693" s="1"/>
  <c r="AH11" i="1693"/>
  <c r="AH67" i="1693"/>
  <c r="AC67" i="1693"/>
  <c r="AC59" i="1693"/>
  <c r="AC47" i="1693"/>
  <c r="AH23" i="1693"/>
  <c r="AH19" i="1693"/>
  <c r="AH15" i="1693"/>
  <c r="AH71" i="1693"/>
  <c r="AP77" i="1693"/>
  <c r="AI71" i="1693"/>
  <c r="AM71" i="1693" s="1"/>
  <c r="AP57" i="1693"/>
  <c r="AI31" i="1693"/>
  <c r="AM31" i="1693" s="1"/>
  <c r="AI19" i="1693"/>
  <c r="AM19" i="1693" s="1"/>
  <c r="AH7" i="1693"/>
  <c r="M112" i="1693"/>
  <c r="AP64" i="1693"/>
  <c r="AL43" i="1693"/>
  <c r="AI67" i="1693"/>
  <c r="AM67" i="1693" s="1"/>
  <c r="AC23" i="1693"/>
  <c r="AC43" i="1693"/>
  <c r="AP45" i="1693"/>
  <c r="AH47" i="1693"/>
  <c r="AH55" i="1693"/>
  <c r="AH59" i="1693"/>
  <c r="AP73" i="1693"/>
  <c r="AC74" i="1693"/>
  <c r="H77" i="1693" s="1"/>
  <c r="X95" i="1693"/>
  <c r="AA101" i="1693"/>
  <c r="AC7" i="1693"/>
  <c r="AC11" i="1693"/>
  <c r="AG11" i="1693" s="1"/>
  <c r="AP12" i="1693"/>
  <c r="AC19" i="1693"/>
  <c r="AC31" i="1693"/>
  <c r="AC34" i="1693"/>
  <c r="H37" i="1693" s="1"/>
  <c r="AI39" i="1693"/>
  <c r="AM39" i="1693" s="1"/>
  <c r="AI43" i="1693"/>
  <c r="AM43" i="1693" s="1"/>
  <c r="AI47" i="1693"/>
  <c r="AI55" i="1693"/>
  <c r="AI59" i="1693"/>
  <c r="AP69" i="1693"/>
  <c r="AC86" i="1693"/>
  <c r="H89" i="1693" s="1"/>
  <c r="AA99" i="1693"/>
  <c r="P112" i="1693"/>
  <c r="AI63" i="1693"/>
  <c r="AK63" i="1693" s="1"/>
  <c r="AI75" i="1693"/>
  <c r="AP17" i="1693"/>
  <c r="AM23" i="1693"/>
  <c r="AL39" i="1693"/>
  <c r="T112" i="1693"/>
  <c r="AA37" i="1693"/>
  <c r="X36" i="1693"/>
  <c r="AA34" i="1693" s="1"/>
  <c r="X63" i="1693"/>
  <c r="AI83" i="1693"/>
  <c r="AM83" i="1693" s="1"/>
  <c r="AH83" i="1693"/>
  <c r="AO84" i="1693"/>
  <c r="AP84" i="1693" s="1"/>
  <c r="X84" i="1693"/>
  <c r="AA82" i="1693" s="1"/>
  <c r="X83" i="1693"/>
  <c r="AC6" i="1693"/>
  <c r="AO13" i="1693"/>
  <c r="AP13" i="1693" s="1"/>
  <c r="AC15" i="1693"/>
  <c r="X16" i="1693"/>
  <c r="AA14" i="1693" s="1"/>
  <c r="AO21" i="1693"/>
  <c r="AP21" i="1693" s="1"/>
  <c r="AO20" i="1693"/>
  <c r="AP20" i="1693" s="1"/>
  <c r="X20" i="1693"/>
  <c r="AA18" i="1693" s="1"/>
  <c r="AO25" i="1693"/>
  <c r="AP25" i="1693" s="1"/>
  <c r="AO24" i="1693"/>
  <c r="AP24" i="1693" s="1"/>
  <c r="X24" i="1693"/>
  <c r="AA22" i="1693" s="1"/>
  <c r="AC35" i="1693"/>
  <c r="AC63" i="1693"/>
  <c r="AL63" i="1693"/>
  <c r="AC66" i="1693"/>
  <c r="AA73" i="1693"/>
  <c r="X71" i="1693"/>
  <c r="AL71" i="1693"/>
  <c r="X75" i="1693"/>
  <c r="AO85" i="1693"/>
  <c r="AP85" i="1693" s="1"/>
  <c r="AI87" i="1693"/>
  <c r="AM87" i="1693" s="1"/>
  <c r="AH87" i="1693"/>
  <c r="X46" i="1693"/>
  <c r="X7" i="1693"/>
  <c r="AI11" i="1693"/>
  <c r="X14" i="1693"/>
  <c r="AC14" i="1693"/>
  <c r="X19" i="1693"/>
  <c r="AH31" i="1693"/>
  <c r="AP68" i="1693"/>
  <c r="AC71" i="1693"/>
  <c r="AG71" i="1693" s="1"/>
  <c r="AC87" i="1693"/>
  <c r="X87" i="1693"/>
  <c r="X88" i="1693"/>
  <c r="AA86" i="1693" s="1"/>
  <c r="AO33" i="1693"/>
  <c r="AP33" i="1693" s="1"/>
  <c r="AO32" i="1693"/>
  <c r="AP32" i="1693" s="1"/>
  <c r="X32" i="1693"/>
  <c r="AA30" i="1693" s="1"/>
  <c r="AJ71" i="1693"/>
  <c r="AO97" i="1693"/>
  <c r="AP97" i="1693" s="1"/>
  <c r="AO96" i="1693"/>
  <c r="AP96" i="1693" s="1"/>
  <c r="X96" i="1693"/>
  <c r="AA94" i="1693" s="1"/>
  <c r="AB4" i="1693"/>
  <c r="AO9" i="1693"/>
  <c r="AP9" i="1693" s="1"/>
  <c r="AO8" i="1693"/>
  <c r="AP8" i="1693" s="1"/>
  <c r="X8" i="1693"/>
  <c r="AA6" i="1693" s="1"/>
  <c r="X15" i="1693"/>
  <c r="AL15" i="1693"/>
  <c r="X23" i="1693"/>
  <c r="X31" i="1693"/>
  <c r="X35" i="1693"/>
  <c r="AO40" i="1693"/>
  <c r="AP40" i="1693" s="1"/>
  <c r="X40" i="1693"/>
  <c r="AA38" i="1693" s="1"/>
  <c r="X42" i="1693"/>
  <c r="AC42" i="1693"/>
  <c r="X62" i="1693"/>
  <c r="AC62" i="1693"/>
  <c r="AH63" i="1693"/>
  <c r="N112" i="1693"/>
  <c r="R112" i="1693"/>
  <c r="V112" i="1693"/>
  <c r="AI95" i="1693"/>
  <c r="AH95" i="1693"/>
  <c r="O112" i="1693"/>
  <c r="S112" i="1693"/>
  <c r="AC75" i="1693"/>
  <c r="X38" i="1693"/>
  <c r="AC38" i="1693"/>
  <c r="X43" i="1693"/>
  <c r="AP48" i="1693"/>
  <c r="AP56" i="1693"/>
  <c r="AP60" i="1693"/>
  <c r="AL75" i="1693"/>
  <c r="AC83" i="1693"/>
  <c r="AP89" i="1693"/>
  <c r="W106" i="1693"/>
  <c r="W112" i="1693" s="1"/>
  <c r="X47" i="1693"/>
  <c r="X55" i="1693"/>
  <c r="X59" i="1693"/>
  <c r="AA61" i="1693"/>
  <c r="X67" i="1693"/>
  <c r="AL95" i="1693"/>
  <c r="AL47" i="1693"/>
  <c r="AL55" i="1693"/>
  <c r="AL59" i="1693"/>
  <c r="AL67" i="1693"/>
  <c r="AC95" i="1693"/>
  <c r="J77" i="1691"/>
  <c r="F11" i="1692"/>
  <c r="F12" i="1692"/>
  <c r="M11" i="1692" l="1"/>
  <c r="M12" i="1692"/>
  <c r="AK23" i="1693"/>
  <c r="R12" i="1692"/>
  <c r="P12" i="1692"/>
  <c r="AG19" i="1693"/>
  <c r="AG21" i="1693" s="1"/>
  <c r="AG47" i="1693"/>
  <c r="AG49" i="1693" s="1"/>
  <c r="K12" i="1692"/>
  <c r="L12" i="1692"/>
  <c r="S11" i="1692"/>
  <c r="R11" i="1692"/>
  <c r="P11" i="1692"/>
  <c r="K11" i="1692"/>
  <c r="H57" i="1693"/>
  <c r="AK67" i="1693"/>
  <c r="AG95" i="1693"/>
  <c r="AG97" i="1693" s="1"/>
  <c r="AK15" i="1693"/>
  <c r="AJ67" i="1693"/>
  <c r="AK39" i="1693"/>
  <c r="AG83" i="1693"/>
  <c r="AG85" i="1693" s="1"/>
  <c r="AK19" i="1693"/>
  <c r="I11" i="1692"/>
  <c r="T11" i="1692"/>
  <c r="W11" i="1692" s="1"/>
  <c r="L11" i="1692"/>
  <c r="I12" i="1692"/>
  <c r="AG75" i="1693"/>
  <c r="AG77" i="1693" s="1"/>
  <c r="AK71" i="1693"/>
  <c r="AK43" i="1693"/>
  <c r="AK31" i="1693"/>
  <c r="AJ31" i="1693"/>
  <c r="AJ43" i="1693"/>
  <c r="AG23" i="1693"/>
  <c r="AG25" i="1693" s="1"/>
  <c r="AM15" i="1693"/>
  <c r="AM7" i="1693"/>
  <c r="AK7" i="1693"/>
  <c r="AM63" i="1693"/>
  <c r="AG31" i="1693"/>
  <c r="AG33" i="1693" s="1"/>
  <c r="AG59" i="1693"/>
  <c r="AY59" i="1693" s="1"/>
  <c r="AJ63" i="1693"/>
  <c r="AJ39" i="1693"/>
  <c r="AJ19" i="1693"/>
  <c r="AG87" i="1693"/>
  <c r="AY87" i="1693" s="1"/>
  <c r="AK47" i="1693"/>
  <c r="AJ47" i="1693"/>
  <c r="AM47" i="1693"/>
  <c r="AJ75" i="1693"/>
  <c r="AK75" i="1693"/>
  <c r="AK55" i="1693"/>
  <c r="AJ55" i="1693"/>
  <c r="AM55" i="1693"/>
  <c r="AM75" i="1693"/>
  <c r="AY55" i="1693"/>
  <c r="AK59" i="1693"/>
  <c r="AJ59" i="1693"/>
  <c r="AM59" i="1693"/>
  <c r="AG35" i="1693"/>
  <c r="AY35" i="1693" s="1"/>
  <c r="AL2" i="1693"/>
  <c r="H41" i="1693"/>
  <c r="AG39" i="1693"/>
  <c r="AK95" i="1693"/>
  <c r="AJ95" i="1693"/>
  <c r="AG63" i="1693"/>
  <c r="H65" i="1693"/>
  <c r="AY11" i="1693"/>
  <c r="AG13" i="1693"/>
  <c r="AJ83" i="1693"/>
  <c r="AK83" i="1693"/>
  <c r="AY71" i="1693"/>
  <c r="AG73" i="1693"/>
  <c r="AM95" i="1693"/>
  <c r="AJ11" i="1693"/>
  <c r="AK11" i="1693"/>
  <c r="AI4" i="1693"/>
  <c r="AM11" i="1693"/>
  <c r="AJ87" i="1693"/>
  <c r="AK87" i="1693"/>
  <c r="AG43" i="1693"/>
  <c r="H45" i="1693"/>
  <c r="H9" i="1693"/>
  <c r="AG7" i="1693"/>
  <c r="AG15" i="1693"/>
  <c r="H17" i="1693"/>
  <c r="AG67" i="1693"/>
  <c r="H69" i="1693"/>
  <c r="X6" i="1693"/>
  <c r="AT4" i="1693"/>
  <c r="D16" i="1692"/>
  <c r="V22" i="1585"/>
  <c r="T22" i="1585"/>
  <c r="AY47" i="1693" l="1"/>
  <c r="AY19" i="1693"/>
  <c r="AY95" i="1693"/>
  <c r="AY83" i="1693"/>
  <c r="AY23" i="1693"/>
  <c r="AG89" i="1693"/>
  <c r="AY75" i="1693"/>
  <c r="AY31" i="1693"/>
  <c r="AK2" i="1693"/>
  <c r="AG2" i="1693" s="1"/>
  <c r="AG37" i="1693"/>
  <c r="AG61" i="1693"/>
  <c r="AY63" i="1693"/>
  <c r="AG65" i="1693"/>
  <c r="AY67" i="1693"/>
  <c r="AG69" i="1693"/>
  <c r="AG17" i="1693"/>
  <c r="AY15" i="1693"/>
  <c r="AY43" i="1693"/>
  <c r="AG45" i="1693"/>
  <c r="AG9" i="1693"/>
  <c r="AY7" i="1693"/>
  <c r="AG41" i="1693"/>
  <c r="AY39" i="1693"/>
  <c r="W97" i="1691"/>
  <c r="W94" i="1691" s="1"/>
  <c r="V97" i="1691"/>
  <c r="V94" i="1691" s="1"/>
  <c r="U97" i="1691"/>
  <c r="U94" i="1691" s="1"/>
  <c r="T97" i="1691"/>
  <c r="T94" i="1691" s="1"/>
  <c r="S97" i="1691"/>
  <c r="R97" i="1691"/>
  <c r="R94" i="1691" s="1"/>
  <c r="Q97" i="1691"/>
  <c r="Q94" i="1691" s="1"/>
  <c r="P97" i="1691"/>
  <c r="O97" i="1691"/>
  <c r="N97" i="1691"/>
  <c r="N94" i="1691" s="1"/>
  <c r="M97" i="1691"/>
  <c r="M94" i="1691" s="1"/>
  <c r="W91" i="1691"/>
  <c r="V91" i="1691"/>
  <c r="U91" i="1691"/>
  <c r="T91" i="1691"/>
  <c r="S91" i="1691"/>
  <c r="R91" i="1691"/>
  <c r="Q91" i="1691"/>
  <c r="P91" i="1691"/>
  <c r="O91" i="1691"/>
  <c r="N91" i="1691"/>
  <c r="M91" i="1691"/>
  <c r="W89" i="1691"/>
  <c r="V89" i="1691"/>
  <c r="U89" i="1691"/>
  <c r="T89" i="1691"/>
  <c r="S89" i="1691"/>
  <c r="R89" i="1691"/>
  <c r="Q89" i="1691"/>
  <c r="P89" i="1691"/>
  <c r="O89" i="1691"/>
  <c r="N89" i="1691"/>
  <c r="M89" i="1691"/>
  <c r="W87" i="1691"/>
  <c r="V87" i="1691"/>
  <c r="U87" i="1691"/>
  <c r="T87" i="1691"/>
  <c r="S87" i="1691"/>
  <c r="R87" i="1691"/>
  <c r="Q87" i="1691"/>
  <c r="P87" i="1691"/>
  <c r="O87" i="1691"/>
  <c r="N87" i="1691"/>
  <c r="M87" i="1691"/>
  <c r="AO85" i="1691"/>
  <c r="AK85" i="1691"/>
  <c r="AJ85" i="1691"/>
  <c r="AB85" i="1691"/>
  <c r="J85" i="1691"/>
  <c r="B85" i="1691"/>
  <c r="AK84" i="1691"/>
  <c r="AJ84" i="1691"/>
  <c r="AB84" i="1691"/>
  <c r="I84" i="1691"/>
  <c r="E84" i="1691"/>
  <c r="E85" i="1691" s="1"/>
  <c r="B84" i="1691"/>
  <c r="AF83" i="1691"/>
  <c r="AB83" i="1691"/>
  <c r="G83" i="1691"/>
  <c r="G84" i="1691" s="1"/>
  <c r="G85" i="1691" s="1"/>
  <c r="C83" i="1691"/>
  <c r="AK82" i="1691"/>
  <c r="AJ82" i="1691"/>
  <c r="AB82" i="1691"/>
  <c r="B82" i="1691"/>
  <c r="AN81" i="1691"/>
  <c r="AO80" i="1691" s="1"/>
  <c r="AK81" i="1691"/>
  <c r="AJ81" i="1691"/>
  <c r="AB81" i="1691"/>
  <c r="J81" i="1691"/>
  <c r="B81" i="1691"/>
  <c r="AK80" i="1691"/>
  <c r="AJ80" i="1691"/>
  <c r="AB80" i="1691"/>
  <c r="I80" i="1691"/>
  <c r="E80" i="1691"/>
  <c r="E81" i="1691" s="1"/>
  <c r="B80" i="1691"/>
  <c r="AF79" i="1691"/>
  <c r="AB79" i="1691"/>
  <c r="G79" i="1691"/>
  <c r="G80" i="1691" s="1"/>
  <c r="G81" i="1691" s="1"/>
  <c r="C79" i="1691"/>
  <c r="AK78" i="1691"/>
  <c r="AJ78" i="1691"/>
  <c r="AB78" i="1691"/>
  <c r="AT79" i="1691" s="1"/>
  <c r="B78" i="1691"/>
  <c r="AN77" i="1691"/>
  <c r="AK77" i="1691"/>
  <c r="AJ77" i="1691"/>
  <c r="AB77" i="1691"/>
  <c r="G77" i="1691"/>
  <c r="B77" i="1691"/>
  <c r="AK76" i="1691"/>
  <c r="AJ76" i="1691"/>
  <c r="AB76" i="1691"/>
  <c r="I76" i="1691"/>
  <c r="G76" i="1691"/>
  <c r="E76" i="1691"/>
  <c r="E77" i="1691" s="1"/>
  <c r="B76" i="1691"/>
  <c r="AF75" i="1691"/>
  <c r="AB75" i="1691"/>
  <c r="AL75" i="1691" s="1"/>
  <c r="G75" i="1691"/>
  <c r="C75" i="1691"/>
  <c r="AK74" i="1691"/>
  <c r="AJ74" i="1691"/>
  <c r="AB74" i="1691"/>
  <c r="B74" i="1691"/>
  <c r="AN73" i="1691"/>
  <c r="AO73" i="1691" s="1"/>
  <c r="AK73" i="1691"/>
  <c r="AJ73" i="1691"/>
  <c r="AB73" i="1691"/>
  <c r="J73" i="1691"/>
  <c r="G73" i="1691"/>
  <c r="B73" i="1691"/>
  <c r="AK72" i="1691"/>
  <c r="AJ72" i="1691"/>
  <c r="AB72" i="1691"/>
  <c r="I72" i="1691"/>
  <c r="G72" i="1691"/>
  <c r="E72" i="1691"/>
  <c r="E73" i="1691" s="1"/>
  <c r="B72" i="1691"/>
  <c r="AF71" i="1691"/>
  <c r="AB71" i="1691"/>
  <c r="AL71" i="1691" s="1"/>
  <c r="G71" i="1691"/>
  <c r="C71" i="1691"/>
  <c r="AK70" i="1691"/>
  <c r="AJ70" i="1691"/>
  <c r="AB70" i="1691"/>
  <c r="B70" i="1691"/>
  <c r="AN69" i="1691"/>
  <c r="AO69" i="1691" s="1"/>
  <c r="AK69" i="1691"/>
  <c r="AJ69" i="1691"/>
  <c r="AB69" i="1691"/>
  <c r="J69" i="1691"/>
  <c r="G69" i="1691"/>
  <c r="B69" i="1691"/>
  <c r="AK68" i="1691"/>
  <c r="AJ68" i="1691"/>
  <c r="AB68" i="1691"/>
  <c r="I68" i="1691"/>
  <c r="G68" i="1691"/>
  <c r="E68" i="1691"/>
  <c r="E69" i="1691" s="1"/>
  <c r="B68" i="1691"/>
  <c r="AT67" i="1691"/>
  <c r="X66" i="1691" s="1"/>
  <c r="AF67" i="1691"/>
  <c r="AB67" i="1691"/>
  <c r="G67" i="1691"/>
  <c r="C67" i="1691"/>
  <c r="AK66" i="1691"/>
  <c r="AJ66" i="1691"/>
  <c r="AB66" i="1691"/>
  <c r="AC66" i="1691" s="1"/>
  <c r="B66" i="1691"/>
  <c r="AN65" i="1691"/>
  <c r="AO65" i="1691" s="1"/>
  <c r="AK65" i="1691"/>
  <c r="AJ65" i="1691"/>
  <c r="AB65" i="1691"/>
  <c r="J65" i="1691"/>
  <c r="B65" i="1691"/>
  <c r="AK64" i="1691"/>
  <c r="AJ64" i="1691"/>
  <c r="AB64" i="1691"/>
  <c r="I64" i="1691"/>
  <c r="E64" i="1691"/>
  <c r="E65" i="1691" s="1"/>
  <c r="B64" i="1691"/>
  <c r="AF63" i="1691"/>
  <c r="AB63" i="1691"/>
  <c r="G63" i="1691"/>
  <c r="G64" i="1691" s="1"/>
  <c r="G65" i="1691" s="1"/>
  <c r="C63" i="1691"/>
  <c r="AK62" i="1691"/>
  <c r="AJ62" i="1691"/>
  <c r="AB62" i="1691"/>
  <c r="B62" i="1691"/>
  <c r="AO61" i="1691"/>
  <c r="AK61" i="1691"/>
  <c r="AJ61" i="1691"/>
  <c r="AB61" i="1691"/>
  <c r="J61" i="1691"/>
  <c r="B61" i="1691"/>
  <c r="AK60" i="1691"/>
  <c r="AJ60" i="1691"/>
  <c r="AB60" i="1691"/>
  <c r="I60" i="1691"/>
  <c r="E60" i="1691"/>
  <c r="E61" i="1691" s="1"/>
  <c r="B60" i="1691"/>
  <c r="AF59" i="1691"/>
  <c r="AB59" i="1691"/>
  <c r="AL59" i="1691" s="1"/>
  <c r="G59" i="1691"/>
  <c r="G60" i="1691" s="1"/>
  <c r="G61" i="1691" s="1"/>
  <c r="C59" i="1691"/>
  <c r="AK58" i="1691"/>
  <c r="AJ58" i="1691"/>
  <c r="AB58" i="1691"/>
  <c r="B58" i="1691"/>
  <c r="AN57" i="1691"/>
  <c r="AO57" i="1691" s="1"/>
  <c r="AK57" i="1691"/>
  <c r="AJ57" i="1691"/>
  <c r="AB57" i="1691"/>
  <c r="J57" i="1691"/>
  <c r="B57" i="1691"/>
  <c r="AK56" i="1691"/>
  <c r="AJ56" i="1691"/>
  <c r="AB56" i="1691"/>
  <c r="I56" i="1691"/>
  <c r="E56" i="1691"/>
  <c r="E57" i="1691" s="1"/>
  <c r="B56" i="1691"/>
  <c r="AF55" i="1691"/>
  <c r="AB55" i="1691"/>
  <c r="G55" i="1691"/>
  <c r="G56" i="1691" s="1"/>
  <c r="G57" i="1691" s="1"/>
  <c r="C55" i="1691"/>
  <c r="AK54" i="1691"/>
  <c r="AJ54" i="1691"/>
  <c r="AB54" i="1691"/>
  <c r="B54" i="1691"/>
  <c r="AN53" i="1691"/>
  <c r="AO52" i="1691" s="1"/>
  <c r="AK53" i="1691"/>
  <c r="AJ53" i="1691"/>
  <c r="AB53" i="1691"/>
  <c r="J53" i="1691"/>
  <c r="B53" i="1691"/>
  <c r="AK52" i="1691"/>
  <c r="AJ52" i="1691"/>
  <c r="AB52" i="1691"/>
  <c r="I52" i="1691"/>
  <c r="E52" i="1691"/>
  <c r="E53" i="1691" s="1"/>
  <c r="B52" i="1691"/>
  <c r="AT51" i="1691"/>
  <c r="X50" i="1691" s="1"/>
  <c r="AF51" i="1691"/>
  <c r="AB51" i="1691"/>
  <c r="G51" i="1691"/>
  <c r="G52" i="1691" s="1"/>
  <c r="G53" i="1691" s="1"/>
  <c r="C51" i="1691"/>
  <c r="AK50" i="1691"/>
  <c r="AJ50" i="1691"/>
  <c r="AB50" i="1691"/>
  <c r="AC50" i="1691" s="1"/>
  <c r="B50" i="1691"/>
  <c r="AN49" i="1691"/>
  <c r="AO49" i="1691" s="1"/>
  <c r="AK49" i="1691"/>
  <c r="AJ49" i="1691"/>
  <c r="AB49" i="1691"/>
  <c r="J49" i="1691"/>
  <c r="G49" i="1691"/>
  <c r="B49" i="1691"/>
  <c r="AK48" i="1691"/>
  <c r="AJ48" i="1691"/>
  <c r="AB48" i="1691"/>
  <c r="I48" i="1691"/>
  <c r="G48" i="1691"/>
  <c r="E48" i="1691"/>
  <c r="E49" i="1691" s="1"/>
  <c r="B48" i="1691"/>
  <c r="AF47" i="1691"/>
  <c r="AB47" i="1691"/>
  <c r="AL47" i="1691" s="1"/>
  <c r="G47" i="1691"/>
  <c r="C47" i="1691"/>
  <c r="AK46" i="1691"/>
  <c r="AJ46" i="1691"/>
  <c r="AB46" i="1691"/>
  <c r="AT47" i="1691" s="1"/>
  <c r="X46" i="1691" s="1"/>
  <c r="B46" i="1691"/>
  <c r="AN45" i="1691"/>
  <c r="AO45" i="1691" s="1"/>
  <c r="AK45" i="1691"/>
  <c r="AJ45" i="1691"/>
  <c r="AB45" i="1691"/>
  <c r="J45" i="1691"/>
  <c r="B45" i="1691"/>
  <c r="AK44" i="1691"/>
  <c r="AJ44" i="1691"/>
  <c r="AB44" i="1691"/>
  <c r="I44" i="1691"/>
  <c r="E44" i="1691"/>
  <c r="E45" i="1691" s="1"/>
  <c r="B44" i="1691"/>
  <c r="AF43" i="1691"/>
  <c r="AB43" i="1691"/>
  <c r="AL43" i="1691" s="1"/>
  <c r="G43" i="1691"/>
  <c r="G44" i="1691" s="1"/>
  <c r="G45" i="1691" s="1"/>
  <c r="AK42" i="1691"/>
  <c r="AJ42" i="1691"/>
  <c r="AB42" i="1691"/>
  <c r="AT43" i="1691" s="1"/>
  <c r="B42" i="1691"/>
  <c r="AN41" i="1691"/>
  <c r="AK41" i="1691"/>
  <c r="AJ41" i="1691"/>
  <c r="AB41" i="1691"/>
  <c r="J41" i="1691"/>
  <c r="B41" i="1691"/>
  <c r="AK40" i="1691"/>
  <c r="AJ40" i="1691"/>
  <c r="AB40" i="1691"/>
  <c r="I40" i="1691"/>
  <c r="E40" i="1691"/>
  <c r="E41" i="1691" s="1"/>
  <c r="B40" i="1691"/>
  <c r="AF39" i="1691"/>
  <c r="AB39" i="1691"/>
  <c r="AL39" i="1691" s="1"/>
  <c r="G39" i="1691"/>
  <c r="G40" i="1691" s="1"/>
  <c r="G41" i="1691" s="1"/>
  <c r="C39" i="1691"/>
  <c r="AK38" i="1691"/>
  <c r="AJ38" i="1691"/>
  <c r="AB38" i="1691"/>
  <c r="B38" i="1691"/>
  <c r="AN37" i="1691"/>
  <c r="AK37" i="1691"/>
  <c r="AJ37" i="1691"/>
  <c r="AB37" i="1691"/>
  <c r="G37" i="1691"/>
  <c r="B37" i="1691"/>
  <c r="AK36" i="1691"/>
  <c r="AJ36" i="1691"/>
  <c r="AB36" i="1691"/>
  <c r="I36" i="1691"/>
  <c r="G36" i="1691"/>
  <c r="E36" i="1691"/>
  <c r="E37" i="1691" s="1"/>
  <c r="B36" i="1691"/>
  <c r="AF35" i="1691"/>
  <c r="AB35" i="1691"/>
  <c r="AL35" i="1691" s="1"/>
  <c r="G35" i="1691"/>
  <c r="C35" i="1691"/>
  <c r="AK34" i="1691"/>
  <c r="AJ34" i="1691"/>
  <c r="AB34" i="1691"/>
  <c r="B34" i="1691"/>
  <c r="AN33" i="1691"/>
  <c r="AB33" i="1691"/>
  <c r="J33" i="1691"/>
  <c r="B33" i="1691"/>
  <c r="AB32" i="1691"/>
  <c r="I32" i="1691"/>
  <c r="E32" i="1691"/>
  <c r="E33" i="1691" s="1"/>
  <c r="B32" i="1691"/>
  <c r="AF31" i="1691"/>
  <c r="AB31" i="1691"/>
  <c r="AA33" i="1691" s="1"/>
  <c r="G31" i="1691"/>
  <c r="G32" i="1691" s="1"/>
  <c r="G33" i="1691" s="1"/>
  <c r="C31" i="1691"/>
  <c r="AB30" i="1691"/>
  <c r="B30" i="1691"/>
  <c r="AN29" i="1691"/>
  <c r="AO28" i="1691" s="1"/>
  <c r="AK29" i="1691"/>
  <c r="AJ29" i="1691"/>
  <c r="AB29" i="1691"/>
  <c r="J29" i="1691"/>
  <c r="G29" i="1691"/>
  <c r="B29" i="1691"/>
  <c r="AK28" i="1691"/>
  <c r="AJ28" i="1691"/>
  <c r="AB28" i="1691"/>
  <c r="I28" i="1691"/>
  <c r="G28" i="1691"/>
  <c r="E28" i="1691"/>
  <c r="E29" i="1691" s="1"/>
  <c r="B28" i="1691"/>
  <c r="AF27" i="1691"/>
  <c r="AB27" i="1691"/>
  <c r="AL27" i="1691" s="1"/>
  <c r="G27" i="1691"/>
  <c r="C27" i="1691"/>
  <c r="AK26" i="1691"/>
  <c r="AJ26" i="1691"/>
  <c r="AB26" i="1691"/>
  <c r="AT27" i="1691" s="1"/>
  <c r="X26" i="1691" s="1"/>
  <c r="B26" i="1691"/>
  <c r="AN25" i="1691"/>
  <c r="AO25" i="1691" s="1"/>
  <c r="AK25" i="1691"/>
  <c r="AJ25" i="1691"/>
  <c r="AB25" i="1691"/>
  <c r="J25" i="1691"/>
  <c r="B25" i="1691"/>
  <c r="AK24" i="1691"/>
  <c r="AJ24" i="1691"/>
  <c r="AB24" i="1691"/>
  <c r="I24" i="1691"/>
  <c r="E24" i="1691"/>
  <c r="E25" i="1691" s="1"/>
  <c r="B24" i="1691"/>
  <c r="AF23" i="1691"/>
  <c r="AB23" i="1691"/>
  <c r="AL23" i="1691" s="1"/>
  <c r="G23" i="1691"/>
  <c r="G24" i="1691" s="1"/>
  <c r="G25" i="1691" s="1"/>
  <c r="C23" i="1691"/>
  <c r="AK22" i="1691"/>
  <c r="AJ22" i="1691"/>
  <c r="AB22" i="1691"/>
  <c r="B22" i="1691"/>
  <c r="AN21" i="1691"/>
  <c r="AO21" i="1691" s="1"/>
  <c r="AK21" i="1691"/>
  <c r="AJ21" i="1691"/>
  <c r="AB21" i="1691"/>
  <c r="J21" i="1691"/>
  <c r="G21" i="1691"/>
  <c r="B21" i="1691"/>
  <c r="AK20" i="1691"/>
  <c r="AJ20" i="1691"/>
  <c r="AB20" i="1691"/>
  <c r="I20" i="1691"/>
  <c r="G20" i="1691"/>
  <c r="E20" i="1691"/>
  <c r="E21" i="1691" s="1"/>
  <c r="B20" i="1691"/>
  <c r="AF19" i="1691"/>
  <c r="AB19" i="1691"/>
  <c r="AL19" i="1691" s="1"/>
  <c r="G19" i="1691"/>
  <c r="AK18" i="1691"/>
  <c r="AJ18" i="1691"/>
  <c r="AB18" i="1691"/>
  <c r="AT19" i="1691" s="1"/>
  <c r="X18" i="1691" s="1"/>
  <c r="B18" i="1691"/>
  <c r="AN17" i="1691"/>
  <c r="AK17" i="1691"/>
  <c r="AJ17" i="1691"/>
  <c r="AB17" i="1691"/>
  <c r="J17" i="1691"/>
  <c r="G17" i="1691"/>
  <c r="B17" i="1691"/>
  <c r="AK16" i="1691"/>
  <c r="AJ16" i="1691"/>
  <c r="AB16" i="1691"/>
  <c r="I16" i="1691"/>
  <c r="G16" i="1691"/>
  <c r="B16" i="1691"/>
  <c r="AF15" i="1691"/>
  <c r="AB15" i="1691"/>
  <c r="AL15" i="1691" s="1"/>
  <c r="G15" i="1691"/>
  <c r="C15" i="1691"/>
  <c r="AK14" i="1691"/>
  <c r="AJ14" i="1691"/>
  <c r="AB14" i="1691"/>
  <c r="AT15" i="1691" s="1"/>
  <c r="B14" i="1691"/>
  <c r="AN13" i="1691"/>
  <c r="AO13" i="1691" s="1"/>
  <c r="AK13" i="1691"/>
  <c r="AJ13" i="1691"/>
  <c r="AB13" i="1691"/>
  <c r="J13" i="1691"/>
  <c r="G13" i="1691"/>
  <c r="B13" i="1691"/>
  <c r="AK12" i="1691"/>
  <c r="AJ12" i="1691"/>
  <c r="AB12" i="1691"/>
  <c r="I12" i="1691"/>
  <c r="G12" i="1691"/>
  <c r="B12" i="1691"/>
  <c r="AT11" i="1691"/>
  <c r="X10" i="1691" s="1"/>
  <c r="AF11" i="1691"/>
  <c r="AB11" i="1691"/>
  <c r="AL11" i="1691" s="1"/>
  <c r="G11" i="1691"/>
  <c r="C11" i="1691"/>
  <c r="AK10" i="1691"/>
  <c r="AJ10" i="1691"/>
  <c r="AB10" i="1691"/>
  <c r="AC10" i="1691" s="1"/>
  <c r="H13" i="1691" s="1"/>
  <c r="B10" i="1691"/>
  <c r="AN9" i="1691"/>
  <c r="AO8" i="1691" s="1"/>
  <c r="AK9" i="1691"/>
  <c r="AJ9" i="1691"/>
  <c r="AB9" i="1691"/>
  <c r="G9" i="1691"/>
  <c r="B9" i="1691"/>
  <c r="AK8" i="1691"/>
  <c r="AJ8" i="1691"/>
  <c r="AB8" i="1691"/>
  <c r="I8" i="1691"/>
  <c r="G8" i="1691"/>
  <c r="E8" i="1691"/>
  <c r="E9" i="1691" s="1"/>
  <c r="B8" i="1691"/>
  <c r="BL7" i="1691"/>
  <c r="BK7" i="1691"/>
  <c r="AF7" i="1691"/>
  <c r="AB7" i="1691"/>
  <c r="AA9" i="1691" s="1"/>
  <c r="G7" i="1691"/>
  <c r="C7" i="1691"/>
  <c r="AK6" i="1691"/>
  <c r="AJ6" i="1691"/>
  <c r="AB6" i="1691"/>
  <c r="B6" i="1691"/>
  <c r="AG4" i="1691"/>
  <c r="B3" i="1691"/>
  <c r="AC70" i="1691" l="1"/>
  <c r="AT71" i="1691"/>
  <c r="AT55" i="1691"/>
  <c r="X54" i="1691" s="1"/>
  <c r="AT23" i="1691"/>
  <c r="X22" i="1691" s="1"/>
  <c r="AC82" i="1691"/>
  <c r="AT83" i="1691"/>
  <c r="AO24" i="1691"/>
  <c r="AP24" i="1691" s="1"/>
  <c r="AI47" i="1691"/>
  <c r="AK47" i="1691" s="1"/>
  <c r="X80" i="1691"/>
  <c r="AA78" i="1691" s="1"/>
  <c r="AO81" i="1691"/>
  <c r="AP81" i="1691" s="1"/>
  <c r="AO9" i="1691"/>
  <c r="AP9" i="1691" s="1"/>
  <c r="AO64" i="1691"/>
  <c r="AP64" i="1691" s="1"/>
  <c r="AO84" i="1691"/>
  <c r="AP84" i="1691" s="1"/>
  <c r="AC6" i="1691"/>
  <c r="H9" i="1691" s="1"/>
  <c r="AT7" i="1691"/>
  <c r="AI7" i="1691"/>
  <c r="AK7" i="1691" s="1"/>
  <c r="AP13" i="1691"/>
  <c r="AI15" i="1691"/>
  <c r="AK15" i="1691" s="1"/>
  <c r="AO20" i="1691"/>
  <c r="AP20" i="1691" s="1"/>
  <c r="AT31" i="1691"/>
  <c r="X30" i="1691" s="1"/>
  <c r="AT35" i="1691"/>
  <c r="X34" i="1691" s="1"/>
  <c r="AO68" i="1691"/>
  <c r="AP68" i="1691" s="1"/>
  <c r="AO72" i="1691"/>
  <c r="AP72" i="1691" s="1"/>
  <c r="AI71" i="1691"/>
  <c r="AK71" i="1691" s="1"/>
  <c r="AC62" i="1691"/>
  <c r="H65" i="1691" s="1"/>
  <c r="AT63" i="1691"/>
  <c r="AP45" i="1691"/>
  <c r="AH23" i="1691"/>
  <c r="X14" i="1691"/>
  <c r="AC14" i="1691"/>
  <c r="H17" i="1691" s="1"/>
  <c r="AH39" i="1691"/>
  <c r="AH63" i="1691"/>
  <c r="X24" i="1691"/>
  <c r="AA22" i="1691" s="1"/>
  <c r="AO12" i="1691"/>
  <c r="AP12" i="1691" s="1"/>
  <c r="AC26" i="1691"/>
  <c r="H29" i="1691" s="1"/>
  <c r="AO53" i="1691"/>
  <c r="AP53" i="1691" s="1"/>
  <c r="AC59" i="1691"/>
  <c r="AO60" i="1691"/>
  <c r="AP60" i="1691" s="1"/>
  <c r="AC79" i="1691"/>
  <c r="AI83" i="1691"/>
  <c r="AK83" i="1691" s="1"/>
  <c r="AI27" i="1691"/>
  <c r="AJ27" i="1691" s="1"/>
  <c r="AO29" i="1691"/>
  <c r="AP29" i="1691" s="1"/>
  <c r="AO48" i="1691"/>
  <c r="AP48" i="1691" s="1"/>
  <c r="AH47" i="1691"/>
  <c r="X68" i="1691"/>
  <c r="AA66" i="1691" s="1"/>
  <c r="AH79" i="1691"/>
  <c r="AI11" i="1691"/>
  <c r="AJ11" i="1691" s="1"/>
  <c r="AC39" i="1691"/>
  <c r="AC46" i="1691"/>
  <c r="H49" i="1691" s="1"/>
  <c r="AC54" i="1691"/>
  <c r="H57" i="1691" s="1"/>
  <c r="AI59" i="1691"/>
  <c r="AK59" i="1691" s="1"/>
  <c r="AP65" i="1691"/>
  <c r="AI75" i="1691"/>
  <c r="AJ75" i="1691" s="1"/>
  <c r="AP49" i="1691"/>
  <c r="AI51" i="1691"/>
  <c r="AK51" i="1691" s="1"/>
  <c r="X64" i="1691"/>
  <c r="AA62" i="1691" s="1"/>
  <c r="AP69" i="1691"/>
  <c r="AC18" i="1691"/>
  <c r="H21" i="1691" s="1"/>
  <c r="AP21" i="1691"/>
  <c r="AP28" i="1691"/>
  <c r="AC30" i="1691"/>
  <c r="H33" i="1691" s="1"/>
  <c r="AC31" i="1691"/>
  <c r="AH31" i="1691"/>
  <c r="AP52" i="1691"/>
  <c r="AC75" i="1691"/>
  <c r="AA37" i="1691"/>
  <c r="AC7" i="1691"/>
  <c r="AH11" i="1691"/>
  <c r="AC15" i="1691"/>
  <c r="AA17" i="1691"/>
  <c r="AI19" i="1691"/>
  <c r="AM19" i="1691" s="1"/>
  <c r="AC22" i="1691"/>
  <c r="H25" i="1691" s="1"/>
  <c r="AC35" i="1691"/>
  <c r="AO44" i="1691"/>
  <c r="AP44" i="1691" s="1"/>
  <c r="AI43" i="1691"/>
  <c r="AM43" i="1691" s="1"/>
  <c r="AJ47" i="1691"/>
  <c r="AI55" i="1691"/>
  <c r="AM55" i="1691" s="1"/>
  <c r="AI63" i="1691"/>
  <c r="AM63" i="1691" s="1"/>
  <c r="AC67" i="1691"/>
  <c r="AG67" i="1691" s="1"/>
  <c r="T100" i="1691"/>
  <c r="X79" i="1691"/>
  <c r="X8" i="1691"/>
  <c r="AA6" i="1691" s="1"/>
  <c r="AP8" i="1691"/>
  <c r="AH7" i="1691"/>
  <c r="AH15" i="1691"/>
  <c r="AH19" i="1691"/>
  <c r="AH27" i="1691"/>
  <c r="X32" i="1691"/>
  <c r="AA30" i="1691" s="1"/>
  <c r="AI39" i="1691"/>
  <c r="AO56" i="1691"/>
  <c r="AP56" i="1691" s="1"/>
  <c r="AA81" i="1691"/>
  <c r="AP85" i="1691"/>
  <c r="P94" i="1691"/>
  <c r="P100" i="1691" s="1"/>
  <c r="AI23" i="1691"/>
  <c r="AP25" i="1691"/>
  <c r="AH59" i="1691"/>
  <c r="AP61" i="1691"/>
  <c r="AA69" i="1691"/>
  <c r="W100" i="1691"/>
  <c r="AA57" i="1691"/>
  <c r="X55" i="1691"/>
  <c r="AC55" i="1691"/>
  <c r="X56" i="1691"/>
  <c r="AA54" i="1691" s="1"/>
  <c r="AH55" i="1691"/>
  <c r="AO77" i="1691"/>
  <c r="AP77" i="1691" s="1"/>
  <c r="AO76" i="1691"/>
  <c r="AP76" i="1691" s="1"/>
  <c r="X76" i="1691"/>
  <c r="AA74" i="1691" s="1"/>
  <c r="X75" i="1691"/>
  <c r="AB4" i="1691"/>
  <c r="X19" i="1691"/>
  <c r="X20" i="1691"/>
  <c r="AA18" i="1691" s="1"/>
  <c r="X23" i="1691"/>
  <c r="H73" i="1691"/>
  <c r="X11" i="1691"/>
  <c r="X12" i="1691"/>
  <c r="AA10" i="1691" s="1"/>
  <c r="AC19" i="1691"/>
  <c r="AC23" i="1691"/>
  <c r="AC27" i="1691"/>
  <c r="X28" i="1691"/>
  <c r="AA26" i="1691" s="1"/>
  <c r="AC34" i="1691"/>
  <c r="AC42" i="1691"/>
  <c r="X43" i="1691"/>
  <c r="AC43" i="1691"/>
  <c r="X44" i="1691"/>
  <c r="AA42" i="1691" s="1"/>
  <c r="AH43" i="1691"/>
  <c r="X51" i="1691"/>
  <c r="AC51" i="1691"/>
  <c r="AG51" i="1691" s="1"/>
  <c r="X52" i="1691"/>
  <c r="AA50" i="1691" s="1"/>
  <c r="AH51" i="1691"/>
  <c r="AL51" i="1691"/>
  <c r="H69" i="1691"/>
  <c r="X71" i="1691"/>
  <c r="AC71" i="1691"/>
  <c r="AG71" i="1691" s="1"/>
  <c r="X72" i="1691"/>
  <c r="AA70" i="1691" s="1"/>
  <c r="AH71" i="1691"/>
  <c r="AH75" i="1691"/>
  <c r="X78" i="1691"/>
  <c r="AC78" i="1691"/>
  <c r="H85" i="1691"/>
  <c r="AO37" i="1691"/>
  <c r="AP37" i="1691" s="1"/>
  <c r="AO36" i="1691"/>
  <c r="AP36" i="1691" s="1"/>
  <c r="X36" i="1691"/>
  <c r="AA34" i="1691" s="1"/>
  <c r="X35" i="1691"/>
  <c r="AO17" i="1691"/>
  <c r="AP17" i="1691" s="1"/>
  <c r="AO16" i="1691"/>
  <c r="AP16" i="1691" s="1"/>
  <c r="X16" i="1691"/>
  <c r="AA14" i="1691" s="1"/>
  <c r="X27" i="1691"/>
  <c r="AH35" i="1691"/>
  <c r="AI35" i="1691"/>
  <c r="AC11" i="1691"/>
  <c r="AG11" i="1691" s="1"/>
  <c r="AT39" i="1691"/>
  <c r="AC38" i="1691"/>
  <c r="AO41" i="1691"/>
  <c r="AP41" i="1691" s="1"/>
  <c r="AO40" i="1691"/>
  <c r="AP40" i="1691" s="1"/>
  <c r="X40" i="1691"/>
  <c r="AA38" i="1691" s="1"/>
  <c r="X39" i="1691"/>
  <c r="AL55" i="1691"/>
  <c r="AH67" i="1691"/>
  <c r="AI67" i="1691"/>
  <c r="AC83" i="1691"/>
  <c r="AG83" i="1691" s="1"/>
  <c r="X83" i="1691"/>
  <c r="X84" i="1691"/>
  <c r="AA82" i="1691" s="1"/>
  <c r="M100" i="1691"/>
  <c r="Q100" i="1691"/>
  <c r="U100" i="1691"/>
  <c r="X60" i="1691"/>
  <c r="AA58" i="1691" s="1"/>
  <c r="X7" i="1691"/>
  <c r="X15" i="1691"/>
  <c r="X31" i="1691"/>
  <c r="X47" i="1691"/>
  <c r="AC47" i="1691"/>
  <c r="X48" i="1691"/>
  <c r="AA46" i="1691" s="1"/>
  <c r="AT59" i="1691"/>
  <c r="AC58" i="1691"/>
  <c r="H61" i="1691" s="1"/>
  <c r="X67" i="1691"/>
  <c r="AT75" i="1691"/>
  <c r="AC74" i="1691"/>
  <c r="AI79" i="1691"/>
  <c r="AA89" i="1691"/>
  <c r="N100" i="1691"/>
  <c r="R100" i="1691"/>
  <c r="V100" i="1691"/>
  <c r="AP80" i="1691"/>
  <c r="AL7" i="1691"/>
  <c r="H53" i="1691"/>
  <c r="AP57" i="1691"/>
  <c r="X59" i="1691"/>
  <c r="AC63" i="1691"/>
  <c r="AA65" i="1691"/>
  <c r="X63" i="1691"/>
  <c r="AL63" i="1691"/>
  <c r="AP73" i="1691"/>
  <c r="AH83" i="1691"/>
  <c r="AL83" i="1691"/>
  <c r="AA87" i="1691"/>
  <c r="O94" i="1691"/>
  <c r="O100" i="1691" s="1"/>
  <c r="AL79" i="1691"/>
  <c r="S94" i="1691"/>
  <c r="S100" i="1691" s="1"/>
  <c r="AL67" i="1691"/>
  <c r="J6" i="1690"/>
  <c r="B6" i="1692"/>
  <c r="B9" i="1692"/>
  <c r="B7" i="1692"/>
  <c r="V21" i="1585"/>
  <c r="B10" i="1692"/>
  <c r="B8" i="1692"/>
  <c r="B16" i="1692" l="1"/>
  <c r="AG15" i="1691"/>
  <c r="AG17" i="1691" s="1"/>
  <c r="AM47" i="1691"/>
  <c r="AJ7" i="1691"/>
  <c r="AM15" i="1691"/>
  <c r="AJ15" i="1691"/>
  <c r="AG47" i="1691"/>
  <c r="AG49" i="1691" s="1"/>
  <c r="AM7" i="1691"/>
  <c r="AM71" i="1691"/>
  <c r="AG63" i="1691"/>
  <c r="AY63" i="1691" s="1"/>
  <c r="AG27" i="1691"/>
  <c r="AY27" i="1691" s="1"/>
  <c r="AG19" i="1691"/>
  <c r="AG21" i="1691" s="1"/>
  <c r="AG7" i="1691"/>
  <c r="AY7" i="1691" s="1"/>
  <c r="AG55" i="1691"/>
  <c r="AY55" i="1691" s="1"/>
  <c r="AM75" i="1691"/>
  <c r="AK75" i="1691"/>
  <c r="AJ71" i="1691"/>
  <c r="X82" i="1691"/>
  <c r="AK11" i="1691"/>
  <c r="AK27" i="1691"/>
  <c r="AM27" i="1691"/>
  <c r="AM83" i="1691"/>
  <c r="AG31" i="1691"/>
  <c r="AY31" i="1691" s="1"/>
  <c r="AM11" i="1691"/>
  <c r="AM59" i="1691"/>
  <c r="AJ83" i="1691"/>
  <c r="X70" i="1691"/>
  <c r="X58" i="1691"/>
  <c r="X42" i="1691"/>
  <c r="X6" i="1691"/>
  <c r="X62" i="1691"/>
  <c r="X74" i="1691"/>
  <c r="AJ59" i="1691"/>
  <c r="X38" i="1691"/>
  <c r="AM51" i="1691"/>
  <c r="AJ51" i="1691"/>
  <c r="AY67" i="1691"/>
  <c r="AG69" i="1691"/>
  <c r="AJ23" i="1691"/>
  <c r="AK23" i="1691"/>
  <c r="AG23" i="1691"/>
  <c r="AG25" i="1691" s="1"/>
  <c r="AJ39" i="1691"/>
  <c r="AK39" i="1691"/>
  <c r="AM39" i="1691"/>
  <c r="AK43" i="1691"/>
  <c r="AJ43" i="1691"/>
  <c r="AJ19" i="1691"/>
  <c r="AK19" i="1691"/>
  <c r="AM23" i="1691"/>
  <c r="AK63" i="1691"/>
  <c r="AJ63" i="1691"/>
  <c r="AK55" i="1691"/>
  <c r="AJ55" i="1691"/>
  <c r="AY83" i="1691"/>
  <c r="AG85" i="1691"/>
  <c r="AY71" i="1691"/>
  <c r="AG73" i="1691"/>
  <c r="AY51" i="1691"/>
  <c r="AG53" i="1691"/>
  <c r="AM35" i="1691"/>
  <c r="AK35" i="1691"/>
  <c r="AJ35" i="1691"/>
  <c r="AG43" i="1691"/>
  <c r="H45" i="1691"/>
  <c r="AG39" i="1691"/>
  <c r="H41" i="1691"/>
  <c r="AT4" i="1691"/>
  <c r="AI4" i="1691"/>
  <c r="H77" i="1691"/>
  <c r="AG75" i="1691"/>
  <c r="AJ67" i="1691"/>
  <c r="AM67" i="1691"/>
  <c r="AK67" i="1691"/>
  <c r="AG59" i="1691"/>
  <c r="AG35" i="1691"/>
  <c r="H37" i="1691"/>
  <c r="AJ79" i="1691"/>
  <c r="AK79" i="1691"/>
  <c r="AM79" i="1691"/>
  <c r="AG13" i="1691"/>
  <c r="AY11" i="1691"/>
  <c r="AL2" i="1691"/>
  <c r="AG79" i="1691"/>
  <c r="H81" i="1691"/>
  <c r="Q18" i="1690"/>
  <c r="O18" i="1690"/>
  <c r="J18" i="1690"/>
  <c r="H18" i="1690"/>
  <c r="D18" i="1690"/>
  <c r="F9" i="1692"/>
  <c r="F10" i="1692"/>
  <c r="F8" i="1692"/>
  <c r="F6" i="1692"/>
  <c r="F7" i="1692"/>
  <c r="T21" i="1585"/>
  <c r="K8" i="1692" l="1"/>
  <c r="K7" i="1692"/>
  <c r="R8" i="1692"/>
  <c r="T8" i="1692"/>
  <c r="S8" i="1692"/>
  <c r="F16" i="1692"/>
  <c r="AY15" i="1691"/>
  <c r="L8" i="1692"/>
  <c r="M8" i="1692"/>
  <c r="AY47" i="1691"/>
  <c r="AG65" i="1691"/>
  <c r="AY19" i="1691"/>
  <c r="AG29" i="1691"/>
  <c r="AG9" i="1691"/>
  <c r="AG33" i="1691"/>
  <c r="AG57" i="1691"/>
  <c r="L9" i="1692"/>
  <c r="P9" i="1692"/>
  <c r="K9" i="1692"/>
  <c r="T9" i="1692"/>
  <c r="W9" i="1692" s="1"/>
  <c r="C9" i="1692"/>
  <c r="I9" i="1692"/>
  <c r="S9" i="1692"/>
  <c r="M9" i="1692"/>
  <c r="R9" i="1692"/>
  <c r="P10" i="1692"/>
  <c r="S10" i="1692"/>
  <c r="I10" i="1692"/>
  <c r="L10" i="1692"/>
  <c r="K10" i="1692"/>
  <c r="M10" i="1692"/>
  <c r="R10" i="1692"/>
  <c r="T10" i="1692"/>
  <c r="W10" i="1692" s="1"/>
  <c r="C10" i="1692"/>
  <c r="R7" i="1692"/>
  <c r="L7" i="1692"/>
  <c r="I7" i="1692"/>
  <c r="P7" i="1692"/>
  <c r="T7" i="1692"/>
  <c r="W7" i="1692" s="1"/>
  <c r="C7" i="1692"/>
  <c r="S7" i="1692"/>
  <c r="M7" i="1692"/>
  <c r="P6" i="1692"/>
  <c r="L6" i="1692"/>
  <c r="S6" i="1692"/>
  <c r="I6" i="1692"/>
  <c r="C6" i="1692"/>
  <c r="M6" i="1692"/>
  <c r="R6" i="1692"/>
  <c r="T6" i="1692"/>
  <c r="W6" i="1692" s="1"/>
  <c r="K6" i="1692"/>
  <c r="I8" i="1692"/>
  <c r="P8" i="1692"/>
  <c r="C8" i="1692"/>
  <c r="AY23" i="1691"/>
  <c r="AK2" i="1691"/>
  <c r="AG2" i="1691" s="1"/>
  <c r="AY59" i="1691"/>
  <c r="AG61" i="1691"/>
  <c r="AG77" i="1691"/>
  <c r="AY75" i="1691"/>
  <c r="AY79" i="1691"/>
  <c r="AG81" i="1691"/>
  <c r="AG37" i="1691"/>
  <c r="AY35" i="1691"/>
  <c r="AG41" i="1691"/>
  <c r="AY39" i="1691"/>
  <c r="AY43" i="1691"/>
  <c r="AG45" i="1691"/>
  <c r="AB89" i="1689"/>
  <c r="AB88" i="1689"/>
  <c r="AB87" i="1689"/>
  <c r="AB86" i="1689"/>
  <c r="AT87" i="1689" s="1"/>
  <c r="AB85" i="1689"/>
  <c r="AB84" i="1689"/>
  <c r="AB83" i="1689"/>
  <c r="AB82" i="1689"/>
  <c r="AT83" i="1689" s="1"/>
  <c r="AB81" i="1689"/>
  <c r="AB80" i="1689"/>
  <c r="AB79" i="1689"/>
  <c r="AB78" i="1689"/>
  <c r="AB77" i="1689"/>
  <c r="AB76" i="1689"/>
  <c r="AB75" i="1689"/>
  <c r="AB74" i="1689"/>
  <c r="AT75" i="1689" s="1"/>
  <c r="AB73" i="1689"/>
  <c r="AB72" i="1689"/>
  <c r="AB71" i="1689"/>
  <c r="AB70" i="1689"/>
  <c r="AB69" i="1689"/>
  <c r="AB68" i="1689"/>
  <c r="AB67" i="1689"/>
  <c r="AB66" i="1689"/>
  <c r="AB65" i="1689"/>
  <c r="AB64" i="1689"/>
  <c r="AB63" i="1689"/>
  <c r="AA65" i="1689" s="1"/>
  <c r="AB62" i="1689"/>
  <c r="AT63" i="1689" s="1"/>
  <c r="AB61" i="1689"/>
  <c r="AB60" i="1689"/>
  <c r="AB59" i="1689"/>
  <c r="AB58" i="1689"/>
  <c r="AB57" i="1689"/>
  <c r="AB56" i="1689"/>
  <c r="AB55" i="1689"/>
  <c r="AB54" i="1689"/>
  <c r="AB53" i="1689"/>
  <c r="AB52" i="1689"/>
  <c r="AB51" i="1689"/>
  <c r="AB50" i="1689"/>
  <c r="AB49" i="1689"/>
  <c r="AB48" i="1689"/>
  <c r="AB47" i="1689"/>
  <c r="AB46" i="1689"/>
  <c r="AT47" i="1689" s="1"/>
  <c r="AB45" i="1689"/>
  <c r="AB44" i="1689"/>
  <c r="AB43" i="1689"/>
  <c r="AB42" i="1689"/>
  <c r="AB41" i="1689"/>
  <c r="AB40" i="1689"/>
  <c r="AB39" i="1689"/>
  <c r="AB38" i="1689"/>
  <c r="AB37" i="1689"/>
  <c r="AB36" i="1689"/>
  <c r="AB35" i="1689"/>
  <c r="AB34" i="1689"/>
  <c r="AB33" i="1689"/>
  <c r="AB32" i="1689"/>
  <c r="AB31" i="1689"/>
  <c r="AB30" i="1689"/>
  <c r="AB29" i="1689"/>
  <c r="AB28" i="1689"/>
  <c r="AB27" i="1689"/>
  <c r="AB26" i="1689"/>
  <c r="AT27" i="1689" s="1"/>
  <c r="AB25" i="1689"/>
  <c r="AB24" i="1689"/>
  <c r="AB23" i="1689"/>
  <c r="AB22" i="1689"/>
  <c r="AT23" i="1689" s="1"/>
  <c r="AB21" i="1689"/>
  <c r="AB20" i="1689"/>
  <c r="AB19" i="1689"/>
  <c r="AA21" i="1689" s="1"/>
  <c r="AB18" i="1689"/>
  <c r="AT19" i="1689" s="1"/>
  <c r="AB17" i="1689"/>
  <c r="AB16" i="1689"/>
  <c r="AB15" i="1689"/>
  <c r="AB14" i="1689"/>
  <c r="AB13" i="1689"/>
  <c r="AB12" i="1689"/>
  <c r="AB11" i="1689"/>
  <c r="AA13" i="1689" s="1"/>
  <c r="AB10" i="1689"/>
  <c r="AT11" i="1689" s="1"/>
  <c r="AB9" i="1689"/>
  <c r="AB8" i="1689"/>
  <c r="AB7" i="1689"/>
  <c r="AB6" i="1689"/>
  <c r="C16" i="1692" l="1"/>
  <c r="AA77" i="1689"/>
  <c r="X59" i="1689"/>
  <c r="AA61" i="1689"/>
  <c r="X19" i="1689"/>
  <c r="W101" i="1689" l="1"/>
  <c r="V101" i="1689"/>
  <c r="V98" i="1689" s="1"/>
  <c r="U101" i="1689"/>
  <c r="U98" i="1689" s="1"/>
  <c r="T101" i="1689"/>
  <c r="T98" i="1689" s="1"/>
  <c r="S101" i="1689"/>
  <c r="R101" i="1689"/>
  <c r="R98" i="1689" s="1"/>
  <c r="Q101" i="1689"/>
  <c r="Q98" i="1689" s="1"/>
  <c r="P101" i="1689"/>
  <c r="P98" i="1689" s="1"/>
  <c r="O101" i="1689"/>
  <c r="N101" i="1689"/>
  <c r="N98" i="1689" s="1"/>
  <c r="M101" i="1689"/>
  <c r="W95" i="1689"/>
  <c r="V95" i="1689"/>
  <c r="U95" i="1689"/>
  <c r="T95" i="1689"/>
  <c r="S95" i="1689"/>
  <c r="R95" i="1689"/>
  <c r="Q95" i="1689"/>
  <c r="P95" i="1689"/>
  <c r="O95" i="1689"/>
  <c r="N95" i="1689"/>
  <c r="M95" i="1689"/>
  <c r="W93" i="1689"/>
  <c r="V93" i="1689"/>
  <c r="U93" i="1689"/>
  <c r="T93" i="1689"/>
  <c r="S93" i="1689"/>
  <c r="R93" i="1689"/>
  <c r="Q93" i="1689"/>
  <c r="P93" i="1689"/>
  <c r="O93" i="1689"/>
  <c r="N93" i="1689"/>
  <c r="M93" i="1689"/>
  <c r="W91" i="1689"/>
  <c r="V91" i="1689"/>
  <c r="U91" i="1689"/>
  <c r="T91" i="1689"/>
  <c r="S91" i="1689"/>
  <c r="R91" i="1689"/>
  <c r="Q91" i="1689"/>
  <c r="P91" i="1689"/>
  <c r="O91" i="1689"/>
  <c r="N91" i="1689"/>
  <c r="M91" i="1689"/>
  <c r="AN89" i="1689"/>
  <c r="AK89" i="1689"/>
  <c r="AJ89" i="1689"/>
  <c r="J89" i="1689"/>
  <c r="B89" i="1689"/>
  <c r="AK88" i="1689"/>
  <c r="AJ88" i="1689"/>
  <c r="I88" i="1689"/>
  <c r="E88" i="1689"/>
  <c r="E89" i="1689" s="1"/>
  <c r="B88" i="1689"/>
  <c r="AF87" i="1689"/>
  <c r="G87" i="1689"/>
  <c r="G88" i="1689" s="1"/>
  <c r="G89" i="1689" s="1"/>
  <c r="C87" i="1689"/>
  <c r="AK86" i="1689"/>
  <c r="AJ86" i="1689"/>
  <c r="X86" i="1689"/>
  <c r="B86" i="1689"/>
  <c r="AN85" i="1689"/>
  <c r="AK85" i="1689"/>
  <c r="AJ85" i="1689"/>
  <c r="J85" i="1689"/>
  <c r="B85" i="1689"/>
  <c r="AK84" i="1689"/>
  <c r="AJ84" i="1689"/>
  <c r="AI83" i="1689"/>
  <c r="I84" i="1689"/>
  <c r="E84" i="1689"/>
  <c r="E85" i="1689" s="1"/>
  <c r="B84" i="1689"/>
  <c r="AF83" i="1689"/>
  <c r="AL83" i="1689"/>
  <c r="G83" i="1689"/>
  <c r="G84" i="1689" s="1"/>
  <c r="G85" i="1689" s="1"/>
  <c r="C83" i="1689"/>
  <c r="AK82" i="1689"/>
  <c r="AJ82" i="1689"/>
  <c r="B82" i="1689"/>
  <c r="AN81" i="1689"/>
  <c r="AK81" i="1689"/>
  <c r="AJ81" i="1689"/>
  <c r="J81" i="1689"/>
  <c r="G81" i="1689"/>
  <c r="B81" i="1689"/>
  <c r="AK80" i="1689"/>
  <c r="AJ80" i="1689"/>
  <c r="I80" i="1689"/>
  <c r="G80" i="1689"/>
  <c r="E80" i="1689"/>
  <c r="E81" i="1689" s="1"/>
  <c r="B80" i="1689"/>
  <c r="AF79" i="1689"/>
  <c r="AL79" i="1689"/>
  <c r="G79" i="1689"/>
  <c r="C79" i="1689"/>
  <c r="AK78" i="1689"/>
  <c r="AJ78" i="1689"/>
  <c r="B78" i="1689"/>
  <c r="AN77" i="1689"/>
  <c r="AK77" i="1689"/>
  <c r="AJ77" i="1689"/>
  <c r="J77" i="1689"/>
  <c r="G77" i="1689"/>
  <c r="B77" i="1689"/>
  <c r="AK76" i="1689"/>
  <c r="AJ76" i="1689"/>
  <c r="I76" i="1689"/>
  <c r="G76" i="1689"/>
  <c r="E76" i="1689"/>
  <c r="E77" i="1689" s="1"/>
  <c r="B76" i="1689"/>
  <c r="AF75" i="1689"/>
  <c r="AL75" i="1689"/>
  <c r="G75" i="1689"/>
  <c r="C75" i="1689"/>
  <c r="AK74" i="1689"/>
  <c r="AJ74" i="1689"/>
  <c r="B74" i="1689"/>
  <c r="AN73" i="1689"/>
  <c r="AK73" i="1689"/>
  <c r="AJ73" i="1689"/>
  <c r="J73" i="1689"/>
  <c r="G73" i="1689"/>
  <c r="B73" i="1689"/>
  <c r="AK72" i="1689"/>
  <c r="AJ72" i="1689"/>
  <c r="I72" i="1689"/>
  <c r="G72" i="1689"/>
  <c r="E72" i="1689"/>
  <c r="E73" i="1689" s="1"/>
  <c r="B72" i="1689"/>
  <c r="AT71" i="1689"/>
  <c r="X70" i="1689" s="1"/>
  <c r="AF71" i="1689"/>
  <c r="AC71" i="1689"/>
  <c r="AA73" i="1689"/>
  <c r="G71" i="1689"/>
  <c r="C71" i="1689"/>
  <c r="AK70" i="1689"/>
  <c r="AJ70" i="1689"/>
  <c r="AC70" i="1689"/>
  <c r="H73" i="1689" s="1"/>
  <c r="B70" i="1689"/>
  <c r="AN69" i="1689"/>
  <c r="AK69" i="1689"/>
  <c r="AJ69" i="1689"/>
  <c r="AH67" i="1689"/>
  <c r="J69" i="1689"/>
  <c r="B69" i="1689"/>
  <c r="AK68" i="1689"/>
  <c r="AJ68" i="1689"/>
  <c r="I68" i="1689"/>
  <c r="E68" i="1689"/>
  <c r="E69" i="1689" s="1"/>
  <c r="B68" i="1689"/>
  <c r="AF67" i="1689"/>
  <c r="G67" i="1689"/>
  <c r="G68" i="1689" s="1"/>
  <c r="G69" i="1689" s="1"/>
  <c r="C67" i="1689"/>
  <c r="AK66" i="1689"/>
  <c r="AJ66" i="1689"/>
  <c r="AC66" i="1689"/>
  <c r="H69" i="1689" s="1"/>
  <c r="B66" i="1689"/>
  <c r="AN65" i="1689"/>
  <c r="AO64" i="1689" s="1"/>
  <c r="AK65" i="1689"/>
  <c r="AJ65" i="1689"/>
  <c r="J65" i="1689"/>
  <c r="B65" i="1689"/>
  <c r="AK64" i="1689"/>
  <c r="AJ64" i="1689"/>
  <c r="I64" i="1689"/>
  <c r="E64" i="1689"/>
  <c r="E65" i="1689" s="1"/>
  <c r="B64" i="1689"/>
  <c r="AH63" i="1689"/>
  <c r="AF63" i="1689"/>
  <c r="G63" i="1689"/>
  <c r="G64" i="1689" s="1"/>
  <c r="G65" i="1689" s="1"/>
  <c r="C63" i="1689"/>
  <c r="AK62" i="1689"/>
  <c r="AJ62" i="1689"/>
  <c r="X62" i="1689"/>
  <c r="B62" i="1689"/>
  <c r="AN61" i="1689"/>
  <c r="AO60" i="1689" s="1"/>
  <c r="AP60" i="1689" s="1"/>
  <c r="AK61" i="1689"/>
  <c r="AJ61" i="1689"/>
  <c r="J61" i="1689"/>
  <c r="B61" i="1689"/>
  <c r="AK60" i="1689"/>
  <c r="AJ60" i="1689"/>
  <c r="AI59" i="1689"/>
  <c r="AJ59" i="1689" s="1"/>
  <c r="I60" i="1689"/>
  <c r="E60" i="1689"/>
  <c r="E61" i="1689" s="1"/>
  <c r="B60" i="1689"/>
  <c r="AF59" i="1689"/>
  <c r="AC59" i="1689"/>
  <c r="AL59" i="1689"/>
  <c r="G59" i="1689"/>
  <c r="G60" i="1689" s="1"/>
  <c r="G61" i="1689" s="1"/>
  <c r="C59" i="1689"/>
  <c r="AK58" i="1689"/>
  <c r="AJ58" i="1689"/>
  <c r="B58" i="1689"/>
  <c r="AN57" i="1689"/>
  <c r="AK57" i="1689"/>
  <c r="AJ57" i="1689"/>
  <c r="AI55" i="1689"/>
  <c r="AJ55" i="1689" s="1"/>
  <c r="J57" i="1689"/>
  <c r="B57" i="1689"/>
  <c r="AK56" i="1689"/>
  <c r="AJ56" i="1689"/>
  <c r="I56" i="1689"/>
  <c r="E56" i="1689"/>
  <c r="E57" i="1689" s="1"/>
  <c r="B56" i="1689"/>
  <c r="AT55" i="1689"/>
  <c r="X54" i="1689" s="1"/>
  <c r="AF55" i="1689"/>
  <c r="AC55" i="1689"/>
  <c r="AL55" i="1689"/>
  <c r="G55" i="1689"/>
  <c r="G56" i="1689" s="1"/>
  <c r="G57" i="1689" s="1"/>
  <c r="C55" i="1689"/>
  <c r="AK54" i="1689"/>
  <c r="AJ54" i="1689"/>
  <c r="AC54" i="1689"/>
  <c r="H57" i="1689" s="1"/>
  <c r="B54" i="1689"/>
  <c r="AN53" i="1689"/>
  <c r="AK53" i="1689"/>
  <c r="AJ53" i="1689"/>
  <c r="J53" i="1689"/>
  <c r="G53" i="1689"/>
  <c r="B53" i="1689"/>
  <c r="AK52" i="1689"/>
  <c r="AJ52" i="1689"/>
  <c r="I52" i="1689"/>
  <c r="G52" i="1689"/>
  <c r="E52" i="1689"/>
  <c r="E53" i="1689" s="1"/>
  <c r="B52" i="1689"/>
  <c r="AT51" i="1689"/>
  <c r="AF51" i="1689"/>
  <c r="AL51" i="1689"/>
  <c r="G51" i="1689"/>
  <c r="C51" i="1689"/>
  <c r="AK50" i="1689"/>
  <c r="AJ50" i="1689"/>
  <c r="AC50" i="1689"/>
  <c r="H53" i="1689" s="1"/>
  <c r="B50" i="1689"/>
  <c r="AN49" i="1689"/>
  <c r="AK49" i="1689"/>
  <c r="AJ49" i="1689"/>
  <c r="J49" i="1689"/>
  <c r="B49" i="1689"/>
  <c r="AK48" i="1689"/>
  <c r="AJ48" i="1689"/>
  <c r="I48" i="1689"/>
  <c r="E48" i="1689"/>
  <c r="E49" i="1689" s="1"/>
  <c r="B48" i="1689"/>
  <c r="AF47" i="1689"/>
  <c r="AL47" i="1689"/>
  <c r="G47" i="1689"/>
  <c r="G48" i="1689" s="1"/>
  <c r="G49" i="1689" s="1"/>
  <c r="AK46" i="1689"/>
  <c r="AJ46" i="1689"/>
  <c r="AC46" i="1689"/>
  <c r="H49" i="1689" s="1"/>
  <c r="X46" i="1689"/>
  <c r="B46" i="1689"/>
  <c r="AN45" i="1689"/>
  <c r="AO44" i="1689" s="1"/>
  <c r="AK45" i="1689"/>
  <c r="AJ45" i="1689"/>
  <c r="J45" i="1689"/>
  <c r="B45" i="1689"/>
  <c r="AK44" i="1689"/>
  <c r="AJ44" i="1689"/>
  <c r="AI43" i="1689"/>
  <c r="AJ43" i="1689" s="1"/>
  <c r="I44" i="1689"/>
  <c r="E44" i="1689"/>
  <c r="E45" i="1689" s="1"/>
  <c r="B44" i="1689"/>
  <c r="AF43" i="1689"/>
  <c r="G43" i="1689"/>
  <c r="G44" i="1689" s="1"/>
  <c r="G45" i="1689" s="1"/>
  <c r="C43" i="1689"/>
  <c r="AK42" i="1689"/>
  <c r="AJ42" i="1689"/>
  <c r="B42" i="1689"/>
  <c r="AN41" i="1689"/>
  <c r="AK41" i="1689"/>
  <c r="AJ41" i="1689"/>
  <c r="G41" i="1689"/>
  <c r="B41" i="1689"/>
  <c r="AK40" i="1689"/>
  <c r="AJ40" i="1689"/>
  <c r="I40" i="1689"/>
  <c r="G40" i="1689"/>
  <c r="E40" i="1689"/>
  <c r="E41" i="1689" s="1"/>
  <c r="B40" i="1689"/>
  <c r="AF39" i="1689"/>
  <c r="AC39" i="1689"/>
  <c r="AL39" i="1689"/>
  <c r="G39" i="1689"/>
  <c r="C39" i="1689"/>
  <c r="AK38" i="1689"/>
  <c r="AJ38" i="1689"/>
  <c r="B38" i="1689"/>
  <c r="AN37" i="1689"/>
  <c r="J37" i="1689"/>
  <c r="B37" i="1689"/>
  <c r="AH35" i="1689"/>
  <c r="I36" i="1689"/>
  <c r="E36" i="1689"/>
  <c r="E37" i="1689" s="1"/>
  <c r="B36" i="1689"/>
  <c r="AF35" i="1689"/>
  <c r="AA37" i="1689"/>
  <c r="G35" i="1689"/>
  <c r="G36" i="1689" s="1"/>
  <c r="G37" i="1689" s="1"/>
  <c r="C35" i="1689"/>
  <c r="AC34" i="1689"/>
  <c r="H37" i="1689" s="1"/>
  <c r="B34" i="1689"/>
  <c r="AN33" i="1689"/>
  <c r="AK33" i="1689"/>
  <c r="AJ33" i="1689"/>
  <c r="J33" i="1689"/>
  <c r="G33" i="1689"/>
  <c r="B33" i="1689"/>
  <c r="AK32" i="1689"/>
  <c r="AJ32" i="1689"/>
  <c r="I32" i="1689"/>
  <c r="G32" i="1689"/>
  <c r="E32" i="1689"/>
  <c r="E33" i="1689" s="1"/>
  <c r="B32" i="1689"/>
  <c r="AT31" i="1689"/>
  <c r="X30" i="1689" s="1"/>
  <c r="AL31" i="1689"/>
  <c r="AF31" i="1689"/>
  <c r="G31" i="1689"/>
  <c r="C31" i="1689"/>
  <c r="AK30" i="1689"/>
  <c r="AJ30" i="1689"/>
  <c r="AC30" i="1689"/>
  <c r="H33" i="1689" s="1"/>
  <c r="B30" i="1689"/>
  <c r="AN29" i="1689"/>
  <c r="AK29" i="1689"/>
  <c r="AJ29" i="1689"/>
  <c r="J29" i="1689"/>
  <c r="B29" i="1689"/>
  <c r="AK28" i="1689"/>
  <c r="AJ28" i="1689"/>
  <c r="I28" i="1689"/>
  <c r="E28" i="1689"/>
  <c r="E29" i="1689" s="1"/>
  <c r="B28" i="1689"/>
  <c r="AF27" i="1689"/>
  <c r="AL27" i="1689"/>
  <c r="G27" i="1689"/>
  <c r="G28" i="1689" s="1"/>
  <c r="G29" i="1689" s="1"/>
  <c r="C27" i="1689"/>
  <c r="AK26" i="1689"/>
  <c r="AJ26" i="1689"/>
  <c r="AC26" i="1689"/>
  <c r="H29" i="1689" s="1"/>
  <c r="B26" i="1689"/>
  <c r="AN25" i="1689"/>
  <c r="AK25" i="1689"/>
  <c r="AJ25" i="1689"/>
  <c r="J25" i="1689"/>
  <c r="G25" i="1689"/>
  <c r="B25" i="1689"/>
  <c r="AK24" i="1689"/>
  <c r="AJ24" i="1689"/>
  <c r="I24" i="1689"/>
  <c r="G24" i="1689"/>
  <c r="E24" i="1689"/>
  <c r="E25" i="1689" s="1"/>
  <c r="B24" i="1689"/>
  <c r="AF23" i="1689"/>
  <c r="AL23" i="1689"/>
  <c r="G23" i="1689"/>
  <c r="AK22" i="1689"/>
  <c r="AJ22" i="1689"/>
  <c r="AC22" i="1689"/>
  <c r="H25" i="1689" s="1"/>
  <c r="B22" i="1689"/>
  <c r="AN21" i="1689"/>
  <c r="X20" i="1689" s="1"/>
  <c r="AK21" i="1689"/>
  <c r="AJ21" i="1689"/>
  <c r="J21" i="1689"/>
  <c r="G21" i="1689"/>
  <c r="B21" i="1689"/>
  <c r="AK20" i="1689"/>
  <c r="AJ20" i="1689"/>
  <c r="AH19" i="1689"/>
  <c r="I20" i="1689"/>
  <c r="G20" i="1689"/>
  <c r="B20" i="1689"/>
  <c r="AF19" i="1689"/>
  <c r="AC19" i="1689"/>
  <c r="AL19" i="1689"/>
  <c r="G19" i="1689"/>
  <c r="C19" i="1689"/>
  <c r="AK18" i="1689"/>
  <c r="AJ18" i="1689"/>
  <c r="B18" i="1689"/>
  <c r="AN17" i="1689"/>
  <c r="AK17" i="1689"/>
  <c r="AJ17" i="1689"/>
  <c r="J17" i="1689"/>
  <c r="G17" i="1689"/>
  <c r="B17" i="1689"/>
  <c r="AK16" i="1689"/>
  <c r="AJ16" i="1689"/>
  <c r="I16" i="1689"/>
  <c r="G16" i="1689"/>
  <c r="B16" i="1689"/>
  <c r="AT15" i="1689"/>
  <c r="X14" i="1689" s="1"/>
  <c r="AF15" i="1689"/>
  <c r="AL15" i="1689"/>
  <c r="G15" i="1689"/>
  <c r="C15" i="1689"/>
  <c r="AK14" i="1689"/>
  <c r="AJ14" i="1689"/>
  <c r="AC14" i="1689"/>
  <c r="H17" i="1689" s="1"/>
  <c r="B14" i="1689"/>
  <c r="AN13" i="1689"/>
  <c r="AK13" i="1689"/>
  <c r="AJ13" i="1689"/>
  <c r="G13" i="1689"/>
  <c r="B13" i="1689"/>
  <c r="AK12" i="1689"/>
  <c r="AJ12" i="1689"/>
  <c r="I12" i="1689"/>
  <c r="G12" i="1689"/>
  <c r="E12" i="1689"/>
  <c r="E13" i="1689" s="1"/>
  <c r="B12" i="1689"/>
  <c r="BL11" i="1689"/>
  <c r="BK11" i="1689"/>
  <c r="AL11" i="1689"/>
  <c r="AF11" i="1689"/>
  <c r="G11" i="1689"/>
  <c r="C11" i="1689"/>
  <c r="AK10" i="1689"/>
  <c r="AJ10" i="1689"/>
  <c r="B10" i="1689"/>
  <c r="AN9" i="1689"/>
  <c r="AK9" i="1689"/>
  <c r="AJ9" i="1689"/>
  <c r="J9" i="1689"/>
  <c r="G9" i="1689"/>
  <c r="B9" i="1689"/>
  <c r="AK8" i="1689"/>
  <c r="AJ8" i="1689"/>
  <c r="AI7" i="1689"/>
  <c r="AJ7" i="1689" s="1"/>
  <c r="I8" i="1689"/>
  <c r="G8" i="1689"/>
  <c r="E8" i="1689"/>
  <c r="E9" i="1689" s="1"/>
  <c r="B8" i="1689"/>
  <c r="BL7" i="1689"/>
  <c r="BK7" i="1689"/>
  <c r="AT7" i="1689"/>
  <c r="X6" i="1689" s="1"/>
  <c r="AH7" i="1689"/>
  <c r="AF7" i="1689"/>
  <c r="AB4" i="1689"/>
  <c r="G7" i="1689"/>
  <c r="C7" i="1689"/>
  <c r="AK6" i="1689"/>
  <c r="AJ6" i="1689"/>
  <c r="AC6" i="1689"/>
  <c r="H9" i="1689" s="1"/>
  <c r="B6" i="1689"/>
  <c r="AG4" i="1689"/>
  <c r="B3" i="1689"/>
  <c r="X75" i="1689" l="1"/>
  <c r="X12" i="1689"/>
  <c r="AA10" i="1689" s="1"/>
  <c r="X11" i="1689"/>
  <c r="X10" i="1689"/>
  <c r="X50" i="1689"/>
  <c r="AO45" i="1689"/>
  <c r="AP45" i="1689" s="1"/>
  <c r="AO65" i="1689"/>
  <c r="AP65" i="1689" s="1"/>
  <c r="X68" i="1689"/>
  <c r="AA66" i="1689" s="1"/>
  <c r="X67" i="1689"/>
  <c r="T104" i="1689"/>
  <c r="X15" i="1689"/>
  <c r="X47" i="1689"/>
  <c r="AO40" i="1689"/>
  <c r="AP40" i="1689" s="1"/>
  <c r="X39" i="1689"/>
  <c r="X52" i="1689"/>
  <c r="AA50" i="1689" s="1"/>
  <c r="X51" i="1689"/>
  <c r="X63" i="1689"/>
  <c r="AO80" i="1689"/>
  <c r="AP80" i="1689" s="1"/>
  <c r="X79" i="1689"/>
  <c r="X83" i="1689"/>
  <c r="X28" i="1689"/>
  <c r="AA26" i="1689" s="1"/>
  <c r="X27" i="1689"/>
  <c r="X36" i="1689"/>
  <c r="AA34" i="1689" s="1"/>
  <c r="X35" i="1689"/>
  <c r="X56" i="1689"/>
  <c r="AA54" i="1689" s="1"/>
  <c r="X55" i="1689"/>
  <c r="AO89" i="1689"/>
  <c r="X87" i="1689"/>
  <c r="X7" i="1689"/>
  <c r="AO24" i="1689"/>
  <c r="AP24" i="1689" s="1"/>
  <c r="X23" i="1689"/>
  <c r="AO33" i="1689"/>
  <c r="AP33" i="1689" s="1"/>
  <c r="X31" i="1689"/>
  <c r="X44" i="1689"/>
  <c r="AA42" i="1689" s="1"/>
  <c r="X43" i="1689"/>
  <c r="AO48" i="1689"/>
  <c r="AP48" i="1689" s="1"/>
  <c r="X72" i="1689"/>
  <c r="AA70" i="1689" s="1"/>
  <c r="X71" i="1689"/>
  <c r="P104" i="1689"/>
  <c r="X8" i="1689"/>
  <c r="AA6" i="1689" s="1"/>
  <c r="AO29" i="1689"/>
  <c r="AP29" i="1689" s="1"/>
  <c r="AO32" i="1689"/>
  <c r="AP32" i="1689" s="1"/>
  <c r="AO25" i="1689"/>
  <c r="X24" i="1689"/>
  <c r="AA22" i="1689" s="1"/>
  <c r="AO81" i="1689"/>
  <c r="AP81" i="1689" s="1"/>
  <c r="X80" i="1689"/>
  <c r="AA78" i="1689" s="1"/>
  <c r="AO88" i="1689"/>
  <c r="AP88" i="1689" s="1"/>
  <c r="X88" i="1689"/>
  <c r="AA86" i="1689" s="1"/>
  <c r="AO8" i="1689"/>
  <c r="AP8" i="1689" s="1"/>
  <c r="AO9" i="1689"/>
  <c r="AP9" i="1689" s="1"/>
  <c r="AO28" i="1689"/>
  <c r="AP28" i="1689" s="1"/>
  <c r="AO41" i="1689"/>
  <c r="AP41" i="1689" s="1"/>
  <c r="X40" i="1689"/>
  <c r="AA38" i="1689" s="1"/>
  <c r="AO49" i="1689"/>
  <c r="AP49" i="1689" s="1"/>
  <c r="X48" i="1689"/>
  <c r="AA46" i="1689" s="1"/>
  <c r="AO61" i="1689"/>
  <c r="AP61" i="1689" s="1"/>
  <c r="X60" i="1689"/>
  <c r="AA58" i="1689" s="1"/>
  <c r="AO77" i="1689"/>
  <c r="AP77" i="1689" s="1"/>
  <c r="X76" i="1689"/>
  <c r="AA74" i="1689" s="1"/>
  <c r="AO85" i="1689"/>
  <c r="AP85" i="1689" s="1"/>
  <c r="X84" i="1689"/>
  <c r="AA82" i="1689" s="1"/>
  <c r="X32" i="1689"/>
  <c r="AA30" i="1689" s="1"/>
  <c r="AO17" i="1689"/>
  <c r="AP17" i="1689" s="1"/>
  <c r="X16" i="1689"/>
  <c r="AA14" i="1689" s="1"/>
  <c r="X64" i="1689"/>
  <c r="AA62" i="1689" s="1"/>
  <c r="AG71" i="1689"/>
  <c r="AG73" i="1689" s="1"/>
  <c r="AO76" i="1689"/>
  <c r="AP76" i="1689" s="1"/>
  <c r="AO84" i="1689"/>
  <c r="AP84" i="1689" s="1"/>
  <c r="AJ83" i="1689"/>
  <c r="AK83" i="1689"/>
  <c r="AP25" i="1689"/>
  <c r="AH75" i="1689"/>
  <c r="AH39" i="1689"/>
  <c r="AC62" i="1689"/>
  <c r="H65" i="1689" s="1"/>
  <c r="AC75" i="1689"/>
  <c r="AC83" i="1689"/>
  <c r="AC35" i="1689"/>
  <c r="AG35" i="1689" s="1"/>
  <c r="AH43" i="1689"/>
  <c r="AC47" i="1689"/>
  <c r="AG47" i="1689" s="1"/>
  <c r="AC51" i="1689"/>
  <c r="AG51" i="1689" s="1"/>
  <c r="AC10" i="1689"/>
  <c r="H13" i="1689" s="1"/>
  <c r="AH11" i="1689"/>
  <c r="AI15" i="1689"/>
  <c r="AK15" i="1689" s="1"/>
  <c r="AH23" i="1689"/>
  <c r="AI39" i="1689"/>
  <c r="AK39" i="1689" s="1"/>
  <c r="AH51" i="1689"/>
  <c r="AI63" i="1689"/>
  <c r="AM63" i="1689" s="1"/>
  <c r="AT67" i="1689"/>
  <c r="AH79" i="1689"/>
  <c r="AA85" i="1689"/>
  <c r="AC86" i="1689"/>
  <c r="H89" i="1689" s="1"/>
  <c r="AI87" i="1689"/>
  <c r="AM87" i="1689" s="1"/>
  <c r="N104" i="1689"/>
  <c r="R104" i="1689"/>
  <c r="V104" i="1689"/>
  <c r="AC15" i="1689"/>
  <c r="AG15" i="1689" s="1"/>
  <c r="AG17" i="1689" s="1"/>
  <c r="AH31" i="1689"/>
  <c r="AT35" i="1689"/>
  <c r="AA41" i="1689"/>
  <c r="AC43" i="1689"/>
  <c r="AL43" i="1689"/>
  <c r="AP44" i="1689"/>
  <c r="AI51" i="1689"/>
  <c r="AH55" i="1689"/>
  <c r="AM59" i="1689"/>
  <c r="AC79" i="1689"/>
  <c r="AK7" i="1689"/>
  <c r="AM7" i="1689"/>
  <c r="AO53" i="1689"/>
  <c r="AP53" i="1689" s="1"/>
  <c r="AC11" i="1689"/>
  <c r="AI11" i="1689"/>
  <c r="X18" i="1689"/>
  <c r="AC18" i="1689"/>
  <c r="H21" i="1689" s="1"/>
  <c r="AO20" i="1689"/>
  <c r="AP20" i="1689" s="1"/>
  <c r="AA18" i="1689"/>
  <c r="AO21" i="1689"/>
  <c r="AP21" i="1689" s="1"/>
  <c r="AH27" i="1689"/>
  <c r="AC31" i="1689"/>
  <c r="AG31" i="1689" s="1"/>
  <c r="AO52" i="1689"/>
  <c r="AP52" i="1689" s="1"/>
  <c r="AO57" i="1689"/>
  <c r="AP57" i="1689" s="1"/>
  <c r="AO56" i="1689"/>
  <c r="AP56" i="1689" s="1"/>
  <c r="AI19" i="1689"/>
  <c r="AT39" i="1689"/>
  <c r="X38" i="1689" s="1"/>
  <c r="AC38" i="1689"/>
  <c r="H41" i="1689" s="1"/>
  <c r="AT43" i="1689"/>
  <c r="X42" i="1689" s="1"/>
  <c r="AC42" i="1689"/>
  <c r="H45" i="1689" s="1"/>
  <c r="AK43" i="1689"/>
  <c r="AM43" i="1689"/>
  <c r="AH47" i="1689"/>
  <c r="AI47" i="1689"/>
  <c r="AM55" i="1689"/>
  <c r="AK55" i="1689"/>
  <c r="AG55" i="1689"/>
  <c r="AT59" i="1689"/>
  <c r="AC58" i="1689"/>
  <c r="H61" i="1689" s="1"/>
  <c r="AH71" i="1689"/>
  <c r="AI71" i="1689"/>
  <c r="AO12" i="1689"/>
  <c r="AP12" i="1689" s="1"/>
  <c r="AO13" i="1689"/>
  <c r="AP13" i="1689" s="1"/>
  <c r="AC27" i="1689"/>
  <c r="AG27" i="1689" s="1"/>
  <c r="AC23" i="1689"/>
  <c r="AG23" i="1689" s="1"/>
  <c r="AH15" i="1689"/>
  <c r="AO16" i="1689"/>
  <c r="AP16" i="1689" s="1"/>
  <c r="AI23" i="1689"/>
  <c r="AI27" i="1689"/>
  <c r="AI31" i="1689"/>
  <c r="AP64" i="1689"/>
  <c r="AA69" i="1689"/>
  <c r="AC67" i="1689"/>
  <c r="AG67" i="1689" s="1"/>
  <c r="AL67" i="1689"/>
  <c r="AO69" i="1689"/>
  <c r="AP69" i="1689" s="1"/>
  <c r="AO68" i="1689"/>
  <c r="AP68" i="1689" s="1"/>
  <c r="AI75" i="1689"/>
  <c r="AT79" i="1689"/>
  <c r="X78" i="1689" s="1"/>
  <c r="AC78" i="1689"/>
  <c r="H81" i="1689" s="1"/>
  <c r="AC87" i="1689"/>
  <c r="AL87" i="1689"/>
  <c r="O98" i="1689"/>
  <c r="O104" i="1689" s="1"/>
  <c r="S98" i="1689"/>
  <c r="S104" i="1689" s="1"/>
  <c r="W98" i="1689"/>
  <c r="W104" i="1689" s="1"/>
  <c r="AA91" i="1689"/>
  <c r="AL7" i="1689"/>
  <c r="X22" i="1689"/>
  <c r="AC7" i="1689"/>
  <c r="AG7" i="1689" s="1"/>
  <c r="AK59" i="1689"/>
  <c r="AH59" i="1689"/>
  <c r="AC63" i="1689"/>
  <c r="AL63" i="1689"/>
  <c r="AI67" i="1689"/>
  <c r="AO73" i="1689"/>
  <c r="AP73" i="1689" s="1"/>
  <c r="AO72" i="1689"/>
  <c r="AP72" i="1689" s="1"/>
  <c r="X74" i="1689"/>
  <c r="AC74" i="1689"/>
  <c r="H77" i="1689" s="1"/>
  <c r="AI79" i="1689"/>
  <c r="AC82" i="1689"/>
  <c r="H85" i="1689" s="1"/>
  <c r="AM83" i="1689"/>
  <c r="AH87" i="1689"/>
  <c r="AA93" i="1689"/>
  <c r="M98" i="1689"/>
  <c r="M104" i="1689" s="1"/>
  <c r="U104" i="1689"/>
  <c r="AL71" i="1689"/>
  <c r="AH83" i="1689"/>
  <c r="Q104" i="1689"/>
  <c r="AT83" i="1688"/>
  <c r="X82" i="1688" s="1"/>
  <c r="AT75" i="1688"/>
  <c r="X74" i="1688" s="1"/>
  <c r="AT67" i="1688"/>
  <c r="AT59" i="1688"/>
  <c r="X58" i="1688" s="1"/>
  <c r="AT35" i="1688"/>
  <c r="AT15" i="1688"/>
  <c r="X14" i="1688" s="1"/>
  <c r="AT7" i="1688"/>
  <c r="X6" i="1688" s="1"/>
  <c r="AB101" i="1688"/>
  <c r="AB100" i="1688"/>
  <c r="AB99" i="1688"/>
  <c r="AB98" i="1688"/>
  <c r="AT99" i="1688" s="1"/>
  <c r="AB97" i="1688"/>
  <c r="AB96" i="1688"/>
  <c r="AB95" i="1688"/>
  <c r="AC95" i="1688" s="1"/>
  <c r="AB94" i="1688"/>
  <c r="AT95" i="1688" s="1"/>
  <c r="AB93" i="1688"/>
  <c r="AB92" i="1688"/>
  <c r="AB91" i="1688"/>
  <c r="AL91" i="1688" s="1"/>
  <c r="AB90" i="1688"/>
  <c r="AT91" i="1688" s="1"/>
  <c r="AB89" i="1688"/>
  <c r="AB88" i="1688"/>
  <c r="AB87" i="1688"/>
  <c r="X87" i="1688" s="1"/>
  <c r="AB86" i="1688"/>
  <c r="AT87" i="1688" s="1"/>
  <c r="AB85" i="1688"/>
  <c r="AB84" i="1688"/>
  <c r="AB83" i="1688"/>
  <c r="AB82" i="1688"/>
  <c r="AC82" i="1688" s="1"/>
  <c r="AB81" i="1688"/>
  <c r="AB80" i="1688"/>
  <c r="AB79" i="1688"/>
  <c r="AL79" i="1688" s="1"/>
  <c r="AB78" i="1688"/>
  <c r="AT79" i="1688" s="1"/>
  <c r="AB77" i="1688"/>
  <c r="AB76" i="1688"/>
  <c r="AB75" i="1688"/>
  <c r="AB74" i="1688"/>
  <c r="AB73" i="1688"/>
  <c r="AB72" i="1688"/>
  <c r="AB71" i="1688"/>
  <c r="AB70" i="1688"/>
  <c r="AT71" i="1688" s="1"/>
  <c r="AB69" i="1688"/>
  <c r="AB68" i="1688"/>
  <c r="AB67" i="1688"/>
  <c r="AL67" i="1688" s="1"/>
  <c r="AB66" i="1688"/>
  <c r="AC66" i="1688" s="1"/>
  <c r="BK67" i="1688" s="1"/>
  <c r="AB65" i="1688"/>
  <c r="AB64" i="1688"/>
  <c r="AB63" i="1688"/>
  <c r="X63" i="1688" s="1"/>
  <c r="AB62" i="1688"/>
  <c r="AT63" i="1688" s="1"/>
  <c r="AB61" i="1688"/>
  <c r="AB60" i="1688"/>
  <c r="AB59" i="1688"/>
  <c r="AL59" i="1688" s="1"/>
  <c r="AB58" i="1688"/>
  <c r="AB57" i="1688"/>
  <c r="AB56" i="1688"/>
  <c r="AB55" i="1688"/>
  <c r="AB54" i="1688"/>
  <c r="AT55" i="1688" s="1"/>
  <c r="X54" i="1688" s="1"/>
  <c r="AB53" i="1688"/>
  <c r="AB52" i="1688"/>
  <c r="AB51" i="1688"/>
  <c r="AB50" i="1688"/>
  <c r="AT51" i="1688" s="1"/>
  <c r="AB49" i="1688"/>
  <c r="AB48" i="1688"/>
  <c r="AB47" i="1688"/>
  <c r="AL47" i="1688" s="1"/>
  <c r="AB46" i="1688"/>
  <c r="AT47" i="1688" s="1"/>
  <c r="AB45" i="1688"/>
  <c r="AB44" i="1688"/>
  <c r="AB43" i="1688"/>
  <c r="AA45" i="1688" s="1"/>
  <c r="AB42" i="1688"/>
  <c r="AT43" i="1688" s="1"/>
  <c r="AB41" i="1688"/>
  <c r="AB40" i="1688"/>
  <c r="AB39" i="1688"/>
  <c r="AC39" i="1688" s="1"/>
  <c r="AB38" i="1688"/>
  <c r="AT39" i="1688" s="1"/>
  <c r="AB37" i="1688"/>
  <c r="AB36" i="1688"/>
  <c r="AB35" i="1688"/>
  <c r="AB34" i="1688"/>
  <c r="AB33" i="1688"/>
  <c r="AB32" i="1688"/>
  <c r="AB31" i="1688"/>
  <c r="AB30" i="1688"/>
  <c r="AT31" i="1688" s="1"/>
  <c r="X30" i="1688" s="1"/>
  <c r="AB29" i="1688"/>
  <c r="AB28" i="1688"/>
  <c r="AB27" i="1688"/>
  <c r="AB26" i="1688"/>
  <c r="AT27" i="1688" s="1"/>
  <c r="X26" i="1688" s="1"/>
  <c r="AB25" i="1688"/>
  <c r="AB24" i="1688"/>
  <c r="AB23" i="1688"/>
  <c r="AB22" i="1688"/>
  <c r="AC22" i="1688" s="1"/>
  <c r="AB21" i="1688"/>
  <c r="AB20" i="1688"/>
  <c r="AB19" i="1688"/>
  <c r="X19" i="1688" s="1"/>
  <c r="AB18" i="1688"/>
  <c r="AB17" i="1688"/>
  <c r="AB16" i="1688"/>
  <c r="AB15" i="1688"/>
  <c r="AL15" i="1688" s="1"/>
  <c r="AB14" i="1688"/>
  <c r="AB13" i="1688"/>
  <c r="AB12" i="1688"/>
  <c r="AB11" i="1688"/>
  <c r="X11" i="1688" s="1"/>
  <c r="AB10" i="1688"/>
  <c r="X36" i="1688"/>
  <c r="AA34" i="1688" s="1"/>
  <c r="X35" i="1688"/>
  <c r="AB9" i="1688"/>
  <c r="AB8" i="1688"/>
  <c r="AB7" i="1688"/>
  <c r="AB6" i="1688"/>
  <c r="AC6" i="1688" s="1"/>
  <c r="W113" i="1688"/>
  <c r="V113" i="1688"/>
  <c r="U113" i="1688"/>
  <c r="U110" i="1688" s="1"/>
  <c r="T113" i="1688"/>
  <c r="S113" i="1688"/>
  <c r="R113" i="1688"/>
  <c r="Q113" i="1688"/>
  <c r="Q110" i="1688" s="1"/>
  <c r="P113" i="1688"/>
  <c r="O113" i="1688"/>
  <c r="N113" i="1688"/>
  <c r="M113" i="1688"/>
  <c r="M110" i="1688" s="1"/>
  <c r="W107" i="1688"/>
  <c r="V107" i="1688"/>
  <c r="U107" i="1688"/>
  <c r="T107" i="1688"/>
  <c r="S107" i="1688"/>
  <c r="R107" i="1688"/>
  <c r="Q107" i="1688"/>
  <c r="P107" i="1688"/>
  <c r="O107" i="1688"/>
  <c r="N107" i="1688"/>
  <c r="M107" i="1688"/>
  <c r="W105" i="1688"/>
  <c r="V105" i="1688"/>
  <c r="U105" i="1688"/>
  <c r="T105" i="1688"/>
  <c r="S105" i="1688"/>
  <c r="R105" i="1688"/>
  <c r="Q105" i="1688"/>
  <c r="P105" i="1688"/>
  <c r="O105" i="1688"/>
  <c r="N105" i="1688"/>
  <c r="M105" i="1688"/>
  <c r="W103" i="1688"/>
  <c r="V103" i="1688"/>
  <c r="U103" i="1688"/>
  <c r="T103" i="1688"/>
  <c r="S103" i="1688"/>
  <c r="R103" i="1688"/>
  <c r="Q103" i="1688"/>
  <c r="P103" i="1688"/>
  <c r="O103" i="1688"/>
  <c r="N103" i="1688"/>
  <c r="M103" i="1688"/>
  <c r="AN101" i="1688"/>
  <c r="AK101" i="1688"/>
  <c r="AJ101" i="1688"/>
  <c r="J101" i="1688"/>
  <c r="B101" i="1688"/>
  <c r="AK100" i="1688"/>
  <c r="AJ100" i="1688"/>
  <c r="I100" i="1688"/>
  <c r="E100" i="1688"/>
  <c r="E101" i="1688" s="1"/>
  <c r="B100" i="1688"/>
  <c r="AF99" i="1688"/>
  <c r="G99" i="1688"/>
  <c r="G100" i="1688" s="1"/>
  <c r="G101" i="1688" s="1"/>
  <c r="C99" i="1688"/>
  <c r="AK98" i="1688"/>
  <c r="AJ98" i="1688"/>
  <c r="B98" i="1688"/>
  <c r="AN97" i="1688"/>
  <c r="AK97" i="1688"/>
  <c r="AJ97" i="1688"/>
  <c r="J97" i="1688"/>
  <c r="B97" i="1688"/>
  <c r="AK96" i="1688"/>
  <c r="AJ96" i="1688"/>
  <c r="I96" i="1688"/>
  <c r="E96" i="1688"/>
  <c r="E97" i="1688" s="1"/>
  <c r="B96" i="1688"/>
  <c r="AF95" i="1688"/>
  <c r="G95" i="1688"/>
  <c r="G96" i="1688" s="1"/>
  <c r="G97" i="1688" s="1"/>
  <c r="C95" i="1688"/>
  <c r="AK94" i="1688"/>
  <c r="AJ94" i="1688"/>
  <c r="B94" i="1688"/>
  <c r="AN93" i="1688"/>
  <c r="AK93" i="1688"/>
  <c r="AJ93" i="1688"/>
  <c r="J93" i="1688"/>
  <c r="G93" i="1688"/>
  <c r="B93" i="1688"/>
  <c r="AK92" i="1688"/>
  <c r="AJ92" i="1688"/>
  <c r="I92" i="1688"/>
  <c r="G92" i="1688"/>
  <c r="E92" i="1688"/>
  <c r="E93" i="1688" s="1"/>
  <c r="B92" i="1688"/>
  <c r="AF91" i="1688"/>
  <c r="G91" i="1688"/>
  <c r="C91" i="1688"/>
  <c r="AK90" i="1688"/>
  <c r="AJ90" i="1688"/>
  <c r="B90" i="1688"/>
  <c r="AN89" i="1688"/>
  <c r="AO89" i="1688" s="1"/>
  <c r="AK89" i="1688"/>
  <c r="AJ89" i="1688"/>
  <c r="J89" i="1688"/>
  <c r="G89" i="1688"/>
  <c r="B89" i="1688"/>
  <c r="AK88" i="1688"/>
  <c r="AJ88" i="1688"/>
  <c r="I88" i="1688"/>
  <c r="G88" i="1688"/>
  <c r="E88" i="1688"/>
  <c r="E89" i="1688" s="1"/>
  <c r="B88" i="1688"/>
  <c r="AF87" i="1688"/>
  <c r="G87" i="1688"/>
  <c r="C87" i="1688"/>
  <c r="AK86" i="1688"/>
  <c r="AJ86" i="1688"/>
  <c r="B86" i="1688"/>
  <c r="AN85" i="1688"/>
  <c r="AK85" i="1688"/>
  <c r="AJ85" i="1688"/>
  <c r="J85" i="1688"/>
  <c r="G85" i="1688"/>
  <c r="B85" i="1688"/>
  <c r="AK84" i="1688"/>
  <c r="AJ84" i="1688"/>
  <c r="I84" i="1688"/>
  <c r="G84" i="1688"/>
  <c r="E84" i="1688"/>
  <c r="E85" i="1688" s="1"/>
  <c r="B84" i="1688"/>
  <c r="AF83" i="1688"/>
  <c r="G83" i="1688"/>
  <c r="C83" i="1688"/>
  <c r="AK82" i="1688"/>
  <c r="AJ82" i="1688"/>
  <c r="B82" i="1688"/>
  <c r="AN81" i="1688"/>
  <c r="AO81" i="1688" s="1"/>
  <c r="AK81" i="1688"/>
  <c r="AJ81" i="1688"/>
  <c r="J81" i="1688"/>
  <c r="B81" i="1688"/>
  <c r="AK80" i="1688"/>
  <c r="AJ80" i="1688"/>
  <c r="I80" i="1688"/>
  <c r="E80" i="1688"/>
  <c r="E81" i="1688" s="1"/>
  <c r="B80" i="1688"/>
  <c r="AF79" i="1688"/>
  <c r="G79" i="1688"/>
  <c r="G80" i="1688" s="1"/>
  <c r="G81" i="1688" s="1"/>
  <c r="C79" i="1688"/>
  <c r="AK78" i="1688"/>
  <c r="AJ78" i="1688"/>
  <c r="B78" i="1688"/>
  <c r="AN77" i="1688"/>
  <c r="AO77" i="1688" s="1"/>
  <c r="AK77" i="1688"/>
  <c r="AJ77" i="1688"/>
  <c r="J77" i="1688"/>
  <c r="B77" i="1688"/>
  <c r="AK76" i="1688"/>
  <c r="AJ76" i="1688"/>
  <c r="I76" i="1688"/>
  <c r="E76" i="1688"/>
  <c r="E77" i="1688" s="1"/>
  <c r="B76" i="1688"/>
  <c r="AF75" i="1688"/>
  <c r="G75" i="1688"/>
  <c r="G76" i="1688" s="1"/>
  <c r="G77" i="1688" s="1"/>
  <c r="C75" i="1688"/>
  <c r="AK74" i="1688"/>
  <c r="AJ74" i="1688"/>
  <c r="B74" i="1688"/>
  <c r="AN73" i="1688"/>
  <c r="AK73" i="1688"/>
  <c r="AJ73" i="1688"/>
  <c r="J73" i="1688"/>
  <c r="B73" i="1688"/>
  <c r="AK72" i="1688"/>
  <c r="AJ72" i="1688"/>
  <c r="I72" i="1688"/>
  <c r="E72" i="1688"/>
  <c r="E73" i="1688" s="1"/>
  <c r="B72" i="1688"/>
  <c r="AF71" i="1688"/>
  <c r="G71" i="1688"/>
  <c r="G72" i="1688" s="1"/>
  <c r="G73" i="1688" s="1"/>
  <c r="C71" i="1688"/>
  <c r="AK70" i="1688"/>
  <c r="AJ70" i="1688"/>
  <c r="B70" i="1688"/>
  <c r="AN69" i="1688"/>
  <c r="AO69" i="1688" s="1"/>
  <c r="AK69" i="1688"/>
  <c r="AJ69" i="1688"/>
  <c r="J69" i="1688"/>
  <c r="B69" i="1688"/>
  <c r="AK68" i="1688"/>
  <c r="AJ68" i="1688"/>
  <c r="I68" i="1688"/>
  <c r="E68" i="1688"/>
  <c r="E69" i="1688" s="1"/>
  <c r="B68" i="1688"/>
  <c r="AF67" i="1688"/>
  <c r="G67" i="1688"/>
  <c r="G68" i="1688" s="1"/>
  <c r="G69" i="1688" s="1"/>
  <c r="C67" i="1688"/>
  <c r="AK66" i="1688"/>
  <c r="AJ66" i="1688"/>
  <c r="B66" i="1688"/>
  <c r="AN65" i="1688"/>
  <c r="AO65" i="1688" s="1"/>
  <c r="AK65" i="1688"/>
  <c r="AJ65" i="1688"/>
  <c r="J65" i="1688"/>
  <c r="B65" i="1688"/>
  <c r="AK64" i="1688"/>
  <c r="AJ64" i="1688"/>
  <c r="I64" i="1688"/>
  <c r="E64" i="1688"/>
  <c r="E65" i="1688" s="1"/>
  <c r="B64" i="1688"/>
  <c r="AF63" i="1688"/>
  <c r="G63" i="1688"/>
  <c r="G64" i="1688" s="1"/>
  <c r="G65" i="1688" s="1"/>
  <c r="C63" i="1688"/>
  <c r="AK62" i="1688"/>
  <c r="AJ62" i="1688"/>
  <c r="B62" i="1688"/>
  <c r="AN61" i="1688"/>
  <c r="AO61" i="1688" s="1"/>
  <c r="AK61" i="1688"/>
  <c r="AJ61" i="1688"/>
  <c r="J61" i="1688"/>
  <c r="B61" i="1688"/>
  <c r="AK60" i="1688"/>
  <c r="AJ60" i="1688"/>
  <c r="I60" i="1688"/>
  <c r="E60" i="1688"/>
  <c r="E61" i="1688" s="1"/>
  <c r="B60" i="1688"/>
  <c r="AF59" i="1688"/>
  <c r="G59" i="1688"/>
  <c r="G60" i="1688" s="1"/>
  <c r="G61" i="1688" s="1"/>
  <c r="C59" i="1688"/>
  <c r="AK58" i="1688"/>
  <c r="AJ58" i="1688"/>
  <c r="B58" i="1688"/>
  <c r="AN57" i="1688"/>
  <c r="AO57" i="1688" s="1"/>
  <c r="AK57" i="1688"/>
  <c r="AJ57" i="1688"/>
  <c r="J57" i="1688"/>
  <c r="G57" i="1688"/>
  <c r="B57" i="1688"/>
  <c r="AK56" i="1688"/>
  <c r="AJ56" i="1688"/>
  <c r="I56" i="1688"/>
  <c r="G56" i="1688"/>
  <c r="E56" i="1688"/>
  <c r="E57" i="1688" s="1"/>
  <c r="B56" i="1688"/>
  <c r="AF55" i="1688"/>
  <c r="G55" i="1688"/>
  <c r="C55" i="1688"/>
  <c r="AK54" i="1688"/>
  <c r="AJ54" i="1688"/>
  <c r="B54" i="1688"/>
  <c r="AN53" i="1688"/>
  <c r="AK53" i="1688"/>
  <c r="AJ53" i="1688"/>
  <c r="J53" i="1688"/>
  <c r="B53" i="1688"/>
  <c r="AK52" i="1688"/>
  <c r="AJ52" i="1688"/>
  <c r="I52" i="1688"/>
  <c r="E52" i="1688"/>
  <c r="E53" i="1688" s="1"/>
  <c r="B52" i="1688"/>
  <c r="AF51" i="1688"/>
  <c r="G51" i="1688"/>
  <c r="G52" i="1688" s="1"/>
  <c r="G53" i="1688" s="1"/>
  <c r="AK50" i="1688"/>
  <c r="AJ50" i="1688"/>
  <c r="B50" i="1688"/>
  <c r="AN49" i="1688"/>
  <c r="AO49" i="1688" s="1"/>
  <c r="AK49" i="1688"/>
  <c r="AJ49" i="1688"/>
  <c r="J49" i="1688"/>
  <c r="B49" i="1688"/>
  <c r="AK48" i="1688"/>
  <c r="AJ48" i="1688"/>
  <c r="I48" i="1688"/>
  <c r="E48" i="1688"/>
  <c r="E49" i="1688" s="1"/>
  <c r="B48" i="1688"/>
  <c r="AF47" i="1688"/>
  <c r="G47" i="1688"/>
  <c r="G48" i="1688" s="1"/>
  <c r="G49" i="1688" s="1"/>
  <c r="C47" i="1688"/>
  <c r="AK46" i="1688"/>
  <c r="AJ46" i="1688"/>
  <c r="B46" i="1688"/>
  <c r="AN45" i="1688"/>
  <c r="AO45" i="1688" s="1"/>
  <c r="AK45" i="1688"/>
  <c r="AJ45" i="1688"/>
  <c r="G45" i="1688"/>
  <c r="B45" i="1688"/>
  <c r="AK44" i="1688"/>
  <c r="AJ44" i="1688"/>
  <c r="I44" i="1688"/>
  <c r="G44" i="1688"/>
  <c r="E44" i="1688"/>
  <c r="E45" i="1688" s="1"/>
  <c r="B44" i="1688"/>
  <c r="AF43" i="1688"/>
  <c r="G43" i="1688"/>
  <c r="C43" i="1688"/>
  <c r="AK42" i="1688"/>
  <c r="AJ42" i="1688"/>
  <c r="B42" i="1688"/>
  <c r="AN41" i="1688"/>
  <c r="J41" i="1688"/>
  <c r="B41" i="1688"/>
  <c r="I40" i="1688"/>
  <c r="E40" i="1688"/>
  <c r="E41" i="1688" s="1"/>
  <c r="B40" i="1688"/>
  <c r="AF39" i="1688"/>
  <c r="G39" i="1688"/>
  <c r="G40" i="1688" s="1"/>
  <c r="G41" i="1688" s="1"/>
  <c r="C39" i="1688"/>
  <c r="B38" i="1688"/>
  <c r="AN37" i="1688"/>
  <c r="J37" i="1688"/>
  <c r="B37" i="1688"/>
  <c r="I36" i="1688"/>
  <c r="E36" i="1688"/>
  <c r="E37" i="1688" s="1"/>
  <c r="B36" i="1688"/>
  <c r="AF35" i="1688"/>
  <c r="G35" i="1688"/>
  <c r="G36" i="1688" s="1"/>
  <c r="G37" i="1688" s="1"/>
  <c r="C35" i="1688"/>
  <c r="AC34" i="1688"/>
  <c r="B34" i="1688"/>
  <c r="AN33" i="1688"/>
  <c r="AK33" i="1688"/>
  <c r="AJ33" i="1688"/>
  <c r="J33" i="1688"/>
  <c r="G33" i="1688"/>
  <c r="B33" i="1688"/>
  <c r="AK32" i="1688"/>
  <c r="AJ32" i="1688"/>
  <c r="I32" i="1688"/>
  <c r="G32" i="1688"/>
  <c r="E32" i="1688"/>
  <c r="E33" i="1688" s="1"/>
  <c r="B32" i="1688"/>
  <c r="AF31" i="1688"/>
  <c r="G31" i="1688"/>
  <c r="C31" i="1688"/>
  <c r="AK30" i="1688"/>
  <c r="AJ30" i="1688"/>
  <c r="B30" i="1688"/>
  <c r="AN29" i="1688"/>
  <c r="AK29" i="1688"/>
  <c r="AJ29" i="1688"/>
  <c r="J29" i="1688"/>
  <c r="B29" i="1688"/>
  <c r="AK28" i="1688"/>
  <c r="AJ28" i="1688"/>
  <c r="I28" i="1688"/>
  <c r="E28" i="1688"/>
  <c r="E29" i="1688" s="1"/>
  <c r="B28" i="1688"/>
  <c r="AF27" i="1688"/>
  <c r="G27" i="1688"/>
  <c r="G28" i="1688" s="1"/>
  <c r="G29" i="1688" s="1"/>
  <c r="C27" i="1688"/>
  <c r="AK26" i="1688"/>
  <c r="AJ26" i="1688"/>
  <c r="B26" i="1688"/>
  <c r="AN25" i="1688"/>
  <c r="AO25" i="1688" s="1"/>
  <c r="AK25" i="1688"/>
  <c r="AJ25" i="1688"/>
  <c r="J25" i="1688"/>
  <c r="G25" i="1688"/>
  <c r="B25" i="1688"/>
  <c r="AK24" i="1688"/>
  <c r="AJ24" i="1688"/>
  <c r="I24" i="1688"/>
  <c r="G24" i="1688"/>
  <c r="E24" i="1688"/>
  <c r="E25" i="1688" s="1"/>
  <c r="B24" i="1688"/>
  <c r="AF23" i="1688"/>
  <c r="G23" i="1688"/>
  <c r="AK22" i="1688"/>
  <c r="AJ22" i="1688"/>
  <c r="B22" i="1688"/>
  <c r="AN21" i="1688"/>
  <c r="AO21" i="1688" s="1"/>
  <c r="AK21" i="1688"/>
  <c r="AJ21" i="1688"/>
  <c r="J21" i="1688"/>
  <c r="G21" i="1688"/>
  <c r="B21" i="1688"/>
  <c r="AK20" i="1688"/>
  <c r="AJ20" i="1688"/>
  <c r="I20" i="1688"/>
  <c r="G20" i="1688"/>
  <c r="B20" i="1688"/>
  <c r="AF19" i="1688"/>
  <c r="G19" i="1688"/>
  <c r="C19" i="1688"/>
  <c r="AK18" i="1688"/>
  <c r="AJ18" i="1688"/>
  <c r="B18" i="1688"/>
  <c r="AN17" i="1688"/>
  <c r="AO17" i="1688" s="1"/>
  <c r="AK17" i="1688"/>
  <c r="AJ17" i="1688"/>
  <c r="J17" i="1688"/>
  <c r="G17" i="1688"/>
  <c r="B17" i="1688"/>
  <c r="AK16" i="1688"/>
  <c r="AJ16" i="1688"/>
  <c r="I16" i="1688"/>
  <c r="G16" i="1688"/>
  <c r="B16" i="1688"/>
  <c r="AF15" i="1688"/>
  <c r="G15" i="1688"/>
  <c r="C15" i="1688"/>
  <c r="AK14" i="1688"/>
  <c r="AJ14" i="1688"/>
  <c r="AC14" i="1688"/>
  <c r="B14" i="1688"/>
  <c r="AN13" i="1688"/>
  <c r="AO13" i="1688" s="1"/>
  <c r="AK13" i="1688"/>
  <c r="AJ13" i="1688"/>
  <c r="G13" i="1688"/>
  <c r="B13" i="1688"/>
  <c r="AK12" i="1688"/>
  <c r="AJ12" i="1688"/>
  <c r="I12" i="1688"/>
  <c r="G12" i="1688"/>
  <c r="E12" i="1688"/>
  <c r="E13" i="1688" s="1"/>
  <c r="B12" i="1688"/>
  <c r="BM11" i="1688"/>
  <c r="BL11" i="1688"/>
  <c r="AF11" i="1688"/>
  <c r="G11" i="1688"/>
  <c r="C11" i="1688"/>
  <c r="AK10" i="1688"/>
  <c r="AJ10" i="1688"/>
  <c r="AC10" i="1688"/>
  <c r="B10" i="1688"/>
  <c r="AN9" i="1688"/>
  <c r="AO9" i="1688" s="1"/>
  <c r="AK9" i="1688"/>
  <c r="AJ9" i="1688"/>
  <c r="J9" i="1688"/>
  <c r="G9" i="1688"/>
  <c r="B9" i="1688"/>
  <c r="AK8" i="1688"/>
  <c r="AJ8" i="1688"/>
  <c r="I8" i="1688"/>
  <c r="G8" i="1688"/>
  <c r="E8" i="1688"/>
  <c r="E9" i="1688" s="1"/>
  <c r="B8" i="1688"/>
  <c r="BM7" i="1688"/>
  <c r="BL7" i="1688"/>
  <c r="AF7" i="1688"/>
  <c r="G7" i="1688"/>
  <c r="C7" i="1688"/>
  <c r="AK6" i="1688"/>
  <c r="AJ6" i="1688"/>
  <c r="B6" i="1688"/>
  <c r="AG4" i="1688"/>
  <c r="B3" i="1688"/>
  <c r="T20" i="1585"/>
  <c r="AP89" i="1689" l="1"/>
  <c r="AL87" i="1688"/>
  <c r="AC74" i="1688"/>
  <c r="X70" i="1688"/>
  <c r="X66" i="1688"/>
  <c r="AC58" i="1688"/>
  <c r="BK59" i="1688" s="1"/>
  <c r="X34" i="1688"/>
  <c r="AL63" i="1688"/>
  <c r="R14" i="1690"/>
  <c r="L14" i="1690"/>
  <c r="I14" i="1690"/>
  <c r="P14" i="1690"/>
  <c r="K14" i="1690"/>
  <c r="I12" i="1690"/>
  <c r="L12" i="1690"/>
  <c r="M12" i="1690"/>
  <c r="I15" i="1690"/>
  <c r="M15" i="1690"/>
  <c r="L15" i="1690"/>
  <c r="K15" i="1690"/>
  <c r="K11" i="1690"/>
  <c r="P11" i="1690"/>
  <c r="L11" i="1690"/>
  <c r="I11" i="1690"/>
  <c r="R11" i="1690"/>
  <c r="M11" i="1690"/>
  <c r="K6" i="1690"/>
  <c r="P6" i="1690"/>
  <c r="V6" i="1690"/>
  <c r="I6" i="1690"/>
  <c r="R6" i="1690"/>
  <c r="L6" i="1690"/>
  <c r="M6" i="1690"/>
  <c r="X79" i="1688"/>
  <c r="X34" i="1689"/>
  <c r="X66" i="1689"/>
  <c r="X82" i="1689"/>
  <c r="X58" i="1689"/>
  <c r="B18" i="1690"/>
  <c r="X26" i="1689"/>
  <c r="R9" i="1690"/>
  <c r="P9" i="1690"/>
  <c r="M9" i="1690"/>
  <c r="L9" i="1690"/>
  <c r="K9" i="1690"/>
  <c r="I9" i="1690"/>
  <c r="T9" i="1690"/>
  <c r="S9" i="1690"/>
  <c r="AM15" i="1689"/>
  <c r="AG63" i="1689"/>
  <c r="AG65" i="1689" s="1"/>
  <c r="AY15" i="1689"/>
  <c r="AY71" i="1689"/>
  <c r="AG11" i="1689"/>
  <c r="AG13" i="1689" s="1"/>
  <c r="AJ15" i="1689"/>
  <c r="AK63" i="1689"/>
  <c r="AJ63" i="1689"/>
  <c r="AJ51" i="1689"/>
  <c r="AK51" i="1689"/>
  <c r="AG87" i="1689"/>
  <c r="AG89" i="1689" s="1"/>
  <c r="AJ39" i="1689"/>
  <c r="AM39" i="1689"/>
  <c r="AM51" i="1689"/>
  <c r="AK87" i="1689"/>
  <c r="AJ87" i="1689"/>
  <c r="AY27" i="1689"/>
  <c r="AG29" i="1689"/>
  <c r="AY7" i="1689"/>
  <c r="AG9" i="1689"/>
  <c r="AY31" i="1689"/>
  <c r="AG33" i="1689"/>
  <c r="AY67" i="1689"/>
  <c r="AG69" i="1689"/>
  <c r="AL2" i="1689"/>
  <c r="AK19" i="1689"/>
  <c r="AJ19" i="1689"/>
  <c r="AM19" i="1689"/>
  <c r="AK11" i="1689"/>
  <c r="AJ11" i="1689"/>
  <c r="AJ75" i="1689"/>
  <c r="AM75" i="1689"/>
  <c r="AK75" i="1689"/>
  <c r="AK31" i="1689"/>
  <c r="AJ31" i="1689"/>
  <c r="AJ71" i="1689"/>
  <c r="AM71" i="1689"/>
  <c r="AK71" i="1689"/>
  <c r="AG57" i="1689"/>
  <c r="AY55" i="1689"/>
  <c r="AG49" i="1689"/>
  <c r="AY47" i="1689"/>
  <c r="AG43" i="1689"/>
  <c r="AG39" i="1689"/>
  <c r="AG37" i="1689"/>
  <c r="AY35" i="1689"/>
  <c r="AM31" i="1689"/>
  <c r="AI4" i="1689"/>
  <c r="AG83" i="1689"/>
  <c r="AK67" i="1689"/>
  <c r="AJ67" i="1689"/>
  <c r="AK23" i="1689"/>
  <c r="AJ23" i="1689"/>
  <c r="AY23" i="1689"/>
  <c r="AG25" i="1689"/>
  <c r="AG53" i="1689"/>
  <c r="AY51" i="1689"/>
  <c r="AJ79" i="1689"/>
  <c r="AK79" i="1689"/>
  <c r="AM79" i="1689"/>
  <c r="AK27" i="1689"/>
  <c r="AJ27" i="1689"/>
  <c r="AM23" i="1689"/>
  <c r="AM11" i="1689"/>
  <c r="AT4" i="1689"/>
  <c r="AG75" i="1689"/>
  <c r="AG79" i="1689"/>
  <c r="AM67" i="1689"/>
  <c r="AM27" i="1689"/>
  <c r="AG59" i="1689"/>
  <c r="AK47" i="1689"/>
  <c r="AJ47" i="1689"/>
  <c r="AM47" i="1689"/>
  <c r="AG19" i="1689"/>
  <c r="X72" i="1688"/>
  <c r="AA70" i="1688" s="1"/>
  <c r="AA97" i="1688"/>
  <c r="X92" i="1688"/>
  <c r="X71" i="1688"/>
  <c r="AC98" i="1688"/>
  <c r="BK99" i="1688" s="1"/>
  <c r="AC47" i="1688"/>
  <c r="X40" i="1688"/>
  <c r="AA38" i="1688" s="1"/>
  <c r="X52" i="1688"/>
  <c r="AA50" i="1688" s="1"/>
  <c r="AL19" i="1688"/>
  <c r="X84" i="1688"/>
  <c r="AA82" i="1688" s="1"/>
  <c r="AA41" i="1688"/>
  <c r="AO24" i="1688"/>
  <c r="AP24" i="1688" s="1"/>
  <c r="X99" i="1688"/>
  <c r="X31" i="1688"/>
  <c r="AO44" i="1688"/>
  <c r="AC50" i="1688"/>
  <c r="AC54" i="1688"/>
  <c r="BK55" i="1688" s="1"/>
  <c r="AI83" i="1688"/>
  <c r="AK83" i="1688" s="1"/>
  <c r="AL95" i="1688"/>
  <c r="X95" i="1688"/>
  <c r="X96" i="1688"/>
  <c r="AA94" i="1688" s="1"/>
  <c r="AI47" i="1688"/>
  <c r="AJ47" i="1688" s="1"/>
  <c r="AC38" i="1688"/>
  <c r="BK39" i="1688" s="1"/>
  <c r="AC26" i="1688"/>
  <c r="BK27" i="1688" s="1"/>
  <c r="AO88" i="1688"/>
  <c r="AP88" i="1688" s="1"/>
  <c r="AO97" i="1688"/>
  <c r="X23" i="1688"/>
  <c r="X39" i="1688"/>
  <c r="X55" i="1688"/>
  <c r="X91" i="1688"/>
  <c r="X27" i="1688"/>
  <c r="X59" i="1688"/>
  <c r="X75" i="1688"/>
  <c r="X43" i="1688"/>
  <c r="X15" i="1688"/>
  <c r="X47" i="1688"/>
  <c r="X67" i="1688"/>
  <c r="X83" i="1688"/>
  <c r="AH19" i="1688"/>
  <c r="AH35" i="1688"/>
  <c r="AI63" i="1688"/>
  <c r="AJ63" i="1688" s="1"/>
  <c r="X7" i="1688"/>
  <c r="X51" i="1688"/>
  <c r="AT19" i="1688"/>
  <c r="X18" i="1688" s="1"/>
  <c r="AI79" i="1688"/>
  <c r="AK79" i="1688" s="1"/>
  <c r="X28" i="1688"/>
  <c r="AA26" i="1688" s="1"/>
  <c r="AT11" i="1688"/>
  <c r="X10" i="1688" s="1"/>
  <c r="AI95" i="1688"/>
  <c r="AM95" i="1688" s="1"/>
  <c r="AI91" i="1688"/>
  <c r="AJ91" i="1688" s="1"/>
  <c r="AH87" i="1688"/>
  <c r="AI71" i="1688"/>
  <c r="AJ71" i="1688" s="1"/>
  <c r="AI59" i="1688"/>
  <c r="AK59" i="1688" s="1"/>
  <c r="AI55" i="1688"/>
  <c r="AK55" i="1688" s="1"/>
  <c r="AI51" i="1688"/>
  <c r="AJ51" i="1688" s="1"/>
  <c r="AP44" i="1688"/>
  <c r="AI43" i="1688"/>
  <c r="AJ43" i="1688" s="1"/>
  <c r="AI31" i="1688"/>
  <c r="AK31" i="1688" s="1"/>
  <c r="AI27" i="1688"/>
  <c r="AK27" i="1688" s="1"/>
  <c r="X32" i="1688"/>
  <c r="AA30" i="1688" s="1"/>
  <c r="AO33" i="1688"/>
  <c r="AP33" i="1688" s="1"/>
  <c r="AO32" i="1688"/>
  <c r="AP32" i="1688" s="1"/>
  <c r="AK51" i="1688"/>
  <c r="AP25" i="1688"/>
  <c r="AP61" i="1688"/>
  <c r="AO8" i="1688"/>
  <c r="AP17" i="1688"/>
  <c r="AI19" i="1688"/>
  <c r="AM19" i="1688" s="1"/>
  <c r="AP21" i="1688"/>
  <c r="AO29" i="1688"/>
  <c r="AP29" i="1688" s="1"/>
  <c r="AP45" i="1688"/>
  <c r="AO53" i="1688"/>
  <c r="AP53" i="1688" s="1"/>
  <c r="AO73" i="1688"/>
  <c r="AP73" i="1688" s="1"/>
  <c r="AH15" i="1688"/>
  <c r="AO12" i="1688"/>
  <c r="AP12" i="1688" s="1"/>
  <c r="AO28" i="1688"/>
  <c r="AP28" i="1688" s="1"/>
  <c r="AO52" i="1688"/>
  <c r="AP52" i="1688" s="1"/>
  <c r="AO64" i="1688"/>
  <c r="AP64" i="1688" s="1"/>
  <c r="AO72" i="1688"/>
  <c r="AP72" i="1688" s="1"/>
  <c r="AO96" i="1688"/>
  <c r="AP96" i="1688" s="1"/>
  <c r="X98" i="1688"/>
  <c r="AI15" i="1688"/>
  <c r="AM15" i="1688" s="1"/>
  <c r="X100" i="1688"/>
  <c r="AA98" i="1688" s="1"/>
  <c r="X8" i="1688"/>
  <c r="AA6" i="1688" s="1"/>
  <c r="X12" i="1688"/>
  <c r="AA10" i="1688" s="1"/>
  <c r="X16" i="1688"/>
  <c r="AA14" i="1688" s="1"/>
  <c r="X20" i="1688"/>
  <c r="AA18" i="1688" s="1"/>
  <c r="X24" i="1688"/>
  <c r="AA22" i="1688" s="1"/>
  <c r="X44" i="1688"/>
  <c r="AA42" i="1688" s="1"/>
  <c r="X48" i="1688"/>
  <c r="AA46" i="1688" s="1"/>
  <c r="X56" i="1688"/>
  <c r="AA54" i="1688" s="1"/>
  <c r="X60" i="1688"/>
  <c r="AA58" i="1688" s="1"/>
  <c r="X64" i="1688"/>
  <c r="AA62" i="1688" s="1"/>
  <c r="X68" i="1688"/>
  <c r="AA66" i="1688" s="1"/>
  <c r="X76" i="1688"/>
  <c r="AA74" i="1688" s="1"/>
  <c r="X80" i="1688"/>
  <c r="AA78" i="1688" s="1"/>
  <c r="AO48" i="1688"/>
  <c r="AP48" i="1688" s="1"/>
  <c r="AO56" i="1688"/>
  <c r="AP56" i="1688" s="1"/>
  <c r="AO68" i="1688"/>
  <c r="AP68" i="1688" s="1"/>
  <c r="AO76" i="1688"/>
  <c r="AP76" i="1688" s="1"/>
  <c r="AO80" i="1688"/>
  <c r="AP80" i="1688" s="1"/>
  <c r="X88" i="1688"/>
  <c r="AA86" i="1688" s="1"/>
  <c r="AI67" i="1688"/>
  <c r="AK67" i="1688" s="1"/>
  <c r="AP69" i="1688"/>
  <c r="AA103" i="1688"/>
  <c r="W110" i="1688"/>
  <c r="W116" i="1688" s="1"/>
  <c r="AA81" i="1688"/>
  <c r="AH47" i="1688"/>
  <c r="AP13" i="1688"/>
  <c r="AC15" i="1688"/>
  <c r="AG15" i="1688" s="1"/>
  <c r="AC19" i="1688"/>
  <c r="AI23" i="1688"/>
  <c r="AM23" i="1688" s="1"/>
  <c r="AC30" i="1688"/>
  <c r="BK31" i="1688" s="1"/>
  <c r="AH39" i="1688"/>
  <c r="AC43" i="1688"/>
  <c r="AH43" i="1688"/>
  <c r="X50" i="1688"/>
  <c r="AP57" i="1688"/>
  <c r="AC59" i="1688"/>
  <c r="AH59" i="1688"/>
  <c r="AC63" i="1688"/>
  <c r="AH63" i="1688"/>
  <c r="AC67" i="1688"/>
  <c r="AG67" i="1688" s="1"/>
  <c r="AA69" i="1688"/>
  <c r="AC70" i="1688"/>
  <c r="BK71" i="1688" s="1"/>
  <c r="AI75" i="1688"/>
  <c r="AM75" i="1688" s="1"/>
  <c r="AC79" i="1688"/>
  <c r="AP81" i="1688"/>
  <c r="AC87" i="1688"/>
  <c r="AI87" i="1688"/>
  <c r="AJ87" i="1688" s="1"/>
  <c r="AC91" i="1688"/>
  <c r="AH91" i="1688"/>
  <c r="AH99" i="1688"/>
  <c r="O110" i="1688"/>
  <c r="O116" i="1688" s="1"/>
  <c r="S110" i="1688"/>
  <c r="S116" i="1688" s="1"/>
  <c r="M116" i="1688"/>
  <c r="Q116" i="1688"/>
  <c r="U116" i="1688"/>
  <c r="AC7" i="1688"/>
  <c r="AG7" i="1688" s="1"/>
  <c r="AI7" i="1688"/>
  <c r="AM7" i="1688" s="1"/>
  <c r="AP9" i="1688"/>
  <c r="AA105" i="1688"/>
  <c r="BK7" i="1688"/>
  <c r="AH11" i="1688"/>
  <c r="AL11" i="1688"/>
  <c r="BK11" i="1688"/>
  <c r="AB4" i="1688"/>
  <c r="AH7" i="1688"/>
  <c r="AL7" i="1688"/>
  <c r="AC11" i="1688"/>
  <c r="AG11" i="1688" s="1"/>
  <c r="AI11" i="1688"/>
  <c r="AM11" i="1688" s="1"/>
  <c r="BK15" i="1688"/>
  <c r="AO16" i="1688"/>
  <c r="AP16" i="1688" s="1"/>
  <c r="AC18" i="1688"/>
  <c r="AO20" i="1688"/>
  <c r="AP20" i="1688" s="1"/>
  <c r="AT23" i="1688"/>
  <c r="X22" i="1688" s="1"/>
  <c r="X38" i="1688"/>
  <c r="AC51" i="1688"/>
  <c r="AG51" i="1688" s="1"/>
  <c r="AH51" i="1688"/>
  <c r="AL51" i="1688"/>
  <c r="BK51" i="1688"/>
  <c r="AC55" i="1688"/>
  <c r="AH55" i="1688"/>
  <c r="AL55" i="1688"/>
  <c r="AO60" i="1688"/>
  <c r="AP60" i="1688" s="1"/>
  <c r="AC71" i="1688"/>
  <c r="AH71" i="1688"/>
  <c r="AL71" i="1688"/>
  <c r="BK75" i="1688"/>
  <c r="AP77" i="1688"/>
  <c r="AP89" i="1688"/>
  <c r="AC23" i="1688"/>
  <c r="AG23" i="1688" s="1"/>
  <c r="AH23" i="1688"/>
  <c r="AL23" i="1688"/>
  <c r="BK23" i="1688"/>
  <c r="AC27" i="1688"/>
  <c r="AH27" i="1688"/>
  <c r="AL27" i="1688"/>
  <c r="AC31" i="1688"/>
  <c r="AH31" i="1688"/>
  <c r="AL31" i="1688"/>
  <c r="AA37" i="1688"/>
  <c r="AC35" i="1688"/>
  <c r="AG35" i="1688" s="1"/>
  <c r="X42" i="1688"/>
  <c r="AC42" i="1688"/>
  <c r="X46" i="1688"/>
  <c r="AC46" i="1688"/>
  <c r="AP49" i="1688"/>
  <c r="X62" i="1688"/>
  <c r="AC62" i="1688"/>
  <c r="AP65" i="1688"/>
  <c r="AL75" i="1688"/>
  <c r="AC75" i="1688"/>
  <c r="AG75" i="1688" s="1"/>
  <c r="AH75" i="1688"/>
  <c r="AO85" i="1688"/>
  <c r="AP85" i="1688" s="1"/>
  <c r="AO84" i="1688"/>
  <c r="AP84" i="1688" s="1"/>
  <c r="X86" i="1688"/>
  <c r="AC86" i="1688"/>
  <c r="AO93" i="1688"/>
  <c r="AP93" i="1688" s="1"/>
  <c r="AO92" i="1688"/>
  <c r="AP92" i="1688" s="1"/>
  <c r="X94" i="1688"/>
  <c r="AC94" i="1688"/>
  <c r="AL43" i="1688"/>
  <c r="AH67" i="1688"/>
  <c r="X78" i="1688"/>
  <c r="AC78" i="1688"/>
  <c r="AA85" i="1688"/>
  <c r="AC83" i="1688"/>
  <c r="AG83" i="1688" s="1"/>
  <c r="AH83" i="1688"/>
  <c r="AL83" i="1688"/>
  <c r="X90" i="1688"/>
  <c r="AC90" i="1688"/>
  <c r="AC99" i="1688"/>
  <c r="AL99" i="1688"/>
  <c r="AI99" i="1688"/>
  <c r="AO101" i="1688"/>
  <c r="AP101" i="1688" s="1"/>
  <c r="AO100" i="1688"/>
  <c r="AP100" i="1688" s="1"/>
  <c r="N110" i="1688"/>
  <c r="N116" i="1688" s="1"/>
  <c r="P110" i="1688"/>
  <c r="P116" i="1688" s="1"/>
  <c r="R110" i="1688"/>
  <c r="R116" i="1688" s="1"/>
  <c r="T110" i="1688"/>
  <c r="T116" i="1688" s="1"/>
  <c r="V110" i="1688"/>
  <c r="V116" i="1688" s="1"/>
  <c r="AH79" i="1688"/>
  <c r="AH95" i="1688"/>
  <c r="L15" i="1579"/>
  <c r="M15" i="1579"/>
  <c r="V20" i="1585"/>
  <c r="AY87" i="1689" l="1"/>
  <c r="AG59" i="1688"/>
  <c r="AG61" i="1688" s="1"/>
  <c r="AP8" i="1688"/>
  <c r="AP97" i="1688"/>
  <c r="AJ27" i="1688"/>
  <c r="AM47" i="1688"/>
  <c r="AA90" i="1688"/>
  <c r="AJ95" i="1688"/>
  <c r="AY63" i="1689"/>
  <c r="M10" i="1690"/>
  <c r="R10" i="1690"/>
  <c r="P10" i="1690"/>
  <c r="S10" i="1690"/>
  <c r="K10" i="1690"/>
  <c r="I10" i="1690"/>
  <c r="L10" i="1690"/>
  <c r="T10" i="1690"/>
  <c r="AG27" i="1688"/>
  <c r="AY27" i="1688" s="1"/>
  <c r="R13" i="1690"/>
  <c r="K13" i="1690"/>
  <c r="P13" i="1690"/>
  <c r="I13" i="1690"/>
  <c r="T13" i="1690"/>
  <c r="M13" i="1690"/>
  <c r="S13" i="1690"/>
  <c r="L13" i="1690"/>
  <c r="S8" i="1690"/>
  <c r="L8" i="1690"/>
  <c r="R8" i="1690"/>
  <c r="M8" i="1690"/>
  <c r="P8" i="1690"/>
  <c r="I8" i="1690"/>
  <c r="T8" i="1690"/>
  <c r="K8" i="1690"/>
  <c r="R16" i="1690"/>
  <c r="K16" i="1690"/>
  <c r="P16" i="1690"/>
  <c r="I16" i="1690"/>
  <c r="T16" i="1690"/>
  <c r="M16" i="1690"/>
  <c r="S16" i="1690"/>
  <c r="L16" i="1690"/>
  <c r="K7" i="1690"/>
  <c r="L7" i="1690"/>
  <c r="T7" i="1690"/>
  <c r="P7" i="1690"/>
  <c r="R7" i="1690"/>
  <c r="I7" i="1690"/>
  <c r="F18" i="1690"/>
  <c r="M7" i="1690"/>
  <c r="S7" i="1690"/>
  <c r="AY11" i="1689"/>
  <c r="AK2" i="1689"/>
  <c r="AG2" i="1689" s="1"/>
  <c r="AG77" i="1689"/>
  <c r="AY75" i="1689"/>
  <c r="AY19" i="1689"/>
  <c r="AG21" i="1689"/>
  <c r="AY43" i="1689"/>
  <c r="AG45" i="1689"/>
  <c r="AG41" i="1689"/>
  <c r="AY39" i="1689"/>
  <c r="AG61" i="1689"/>
  <c r="AY59" i="1689"/>
  <c r="AG81" i="1689"/>
  <c r="AY79" i="1689"/>
  <c r="AG85" i="1689"/>
  <c r="AY83" i="1689"/>
  <c r="AM63" i="1688"/>
  <c r="AK63" i="1688"/>
  <c r="AG55" i="1688"/>
  <c r="AG57" i="1688" s="1"/>
  <c r="AG31" i="1688"/>
  <c r="AY31" i="1688" s="1"/>
  <c r="AG99" i="1688"/>
  <c r="AY99" i="1688" s="1"/>
  <c r="AM83" i="1688"/>
  <c r="AJ83" i="1688"/>
  <c r="AK47" i="1688"/>
  <c r="AM71" i="1688"/>
  <c r="AJ19" i="1688"/>
  <c r="AK91" i="1688"/>
  <c r="AJ55" i="1688"/>
  <c r="AJ15" i="1688"/>
  <c r="AK19" i="1688"/>
  <c r="AM91" i="1688"/>
  <c r="AG39" i="1688"/>
  <c r="AY39" i="1688" s="1"/>
  <c r="AJ7" i="1688"/>
  <c r="AK43" i="1688"/>
  <c r="AJ79" i="1688"/>
  <c r="AM27" i="1688"/>
  <c r="AK87" i="1688"/>
  <c r="AK71" i="1688"/>
  <c r="AK95" i="1688"/>
  <c r="AM59" i="1688"/>
  <c r="AM51" i="1688"/>
  <c r="AJ59" i="1688"/>
  <c r="AM79" i="1688"/>
  <c r="AG71" i="1688"/>
  <c r="AG73" i="1688" s="1"/>
  <c r="AM55" i="1688"/>
  <c r="AM43" i="1688"/>
  <c r="AM31" i="1688"/>
  <c r="AJ31" i="1688"/>
  <c r="AK15" i="1688"/>
  <c r="AG69" i="1688"/>
  <c r="AY67" i="1688"/>
  <c r="AM87" i="1688"/>
  <c r="AJ67" i="1688"/>
  <c r="AM67" i="1688"/>
  <c r="AK7" i="1688"/>
  <c r="AG17" i="1688"/>
  <c r="AY15" i="1688"/>
  <c r="AJ75" i="1688"/>
  <c r="AK75" i="1688"/>
  <c r="AK23" i="1688"/>
  <c r="AJ23" i="1688"/>
  <c r="AG37" i="1688"/>
  <c r="AY35" i="1688"/>
  <c r="AY23" i="1688"/>
  <c r="AG25" i="1688"/>
  <c r="AY11" i="1688"/>
  <c r="AG13" i="1688"/>
  <c r="BK91" i="1688"/>
  <c r="AG91" i="1688"/>
  <c r="AG85" i="1688"/>
  <c r="AY83" i="1688"/>
  <c r="BK63" i="1688"/>
  <c r="AG63" i="1688"/>
  <c r="BK47" i="1688"/>
  <c r="AG47" i="1688"/>
  <c r="AG77" i="1688"/>
  <c r="AY75" i="1688"/>
  <c r="AY51" i="1688"/>
  <c r="AG53" i="1688"/>
  <c r="AL2" i="1688"/>
  <c r="AG9" i="1688"/>
  <c r="AY7" i="1688"/>
  <c r="AT4" i="1688"/>
  <c r="AK99" i="1688"/>
  <c r="AJ99" i="1688"/>
  <c r="AM99" i="1688"/>
  <c r="BK79" i="1688"/>
  <c r="AG79" i="1688"/>
  <c r="BK95" i="1688"/>
  <c r="AG95" i="1688"/>
  <c r="BK87" i="1688"/>
  <c r="AG87" i="1688"/>
  <c r="BK43" i="1688"/>
  <c r="AG43" i="1688"/>
  <c r="AG19" i="1688"/>
  <c r="BK19" i="1688"/>
  <c r="AK11" i="1688"/>
  <c r="AJ11" i="1688"/>
  <c r="AI4" i="1688"/>
  <c r="V19" i="1585"/>
  <c r="T19" i="1585"/>
  <c r="AY59" i="1688" l="1"/>
  <c r="AY55" i="1688"/>
  <c r="AG29" i="1688"/>
  <c r="AG101" i="1688"/>
  <c r="AG33" i="1688"/>
  <c r="C18" i="1690"/>
  <c r="AG41" i="1688"/>
  <c r="AY71" i="1688"/>
  <c r="AK2" i="1688"/>
  <c r="AG2" i="1688" s="1"/>
  <c r="AY19" i="1688"/>
  <c r="AG21" i="1688"/>
  <c r="AG45" i="1688"/>
  <c r="AY43" i="1688"/>
  <c r="AG89" i="1688"/>
  <c r="AY87" i="1688"/>
  <c r="AY95" i="1688"/>
  <c r="AG97" i="1688"/>
  <c r="AG81" i="1688"/>
  <c r="AY79" i="1688"/>
  <c r="AG49" i="1688"/>
  <c r="AY47" i="1688"/>
  <c r="AG65" i="1688"/>
  <c r="AY63" i="1688"/>
  <c r="AG93" i="1688"/>
  <c r="AY91" i="1688"/>
  <c r="Y46" i="1585" l="1"/>
  <c r="K15" i="1579" l="1"/>
  <c r="I15" i="1579"/>
  <c r="K46" i="1585" l="1"/>
  <c r="L46" i="1585"/>
  <c r="W46" i="1585"/>
  <c r="H18" i="1579" l="1"/>
  <c r="J18" i="1579" l="1"/>
  <c r="Q18" i="1579"/>
  <c r="O18" i="1579"/>
  <c r="D18" i="1579"/>
  <c r="E3" i="1532"/>
  <c r="E15" i="1532" s="1"/>
  <c r="K3" i="1532"/>
  <c r="K15" i="1532" s="1"/>
  <c r="L3" i="1532"/>
  <c r="N3" i="1532"/>
  <c r="N15" i="1532" s="1"/>
  <c r="U3" i="1532"/>
  <c r="U15" i="1532" s="1"/>
  <c r="V3" i="1532"/>
  <c r="L19" i="1532"/>
  <c r="K19" i="1532"/>
  <c r="P19" i="1532"/>
  <c r="P50" i="1532" s="1"/>
  <c r="P3" i="1532" s="1"/>
  <c r="P15" i="1532" s="1"/>
  <c r="Q19" i="1532"/>
  <c r="Q50" i="1532" s="1"/>
  <c r="Q3" i="1532" s="1"/>
  <c r="Q15" i="1532" s="1"/>
  <c r="J19" i="1532"/>
  <c r="J50" i="1532" s="1"/>
  <c r="J3" i="1532" s="1"/>
  <c r="J15" i="1532" s="1"/>
  <c r="T19" i="1532"/>
  <c r="T50" i="1532" s="1"/>
  <c r="T3" i="1532" s="1"/>
  <c r="T15" i="1532" s="1"/>
  <c r="M19" i="1532"/>
  <c r="M50" i="1532" s="1"/>
  <c r="M3" i="1532" s="1"/>
  <c r="M15" i="1532" s="1"/>
  <c r="S19" i="1532"/>
  <c r="S50" i="1532" s="1"/>
  <c r="S3" i="1532" s="1"/>
  <c r="S15" i="1532" s="1"/>
  <c r="O19" i="1532"/>
  <c r="O50" i="1532" s="1"/>
  <c r="O3" i="1532" s="1"/>
  <c r="O15" i="1532" s="1"/>
  <c r="R19" i="1532"/>
  <c r="R50" i="1532" s="1"/>
  <c r="R3" i="1532" s="1"/>
  <c r="H19" i="1532"/>
  <c r="H50" i="1532" s="1"/>
  <c r="H3" i="1532" s="1"/>
  <c r="H15" i="1532" s="1"/>
  <c r="G19" i="1532"/>
  <c r="G50" i="1532" s="1"/>
  <c r="G3" i="1532" s="1"/>
  <c r="G15" i="1532" s="1"/>
  <c r="I19" i="1532"/>
  <c r="I50" i="1532" s="1"/>
  <c r="I3" i="1532" s="1"/>
  <c r="I15" i="1532" s="1"/>
  <c r="X19" i="1532"/>
  <c r="X50" i="1532" s="1"/>
  <c r="X3" i="1532" s="1"/>
  <c r="X15" i="1532" s="1"/>
  <c r="Y50" i="1532"/>
  <c r="Y3" i="1532" s="1"/>
  <c r="Y15" i="1532" s="1"/>
  <c r="W19" i="1532"/>
  <c r="W50" i="1532" s="1"/>
  <c r="W3" i="1532" s="1"/>
  <c r="W15" i="1532" s="1"/>
  <c r="I28" i="835"/>
  <c r="J33" i="835"/>
  <c r="J32" i="835"/>
  <c r="J29" i="835"/>
  <c r="I29" i="835"/>
  <c r="J30" i="835"/>
  <c r="F39" i="835"/>
  <c r="F40" i="835"/>
  <c r="F41" i="835"/>
  <c r="F42" i="835"/>
  <c r="F43" i="835"/>
  <c r="F38" i="835"/>
  <c r="E41" i="835"/>
  <c r="G41" i="835" s="1"/>
  <c r="E39" i="835"/>
  <c r="G39" i="835" s="1"/>
  <c r="E40" i="835"/>
  <c r="G40" i="835" s="1"/>
  <c r="E42" i="835"/>
  <c r="G42" i="835" s="1"/>
  <c r="E43" i="835"/>
  <c r="G43" i="835" s="1"/>
  <c r="E38" i="835"/>
  <c r="D39" i="835"/>
  <c r="D40" i="835"/>
  <c r="D41" i="835"/>
  <c r="D42" i="835"/>
  <c r="D43" i="835"/>
  <c r="D38" i="835"/>
  <c r="J31" i="835"/>
  <c r="J34" i="835"/>
  <c r="I34" i="835"/>
  <c r="I33" i="835"/>
  <c r="I32" i="835"/>
  <c r="I31" i="835"/>
  <c r="I30" i="835"/>
  <c r="B31" i="835"/>
  <c r="B32" i="835" s="1"/>
  <c r="I27" i="835"/>
  <c r="I26" i="835"/>
  <c r="B28" i="835"/>
  <c r="I25" i="835"/>
  <c r="I24" i="835"/>
  <c r="I23" i="835"/>
  <c r="I22" i="835"/>
  <c r="B23" i="835"/>
  <c r="B24" i="835" s="1"/>
  <c r="B26" i="835"/>
  <c r="J28" i="835"/>
  <c r="J26" i="835"/>
  <c r="J27" i="835"/>
  <c r="J25" i="835"/>
  <c r="J22" i="835"/>
  <c r="J23" i="835"/>
  <c r="J24" i="835"/>
  <c r="J18" i="835"/>
  <c r="J19" i="835"/>
  <c r="J20" i="835"/>
  <c r="J21" i="835"/>
  <c r="I18" i="835"/>
  <c r="I19" i="835"/>
  <c r="I20" i="835"/>
  <c r="K20" i="835" s="1"/>
  <c r="I21" i="835"/>
  <c r="J14" i="835"/>
  <c r="J7" i="835"/>
  <c r="J8" i="835"/>
  <c r="J9" i="835"/>
  <c r="J10" i="835"/>
  <c r="J11" i="835"/>
  <c r="J12" i="835"/>
  <c r="J13" i="835"/>
  <c r="J15" i="835"/>
  <c r="J16" i="835"/>
  <c r="J17" i="835"/>
  <c r="J6" i="835"/>
  <c r="I17" i="835"/>
  <c r="I16" i="835"/>
  <c r="I15" i="835"/>
  <c r="I14" i="835"/>
  <c r="I13" i="835"/>
  <c r="I7" i="835"/>
  <c r="I8" i="835"/>
  <c r="I9" i="835"/>
  <c r="K9" i="835" s="1"/>
  <c r="I10" i="835"/>
  <c r="K10" i="835" s="1"/>
  <c r="I11" i="835"/>
  <c r="I12" i="835"/>
  <c r="K12" i="835" s="1"/>
  <c r="I6" i="835"/>
  <c r="X12" i="835"/>
  <c r="X11" i="835"/>
  <c r="X7" i="835"/>
  <c r="X8" i="835"/>
  <c r="X9" i="835"/>
  <c r="X10" i="835"/>
  <c r="X6" i="835"/>
  <c r="R2" i="712"/>
  <c r="L2" i="712"/>
  <c r="K2" i="712"/>
  <c r="I2" i="712"/>
  <c r="D2" i="712"/>
  <c r="V95" i="625"/>
  <c r="U95" i="625"/>
  <c r="T95" i="625"/>
  <c r="S95" i="625"/>
  <c r="R95" i="625"/>
  <c r="Q95" i="625"/>
  <c r="P95" i="625"/>
  <c r="O95" i="625"/>
  <c r="N95" i="625"/>
  <c r="M95" i="625"/>
  <c r="L95" i="625"/>
  <c r="V93" i="625"/>
  <c r="V101" i="625" s="1"/>
  <c r="U93" i="625"/>
  <c r="U98" i="625" s="1"/>
  <c r="AE91" i="625"/>
  <c r="V91" i="625"/>
  <c r="U91" i="625"/>
  <c r="T91" i="625"/>
  <c r="S91" i="625"/>
  <c r="R91" i="625"/>
  <c r="Q91" i="625"/>
  <c r="P91" i="625"/>
  <c r="O91" i="625"/>
  <c r="N91" i="625"/>
  <c r="M91" i="625"/>
  <c r="L91" i="625"/>
  <c r="G91" i="625"/>
  <c r="Y89" i="625"/>
  <c r="I89" i="625"/>
  <c r="B89" i="625"/>
  <c r="AD88" i="625"/>
  <c r="AE88" i="625" s="1"/>
  <c r="Y88" i="625"/>
  <c r="F88" i="625"/>
  <c r="D88" i="625"/>
  <c r="D89" i="625" s="1"/>
  <c r="B88" i="625"/>
  <c r="AE87" i="625"/>
  <c r="Y87" i="625"/>
  <c r="AF87" i="625" s="1"/>
  <c r="AE86" i="625"/>
  <c r="Y86" i="625"/>
  <c r="Z86" i="625" s="1"/>
  <c r="B86" i="625"/>
  <c r="Y85" i="625"/>
  <c r="I85" i="625"/>
  <c r="D85" i="625"/>
  <c r="B85" i="625"/>
  <c r="AD84" i="625"/>
  <c r="AE84" i="625" s="1"/>
  <c r="Y84" i="625"/>
  <c r="Y83" i="625"/>
  <c r="F84" i="625"/>
  <c r="B84" i="625"/>
  <c r="AE83" i="625"/>
  <c r="AE82" i="625"/>
  <c r="Y82" i="625"/>
  <c r="Z82" i="625" s="1"/>
  <c r="B82" i="625"/>
  <c r="Y81" i="625"/>
  <c r="I81" i="625"/>
  <c r="D81" i="625"/>
  <c r="B81" i="625"/>
  <c r="AD80" i="625"/>
  <c r="AE80" i="625" s="1"/>
  <c r="Y80" i="625"/>
  <c r="F80" i="625"/>
  <c r="B80" i="625"/>
  <c r="AE79" i="625"/>
  <c r="Y79" i="625"/>
  <c r="AE78" i="625"/>
  <c r="Y78" i="625"/>
  <c r="Z78" i="625" s="1"/>
  <c r="B78" i="625"/>
  <c r="Y77" i="625"/>
  <c r="I77" i="625"/>
  <c r="B77" i="625"/>
  <c r="T76" i="625"/>
  <c r="T93" i="625" s="1"/>
  <c r="T101" i="625" s="1"/>
  <c r="T102" i="625" s="1"/>
  <c r="S76" i="625"/>
  <c r="S93" i="625" s="1"/>
  <c r="S98" i="625" s="1"/>
  <c r="S99" i="625" s="1"/>
  <c r="R76" i="625"/>
  <c r="R93" i="625" s="1"/>
  <c r="Q76" i="625"/>
  <c r="Q93" i="625" s="1"/>
  <c r="Q101" i="625" s="1"/>
  <c r="P76" i="625"/>
  <c r="P93" i="625" s="1"/>
  <c r="P101" i="625" s="1"/>
  <c r="P102" i="625" s="1"/>
  <c r="O76" i="625"/>
  <c r="N76" i="625"/>
  <c r="N93" i="625" s="1"/>
  <c r="N101" i="625" s="1"/>
  <c r="N102" i="625" s="1"/>
  <c r="M76" i="625"/>
  <c r="M93" i="625" s="1"/>
  <c r="L76" i="625"/>
  <c r="L93" i="625" s="1"/>
  <c r="L98" i="625" s="1"/>
  <c r="L99" i="625" s="1"/>
  <c r="F76" i="625"/>
  <c r="D76" i="625"/>
  <c r="D77" i="625" s="1"/>
  <c r="B76" i="625"/>
  <c r="AE75" i="625"/>
  <c r="Y75" i="625"/>
  <c r="W75" i="625"/>
  <c r="W76" i="625" s="1"/>
  <c r="X74" i="625" s="1"/>
  <c r="AE74" i="625"/>
  <c r="Y74" i="625"/>
  <c r="Z74" i="625" s="1"/>
  <c r="B74" i="625"/>
  <c r="Y73" i="625"/>
  <c r="I73" i="625"/>
  <c r="B73" i="625"/>
  <c r="AD72" i="625"/>
  <c r="AE72" i="625" s="1"/>
  <c r="Y72" i="625"/>
  <c r="AD73" i="625" s="1"/>
  <c r="F72" i="625"/>
  <c r="D72" i="625"/>
  <c r="D73" i="625" s="1"/>
  <c r="B72" i="625"/>
  <c r="AE71" i="625"/>
  <c r="Y71" i="625"/>
  <c r="AF71" i="625" s="1"/>
  <c r="AE70" i="625"/>
  <c r="Y70" i="625"/>
  <c r="Z70" i="625" s="1"/>
  <c r="B70" i="625"/>
  <c r="Y69" i="625"/>
  <c r="I69" i="625"/>
  <c r="B69" i="625"/>
  <c r="AD68" i="625"/>
  <c r="AE68" i="625" s="1"/>
  <c r="Y68" i="625"/>
  <c r="F68" i="625"/>
  <c r="D68" i="625"/>
  <c r="D69" i="625" s="1"/>
  <c r="B68" i="625"/>
  <c r="AE67" i="625"/>
  <c r="Y67" i="625"/>
  <c r="Z67" i="625" s="1"/>
  <c r="AE66" i="625"/>
  <c r="Y66" i="625"/>
  <c r="Z66" i="625" s="1"/>
  <c r="B66" i="625"/>
  <c r="Y65" i="625"/>
  <c r="Y64" i="625"/>
  <c r="I65" i="625"/>
  <c r="D65" i="625"/>
  <c r="B65" i="625"/>
  <c r="AD64" i="625"/>
  <c r="AE64" i="625" s="1"/>
  <c r="F64" i="625"/>
  <c r="B64" i="625"/>
  <c r="AE63" i="625"/>
  <c r="Y63" i="625"/>
  <c r="AE62" i="625"/>
  <c r="Y62" i="625"/>
  <c r="Z62" i="625" s="1"/>
  <c r="B62" i="625"/>
  <c r="Y61" i="625"/>
  <c r="I61" i="625"/>
  <c r="D61" i="625"/>
  <c r="B61" i="625"/>
  <c r="AD60" i="625"/>
  <c r="AE60" i="625" s="1"/>
  <c r="Y60" i="625"/>
  <c r="F60" i="625"/>
  <c r="B60" i="625"/>
  <c r="AE59" i="625"/>
  <c r="Y59" i="625"/>
  <c r="AF59" i="625" s="1"/>
  <c r="AE58" i="625"/>
  <c r="Y58" i="625"/>
  <c r="Z58" i="625" s="1"/>
  <c r="B58" i="625"/>
  <c r="Y57" i="625"/>
  <c r="I57" i="625"/>
  <c r="D57" i="625"/>
  <c r="B57" i="625"/>
  <c r="AD56" i="625"/>
  <c r="AE56" i="625" s="1"/>
  <c r="Y56" i="625"/>
  <c r="F56" i="625"/>
  <c r="B56" i="625"/>
  <c r="AE55" i="625"/>
  <c r="Y55" i="625"/>
  <c r="AF55" i="625" s="1"/>
  <c r="AE54" i="625"/>
  <c r="Y54" i="625"/>
  <c r="Z54" i="625" s="1"/>
  <c r="B54" i="625"/>
  <c r="Y53" i="625"/>
  <c r="I53" i="625"/>
  <c r="D53" i="625"/>
  <c r="B53" i="625"/>
  <c r="AD52" i="625"/>
  <c r="AE52" i="625" s="1"/>
  <c r="Y52" i="625"/>
  <c r="Y51" i="625"/>
  <c r="F52" i="625"/>
  <c r="B52" i="625"/>
  <c r="AE51" i="625"/>
  <c r="AE50" i="625"/>
  <c r="Y50" i="625"/>
  <c r="Z50" i="625" s="1"/>
  <c r="B50" i="625"/>
  <c r="Y49" i="625"/>
  <c r="I49" i="625"/>
  <c r="B49" i="625"/>
  <c r="AD48" i="625"/>
  <c r="AE48" i="625" s="1"/>
  <c r="Y48" i="625"/>
  <c r="AD49" i="625" s="1"/>
  <c r="AE49" i="625" s="1"/>
  <c r="F48" i="625"/>
  <c r="D48" i="625"/>
  <c r="D49" i="625" s="1"/>
  <c r="B48" i="625"/>
  <c r="AE47" i="625"/>
  <c r="Y47" i="625"/>
  <c r="AF47" i="625" s="1"/>
  <c r="W47" i="625"/>
  <c r="W48" i="625" s="1"/>
  <c r="X46" i="625" s="1"/>
  <c r="AE46" i="625"/>
  <c r="Y46" i="625"/>
  <c r="Z46" i="625" s="1"/>
  <c r="B46" i="625"/>
  <c r="Y45" i="625"/>
  <c r="I45" i="625"/>
  <c r="B45" i="625"/>
  <c r="AD44" i="625"/>
  <c r="AE44" i="625" s="1"/>
  <c r="Y44" i="625"/>
  <c r="AD45" i="625" s="1"/>
  <c r="F44" i="625"/>
  <c r="D44" i="625"/>
  <c r="D45" i="625" s="1"/>
  <c r="B44" i="625"/>
  <c r="AE43" i="625"/>
  <c r="Y43" i="625"/>
  <c r="W43" i="625" s="1"/>
  <c r="W44" i="625" s="1"/>
  <c r="X42" i="625" s="1"/>
  <c r="AE42" i="625"/>
  <c r="Y42" i="625"/>
  <c r="Z42" i="625" s="1"/>
  <c r="B42" i="625"/>
  <c r="Y41" i="625"/>
  <c r="I41" i="625"/>
  <c r="B41" i="625"/>
  <c r="AD40" i="625"/>
  <c r="AE40" i="625" s="1"/>
  <c r="Y40" i="625"/>
  <c r="AD41" i="625" s="1"/>
  <c r="F40" i="625"/>
  <c r="D40" i="625"/>
  <c r="D41" i="625" s="1"/>
  <c r="B40" i="625"/>
  <c r="AE39" i="625"/>
  <c r="Y39" i="625"/>
  <c r="W39" i="625" s="1"/>
  <c r="W40" i="625" s="1"/>
  <c r="X38" i="625" s="1"/>
  <c r="AE38" i="625"/>
  <c r="Y38" i="625"/>
  <c r="Z38" i="625" s="1"/>
  <c r="B38" i="625"/>
  <c r="Y37" i="625"/>
  <c r="I37" i="625"/>
  <c r="B37" i="625"/>
  <c r="AD36" i="625"/>
  <c r="AE36" i="625" s="1"/>
  <c r="Y36" i="625"/>
  <c r="AD37" i="625" s="1"/>
  <c r="F36" i="625"/>
  <c r="D36" i="625"/>
  <c r="D37" i="625" s="1"/>
  <c r="B36" i="625"/>
  <c r="AE35" i="625"/>
  <c r="Y35" i="625"/>
  <c r="Z35" i="625" s="1"/>
  <c r="AE34" i="625"/>
  <c r="Y34" i="625"/>
  <c r="Z34" i="625" s="1"/>
  <c r="B34" i="625"/>
  <c r="Y33" i="625"/>
  <c r="I33" i="625"/>
  <c r="B33" i="625"/>
  <c r="AD32" i="625"/>
  <c r="AE32" i="625" s="1"/>
  <c r="Y32" i="625"/>
  <c r="AD33" i="625" s="1"/>
  <c r="F32" i="625"/>
  <c r="D32" i="625"/>
  <c r="D33" i="625" s="1"/>
  <c r="B32" i="625"/>
  <c r="AE31" i="625"/>
  <c r="Y31" i="625"/>
  <c r="X33" i="625" s="1"/>
  <c r="AE30" i="625"/>
  <c r="Y30" i="625"/>
  <c r="Z30" i="625" s="1"/>
  <c r="B30" i="625"/>
  <c r="Y29" i="625"/>
  <c r="I29" i="625"/>
  <c r="B29" i="625"/>
  <c r="AD28" i="625"/>
  <c r="AE28" i="625" s="1"/>
  <c r="Y28" i="625"/>
  <c r="AD29" i="625" s="1"/>
  <c r="AE29" i="625" s="1"/>
  <c r="F28" i="625"/>
  <c r="D28" i="625"/>
  <c r="D29" i="625" s="1"/>
  <c r="B28" i="625"/>
  <c r="AE27" i="625"/>
  <c r="Y27" i="625"/>
  <c r="Z27" i="625" s="1"/>
  <c r="W27" i="625"/>
  <c r="W28" i="625" s="1"/>
  <c r="X26" i="625" s="1"/>
  <c r="AE26" i="625"/>
  <c r="Y26" i="625"/>
  <c r="Z26" i="625" s="1"/>
  <c r="B26" i="625"/>
  <c r="Y25" i="625"/>
  <c r="I25" i="625"/>
  <c r="B25" i="625"/>
  <c r="AD24" i="625"/>
  <c r="AE24" i="625" s="1"/>
  <c r="Y24" i="625"/>
  <c r="AD25" i="625" s="1"/>
  <c r="AE25" i="625" s="1"/>
  <c r="F24" i="625"/>
  <c r="D24" i="625"/>
  <c r="D25" i="625" s="1"/>
  <c r="B24" i="625"/>
  <c r="AE23" i="625"/>
  <c r="Y23" i="625"/>
  <c r="AE22" i="625"/>
  <c r="Y22" i="625"/>
  <c r="Z22" i="625" s="1"/>
  <c r="B22" i="625"/>
  <c r="Y21" i="625"/>
  <c r="I21" i="625"/>
  <c r="B21" i="625"/>
  <c r="AD20" i="625"/>
  <c r="AE20" i="625" s="1"/>
  <c r="Y20" i="625"/>
  <c r="F20" i="625"/>
  <c r="D20" i="625"/>
  <c r="D21" i="625" s="1"/>
  <c r="B20" i="625"/>
  <c r="AE19" i="625"/>
  <c r="Y19" i="625"/>
  <c r="W19" i="625" s="1"/>
  <c r="W20" i="625" s="1"/>
  <c r="X18" i="625" s="1"/>
  <c r="AE18" i="625"/>
  <c r="Y18" i="625"/>
  <c r="Z18" i="625" s="1"/>
  <c r="B18" i="625"/>
  <c r="Y17" i="625"/>
  <c r="I17" i="625"/>
  <c r="B17" i="625"/>
  <c r="AD16" i="625"/>
  <c r="AE16" i="625" s="1"/>
  <c r="Y16" i="625"/>
  <c r="AD17" i="625" s="1"/>
  <c r="F16" i="625"/>
  <c r="D16" i="625"/>
  <c r="D17" i="625" s="1"/>
  <c r="B16" i="625"/>
  <c r="AE15" i="625"/>
  <c r="Y15" i="625"/>
  <c r="AF15" i="625" s="1"/>
  <c r="AE14" i="625"/>
  <c r="Y14" i="625"/>
  <c r="Z14" i="625" s="1"/>
  <c r="B14" i="625"/>
  <c r="Y13" i="625"/>
  <c r="I13" i="625"/>
  <c r="B13" i="625"/>
  <c r="AD12" i="625"/>
  <c r="AE12" i="625" s="1"/>
  <c r="Y12" i="625"/>
  <c r="F12" i="625"/>
  <c r="D12" i="625"/>
  <c r="D13" i="625" s="1"/>
  <c r="B12" i="625"/>
  <c r="AE11" i="625"/>
  <c r="Y11" i="625"/>
  <c r="AF11" i="625" s="1"/>
  <c r="AE10" i="625"/>
  <c r="Y10" i="625"/>
  <c r="Z10" i="625" s="1"/>
  <c r="B10" i="625"/>
  <c r="Y9" i="625"/>
  <c r="I9" i="625"/>
  <c r="B9" i="625"/>
  <c r="AD8" i="625"/>
  <c r="AE8" i="625" s="1"/>
  <c r="Y8" i="625"/>
  <c r="F8" i="625"/>
  <c r="D8" i="625"/>
  <c r="D9" i="625" s="1"/>
  <c r="B8" i="625"/>
  <c r="Y7" i="625"/>
  <c r="AF7" i="625" s="1"/>
  <c r="Y6" i="625"/>
  <c r="Z6" i="625" s="1"/>
  <c r="B6" i="625"/>
  <c r="V87" i="617"/>
  <c r="U87" i="617"/>
  <c r="T87" i="617"/>
  <c r="S87" i="617"/>
  <c r="R87" i="617"/>
  <c r="Q87" i="617"/>
  <c r="Q85" i="617"/>
  <c r="Q90" i="617" s="1"/>
  <c r="Q91" i="617" s="1"/>
  <c r="P87" i="617"/>
  <c r="O87" i="617"/>
  <c r="N87" i="617"/>
  <c r="M87" i="617"/>
  <c r="L87" i="617"/>
  <c r="V85" i="617"/>
  <c r="V91" i="617" s="1"/>
  <c r="U85" i="617"/>
  <c r="U88" i="617" s="1"/>
  <c r="T85" i="617"/>
  <c r="T88" i="617" s="1"/>
  <c r="S85" i="617"/>
  <c r="S90" i="617" s="1"/>
  <c r="R85" i="617"/>
  <c r="R90" i="617" s="1"/>
  <c r="R91" i="617" s="1"/>
  <c r="P85" i="617"/>
  <c r="P90" i="617" s="1"/>
  <c r="O85" i="617"/>
  <c r="N85" i="617"/>
  <c r="N90" i="617" s="1"/>
  <c r="N91" i="617" s="1"/>
  <c r="M85" i="617"/>
  <c r="M93" i="617" s="1"/>
  <c r="L85" i="617"/>
  <c r="L90" i="617" s="1"/>
  <c r="L91" i="617" s="1"/>
  <c r="AE83" i="617"/>
  <c r="V83" i="617"/>
  <c r="U83" i="617"/>
  <c r="T83" i="617"/>
  <c r="S83" i="617"/>
  <c r="R83" i="617"/>
  <c r="Q83" i="617"/>
  <c r="P83" i="617"/>
  <c r="O83" i="617"/>
  <c r="N83" i="617"/>
  <c r="M83" i="617"/>
  <c r="L83" i="617"/>
  <c r="G83" i="617"/>
  <c r="Y81" i="617"/>
  <c r="I81" i="617"/>
  <c r="B81" i="617"/>
  <c r="AD80" i="617"/>
  <c r="AE80" i="617" s="1"/>
  <c r="Y80" i="617"/>
  <c r="AD81" i="617" s="1"/>
  <c r="AE81" i="617" s="1"/>
  <c r="F80" i="617"/>
  <c r="D80" i="617"/>
  <c r="D81" i="617" s="1"/>
  <c r="B80" i="617"/>
  <c r="AE79" i="617"/>
  <c r="Y79" i="617"/>
  <c r="AF79" i="617" s="1"/>
  <c r="AE78" i="617"/>
  <c r="Y78" i="617"/>
  <c r="Z78" i="617" s="1"/>
  <c r="B78" i="617"/>
  <c r="Y77" i="617"/>
  <c r="I77" i="617"/>
  <c r="D77" i="617"/>
  <c r="B77" i="617"/>
  <c r="AD76" i="617"/>
  <c r="AE76" i="617" s="1"/>
  <c r="Y76" i="617"/>
  <c r="F76" i="617"/>
  <c r="B76" i="617"/>
  <c r="AE75" i="617"/>
  <c r="Y75" i="617"/>
  <c r="X77" i="617" s="1"/>
  <c r="AE74" i="617"/>
  <c r="Y74" i="617"/>
  <c r="Z74" i="617" s="1"/>
  <c r="B74" i="617"/>
  <c r="Y73" i="617"/>
  <c r="Y72" i="617"/>
  <c r="Y71" i="617"/>
  <c r="W71" i="617" s="1"/>
  <c r="W72" i="617" s="1"/>
  <c r="X70" i="617" s="1"/>
  <c r="I73" i="617"/>
  <c r="D73" i="617"/>
  <c r="B73" i="617"/>
  <c r="AD72" i="617"/>
  <c r="AE72" i="617" s="1"/>
  <c r="F72" i="617"/>
  <c r="B72" i="617"/>
  <c r="AE71" i="617"/>
  <c r="AE70" i="617"/>
  <c r="Y70" i="617"/>
  <c r="Z70" i="617" s="1"/>
  <c r="B70" i="617"/>
  <c r="Y69" i="617"/>
  <c r="I69" i="617"/>
  <c r="B69" i="617"/>
  <c r="AD68" i="617"/>
  <c r="AE68" i="617" s="1"/>
  <c r="Y68" i="617"/>
  <c r="F68" i="617"/>
  <c r="D68" i="617"/>
  <c r="D69" i="617" s="1"/>
  <c r="B68" i="617"/>
  <c r="AE67" i="617"/>
  <c r="Y67" i="617"/>
  <c r="W67" i="617" s="1"/>
  <c r="W68" i="617" s="1"/>
  <c r="X66" i="617" s="1"/>
  <c r="AE66" i="617"/>
  <c r="Y66" i="617"/>
  <c r="Z66" i="617" s="1"/>
  <c r="B66" i="617"/>
  <c r="Y65" i="617"/>
  <c r="I65" i="617"/>
  <c r="B65" i="617"/>
  <c r="AD64" i="617"/>
  <c r="AE64" i="617" s="1"/>
  <c r="Y64" i="617"/>
  <c r="F64" i="617"/>
  <c r="D64" i="617"/>
  <c r="D65" i="617" s="1"/>
  <c r="B64" i="617"/>
  <c r="AE63" i="617"/>
  <c r="Y63" i="617"/>
  <c r="AF63" i="617" s="1"/>
  <c r="AE62" i="617"/>
  <c r="Y62" i="617"/>
  <c r="Z62" i="617" s="1"/>
  <c r="B62" i="617"/>
  <c r="Y61" i="617"/>
  <c r="I61" i="617"/>
  <c r="D61" i="617"/>
  <c r="B61" i="617"/>
  <c r="AD60" i="617"/>
  <c r="AE60" i="617" s="1"/>
  <c r="Y60" i="617"/>
  <c r="F60" i="617"/>
  <c r="B60" i="617"/>
  <c r="AE59" i="617"/>
  <c r="Y59" i="617"/>
  <c r="Z59" i="617" s="1"/>
  <c r="W59" i="617"/>
  <c r="AE58" i="617"/>
  <c r="Y58" i="617"/>
  <c r="Z58" i="617" s="1"/>
  <c r="X58" i="617"/>
  <c r="B58" i="617"/>
  <c r="Y57" i="617"/>
  <c r="I57" i="617"/>
  <c r="D57" i="617"/>
  <c r="B57" i="617"/>
  <c r="AD56" i="617"/>
  <c r="AE56" i="617" s="1"/>
  <c r="Y56" i="617"/>
  <c r="F56" i="617"/>
  <c r="B56" i="617"/>
  <c r="AE55" i="617"/>
  <c r="Y55" i="617"/>
  <c r="W55" i="617" s="1"/>
  <c r="W56" i="617" s="1"/>
  <c r="X54" i="617" s="1"/>
  <c r="AE54" i="617"/>
  <c r="Y54" i="617"/>
  <c r="Z54" i="617" s="1"/>
  <c r="B54" i="617"/>
  <c r="Y53" i="617"/>
  <c r="I53" i="617"/>
  <c r="D53" i="617"/>
  <c r="B53" i="617"/>
  <c r="AD52" i="617"/>
  <c r="AE52" i="617" s="1"/>
  <c r="Y52" i="617"/>
  <c r="F52" i="617"/>
  <c r="B52" i="617"/>
  <c r="AE51" i="617"/>
  <c r="Y51" i="617"/>
  <c r="W51" i="617" s="1"/>
  <c r="W52" i="617" s="1"/>
  <c r="X50" i="617" s="1"/>
  <c r="AE50" i="617"/>
  <c r="Y50" i="617"/>
  <c r="Z50" i="617" s="1"/>
  <c r="B50" i="617"/>
  <c r="Y49" i="617"/>
  <c r="Y48" i="617"/>
  <c r="Y47" i="617"/>
  <c r="W47" i="617" s="1"/>
  <c r="W48" i="617" s="1"/>
  <c r="X46" i="617" s="1"/>
  <c r="I49" i="617"/>
  <c r="D49" i="617"/>
  <c r="B49" i="617"/>
  <c r="AD48" i="617"/>
  <c r="AE48" i="617" s="1"/>
  <c r="F48" i="617"/>
  <c r="B48" i="617"/>
  <c r="AE47" i="617"/>
  <c r="AE46" i="617"/>
  <c r="Y46" i="617"/>
  <c r="Z46" i="617" s="1"/>
  <c r="B46" i="617"/>
  <c r="Y45" i="617"/>
  <c r="I45" i="617"/>
  <c r="B45" i="617"/>
  <c r="AD44" i="617"/>
  <c r="AE44" i="617" s="1"/>
  <c r="Y44" i="617"/>
  <c r="AD45" i="617" s="1"/>
  <c r="AE45" i="617" s="1"/>
  <c r="F44" i="617"/>
  <c r="D44" i="617"/>
  <c r="D45" i="617" s="1"/>
  <c r="B44" i="617"/>
  <c r="AE43" i="617"/>
  <c r="Y43" i="617"/>
  <c r="Z43" i="617" s="1"/>
  <c r="AE42" i="617"/>
  <c r="Y42" i="617"/>
  <c r="Z42" i="617" s="1"/>
  <c r="B42" i="617"/>
  <c r="Y41" i="617"/>
  <c r="I41" i="617"/>
  <c r="B41" i="617"/>
  <c r="AD40" i="617"/>
  <c r="Y40" i="617"/>
  <c r="F40" i="617"/>
  <c r="D40" i="617"/>
  <c r="D41" i="617" s="1"/>
  <c r="B40" i="617"/>
  <c r="AE39" i="617"/>
  <c r="Y39" i="617"/>
  <c r="Z39" i="617" s="1"/>
  <c r="AE38" i="617"/>
  <c r="Y38" i="617"/>
  <c r="Z38" i="617" s="1"/>
  <c r="B38" i="617"/>
  <c r="Y37" i="617"/>
  <c r="I37" i="617"/>
  <c r="B37" i="617"/>
  <c r="AD36" i="617"/>
  <c r="AE36" i="617" s="1"/>
  <c r="Y36" i="617"/>
  <c r="F36" i="617"/>
  <c r="D36" i="617"/>
  <c r="D37" i="617" s="1"/>
  <c r="B36" i="617"/>
  <c r="AE35" i="617"/>
  <c r="Y35" i="617"/>
  <c r="AF35" i="617" s="1"/>
  <c r="W35" i="617"/>
  <c r="W36" i="617" s="1"/>
  <c r="X34" i="617" s="1"/>
  <c r="AE34" i="617"/>
  <c r="Y34" i="617"/>
  <c r="Z34" i="617" s="1"/>
  <c r="B34" i="617"/>
  <c r="Y33" i="617"/>
  <c r="I33" i="617"/>
  <c r="B33" i="617"/>
  <c r="AD32" i="617"/>
  <c r="AE32" i="617" s="1"/>
  <c r="Y32" i="617"/>
  <c r="F32" i="617"/>
  <c r="D32" i="617"/>
  <c r="D33" i="617" s="1"/>
  <c r="B32" i="617"/>
  <c r="AE31" i="617"/>
  <c r="Y31" i="617"/>
  <c r="Z31" i="617" s="1"/>
  <c r="AE30" i="617"/>
  <c r="Y30" i="617"/>
  <c r="Z30" i="617" s="1"/>
  <c r="B30" i="617"/>
  <c r="Y29" i="617"/>
  <c r="I29" i="617"/>
  <c r="B29" i="617"/>
  <c r="AD28" i="617"/>
  <c r="AE28" i="617" s="1"/>
  <c r="Y28" i="617"/>
  <c r="AD29" i="617" s="1"/>
  <c r="AE29" i="617" s="1"/>
  <c r="F28" i="617"/>
  <c r="D28" i="617"/>
  <c r="D29" i="617" s="1"/>
  <c r="B28" i="617"/>
  <c r="AE27" i="617"/>
  <c r="Y27" i="617"/>
  <c r="AF27" i="617" s="1"/>
  <c r="AE26" i="617"/>
  <c r="Y26" i="617"/>
  <c r="Z26" i="617" s="1"/>
  <c r="B26" i="617"/>
  <c r="Y25" i="617"/>
  <c r="I25" i="617"/>
  <c r="B25" i="617"/>
  <c r="AD24" i="617"/>
  <c r="AE24" i="617" s="1"/>
  <c r="Y24" i="617"/>
  <c r="Y23" i="617"/>
  <c r="X25" i="617" s="1"/>
  <c r="F24" i="617"/>
  <c r="D24" i="617"/>
  <c r="D25" i="617" s="1"/>
  <c r="B24" i="617"/>
  <c r="AE23" i="617"/>
  <c r="AE22" i="617"/>
  <c r="Y22" i="617"/>
  <c r="Z22" i="617" s="1"/>
  <c r="B22" i="617"/>
  <c r="Y21" i="617"/>
  <c r="I21" i="617"/>
  <c r="B21" i="617"/>
  <c r="AD20" i="617"/>
  <c r="AE20" i="617" s="1"/>
  <c r="Y20" i="617"/>
  <c r="AD21" i="617" s="1"/>
  <c r="F20" i="617"/>
  <c r="D20" i="617"/>
  <c r="D21" i="617" s="1"/>
  <c r="B20" i="617"/>
  <c r="AE19" i="617"/>
  <c r="Y19" i="617"/>
  <c r="Z19" i="617" s="1"/>
  <c r="AE18" i="617"/>
  <c r="Y18" i="617"/>
  <c r="Z18" i="617" s="1"/>
  <c r="B18" i="617"/>
  <c r="Y17" i="617"/>
  <c r="I17" i="617"/>
  <c r="B17" i="617"/>
  <c r="AD16" i="617"/>
  <c r="AE16" i="617" s="1"/>
  <c r="Y16" i="617"/>
  <c r="F16" i="617"/>
  <c r="D16" i="617"/>
  <c r="D17" i="617" s="1"/>
  <c r="B16" i="617"/>
  <c r="AE15" i="617"/>
  <c r="Y15" i="617"/>
  <c r="Z15" i="617" s="1"/>
  <c r="AE14" i="617"/>
  <c r="Y14" i="617"/>
  <c r="Z14" i="617" s="1"/>
  <c r="B14" i="617"/>
  <c r="Y13" i="617"/>
  <c r="I13" i="617"/>
  <c r="B13" i="617"/>
  <c r="AD12" i="617"/>
  <c r="AE12" i="617" s="1"/>
  <c r="Y12" i="617"/>
  <c r="F12" i="617"/>
  <c r="D12" i="617"/>
  <c r="D13" i="617" s="1"/>
  <c r="B12" i="617"/>
  <c r="AE11" i="617"/>
  <c r="Y11" i="617"/>
  <c r="AF11" i="617" s="1"/>
  <c r="AE10" i="617"/>
  <c r="Y10" i="617"/>
  <c r="Z10" i="617" s="1"/>
  <c r="B10" i="617"/>
  <c r="Y9" i="617"/>
  <c r="I9" i="617"/>
  <c r="B9" i="617"/>
  <c r="AD8" i="617"/>
  <c r="Y8" i="617"/>
  <c r="Y7" i="617"/>
  <c r="W7" i="617" s="1"/>
  <c r="W8" i="617" s="1"/>
  <c r="X6" i="617" s="1"/>
  <c r="F8" i="617"/>
  <c r="D8" i="617"/>
  <c r="D9" i="617" s="1"/>
  <c r="B8" i="617"/>
  <c r="Y6" i="617"/>
  <c r="Z6" i="617" s="1"/>
  <c r="B6" i="617"/>
  <c r="V103" i="535"/>
  <c r="U103" i="535"/>
  <c r="T103" i="535"/>
  <c r="S103" i="535"/>
  <c r="R103" i="535"/>
  <c r="R101" i="535"/>
  <c r="R109" i="535" s="1"/>
  <c r="Q103" i="535"/>
  <c r="P103" i="535"/>
  <c r="O103" i="535"/>
  <c r="N103" i="535"/>
  <c r="N101" i="535"/>
  <c r="N109" i="535" s="1"/>
  <c r="M103" i="535"/>
  <c r="L103" i="535"/>
  <c r="V101" i="535"/>
  <c r="V104" i="535" s="1"/>
  <c r="U101" i="535"/>
  <c r="U109" i="535" s="1"/>
  <c r="T101" i="535"/>
  <c r="T104" i="535" s="1"/>
  <c r="S101" i="535"/>
  <c r="S106" i="535" s="1"/>
  <c r="S107" i="535" s="1"/>
  <c r="Q101" i="535"/>
  <c r="Q106" i="535" s="1"/>
  <c r="P101" i="535"/>
  <c r="O101" i="535"/>
  <c r="AE99" i="535"/>
  <c r="V99" i="535"/>
  <c r="U99" i="535"/>
  <c r="T99" i="535"/>
  <c r="S99" i="535"/>
  <c r="R99" i="535"/>
  <c r="Q99" i="535"/>
  <c r="P99" i="535"/>
  <c r="O99" i="535"/>
  <c r="N99" i="535"/>
  <c r="M99" i="535"/>
  <c r="L99" i="535"/>
  <c r="Y97" i="535"/>
  <c r="I97" i="535"/>
  <c r="B97" i="535"/>
  <c r="AE96" i="535"/>
  <c r="Y96" i="535"/>
  <c r="AD97" i="535" s="1"/>
  <c r="AE97" i="535" s="1"/>
  <c r="F96" i="535"/>
  <c r="D96" i="535"/>
  <c r="D97" i="535" s="1"/>
  <c r="B96" i="535"/>
  <c r="AE95" i="535"/>
  <c r="Y95" i="535"/>
  <c r="AF95" i="535" s="1"/>
  <c r="W95" i="535"/>
  <c r="W96" i="535" s="1"/>
  <c r="X94" i="535" s="1"/>
  <c r="AE94" i="535"/>
  <c r="Y94" i="535"/>
  <c r="Z94" i="535" s="1"/>
  <c r="B94" i="535"/>
  <c r="Y93" i="535"/>
  <c r="I93" i="535"/>
  <c r="B93" i="535"/>
  <c r="AE92" i="535"/>
  <c r="Y92" i="535"/>
  <c r="F92" i="535"/>
  <c r="D92" i="535"/>
  <c r="D93" i="535" s="1"/>
  <c r="B92" i="535"/>
  <c r="AE91" i="535"/>
  <c r="Y91" i="535"/>
  <c r="AE90" i="535"/>
  <c r="Y90" i="535"/>
  <c r="Z90" i="535" s="1"/>
  <c r="B90" i="535"/>
  <c r="Y89" i="535"/>
  <c r="I89" i="535"/>
  <c r="B89" i="535"/>
  <c r="AE88" i="535"/>
  <c r="Y88" i="535"/>
  <c r="AD89" i="535" s="1"/>
  <c r="AE89" i="535" s="1"/>
  <c r="F88" i="535"/>
  <c r="D88" i="535"/>
  <c r="D89" i="535" s="1"/>
  <c r="B88" i="535"/>
  <c r="AE87" i="535"/>
  <c r="Y87" i="535"/>
  <c r="Z87" i="535" s="1"/>
  <c r="AE86" i="535"/>
  <c r="Y86" i="535"/>
  <c r="Z86" i="535" s="1"/>
  <c r="B86" i="535"/>
  <c r="Y85" i="535"/>
  <c r="I85" i="535"/>
  <c r="D85" i="535"/>
  <c r="B85" i="535"/>
  <c r="AE84" i="535"/>
  <c r="Y84" i="535"/>
  <c r="F84" i="535"/>
  <c r="B84" i="535"/>
  <c r="AE83" i="535"/>
  <c r="Y83" i="535"/>
  <c r="X85" i="535" s="1"/>
  <c r="AE82" i="535"/>
  <c r="Y82" i="535"/>
  <c r="Z82" i="535" s="1"/>
  <c r="B82" i="535"/>
  <c r="Y81" i="535"/>
  <c r="I81" i="535"/>
  <c r="B81" i="535"/>
  <c r="AE80" i="535"/>
  <c r="Y80" i="535"/>
  <c r="F80" i="535"/>
  <c r="D80" i="535"/>
  <c r="D81" i="535" s="1"/>
  <c r="B80" i="535"/>
  <c r="AE79" i="535"/>
  <c r="Y79" i="535"/>
  <c r="Z79" i="535" s="1"/>
  <c r="AE78" i="535"/>
  <c r="Y78" i="535"/>
  <c r="Z78" i="535" s="1"/>
  <c r="B78" i="535"/>
  <c r="Y77" i="535"/>
  <c r="I77" i="535"/>
  <c r="B77" i="535"/>
  <c r="AE76" i="535"/>
  <c r="Y76" i="535"/>
  <c r="F76" i="535"/>
  <c r="D76" i="535"/>
  <c r="D77" i="535" s="1"/>
  <c r="B76" i="535"/>
  <c r="AE75" i="535"/>
  <c r="Y75" i="535"/>
  <c r="W75" i="535" s="1"/>
  <c r="W76" i="535" s="1"/>
  <c r="X74" i="535" s="1"/>
  <c r="AE74" i="535"/>
  <c r="Y74" i="535"/>
  <c r="Z74" i="535" s="1"/>
  <c r="B74" i="535"/>
  <c r="Y73" i="535"/>
  <c r="Y72" i="535"/>
  <c r="I73" i="535"/>
  <c r="D73" i="535"/>
  <c r="B73" i="535"/>
  <c r="AE72" i="535"/>
  <c r="F72" i="535"/>
  <c r="B72" i="535"/>
  <c r="AE71" i="535"/>
  <c r="Y71" i="535"/>
  <c r="AF71" i="535" s="1"/>
  <c r="AE70" i="535"/>
  <c r="Y70" i="535"/>
  <c r="Z70" i="535" s="1"/>
  <c r="B70" i="535"/>
  <c r="Y69" i="535"/>
  <c r="I69" i="535"/>
  <c r="B69" i="535"/>
  <c r="AE68" i="535"/>
  <c r="M68" i="535"/>
  <c r="L68" i="535"/>
  <c r="F68" i="535"/>
  <c r="D68" i="535"/>
  <c r="D69" i="535" s="1"/>
  <c r="B68" i="535"/>
  <c r="AE67" i="535"/>
  <c r="Y67" i="535"/>
  <c r="W67" i="535"/>
  <c r="AE66" i="535"/>
  <c r="Y66" i="535"/>
  <c r="Z66" i="535" s="1"/>
  <c r="X66" i="535"/>
  <c r="B66" i="535"/>
  <c r="Y65" i="535"/>
  <c r="I65" i="535"/>
  <c r="B65" i="535"/>
  <c r="AE64" i="535"/>
  <c r="Y64" i="535"/>
  <c r="AD65" i="535" s="1"/>
  <c r="AE65" i="535" s="1"/>
  <c r="F64" i="535"/>
  <c r="D64" i="535"/>
  <c r="D65" i="535" s="1"/>
  <c r="B64" i="535"/>
  <c r="AE63" i="535"/>
  <c r="Y63" i="535"/>
  <c r="AG65" i="535" s="1"/>
  <c r="AE62" i="535"/>
  <c r="Y62" i="535"/>
  <c r="Z62" i="535" s="1"/>
  <c r="B62" i="535"/>
  <c r="Y61" i="535"/>
  <c r="I61" i="535"/>
  <c r="D61" i="535"/>
  <c r="B61" i="535"/>
  <c r="AE60" i="535"/>
  <c r="M60" i="535"/>
  <c r="L60" i="535"/>
  <c r="F60" i="535"/>
  <c r="B60" i="535"/>
  <c r="AE59" i="535"/>
  <c r="Y59" i="535"/>
  <c r="AG61" i="535" s="1"/>
  <c r="W59" i="535"/>
  <c r="AE58" i="535"/>
  <c r="Y58" i="535"/>
  <c r="Z58" i="535" s="1"/>
  <c r="X58" i="535"/>
  <c r="B58" i="535"/>
  <c r="Y57" i="535"/>
  <c r="I57" i="535"/>
  <c r="D57" i="535"/>
  <c r="B57" i="535"/>
  <c r="AE56" i="535"/>
  <c r="Y56" i="535"/>
  <c r="F56" i="535"/>
  <c r="B56" i="535"/>
  <c r="AE55" i="535"/>
  <c r="Y55" i="535"/>
  <c r="AE54" i="535"/>
  <c r="Y54" i="535"/>
  <c r="Z54" i="535" s="1"/>
  <c r="B54" i="535"/>
  <c r="Y53" i="535"/>
  <c r="I53" i="535"/>
  <c r="D53" i="535"/>
  <c r="B53" i="535"/>
  <c r="AE52" i="535"/>
  <c r="Y52" i="535"/>
  <c r="F52" i="535"/>
  <c r="B52" i="535"/>
  <c r="AE51" i="535"/>
  <c r="Y51" i="535"/>
  <c r="W51" i="535"/>
  <c r="AE50" i="535"/>
  <c r="Y50" i="535"/>
  <c r="Z50" i="535" s="1"/>
  <c r="X50" i="535"/>
  <c r="B50" i="535"/>
  <c r="Y49" i="535"/>
  <c r="I49" i="535"/>
  <c r="D49" i="535"/>
  <c r="B49" i="535"/>
  <c r="AE48" i="535"/>
  <c r="Y48" i="535"/>
  <c r="F48" i="535"/>
  <c r="B48" i="535"/>
  <c r="AE47" i="535"/>
  <c r="Y47" i="535"/>
  <c r="AE46" i="535"/>
  <c r="Y46" i="535"/>
  <c r="Z46" i="535" s="1"/>
  <c r="B46" i="535"/>
  <c r="Y45" i="535"/>
  <c r="I45" i="535"/>
  <c r="B45" i="535"/>
  <c r="AE44" i="535"/>
  <c r="Y44" i="535"/>
  <c r="F44" i="535"/>
  <c r="D44" i="535"/>
  <c r="D45" i="535" s="1"/>
  <c r="B44" i="535"/>
  <c r="AE43" i="535"/>
  <c r="Y43" i="535"/>
  <c r="Z43" i="535" s="1"/>
  <c r="W43" i="535"/>
  <c r="AE42" i="535"/>
  <c r="Y42" i="535"/>
  <c r="Z42" i="535" s="1"/>
  <c r="X42" i="535"/>
  <c r="B42" i="535"/>
  <c r="Y41" i="535"/>
  <c r="I41" i="535"/>
  <c r="B41" i="535"/>
  <c r="AE40" i="535"/>
  <c r="Y40" i="535"/>
  <c r="F40" i="535"/>
  <c r="D40" i="535"/>
  <c r="D41" i="535" s="1"/>
  <c r="B40" i="535"/>
  <c r="AE39" i="535"/>
  <c r="Y39" i="535"/>
  <c r="AF39" i="535" s="1"/>
  <c r="AE38" i="535"/>
  <c r="Y38" i="535"/>
  <c r="Z38" i="535" s="1"/>
  <c r="B38" i="535"/>
  <c r="Y37" i="535"/>
  <c r="I37" i="535"/>
  <c r="B37" i="535"/>
  <c r="AE36" i="535"/>
  <c r="Y36" i="535"/>
  <c r="F36" i="535"/>
  <c r="D36" i="535"/>
  <c r="D37" i="535" s="1"/>
  <c r="B36" i="535"/>
  <c r="AE35" i="535"/>
  <c r="Y35" i="535"/>
  <c r="AE34" i="535"/>
  <c r="Y34" i="535"/>
  <c r="Z34" i="535" s="1"/>
  <c r="B34" i="535"/>
  <c r="Y33" i="535"/>
  <c r="I33" i="535"/>
  <c r="B33" i="535"/>
  <c r="AE32" i="535"/>
  <c r="Y32" i="535"/>
  <c r="F32" i="535"/>
  <c r="D32" i="535"/>
  <c r="D33" i="535" s="1"/>
  <c r="B32" i="535"/>
  <c r="AE31" i="535"/>
  <c r="Y31" i="535"/>
  <c r="AF31" i="535" s="1"/>
  <c r="W31" i="535"/>
  <c r="W32" i="535" s="1"/>
  <c r="X30" i="535" s="1"/>
  <c r="AE30" i="535"/>
  <c r="Y30" i="535"/>
  <c r="Z30" i="535" s="1"/>
  <c r="B30" i="535"/>
  <c r="Y29" i="535"/>
  <c r="I29" i="535"/>
  <c r="B29" i="535"/>
  <c r="AE28" i="535"/>
  <c r="Y28" i="535"/>
  <c r="F28" i="535"/>
  <c r="D28" i="535"/>
  <c r="D29" i="535" s="1"/>
  <c r="B28" i="535"/>
  <c r="AE27" i="535"/>
  <c r="Y27" i="535"/>
  <c r="X29" i="535" s="1"/>
  <c r="AE26" i="535"/>
  <c r="Y26" i="535"/>
  <c r="Z26" i="535" s="1"/>
  <c r="B26" i="535"/>
  <c r="Y25" i="535"/>
  <c r="I25" i="535"/>
  <c r="B25" i="535"/>
  <c r="AE24" i="535"/>
  <c r="Y24" i="535"/>
  <c r="F24" i="535"/>
  <c r="D24" i="535"/>
  <c r="D25" i="535" s="1"/>
  <c r="B24" i="535"/>
  <c r="AE23" i="535"/>
  <c r="Y23" i="535"/>
  <c r="AF23" i="535" s="1"/>
  <c r="AE22" i="535"/>
  <c r="Y22" i="535"/>
  <c r="Z22" i="535" s="1"/>
  <c r="B22" i="535"/>
  <c r="Y21" i="535"/>
  <c r="I21" i="535"/>
  <c r="B21" i="535"/>
  <c r="AE20" i="535"/>
  <c r="Y20" i="535"/>
  <c r="F20" i="535"/>
  <c r="D20" i="535"/>
  <c r="D21" i="535" s="1"/>
  <c r="B20" i="535"/>
  <c r="AE19" i="535"/>
  <c r="Y19" i="535"/>
  <c r="Z19" i="535" s="1"/>
  <c r="AE18" i="535"/>
  <c r="Y18" i="535"/>
  <c r="Z18" i="535" s="1"/>
  <c r="B18" i="535"/>
  <c r="Y17" i="535"/>
  <c r="I17" i="535"/>
  <c r="B17" i="535"/>
  <c r="AE16" i="535"/>
  <c r="Y16" i="535"/>
  <c r="AD17" i="535" s="1"/>
  <c r="AE17" i="535" s="1"/>
  <c r="F16" i="535"/>
  <c r="D16" i="535"/>
  <c r="D17" i="535" s="1"/>
  <c r="B16" i="535"/>
  <c r="AE15" i="535"/>
  <c r="Y15" i="535"/>
  <c r="Z15" i="535" s="1"/>
  <c r="AE14" i="535"/>
  <c r="Y14" i="535"/>
  <c r="Z14" i="535" s="1"/>
  <c r="B14" i="535"/>
  <c r="Y13" i="535"/>
  <c r="I13" i="535"/>
  <c r="B13" i="535"/>
  <c r="AE12" i="535"/>
  <c r="Y12" i="535"/>
  <c r="F12" i="535"/>
  <c r="D12" i="535"/>
  <c r="D13" i="535" s="1"/>
  <c r="B12" i="535"/>
  <c r="AE11" i="535"/>
  <c r="Y11" i="535"/>
  <c r="Z11" i="535" s="1"/>
  <c r="AE10" i="535"/>
  <c r="Y10" i="535"/>
  <c r="Z10" i="535" s="1"/>
  <c r="B10" i="535"/>
  <c r="Y9" i="535"/>
  <c r="I9" i="535"/>
  <c r="B9" i="535"/>
  <c r="Y8" i="535"/>
  <c r="F8" i="535"/>
  <c r="D8" i="535"/>
  <c r="D9" i="535" s="1"/>
  <c r="B8" i="535"/>
  <c r="Y7" i="535"/>
  <c r="AF7" i="535" s="1"/>
  <c r="Y6" i="535"/>
  <c r="Z6" i="535" s="1"/>
  <c r="B6" i="535"/>
  <c r="V91" i="515"/>
  <c r="U91" i="515"/>
  <c r="T91" i="515"/>
  <c r="S91" i="515"/>
  <c r="R91" i="515"/>
  <c r="Q91" i="515"/>
  <c r="P91" i="515"/>
  <c r="O91" i="515"/>
  <c r="N91" i="515"/>
  <c r="M91" i="515"/>
  <c r="L91" i="515"/>
  <c r="V89" i="515"/>
  <c r="V97" i="515" s="1"/>
  <c r="U89" i="515"/>
  <c r="U98" i="515" s="1"/>
  <c r="T89" i="515"/>
  <c r="T92" i="515" s="1"/>
  <c r="S89" i="515"/>
  <c r="R89" i="515"/>
  <c r="R94" i="515" s="1"/>
  <c r="R95" i="515" s="1"/>
  <c r="Q89" i="515"/>
  <c r="Q94" i="515" s="1"/>
  <c r="Q95" i="515" s="1"/>
  <c r="P89" i="515"/>
  <c r="P94" i="515" s="1"/>
  <c r="O89" i="515"/>
  <c r="N89" i="515"/>
  <c r="N94" i="515" s="1"/>
  <c r="N95" i="515" s="1"/>
  <c r="M89" i="515"/>
  <c r="M97" i="515" s="1"/>
  <c r="L89" i="515"/>
  <c r="L94" i="515" s="1"/>
  <c r="L95" i="515" s="1"/>
  <c r="AE87" i="515"/>
  <c r="V87" i="515"/>
  <c r="U87" i="515"/>
  <c r="T87" i="515"/>
  <c r="S87" i="515"/>
  <c r="R87" i="515"/>
  <c r="Q87" i="515"/>
  <c r="P87" i="515"/>
  <c r="O87" i="515"/>
  <c r="N87" i="515"/>
  <c r="M87" i="515"/>
  <c r="L87" i="515"/>
  <c r="Y85" i="515"/>
  <c r="I85" i="515"/>
  <c r="B85" i="515"/>
  <c r="AE84" i="515"/>
  <c r="Y84" i="515"/>
  <c r="AC83" i="515" s="1"/>
  <c r="F84" i="515"/>
  <c r="D84" i="515"/>
  <c r="D85" i="515" s="1"/>
  <c r="B84" i="515"/>
  <c r="AE83" i="515"/>
  <c r="Y83" i="515"/>
  <c r="X85" i="515" s="1"/>
  <c r="W83" i="515"/>
  <c r="W84" i="515" s="1"/>
  <c r="X82" i="515" s="1"/>
  <c r="AE82" i="515"/>
  <c r="Y82" i="515"/>
  <c r="Z82" i="515" s="1"/>
  <c r="B82" i="515"/>
  <c r="Y81" i="515"/>
  <c r="I81" i="515"/>
  <c r="B81" i="515"/>
  <c r="AE80" i="515"/>
  <c r="Y80" i="515"/>
  <c r="F80" i="515"/>
  <c r="D80" i="515"/>
  <c r="D81" i="515" s="1"/>
  <c r="B80" i="515"/>
  <c r="AE79" i="515"/>
  <c r="Y79" i="515"/>
  <c r="AF79" i="515" s="1"/>
  <c r="AE78" i="515"/>
  <c r="Y78" i="515"/>
  <c r="Z78" i="515" s="1"/>
  <c r="B78" i="515"/>
  <c r="Y77" i="515"/>
  <c r="I77" i="515"/>
  <c r="B77" i="515"/>
  <c r="AE76" i="515"/>
  <c r="Y76" i="515"/>
  <c r="F76" i="515"/>
  <c r="D76" i="515"/>
  <c r="D77" i="515" s="1"/>
  <c r="B76" i="515"/>
  <c r="AE75" i="515"/>
  <c r="Y75" i="515"/>
  <c r="W75" i="515"/>
  <c r="W76" i="515" s="1"/>
  <c r="X74" i="515" s="1"/>
  <c r="AE74" i="515"/>
  <c r="Y74" i="515"/>
  <c r="Z74" i="515" s="1"/>
  <c r="B74" i="515"/>
  <c r="Y73" i="515"/>
  <c r="I73" i="515"/>
  <c r="D73" i="515"/>
  <c r="B73" i="515"/>
  <c r="AE72" i="515"/>
  <c r="Y72" i="515"/>
  <c r="F72" i="515"/>
  <c r="B72" i="515"/>
  <c r="AE71" i="515"/>
  <c r="Y71" i="515"/>
  <c r="AG73" i="515" s="1"/>
  <c r="W71" i="515"/>
  <c r="W72" i="515" s="1"/>
  <c r="X70" i="515" s="1"/>
  <c r="AE70" i="515"/>
  <c r="Y70" i="515"/>
  <c r="Z70" i="515" s="1"/>
  <c r="B70" i="515"/>
  <c r="Y69" i="515"/>
  <c r="I69" i="515"/>
  <c r="B69" i="515"/>
  <c r="AE68" i="515"/>
  <c r="Y68" i="515"/>
  <c r="F68" i="515"/>
  <c r="D68" i="515"/>
  <c r="D69" i="515" s="1"/>
  <c r="B68" i="515"/>
  <c r="AE67" i="515"/>
  <c r="Y67" i="515"/>
  <c r="W67" i="515"/>
  <c r="W68" i="515" s="1"/>
  <c r="X66" i="515" s="1"/>
  <c r="AE66" i="515"/>
  <c r="Y66" i="515"/>
  <c r="Z66" i="515" s="1"/>
  <c r="B66" i="515"/>
  <c r="Y65" i="515"/>
  <c r="I65" i="515"/>
  <c r="B65" i="515"/>
  <c r="AE64" i="515"/>
  <c r="Y64" i="515"/>
  <c r="F64" i="515"/>
  <c r="D64" i="515"/>
  <c r="D65" i="515" s="1"/>
  <c r="B64" i="515"/>
  <c r="AE63" i="515"/>
  <c r="Y63" i="515"/>
  <c r="AF63" i="515" s="1"/>
  <c r="W63" i="515"/>
  <c r="W64" i="515" s="1"/>
  <c r="X62" i="515" s="1"/>
  <c r="AE62" i="515"/>
  <c r="Y62" i="515"/>
  <c r="Z62" i="515" s="1"/>
  <c r="B62" i="515"/>
  <c r="Y61" i="515"/>
  <c r="I61" i="515"/>
  <c r="B61" i="515"/>
  <c r="AE60" i="515"/>
  <c r="Y60" i="515"/>
  <c r="F60" i="515"/>
  <c r="D60" i="515"/>
  <c r="D61" i="515" s="1"/>
  <c r="B60" i="515"/>
  <c r="AE59" i="515"/>
  <c r="Y59" i="515"/>
  <c r="W59" i="515"/>
  <c r="W60" i="515" s="1"/>
  <c r="X58" i="515" s="1"/>
  <c r="AE58" i="515"/>
  <c r="Y58" i="515"/>
  <c r="Z58" i="515" s="1"/>
  <c r="B58" i="515"/>
  <c r="Y57" i="515"/>
  <c r="I57" i="515"/>
  <c r="D57" i="515"/>
  <c r="B57" i="515"/>
  <c r="AE56" i="515"/>
  <c r="Y56" i="515"/>
  <c r="F56" i="515"/>
  <c r="B56" i="515"/>
  <c r="AE55" i="515"/>
  <c r="Y55" i="515"/>
  <c r="W55" i="515" s="1"/>
  <c r="W56" i="515" s="1"/>
  <c r="X54" i="515" s="1"/>
  <c r="AE54" i="515"/>
  <c r="Y54" i="515"/>
  <c r="Z54" i="515" s="1"/>
  <c r="B54" i="515"/>
  <c r="Y53" i="515"/>
  <c r="I53" i="515"/>
  <c r="B53" i="515"/>
  <c r="AE52" i="515"/>
  <c r="Y52" i="515"/>
  <c r="F52" i="515"/>
  <c r="D52" i="515"/>
  <c r="D53" i="515" s="1"/>
  <c r="B52" i="515"/>
  <c r="AE51" i="515"/>
  <c r="Y51" i="515"/>
  <c r="AF51" i="515" s="1"/>
  <c r="W51" i="515"/>
  <c r="W52" i="515" s="1"/>
  <c r="X50" i="515" s="1"/>
  <c r="AE50" i="515"/>
  <c r="Y50" i="515"/>
  <c r="Z50" i="515" s="1"/>
  <c r="B50" i="515"/>
  <c r="Y49" i="515"/>
  <c r="Y48" i="515"/>
  <c r="I49" i="515"/>
  <c r="D49" i="515"/>
  <c r="B49" i="515"/>
  <c r="AE48" i="515"/>
  <c r="F48" i="515"/>
  <c r="B48" i="515"/>
  <c r="AE47" i="515"/>
  <c r="Y47" i="515"/>
  <c r="Z47" i="515" s="1"/>
  <c r="W47" i="515"/>
  <c r="W48" i="515" s="1"/>
  <c r="X46" i="515" s="1"/>
  <c r="AE46" i="515"/>
  <c r="Y46" i="515"/>
  <c r="Z46" i="515" s="1"/>
  <c r="B46" i="515"/>
  <c r="Y45" i="515"/>
  <c r="I45" i="515"/>
  <c r="D45" i="515"/>
  <c r="B45" i="515"/>
  <c r="AE44" i="515"/>
  <c r="Y44" i="515"/>
  <c r="F44" i="515"/>
  <c r="B44" i="515"/>
  <c r="AE43" i="515"/>
  <c r="Y43" i="515"/>
  <c r="AF43" i="515" s="1"/>
  <c r="W43" i="515"/>
  <c r="W44" i="515" s="1"/>
  <c r="X42" i="515" s="1"/>
  <c r="AE42" i="515"/>
  <c r="Y42" i="515"/>
  <c r="Z42" i="515" s="1"/>
  <c r="B42" i="515"/>
  <c r="Y41" i="515"/>
  <c r="I41" i="515"/>
  <c r="D41" i="515"/>
  <c r="B41" i="515"/>
  <c r="AE40" i="515"/>
  <c r="Y40" i="515"/>
  <c r="F40" i="515"/>
  <c r="B40" i="515"/>
  <c r="AE39" i="515"/>
  <c r="Y39" i="515"/>
  <c r="AG41" i="515" s="1"/>
  <c r="W39" i="515"/>
  <c r="W40" i="515" s="1"/>
  <c r="X38" i="515" s="1"/>
  <c r="AE38" i="515"/>
  <c r="Y38" i="515"/>
  <c r="Z38" i="515" s="1"/>
  <c r="B38" i="515"/>
  <c r="Y37" i="515"/>
  <c r="I37" i="515"/>
  <c r="B37" i="515"/>
  <c r="AE36" i="515"/>
  <c r="Y36" i="515"/>
  <c r="F36" i="515"/>
  <c r="D36" i="515"/>
  <c r="D37" i="515" s="1"/>
  <c r="B36" i="515"/>
  <c r="AE35" i="515"/>
  <c r="Y35" i="515"/>
  <c r="AG37" i="515" s="1"/>
  <c r="W35" i="515"/>
  <c r="W36" i="515" s="1"/>
  <c r="X34" i="515" s="1"/>
  <c r="AE34" i="515"/>
  <c r="Y34" i="515"/>
  <c r="Z34" i="515" s="1"/>
  <c r="B34" i="515"/>
  <c r="Y33" i="515"/>
  <c r="I33" i="515"/>
  <c r="B33" i="515"/>
  <c r="AE32" i="515"/>
  <c r="Y32" i="515"/>
  <c r="F32" i="515"/>
  <c r="D32" i="515"/>
  <c r="D33" i="515" s="1"/>
  <c r="B32" i="515"/>
  <c r="AE31" i="515"/>
  <c r="Y31" i="515"/>
  <c r="AF31" i="515" s="1"/>
  <c r="W31" i="515"/>
  <c r="W32" i="515" s="1"/>
  <c r="X30" i="515" s="1"/>
  <c r="AE30" i="515"/>
  <c r="Y30" i="515"/>
  <c r="Z30" i="515" s="1"/>
  <c r="B30" i="515"/>
  <c r="Y29" i="515"/>
  <c r="I29" i="515"/>
  <c r="B29" i="515"/>
  <c r="AE28" i="515"/>
  <c r="Y28" i="515"/>
  <c r="F28" i="515"/>
  <c r="D28" i="515"/>
  <c r="D29" i="515" s="1"/>
  <c r="B28" i="515"/>
  <c r="AE27" i="515"/>
  <c r="Y27" i="515"/>
  <c r="AG29" i="515" s="1"/>
  <c r="W27" i="515"/>
  <c r="W28" i="515" s="1"/>
  <c r="X26" i="515" s="1"/>
  <c r="AE26" i="515"/>
  <c r="Y26" i="515"/>
  <c r="Z26" i="515" s="1"/>
  <c r="B26" i="515"/>
  <c r="Y25" i="515"/>
  <c r="I25" i="515"/>
  <c r="B25" i="515"/>
  <c r="AE24" i="515"/>
  <c r="Y24" i="515"/>
  <c r="F24" i="515"/>
  <c r="D24" i="515"/>
  <c r="D25" i="515" s="1"/>
  <c r="B24" i="515"/>
  <c r="AE23" i="515"/>
  <c r="Y23" i="515"/>
  <c r="W23" i="515"/>
  <c r="W24" i="515" s="1"/>
  <c r="X22" i="515" s="1"/>
  <c r="AE22" i="515"/>
  <c r="Y22" i="515"/>
  <c r="Z22" i="515" s="1"/>
  <c r="B22" i="515"/>
  <c r="Y21" i="515"/>
  <c r="I21" i="515"/>
  <c r="B21" i="515"/>
  <c r="AE20" i="515"/>
  <c r="Y20" i="515"/>
  <c r="F20" i="515"/>
  <c r="D20" i="515"/>
  <c r="D21" i="515" s="1"/>
  <c r="B20" i="515"/>
  <c r="AE19" i="515"/>
  <c r="Y19" i="515"/>
  <c r="AG21" i="515" s="1"/>
  <c r="W19" i="515"/>
  <c r="W20" i="515" s="1"/>
  <c r="X18" i="515" s="1"/>
  <c r="AE18" i="515"/>
  <c r="Y18" i="515"/>
  <c r="Z18" i="515" s="1"/>
  <c r="B18" i="515"/>
  <c r="Y17" i="515"/>
  <c r="I17" i="515"/>
  <c r="B17" i="515"/>
  <c r="AE16" i="515"/>
  <c r="Y16" i="515"/>
  <c r="F16" i="515"/>
  <c r="D16" i="515"/>
  <c r="D17" i="515" s="1"/>
  <c r="B16" i="515"/>
  <c r="AE15" i="515"/>
  <c r="Y15" i="515"/>
  <c r="AG17" i="515" s="1"/>
  <c r="W15" i="515"/>
  <c r="W16" i="515" s="1"/>
  <c r="X14" i="515" s="1"/>
  <c r="AE14" i="515"/>
  <c r="Y14" i="515"/>
  <c r="Z14" i="515" s="1"/>
  <c r="B14" i="515"/>
  <c r="Y13" i="515"/>
  <c r="I13" i="515"/>
  <c r="B13" i="515"/>
  <c r="AE12" i="515"/>
  <c r="Y12" i="515"/>
  <c r="F12" i="515"/>
  <c r="D12" i="515"/>
  <c r="D13" i="515" s="1"/>
  <c r="B12" i="515"/>
  <c r="AE11" i="515"/>
  <c r="Y11" i="515"/>
  <c r="AG13" i="515" s="1"/>
  <c r="W11" i="515"/>
  <c r="W12" i="515" s="1"/>
  <c r="X10" i="515" s="1"/>
  <c r="AE10" i="515"/>
  <c r="Y10" i="515"/>
  <c r="Z10" i="515" s="1"/>
  <c r="B10" i="515"/>
  <c r="Y9" i="515"/>
  <c r="I9" i="515"/>
  <c r="B9" i="515"/>
  <c r="Y8" i="515"/>
  <c r="F8" i="515"/>
  <c r="D8" i="515"/>
  <c r="D9" i="515" s="1"/>
  <c r="B8" i="515"/>
  <c r="Y7" i="515"/>
  <c r="AF7" i="515" s="1"/>
  <c r="W7" i="515"/>
  <c r="W8" i="515" s="1"/>
  <c r="X6" i="515" s="1"/>
  <c r="Y6" i="515"/>
  <c r="Z6" i="515" s="1"/>
  <c r="B6" i="515"/>
  <c r="W79" i="5"/>
  <c r="AC79" i="5" s="1"/>
  <c r="B79" i="5"/>
  <c r="W78" i="5"/>
  <c r="AC78" i="5" s="1"/>
  <c r="B78" i="5"/>
  <c r="W77" i="5"/>
  <c r="W76" i="5"/>
  <c r="X76" i="5" s="1"/>
  <c r="B76" i="5"/>
  <c r="W75" i="5"/>
  <c r="AC75" i="5" s="1"/>
  <c r="B75" i="5"/>
  <c r="W74" i="5"/>
  <c r="AC74" i="5" s="1"/>
  <c r="B74" i="5"/>
  <c r="R73" i="5"/>
  <c r="W73" i="5" s="1"/>
  <c r="W72" i="5"/>
  <c r="X72" i="5" s="1"/>
  <c r="B72" i="5"/>
  <c r="W71" i="5"/>
  <c r="AC71" i="5" s="1"/>
  <c r="B71" i="5"/>
  <c r="W70" i="5"/>
  <c r="AC70" i="5" s="1"/>
  <c r="B70" i="5"/>
  <c r="W69" i="5"/>
  <c r="X69" i="5" s="1"/>
  <c r="W68" i="5"/>
  <c r="X68" i="5" s="1"/>
  <c r="B68" i="5"/>
  <c r="W67" i="5"/>
  <c r="B67" i="5"/>
  <c r="W66" i="5"/>
  <c r="AC66" i="5" s="1"/>
  <c r="B66" i="5"/>
  <c r="W65" i="5"/>
  <c r="H65" i="5"/>
  <c r="W64" i="5"/>
  <c r="X64" i="5" s="1"/>
  <c r="B64" i="5"/>
  <c r="W63" i="5"/>
  <c r="AC63" i="5" s="1"/>
  <c r="B63" i="5"/>
  <c r="W62" i="5"/>
  <c r="AC62" i="5" s="1"/>
  <c r="B62" i="5"/>
  <c r="W61" i="5"/>
  <c r="V61" i="5" s="1"/>
  <c r="W60" i="5"/>
  <c r="X60" i="5" s="1"/>
  <c r="B60" i="5"/>
  <c r="W59" i="5"/>
  <c r="AC59" i="5" s="1"/>
  <c r="B59" i="5"/>
  <c r="W58" i="5"/>
  <c r="AC58" i="5" s="1"/>
  <c r="B58" i="5"/>
  <c r="W57" i="5"/>
  <c r="X57" i="5" s="1"/>
  <c r="W56" i="5"/>
  <c r="X56" i="5" s="1"/>
  <c r="B56" i="5"/>
  <c r="W55" i="5"/>
  <c r="AC55" i="5" s="1"/>
  <c r="B55" i="5"/>
  <c r="W54" i="5"/>
  <c r="AC54" i="5" s="1"/>
  <c r="B54" i="5"/>
  <c r="W53" i="5"/>
  <c r="V53" i="5" s="1"/>
  <c r="W52" i="5"/>
  <c r="X52" i="5" s="1"/>
  <c r="B52" i="5"/>
  <c r="W51" i="5"/>
  <c r="AC51" i="5" s="1"/>
  <c r="B51" i="5"/>
  <c r="W50" i="5"/>
  <c r="AC50" i="5" s="1"/>
  <c r="B50" i="5"/>
  <c r="W49" i="5"/>
  <c r="W48" i="5"/>
  <c r="X48" i="5" s="1"/>
  <c r="B48" i="5"/>
  <c r="W47" i="5"/>
  <c r="AC47" i="5" s="1"/>
  <c r="B47" i="5"/>
  <c r="W46" i="5"/>
  <c r="AC46" i="5" s="1"/>
  <c r="B46" i="5"/>
  <c r="W45" i="5"/>
  <c r="V45" i="5" s="1"/>
  <c r="W44" i="5"/>
  <c r="X44" i="5" s="1"/>
  <c r="Z45" i="5" s="1"/>
  <c r="Z47" i="5" s="1"/>
  <c r="B44" i="5"/>
  <c r="W43" i="5"/>
  <c r="AC43" i="5" s="1"/>
  <c r="B43" i="5"/>
  <c r="W42" i="5"/>
  <c r="B42" i="5"/>
  <c r="W41" i="5"/>
  <c r="W40" i="5"/>
  <c r="X40" i="5" s="1"/>
  <c r="B40" i="5"/>
  <c r="W39" i="5"/>
  <c r="AC39" i="5" s="1"/>
  <c r="B39" i="5"/>
  <c r="W38" i="5"/>
  <c r="AC38" i="5" s="1"/>
  <c r="B38" i="5"/>
  <c r="W37" i="5"/>
  <c r="AD37" i="5" s="1"/>
  <c r="W36" i="5"/>
  <c r="X36" i="5" s="1"/>
  <c r="B36" i="5"/>
  <c r="W35" i="5"/>
  <c r="AC35" i="5" s="1"/>
  <c r="B35" i="5"/>
  <c r="W34" i="5"/>
  <c r="B34" i="5"/>
  <c r="W33" i="5"/>
  <c r="X33" i="5" s="1"/>
  <c r="W32" i="5"/>
  <c r="X32" i="5" s="1"/>
  <c r="B32" i="5"/>
  <c r="W31" i="5"/>
  <c r="AC31" i="5" s="1"/>
  <c r="B31" i="5"/>
  <c r="W30" i="5"/>
  <c r="AC30" i="5" s="1"/>
  <c r="B30" i="5"/>
  <c r="W29" i="5"/>
  <c r="V29" i="5" s="1"/>
  <c r="W28" i="5"/>
  <c r="X28" i="5" s="1"/>
  <c r="B28" i="5"/>
  <c r="W27" i="5"/>
  <c r="AC27" i="5" s="1"/>
  <c r="B27" i="5"/>
  <c r="W26" i="5"/>
  <c r="B26" i="5"/>
  <c r="Z25" i="5"/>
  <c r="Z27" i="5" s="1"/>
  <c r="W25" i="5"/>
  <c r="AD25" i="5" s="1"/>
  <c r="V25" i="5"/>
  <c r="W24" i="5"/>
  <c r="B24" i="5"/>
  <c r="W23" i="5"/>
  <c r="AC23" i="5" s="1"/>
  <c r="B23" i="5"/>
  <c r="W22" i="5"/>
  <c r="AC22" i="5" s="1"/>
  <c r="B22" i="5"/>
  <c r="W21" i="5"/>
  <c r="V21" i="5" s="1"/>
  <c r="W20" i="5"/>
  <c r="B20" i="5"/>
  <c r="W19" i="5"/>
  <c r="AC19" i="5" s="1"/>
  <c r="B19" i="5"/>
  <c r="W18" i="5"/>
  <c r="AC18" i="5" s="1"/>
  <c r="B18" i="5"/>
  <c r="Z17" i="5"/>
  <c r="Z19" i="5" s="1"/>
  <c r="W17" i="5"/>
  <c r="AD17" i="5" s="1"/>
  <c r="V17" i="5"/>
  <c r="W16" i="5"/>
  <c r="B16" i="5"/>
  <c r="W15" i="5"/>
  <c r="B15" i="5"/>
  <c r="W14" i="5"/>
  <c r="AC14" i="5" s="1"/>
  <c r="B14" i="5"/>
  <c r="W13" i="5"/>
  <c r="AD13" i="5" s="1"/>
  <c r="W12" i="5"/>
  <c r="X12" i="5" s="1"/>
  <c r="B12" i="5"/>
  <c r="W11" i="5"/>
  <c r="AC11" i="5" s="1"/>
  <c r="B11" i="5"/>
  <c r="W10" i="5"/>
  <c r="AC10" i="5" s="1"/>
  <c r="B10" i="5"/>
  <c r="W9" i="5"/>
  <c r="W8" i="5"/>
  <c r="X8" i="5" s="1"/>
  <c r="B8" i="5"/>
  <c r="W7" i="5"/>
  <c r="AC7" i="5" s="1"/>
  <c r="B7" i="5"/>
  <c r="W6" i="5"/>
  <c r="AC6" i="5" s="1"/>
  <c r="B6" i="5"/>
  <c r="W5" i="5"/>
  <c r="X5" i="5" s="1"/>
  <c r="W4" i="5"/>
  <c r="X4" i="5" s="1"/>
  <c r="B4" i="5"/>
  <c r="L3" i="1585"/>
  <c r="K3" i="1585"/>
  <c r="K15" i="1585" s="1"/>
  <c r="W3" i="1585"/>
  <c r="W15" i="1585" s="1"/>
  <c r="AD37" i="535" l="1"/>
  <c r="AE37" i="535" s="1"/>
  <c r="AD37" i="515"/>
  <c r="AE37" i="515" s="1"/>
  <c r="AD69" i="617"/>
  <c r="AE69" i="617" s="1"/>
  <c r="AD21" i="535"/>
  <c r="AE21" i="535" s="1"/>
  <c r="AD29" i="535"/>
  <c r="AE29" i="535" s="1"/>
  <c r="AD69" i="515"/>
  <c r="AE69" i="515" s="1"/>
  <c r="AD41" i="617"/>
  <c r="AE41" i="617" s="1"/>
  <c r="AD13" i="617"/>
  <c r="AE13" i="617" s="1"/>
  <c r="AD9" i="617"/>
  <c r="AE9" i="617" s="1"/>
  <c r="AD81" i="535"/>
  <c r="AE81" i="535" s="1"/>
  <c r="AD81" i="515"/>
  <c r="AE81" i="515" s="1"/>
  <c r="AD33" i="535"/>
  <c r="AE33" i="535" s="1"/>
  <c r="AD25" i="535"/>
  <c r="AE25" i="535" s="1"/>
  <c r="L101" i="625"/>
  <c r="L102" i="625" s="1"/>
  <c r="AC15" i="515"/>
  <c r="AD13" i="625"/>
  <c r="AE13" i="625" s="1"/>
  <c r="AC35" i="617"/>
  <c r="K11" i="835"/>
  <c r="K21" i="835"/>
  <c r="AD41" i="535"/>
  <c r="AE41" i="535" s="1"/>
  <c r="AD13" i="535"/>
  <c r="AE13" i="535" s="1"/>
  <c r="V102" i="625"/>
  <c r="AC59" i="515"/>
  <c r="AD77" i="515"/>
  <c r="AE77" i="515" s="1"/>
  <c r="AD65" i="515"/>
  <c r="AE65" i="515" s="1"/>
  <c r="AF31" i="625"/>
  <c r="W31" i="617"/>
  <c r="W32" i="617" s="1"/>
  <c r="X30" i="617" s="1"/>
  <c r="AD29" i="515"/>
  <c r="AE29" i="515" s="1"/>
  <c r="AD53" i="515"/>
  <c r="AE53" i="515" s="1"/>
  <c r="AD45" i="535"/>
  <c r="AE45" i="535" s="1"/>
  <c r="U102" i="625"/>
  <c r="K14" i="835"/>
  <c r="Z71" i="535"/>
  <c r="AB71" i="535" s="1"/>
  <c r="AB73" i="535" s="1"/>
  <c r="S93" i="617"/>
  <c r="S94" i="617" s="1"/>
  <c r="U104" i="535"/>
  <c r="T98" i="625"/>
  <c r="T99" i="625" s="1"/>
  <c r="K16" i="835"/>
  <c r="K17" i="835"/>
  <c r="H41" i="835"/>
  <c r="I41" i="835" s="1"/>
  <c r="Z39" i="625"/>
  <c r="AB39" i="625" s="1"/>
  <c r="AB41" i="625" s="1"/>
  <c r="Z11" i="625"/>
  <c r="AB11" i="625" s="1"/>
  <c r="AB13" i="625" s="1"/>
  <c r="AD9" i="625"/>
  <c r="AE9" i="625" s="1"/>
  <c r="W39" i="535"/>
  <c r="W40" i="535" s="1"/>
  <c r="X38" i="535" s="1"/>
  <c r="U96" i="625"/>
  <c r="Z35" i="617"/>
  <c r="AB35" i="617" s="1"/>
  <c r="AB37" i="617" s="1"/>
  <c r="L96" i="625"/>
  <c r="AC7" i="625"/>
  <c r="W67" i="625"/>
  <c r="W68" i="625" s="1"/>
  <c r="X66" i="625" s="1"/>
  <c r="L93" i="617"/>
  <c r="L94" i="617" s="1"/>
  <c r="W7" i="625"/>
  <c r="W8" i="625" s="1"/>
  <c r="X6" i="625" s="1"/>
  <c r="AF59" i="617"/>
  <c r="R96" i="625"/>
  <c r="U93" i="617"/>
  <c r="AD76" i="625"/>
  <c r="AE76" i="625" s="1"/>
  <c r="AD21" i="5"/>
  <c r="N106" i="535"/>
  <c r="N107" i="535" s="1"/>
  <c r="P88" i="617"/>
  <c r="AC47" i="625"/>
  <c r="W11" i="625"/>
  <c r="W12" i="625" s="1"/>
  <c r="X10" i="625" s="1"/>
  <c r="Z7" i="625"/>
  <c r="AB7" i="625" s="1"/>
  <c r="AB9" i="625" s="1"/>
  <c r="AB35" i="625"/>
  <c r="AB37" i="625" s="1"/>
  <c r="H40" i="835"/>
  <c r="I40" i="835" s="1"/>
  <c r="K19" i="835"/>
  <c r="AC63" i="535"/>
  <c r="W35" i="625"/>
  <c r="W36" i="625" s="1"/>
  <c r="X34" i="625" s="1"/>
  <c r="W11" i="617"/>
  <c r="W12" i="617" s="1"/>
  <c r="X10" i="617" s="1"/>
  <c r="V96" i="625"/>
  <c r="K24" i="835"/>
  <c r="H43" i="835"/>
  <c r="I43" i="835" s="1"/>
  <c r="AG69" i="617"/>
  <c r="W59" i="625"/>
  <c r="W60" i="625" s="1"/>
  <c r="X58" i="625" s="1"/>
  <c r="N93" i="617"/>
  <c r="N94" i="617" s="1"/>
  <c r="Z23" i="617"/>
  <c r="AB23" i="617" s="1"/>
  <c r="AB25" i="617" s="1"/>
  <c r="Z71" i="617"/>
  <c r="AB71" i="617" s="1"/>
  <c r="AB73" i="617" s="1"/>
  <c r="AC15" i="625"/>
  <c r="U101" i="625"/>
  <c r="AF67" i="625"/>
  <c r="AF39" i="625"/>
  <c r="U94" i="617"/>
  <c r="AF75" i="617"/>
  <c r="U99" i="625"/>
  <c r="X69" i="625"/>
  <c r="R101" i="625"/>
  <c r="R102" i="625" s="1"/>
  <c r="AC67" i="625"/>
  <c r="U90" i="617"/>
  <c r="X9" i="625"/>
  <c r="U91" i="617"/>
  <c r="AC43" i="535"/>
  <c r="AC35" i="535"/>
  <c r="AC47" i="535"/>
  <c r="N104" i="535"/>
  <c r="X91" i="625"/>
  <c r="Y4" i="625" s="1"/>
  <c r="K13" i="835"/>
  <c r="K27" i="835"/>
  <c r="AG49" i="515"/>
  <c r="X17" i="535"/>
  <c r="X49" i="515"/>
  <c r="V98" i="625"/>
  <c r="Z63" i="535"/>
  <c r="AB63" i="535" s="1"/>
  <c r="AB65" i="535" s="1"/>
  <c r="AC27" i="535"/>
  <c r="R93" i="617"/>
  <c r="R94" i="617" s="1"/>
  <c r="Z43" i="625"/>
  <c r="AB43" i="625" s="1"/>
  <c r="AB45" i="625" s="1"/>
  <c r="M90" i="617"/>
  <c r="M91" i="617" s="1"/>
  <c r="AF55" i="617"/>
  <c r="W55" i="625"/>
  <c r="W56" i="625" s="1"/>
  <c r="X54" i="625" s="1"/>
  <c r="X29" i="617"/>
  <c r="V99" i="625"/>
  <c r="AG53" i="515"/>
  <c r="AC55" i="625"/>
  <c r="AC67" i="515"/>
  <c r="T97" i="515"/>
  <c r="AC23" i="617"/>
  <c r="AD53" i="617"/>
  <c r="AE53" i="617" s="1"/>
  <c r="AB59" i="617"/>
  <c r="AB61" i="617" s="1"/>
  <c r="AC39" i="625"/>
  <c r="AD85" i="625"/>
  <c r="AG85" i="625" s="1"/>
  <c r="AD73" i="535"/>
  <c r="AE73" i="535" s="1"/>
  <c r="AD61" i="515"/>
  <c r="AE61" i="515" s="1"/>
  <c r="Y68" i="535"/>
  <c r="AD69" i="535" s="1"/>
  <c r="AE69" i="535" s="1"/>
  <c r="AC63" i="617"/>
  <c r="AC59" i="625"/>
  <c r="AC87" i="625"/>
  <c r="P96" i="625"/>
  <c r="T96" i="625"/>
  <c r="K15" i="835"/>
  <c r="K23" i="835"/>
  <c r="H39" i="835"/>
  <c r="I39" i="835" s="1"/>
  <c r="AD21" i="515"/>
  <c r="AE21" i="515" s="1"/>
  <c r="AC19" i="515"/>
  <c r="M98" i="515"/>
  <c r="AD89" i="625"/>
  <c r="AG89" i="625" s="1"/>
  <c r="Z31" i="625"/>
  <c r="AB31" i="625" s="1"/>
  <c r="AB33" i="625" s="1"/>
  <c r="Z19" i="625"/>
  <c r="AB19" i="625" s="1"/>
  <c r="AB21" i="625" s="1"/>
  <c r="Z47" i="617"/>
  <c r="AB47" i="617" s="1"/>
  <c r="AB49" i="617" s="1"/>
  <c r="AC27" i="515"/>
  <c r="AC31" i="625"/>
  <c r="Z59" i="625"/>
  <c r="AB59" i="625" s="1"/>
  <c r="AB61" i="625" s="1"/>
  <c r="AC27" i="625"/>
  <c r="AD13" i="515"/>
  <c r="AE13" i="515" s="1"/>
  <c r="AC71" i="617"/>
  <c r="W87" i="535"/>
  <c r="W88" i="535" s="1"/>
  <c r="X86" i="535" s="1"/>
  <c r="X61" i="625"/>
  <c r="AF19" i="625"/>
  <c r="N96" i="625"/>
  <c r="S88" i="617"/>
  <c r="AB11" i="535"/>
  <c r="AB13" i="535" s="1"/>
  <c r="AC19" i="535"/>
  <c r="X53" i="5"/>
  <c r="Z53" i="5" s="1"/>
  <c r="Z55" i="5" s="1"/>
  <c r="AG21" i="535"/>
  <c r="U97" i="515"/>
  <c r="W31" i="625"/>
  <c r="W32" i="625" s="1"/>
  <c r="X30" i="625" s="1"/>
  <c r="AF43" i="617"/>
  <c r="AF71" i="617"/>
  <c r="AF31" i="617"/>
  <c r="W71" i="535"/>
  <c r="W72" i="535" s="1"/>
  <c r="X70" i="535" s="1"/>
  <c r="AF67" i="617"/>
  <c r="AG33" i="535"/>
  <c r="AD85" i="535"/>
  <c r="AE85" i="535" s="1"/>
  <c r="G92" i="625"/>
  <c r="AC51" i="625"/>
  <c r="AD57" i="625"/>
  <c r="AG57" i="625" s="1"/>
  <c r="T98" i="515"/>
  <c r="Z95" i="535"/>
  <c r="AB95" i="535" s="1"/>
  <c r="AB97" i="535" s="1"/>
  <c r="V109" i="535"/>
  <c r="AF63" i="535"/>
  <c r="Z7" i="535"/>
  <c r="AB7" i="535" s="1"/>
  <c r="AB9" i="535" s="1"/>
  <c r="T94" i="515"/>
  <c r="W63" i="617"/>
  <c r="W64" i="617" s="1"/>
  <c r="X62" i="617" s="1"/>
  <c r="AC79" i="617"/>
  <c r="AC43" i="625"/>
  <c r="Z15" i="625"/>
  <c r="AB15" i="625" s="1"/>
  <c r="AB17" i="625" s="1"/>
  <c r="Z79" i="617"/>
  <c r="AB79" i="617" s="1"/>
  <c r="AB81" i="617" s="1"/>
  <c r="Z55" i="617"/>
  <c r="AB55" i="617" s="1"/>
  <c r="AB57" i="617" s="1"/>
  <c r="AC27" i="617"/>
  <c r="P92" i="515"/>
  <c r="AD53" i="625"/>
  <c r="AE53" i="625" s="1"/>
  <c r="Z63" i="617"/>
  <c r="AB63" i="617" s="1"/>
  <c r="AB65" i="617" s="1"/>
  <c r="X13" i="617"/>
  <c r="AD37" i="617"/>
  <c r="AE37" i="617" s="1"/>
  <c r="W39" i="617"/>
  <c r="W40" i="617" s="1"/>
  <c r="X38" i="617" s="1"/>
  <c r="V107" i="535"/>
  <c r="R106" i="535"/>
  <c r="R107" i="535" s="1"/>
  <c r="AC75" i="515"/>
  <c r="W63" i="535"/>
  <c r="W64" i="535" s="1"/>
  <c r="X62" i="535" s="1"/>
  <c r="V110" i="535"/>
  <c r="AF83" i="535"/>
  <c r="AB19" i="617"/>
  <c r="AB21" i="617" s="1"/>
  <c r="AG17" i="535"/>
  <c r="Q109" i="535"/>
  <c r="Q110" i="535" s="1"/>
  <c r="L97" i="515"/>
  <c r="L98" i="515" s="1"/>
  <c r="W71" i="625"/>
  <c r="W72" i="625" s="1"/>
  <c r="X70" i="625" s="1"/>
  <c r="Z55" i="625"/>
  <c r="AB55" i="625" s="1"/>
  <c r="AB57" i="625" s="1"/>
  <c r="V88" i="617"/>
  <c r="W79" i="617"/>
  <c r="W80" i="617" s="1"/>
  <c r="X78" i="617" s="1"/>
  <c r="AF15" i="535"/>
  <c r="R88" i="617"/>
  <c r="X41" i="617"/>
  <c r="AG21" i="617"/>
  <c r="AG85" i="535"/>
  <c r="AC11" i="625"/>
  <c r="W27" i="617"/>
  <c r="W28" i="617" s="1"/>
  <c r="X26" i="617" s="1"/>
  <c r="AF39" i="617"/>
  <c r="V93" i="617"/>
  <c r="Z27" i="617"/>
  <c r="AB27" i="617" s="1"/>
  <c r="AB29" i="617" s="1"/>
  <c r="AD25" i="617"/>
  <c r="T95" i="515"/>
  <c r="V57" i="5"/>
  <c r="AC7" i="617"/>
  <c r="Z19" i="515"/>
  <c r="AB19" i="515" s="1"/>
  <c r="AB21" i="515" s="1"/>
  <c r="W83" i="535"/>
  <c r="W84" i="535" s="1"/>
  <c r="X82" i="535" s="1"/>
  <c r="AG97" i="535"/>
  <c r="W7" i="535"/>
  <c r="W8" i="535" s="1"/>
  <c r="X6" i="535" s="1"/>
  <c r="X9" i="535"/>
  <c r="AC71" i="625"/>
  <c r="W15" i="625"/>
  <c r="W16" i="625" s="1"/>
  <c r="X14" i="625" s="1"/>
  <c r="V90" i="617"/>
  <c r="V94" i="617"/>
  <c r="AF43" i="625"/>
  <c r="Z71" i="625"/>
  <c r="AB71" i="625" s="1"/>
  <c r="AB73" i="625" s="1"/>
  <c r="AG9" i="535"/>
  <c r="Z83" i="535"/>
  <c r="AB83" i="535" s="1"/>
  <c r="AB85" i="535" s="1"/>
  <c r="Z11" i="617"/>
  <c r="AB11" i="617" s="1"/>
  <c r="AB13" i="617" s="1"/>
  <c r="Z87" i="625"/>
  <c r="AB87" i="625" s="1"/>
  <c r="AB89" i="625" s="1"/>
  <c r="AF27" i="625"/>
  <c r="V106" i="535"/>
  <c r="W87" i="625"/>
  <c r="W88" i="625" s="1"/>
  <c r="X86" i="625" s="1"/>
  <c r="AB15" i="617"/>
  <c r="AB17" i="617" s="1"/>
  <c r="N88" i="617"/>
  <c r="AA61" i="5"/>
  <c r="Z51" i="515"/>
  <c r="AB51" i="515" s="1"/>
  <c r="AB53" i="515" s="1"/>
  <c r="X29" i="5"/>
  <c r="Z29" i="5" s="1"/>
  <c r="Z31" i="5" s="1"/>
  <c r="K28" i="835"/>
  <c r="K31" i="835"/>
  <c r="AC43" i="515"/>
  <c r="AC71" i="535"/>
  <c r="AC83" i="535"/>
  <c r="R104" i="535"/>
  <c r="AC11" i="617"/>
  <c r="AC55" i="617"/>
  <c r="L88" i="617"/>
  <c r="Z27" i="515"/>
  <c r="AB27" i="515" s="1"/>
  <c r="AB29" i="515" s="1"/>
  <c r="AG81" i="617"/>
  <c r="AC11" i="515"/>
  <c r="AG57" i="515"/>
  <c r="AF15" i="617"/>
  <c r="AG73" i="535"/>
  <c r="AD57" i="617"/>
  <c r="AE57" i="617" s="1"/>
  <c r="Z67" i="617"/>
  <c r="AB67" i="617" s="1"/>
  <c r="AB69" i="617" s="1"/>
  <c r="Z71" i="515"/>
  <c r="AB71" i="515" s="1"/>
  <c r="AB73" i="515" s="1"/>
  <c r="AC95" i="535"/>
  <c r="S109" i="535"/>
  <c r="S110" i="535" s="1"/>
  <c r="S92" i="515"/>
  <c r="AD53" i="535"/>
  <c r="AE53" i="535" s="1"/>
  <c r="L101" i="535"/>
  <c r="L104" i="535" s="1"/>
  <c r="S104" i="535"/>
  <c r="AC43" i="617"/>
  <c r="AC67" i="617"/>
  <c r="AD73" i="617"/>
  <c r="AG73" i="617" s="1"/>
  <c r="M88" i="617"/>
  <c r="AD61" i="625"/>
  <c r="AE61" i="625" s="1"/>
  <c r="M96" i="625"/>
  <c r="Q96" i="625"/>
  <c r="J2" i="835"/>
  <c r="K22" i="835"/>
  <c r="K26" i="835"/>
  <c r="K34" i="835"/>
  <c r="K30" i="835"/>
  <c r="K32" i="835"/>
  <c r="W19" i="535"/>
  <c r="W20" i="535" s="1"/>
  <c r="X18" i="535" s="1"/>
  <c r="U94" i="515"/>
  <c r="X89" i="535"/>
  <c r="AF47" i="617"/>
  <c r="Z31" i="535"/>
  <c r="AB31" i="535" s="1"/>
  <c r="AB33" i="535" s="1"/>
  <c r="AC79" i="515"/>
  <c r="AG89" i="535"/>
  <c r="W43" i="617"/>
  <c r="W44" i="617" s="1"/>
  <c r="X42" i="617" s="1"/>
  <c r="U92" i="515"/>
  <c r="W15" i="617"/>
  <c r="W16" i="617" s="1"/>
  <c r="X14" i="617" s="1"/>
  <c r="AD57" i="5"/>
  <c r="AD53" i="5"/>
  <c r="AC39" i="617"/>
  <c r="X37" i="5"/>
  <c r="Z37" i="5" s="1"/>
  <c r="Z39" i="5" s="1"/>
  <c r="M94" i="515"/>
  <c r="M95" i="515" s="1"/>
  <c r="AF87" i="535"/>
  <c r="L92" i="515"/>
  <c r="AB79" i="535"/>
  <c r="AB81" i="535" s="1"/>
  <c r="AB87" i="535"/>
  <c r="AB89" i="535" s="1"/>
  <c r="W35" i="535"/>
  <c r="W36" i="535" s="1"/>
  <c r="X34" i="535" s="1"/>
  <c r="AG37" i="535"/>
  <c r="O109" i="535"/>
  <c r="O110" i="535" s="1"/>
  <c r="O104" i="535"/>
  <c r="O106" i="535"/>
  <c r="O107" i="535" s="1"/>
  <c r="G84" i="617"/>
  <c r="O90" i="617"/>
  <c r="O91" i="617" s="1"/>
  <c r="O93" i="617"/>
  <c r="O94" i="617" s="1"/>
  <c r="O88" i="617"/>
  <c r="AD21" i="625"/>
  <c r="AC19" i="625"/>
  <c r="Z23" i="625"/>
  <c r="AB23" i="625" s="1"/>
  <c r="AB25" i="625" s="1"/>
  <c r="AC23" i="625"/>
  <c r="W23" i="625"/>
  <c r="W24" i="625" s="1"/>
  <c r="X22" i="625" s="1"/>
  <c r="W51" i="625"/>
  <c r="W52" i="625" s="1"/>
  <c r="X50" i="625" s="1"/>
  <c r="AF51" i="625"/>
  <c r="Z51" i="625"/>
  <c r="AB51" i="625" s="1"/>
  <c r="AB53" i="625" s="1"/>
  <c r="Z63" i="625"/>
  <c r="AB63" i="625" s="1"/>
  <c r="AB65" i="625" s="1"/>
  <c r="W63" i="625"/>
  <c r="W64" i="625" s="1"/>
  <c r="X62" i="625" s="1"/>
  <c r="AF63" i="625"/>
  <c r="AC63" i="625"/>
  <c r="AF75" i="625"/>
  <c r="Z75" i="625"/>
  <c r="AB75" i="625" s="1"/>
  <c r="AB77" i="625" s="1"/>
  <c r="G38" i="835"/>
  <c r="G45" i="835" s="1"/>
  <c r="E45" i="835"/>
  <c r="AF23" i="515"/>
  <c r="AG25" i="515"/>
  <c r="Z23" i="515"/>
  <c r="AB23" i="515" s="1"/>
  <c r="AB25" i="515" s="1"/>
  <c r="Z51" i="535"/>
  <c r="AB51" i="535" s="1"/>
  <c r="AB53" i="535" s="1"/>
  <c r="AF51" i="535"/>
  <c r="AG93" i="535"/>
  <c r="Z91" i="535"/>
  <c r="AB91" i="535" s="1"/>
  <c r="AB93" i="535" s="1"/>
  <c r="W91" i="535"/>
  <c r="W92" i="535" s="1"/>
  <c r="X90" i="535" s="1"/>
  <c r="AD17" i="617"/>
  <c r="AC15" i="617"/>
  <c r="AF19" i="617"/>
  <c r="W19" i="617"/>
  <c r="W20" i="617" s="1"/>
  <c r="X18" i="617" s="1"/>
  <c r="AC31" i="617"/>
  <c r="AD33" i="617"/>
  <c r="AG33" i="617" s="1"/>
  <c r="AE40" i="617"/>
  <c r="X37" i="625"/>
  <c r="AF35" i="625"/>
  <c r="AC35" i="625"/>
  <c r="O93" i="625"/>
  <c r="O98" i="625" s="1"/>
  <c r="O99" i="625" s="1"/>
  <c r="Y76" i="625"/>
  <c r="AD77" i="625" s="1"/>
  <c r="AE77" i="625" s="1"/>
  <c r="W79" i="625"/>
  <c r="W80" i="625" s="1"/>
  <c r="X78" i="625" s="1"/>
  <c r="Z79" i="625"/>
  <c r="AB79" i="625" s="1"/>
  <c r="AB81" i="625" s="1"/>
  <c r="AF79" i="625"/>
  <c r="AD81" i="625"/>
  <c r="AG81" i="625" s="1"/>
  <c r="AC79" i="625"/>
  <c r="W83" i="625"/>
  <c r="W84" i="625" s="1"/>
  <c r="X82" i="625" s="1"/>
  <c r="Z83" i="625"/>
  <c r="AB83" i="625" s="1"/>
  <c r="AB85" i="625" s="1"/>
  <c r="H42" i="835"/>
  <c r="I42" i="835" s="1"/>
  <c r="F45" i="835"/>
  <c r="N97" i="515"/>
  <c r="N98" i="515" s="1"/>
  <c r="Q88" i="617"/>
  <c r="AC83" i="625"/>
  <c r="AD49" i="5"/>
  <c r="V49" i="5"/>
  <c r="Z59" i="535"/>
  <c r="AB59" i="535" s="1"/>
  <c r="AB61" i="535" s="1"/>
  <c r="AF59" i="535"/>
  <c r="AG77" i="535"/>
  <c r="Z75" i="535"/>
  <c r="AB75" i="535" s="1"/>
  <c r="AB77" i="535" s="1"/>
  <c r="AF75" i="535"/>
  <c r="T107" i="535"/>
  <c r="T109" i="535"/>
  <c r="T106" i="535"/>
  <c r="T110" i="535"/>
  <c r="T90" i="617"/>
  <c r="T91" i="617"/>
  <c r="T94" i="617"/>
  <c r="T93" i="617"/>
  <c r="AC31" i="535"/>
  <c r="AF47" i="515"/>
  <c r="AD65" i="625"/>
  <c r="AG65" i="625" s="1"/>
  <c r="AF23" i="625"/>
  <c r="AF91" i="535"/>
  <c r="Z47" i="625"/>
  <c r="AB47" i="625" s="1"/>
  <c r="AB49" i="625" s="1"/>
  <c r="AG53" i="535"/>
  <c r="AG29" i="625"/>
  <c r="AC87" i="535"/>
  <c r="AG29" i="617"/>
  <c r="Q93" i="617"/>
  <c r="Q94" i="617" s="1"/>
  <c r="AG73" i="625"/>
  <c r="AA69" i="5"/>
  <c r="W23" i="535"/>
  <c r="W24" i="535" s="1"/>
  <c r="X22" i="535" s="1"/>
  <c r="AF83" i="625"/>
  <c r="S96" i="625"/>
  <c r="AD9" i="515"/>
  <c r="AE9" i="515" s="1"/>
  <c r="AD49" i="515"/>
  <c r="AE49" i="515" s="1"/>
  <c r="AD49" i="535"/>
  <c r="AE49" i="535" s="1"/>
  <c r="AC51" i="535"/>
  <c r="X99" i="535"/>
  <c r="Y4" i="535" s="1"/>
  <c r="AD49" i="617"/>
  <c r="AG49" i="617" s="1"/>
  <c r="AC51" i="617"/>
  <c r="AC59" i="617"/>
  <c r="AD77" i="617"/>
  <c r="AE77" i="617" s="1"/>
  <c r="X83" i="617"/>
  <c r="Y4" i="617" s="1"/>
  <c r="AC51" i="515"/>
  <c r="AD57" i="515"/>
  <c r="AE57" i="515" s="1"/>
  <c r="X69" i="515"/>
  <c r="AG69" i="515"/>
  <c r="Z67" i="515"/>
  <c r="AB67" i="515" s="1"/>
  <c r="AB69" i="515" s="1"/>
  <c r="AC7" i="535"/>
  <c r="AD9" i="535"/>
  <c r="AE9" i="535" s="1"/>
  <c r="AC11" i="535"/>
  <c r="AF11" i="535"/>
  <c r="AG13" i="535"/>
  <c r="W11" i="535"/>
  <c r="W12" i="535" s="1"/>
  <c r="X10" i="535" s="1"/>
  <c r="AG69" i="535"/>
  <c r="Z67" i="535"/>
  <c r="AB67" i="535" s="1"/>
  <c r="AB69" i="535" s="1"/>
  <c r="AF67" i="535"/>
  <c r="P104" i="535"/>
  <c r="P106" i="535"/>
  <c r="P107" i="535" s="1"/>
  <c r="AC67" i="5"/>
  <c r="AA65" i="5"/>
  <c r="AG77" i="515"/>
  <c r="Z75" i="515"/>
  <c r="AB75" i="515" s="1"/>
  <c r="AB77" i="515" s="1"/>
  <c r="AF75" i="515"/>
  <c r="O97" i="515"/>
  <c r="O98" i="515" s="1"/>
  <c r="O92" i="515"/>
  <c r="O94" i="515"/>
  <c r="O95" i="515" s="1"/>
  <c r="AG29" i="535"/>
  <c r="Z27" i="535"/>
  <c r="AB27" i="535" s="1"/>
  <c r="AB29" i="535" s="1"/>
  <c r="AF27" i="535"/>
  <c r="W27" i="535"/>
  <c r="W28" i="535" s="1"/>
  <c r="X26" i="535" s="1"/>
  <c r="AC75" i="535"/>
  <c r="AD77" i="535"/>
  <c r="AE77" i="535" s="1"/>
  <c r="AC39" i="535"/>
  <c r="Z39" i="535"/>
  <c r="AB39" i="535" s="1"/>
  <c r="AB41" i="535" s="1"/>
  <c r="AF67" i="515"/>
  <c r="AC7" i="515"/>
  <c r="AG17" i="625"/>
  <c r="AE17" i="625"/>
  <c r="AE41" i="625"/>
  <c r="AG41" i="625"/>
  <c r="AC15" i="5"/>
  <c r="AA13" i="5"/>
  <c r="AD61" i="5"/>
  <c r="X61" i="5"/>
  <c r="Z61" i="5" s="1"/>
  <c r="Z63" i="5" s="1"/>
  <c r="AD65" i="5"/>
  <c r="X65" i="5"/>
  <c r="Z65" i="5" s="1"/>
  <c r="Z67" i="5" s="1"/>
  <c r="V65" i="5"/>
  <c r="AC23" i="515"/>
  <c r="AC31" i="515"/>
  <c r="AD33" i="515"/>
  <c r="AE33" i="515" s="1"/>
  <c r="AF59" i="515"/>
  <c r="Z59" i="515"/>
  <c r="AB59" i="515" s="1"/>
  <c r="AB61" i="515" s="1"/>
  <c r="AG61" i="515"/>
  <c r="S94" i="515"/>
  <c r="S95" i="515" s="1"/>
  <c r="S97" i="515"/>
  <c r="S98" i="515" s="1"/>
  <c r="Z47" i="535"/>
  <c r="AB47" i="535" s="1"/>
  <c r="AB49" i="535" s="1"/>
  <c r="AG49" i="535"/>
  <c r="W47" i="535"/>
  <c r="W48" i="535" s="1"/>
  <c r="X46" i="535" s="1"/>
  <c r="AF47" i="535"/>
  <c r="Y60" i="535"/>
  <c r="AD61" i="535" s="1"/>
  <c r="AE61" i="535" s="1"/>
  <c r="M101" i="535"/>
  <c r="M109" i="535" s="1"/>
  <c r="M110" i="535" s="1"/>
  <c r="AG41" i="535"/>
  <c r="AD25" i="515"/>
  <c r="AE25" i="515" s="1"/>
  <c r="AD85" i="515"/>
  <c r="AE85" i="515" s="1"/>
  <c r="Z57" i="5"/>
  <c r="Z59" i="5" s="1"/>
  <c r="AB47" i="515"/>
  <c r="AB49" i="515" s="1"/>
  <c r="N92" i="515"/>
  <c r="R92" i="515"/>
  <c r="AB19" i="535"/>
  <c r="AB21" i="535" s="1"/>
  <c r="AC47" i="617"/>
  <c r="Z7" i="617"/>
  <c r="AB7" i="617" s="1"/>
  <c r="AB9" i="617" s="1"/>
  <c r="AF19" i="515"/>
  <c r="Z51" i="617"/>
  <c r="AB51" i="617" s="1"/>
  <c r="AB53" i="617" s="1"/>
  <c r="AB43" i="535"/>
  <c r="AB45" i="535" s="1"/>
  <c r="Z33" i="5"/>
  <c r="Z35" i="5" s="1"/>
  <c r="AA29" i="5"/>
  <c r="AF7" i="617"/>
  <c r="AC39" i="515"/>
  <c r="Q97" i="515"/>
  <c r="Q98" i="515" s="1"/>
  <c r="X73" i="515"/>
  <c r="U95" i="515"/>
  <c r="AF19" i="535"/>
  <c r="AC15" i="535"/>
  <c r="AA9" i="5"/>
  <c r="AA45" i="5"/>
  <c r="V5" i="5"/>
  <c r="AF71" i="515"/>
  <c r="Z55" i="515"/>
  <c r="AB55" i="515" s="1"/>
  <c r="AB57" i="515" s="1"/>
  <c r="AD41" i="515"/>
  <c r="AE41" i="515" s="1"/>
  <c r="AF55" i="515"/>
  <c r="Z63" i="515"/>
  <c r="AB63" i="515" s="1"/>
  <c r="AB65" i="515" s="1"/>
  <c r="AG65" i="515"/>
  <c r="AC19" i="617"/>
  <c r="Z69" i="5"/>
  <c r="Z71" i="5" s="1"/>
  <c r="AD5" i="5"/>
  <c r="AE73" i="625"/>
  <c r="V37" i="5"/>
  <c r="AA21" i="5"/>
  <c r="AA53" i="5"/>
  <c r="AC47" i="515"/>
  <c r="AC55" i="515"/>
  <c r="AD73" i="515"/>
  <c r="AE73" i="515" s="1"/>
  <c r="AB15" i="535"/>
  <c r="AB17" i="535" s="1"/>
  <c r="AB39" i="617"/>
  <c r="AB41" i="617" s="1"/>
  <c r="AD45" i="515"/>
  <c r="AE45" i="515" s="1"/>
  <c r="Q104" i="535"/>
  <c r="AD61" i="617"/>
  <c r="AE61" i="617" s="1"/>
  <c r="AC75" i="617"/>
  <c r="M92" i="515"/>
  <c r="Q92" i="515"/>
  <c r="AG85" i="515"/>
  <c r="AF83" i="515"/>
  <c r="Z83" i="515"/>
  <c r="AB83" i="515" s="1"/>
  <c r="AB85" i="515" s="1"/>
  <c r="R97" i="515"/>
  <c r="R98" i="515" s="1"/>
  <c r="V94" i="515"/>
  <c r="V98" i="515"/>
  <c r="V95" i="515"/>
  <c r="Z23" i="535"/>
  <c r="AB23" i="535" s="1"/>
  <c r="AB25" i="535" s="1"/>
  <c r="AC23" i="535"/>
  <c r="AG25" i="535"/>
  <c r="AF35" i="535"/>
  <c r="Z35" i="535"/>
  <c r="AB35" i="535" s="1"/>
  <c r="AB37" i="535" s="1"/>
  <c r="AF43" i="535"/>
  <c r="AG45" i="535"/>
  <c r="AE37" i="625"/>
  <c r="AG37" i="625"/>
  <c r="V9" i="5"/>
  <c r="AD9" i="5"/>
  <c r="AC34" i="5"/>
  <c r="AA33" i="5"/>
  <c r="AD41" i="5"/>
  <c r="X41" i="5"/>
  <c r="Z41" i="5" s="1"/>
  <c r="Z43" i="5" s="1"/>
  <c r="V41" i="5"/>
  <c r="AD77" i="5"/>
  <c r="V77" i="5"/>
  <c r="X77" i="5"/>
  <c r="Z77" i="5" s="1"/>
  <c r="Z79" i="5" s="1"/>
  <c r="AG9" i="515"/>
  <c r="Z7" i="515"/>
  <c r="AB7" i="515" s="1"/>
  <c r="AB9" i="515" s="1"/>
  <c r="AF11" i="515"/>
  <c r="Z11" i="515"/>
  <c r="AB11" i="515" s="1"/>
  <c r="AB13" i="515" s="1"/>
  <c r="AF35" i="515"/>
  <c r="Z35" i="515"/>
  <c r="AB35" i="515" s="1"/>
  <c r="AB37" i="515" s="1"/>
  <c r="AG45" i="515"/>
  <c r="Z43" i="515"/>
  <c r="AB43" i="515" s="1"/>
  <c r="AB45" i="515" s="1"/>
  <c r="AF55" i="535"/>
  <c r="AG57" i="535"/>
  <c r="Z55" i="535"/>
  <c r="AB55" i="535" s="1"/>
  <c r="AB57" i="535" s="1"/>
  <c r="AD57" i="535"/>
  <c r="AE57" i="535" s="1"/>
  <c r="AC55" i="535"/>
  <c r="AG81" i="535"/>
  <c r="AF79" i="535"/>
  <c r="W79" i="535"/>
  <c r="W80" i="535" s="1"/>
  <c r="X78" i="535" s="1"/>
  <c r="AD93" i="535"/>
  <c r="AE93" i="535" s="1"/>
  <c r="AC91" i="535"/>
  <c r="AG33" i="625"/>
  <c r="AE33" i="625"/>
  <c r="X87" i="515"/>
  <c r="Y4" i="515" s="1"/>
  <c r="AC63" i="515"/>
  <c r="AA77" i="5"/>
  <c r="AC79" i="535"/>
  <c r="AF27" i="515"/>
  <c r="X9" i="5"/>
  <c r="Z9" i="5" s="1"/>
  <c r="Z11" i="5" s="1"/>
  <c r="AA57" i="5"/>
  <c r="V92" i="515"/>
  <c r="W55" i="535"/>
  <c r="W56" i="535" s="1"/>
  <c r="X54" i="535" s="1"/>
  <c r="AA17" i="5"/>
  <c r="AC26" i="5"/>
  <c r="AA25" i="5"/>
  <c r="AD33" i="5"/>
  <c r="V33" i="5"/>
  <c r="AC42" i="5"/>
  <c r="AA41" i="5"/>
  <c r="AD69" i="5"/>
  <c r="V69" i="5"/>
  <c r="AF15" i="515"/>
  <c r="Z15" i="515"/>
  <c r="AB15" i="515" s="1"/>
  <c r="AB17" i="515" s="1"/>
  <c r="Z31" i="515"/>
  <c r="AB31" i="515" s="1"/>
  <c r="AB33" i="515" s="1"/>
  <c r="AG33" i="515"/>
  <c r="X33" i="515"/>
  <c r="Z39" i="515"/>
  <c r="AB39" i="515" s="1"/>
  <c r="AB41" i="515" s="1"/>
  <c r="AF39" i="515"/>
  <c r="AG45" i="617"/>
  <c r="P109" i="535"/>
  <c r="P110" i="535" s="1"/>
  <c r="U110" i="535"/>
  <c r="AG81" i="515"/>
  <c r="AF51" i="617"/>
  <c r="P93" i="617"/>
  <c r="P94" i="617" s="1"/>
  <c r="AB31" i="617"/>
  <c r="AB33" i="617" s="1"/>
  <c r="AA37" i="5"/>
  <c r="AD29" i="5"/>
  <c r="AD45" i="5"/>
  <c r="X57" i="515"/>
  <c r="W15" i="535"/>
  <c r="W16" i="535" s="1"/>
  <c r="X14" i="535" s="1"/>
  <c r="AD17" i="515"/>
  <c r="AE17" i="515" s="1"/>
  <c r="AB43" i="617"/>
  <c r="AB45" i="617" s="1"/>
  <c r="U107" i="535"/>
  <c r="U106" i="535"/>
  <c r="Z75" i="617"/>
  <c r="AB75" i="617" s="1"/>
  <c r="AB77" i="617" s="1"/>
  <c r="W79" i="515"/>
  <c r="W80" i="515" s="1"/>
  <c r="X78" i="515" s="1"/>
  <c r="W23" i="617"/>
  <c r="W24" i="617" s="1"/>
  <c r="X22" i="617" s="1"/>
  <c r="P97" i="515"/>
  <c r="P98" i="515" s="1"/>
  <c r="AF23" i="617"/>
  <c r="W75" i="617"/>
  <c r="W76" i="617" s="1"/>
  <c r="X74" i="617" s="1"/>
  <c r="X73" i="5"/>
  <c r="Z73" i="5" s="1"/>
  <c r="Z75" i="5" s="1"/>
  <c r="V73" i="5"/>
  <c r="AA73" i="5"/>
  <c r="AD73" i="5"/>
  <c r="W2" i="5"/>
  <c r="AG25" i="625"/>
  <c r="AC71" i="515"/>
  <c r="AA5" i="5"/>
  <c r="Z5" i="5"/>
  <c r="Z7" i="5" s="1"/>
  <c r="X49" i="5"/>
  <c r="Z49" i="5" s="1"/>
  <c r="Z51" i="5" s="1"/>
  <c r="AA49" i="5"/>
  <c r="AC35" i="515"/>
  <c r="X21" i="5"/>
  <c r="Z21" i="5" s="1"/>
  <c r="Z23" i="5" s="1"/>
  <c r="Z79" i="515"/>
  <c r="AB79" i="515" s="1"/>
  <c r="AB81" i="515" s="1"/>
  <c r="V13" i="5"/>
  <c r="X13" i="5"/>
  <c r="Z13" i="5" s="1"/>
  <c r="Z15" i="5" s="1"/>
  <c r="P95" i="515"/>
  <c r="AB27" i="625"/>
  <c r="AB29" i="625" s="1"/>
  <c r="AG49" i="625"/>
  <c r="N98" i="625"/>
  <c r="N99" i="625" s="1"/>
  <c r="M98" i="625"/>
  <c r="M99" i="625" s="1"/>
  <c r="AD65" i="617"/>
  <c r="H38" i="835"/>
  <c r="N110" i="535"/>
  <c r="AD69" i="625"/>
  <c r="AE45" i="625"/>
  <c r="Q98" i="625"/>
  <c r="Q99" i="625" s="1"/>
  <c r="Q102" i="625"/>
  <c r="AE21" i="617"/>
  <c r="AB67" i="625"/>
  <c r="AB69" i="625" s="1"/>
  <c r="R98" i="625"/>
  <c r="R99" i="625" s="1"/>
  <c r="S101" i="625"/>
  <c r="S102" i="625" s="1"/>
  <c r="AG45" i="625"/>
  <c r="P98" i="625"/>
  <c r="P99" i="625" s="1"/>
  <c r="M101" i="625"/>
  <c r="M102" i="625" s="1"/>
  <c r="P91" i="617"/>
  <c r="S91" i="617"/>
  <c r="Q107" i="535"/>
  <c r="R110" i="535"/>
  <c r="M94" i="617"/>
  <c r="AG41" i="617" l="1"/>
  <c r="AG13" i="625"/>
  <c r="AG13" i="617"/>
  <c r="AG9" i="617"/>
  <c r="AC67" i="535"/>
  <c r="AE73" i="617"/>
  <c r="AG53" i="625"/>
  <c r="AE89" i="625"/>
  <c r="AG53" i="617"/>
  <c r="AG77" i="625"/>
  <c r="AE81" i="625"/>
  <c r="L109" i="535"/>
  <c r="L110" i="535" s="1"/>
  <c r="AG9" i="625"/>
  <c r="L106" i="535"/>
  <c r="L107" i="535" s="1"/>
  <c r="AG61" i="625"/>
  <c r="AE85" i="625"/>
  <c r="I38" i="835"/>
  <c r="AE57" i="625"/>
  <c r="AE65" i="625"/>
  <c r="AE33" i="617"/>
  <c r="AG77" i="617"/>
  <c r="AG57" i="617"/>
  <c r="AE25" i="617"/>
  <c r="AG25" i="617"/>
  <c r="AF4" i="617"/>
  <c r="AD1" i="5"/>
  <c r="AF2" i="515"/>
  <c r="AF2" i="625"/>
  <c r="AC59" i="535"/>
  <c r="AC1" i="5"/>
  <c r="AF2" i="535"/>
  <c r="AF2" i="617"/>
  <c r="AE17" i="617"/>
  <c r="AG17" i="617"/>
  <c r="AD4" i="625"/>
  <c r="AE2" i="515"/>
  <c r="M106" i="535"/>
  <c r="M107" i="535" s="1"/>
  <c r="O101" i="625"/>
  <c r="O102" i="625" s="1"/>
  <c r="O96" i="625"/>
  <c r="AE2" i="535"/>
  <c r="AE21" i="625"/>
  <c r="AG21" i="625"/>
  <c r="AD4" i="515"/>
  <c r="M104" i="535"/>
  <c r="AC75" i="625"/>
  <c r="AE49" i="617"/>
  <c r="AD4" i="535"/>
  <c r="H45" i="835"/>
  <c r="I45" i="835" s="1"/>
  <c r="AE65" i="617"/>
  <c r="AG65" i="617"/>
  <c r="AD4" i="617"/>
  <c r="AE69" i="625"/>
  <c r="AG69" i="625"/>
  <c r="I2" i="835" l="1"/>
  <c r="K2" i="835" s="1"/>
  <c r="AB2" i="515"/>
  <c r="AA1" i="5"/>
  <c r="AB2" i="535"/>
  <c r="AE2" i="625"/>
  <c r="AB2" i="625" s="1"/>
  <c r="AG4" i="617"/>
  <c r="AE4" i="617"/>
  <c r="AE2" i="617"/>
  <c r="AB2" i="617" s="1"/>
  <c r="Y3" i="1585" l="1"/>
  <c r="Y15" i="1585" s="1"/>
  <c r="V46" i="1585" l="1"/>
  <c r="V3" i="1585" s="1"/>
  <c r="R44" i="1585"/>
  <c r="D33" i="1585"/>
  <c r="J19" i="1585"/>
  <c r="J43" i="1585"/>
  <c r="Q31" i="1585"/>
  <c r="N33" i="1585"/>
  <c r="Q28" i="1585"/>
  <c r="E32" i="1585"/>
  <c r="Q27" i="1585"/>
  <c r="N25" i="1585"/>
  <c r="N29" i="1585"/>
  <c r="E44" i="1585"/>
  <c r="U33" i="1585"/>
  <c r="S28" i="1585"/>
  <c r="S45" i="1585"/>
  <c r="F27" i="1585"/>
  <c r="O22" i="1585"/>
  <c r="D45" i="1585"/>
  <c r="H24" i="1585"/>
  <c r="M26" i="1585"/>
  <c r="H21" i="1585"/>
  <c r="U35" i="1585"/>
  <c r="E41" i="1585"/>
  <c r="X20" i="1585"/>
  <c r="T24" i="1585"/>
  <c r="E35" i="1585"/>
  <c r="N42" i="1585"/>
  <c r="R28" i="1585"/>
  <c r="R33" i="1585"/>
  <c r="I44" i="1585"/>
  <c r="D38" i="1585"/>
  <c r="E45" i="1585"/>
  <c r="R24" i="1585"/>
  <c r="R40" i="1585"/>
  <c r="N24" i="1585"/>
  <c r="S26" i="1585"/>
  <c r="P38" i="1585"/>
  <c r="E21" i="1585"/>
  <c r="N44" i="1585"/>
  <c r="J34" i="1585"/>
  <c r="F36" i="1585"/>
  <c r="X28" i="1585"/>
  <c r="R38" i="1585"/>
  <c r="R25" i="1585"/>
  <c r="T35" i="1585"/>
  <c r="J28" i="1585"/>
  <c r="U28" i="1585"/>
  <c r="H23" i="1585"/>
  <c r="R43" i="1585"/>
  <c r="M19" i="1585"/>
  <c r="D19" i="1585"/>
  <c r="Q33" i="1585"/>
  <c r="T29" i="1585"/>
  <c r="H27" i="1585"/>
  <c r="H42" i="1585"/>
  <c r="N30" i="1585"/>
  <c r="H30" i="1585"/>
  <c r="O34" i="1585"/>
  <c r="U36" i="1585"/>
  <c r="I41" i="1585"/>
  <c r="S39" i="1585"/>
  <c r="Q25" i="1585"/>
  <c r="N31" i="1585"/>
  <c r="U34" i="1585"/>
  <c r="F33" i="1585"/>
  <c r="D31" i="1585"/>
  <c r="S25" i="1585"/>
  <c r="C32" i="1585"/>
  <c r="T31" i="1585"/>
  <c r="Q32" i="1585"/>
  <c r="J31" i="1585"/>
  <c r="G31" i="1585"/>
  <c r="I21" i="1585"/>
  <c r="C20" i="1585"/>
  <c r="S37" i="1585"/>
  <c r="G30" i="1585"/>
  <c r="U30" i="1585"/>
  <c r="O29" i="1585"/>
  <c r="B11" i="1579"/>
  <c r="P26" i="1585"/>
  <c r="Q43" i="1585"/>
  <c r="G20" i="1585"/>
  <c r="J39" i="1585"/>
  <c r="T32" i="1585"/>
  <c r="J24" i="1585"/>
  <c r="O37" i="1585"/>
  <c r="N35" i="1585"/>
  <c r="N34" i="1585"/>
  <c r="S21" i="1585"/>
  <c r="I37" i="1585"/>
  <c r="Q40" i="1585"/>
  <c r="T41" i="1585"/>
  <c r="X43" i="1585"/>
  <c r="E37" i="1585"/>
  <c r="P45" i="1585"/>
  <c r="Q37" i="1585"/>
  <c r="S40" i="1585"/>
  <c r="Q22" i="1585"/>
  <c r="T27" i="1585"/>
  <c r="P39" i="1585"/>
  <c r="G41" i="1585"/>
  <c r="H22" i="1585"/>
  <c r="Q30" i="1585"/>
  <c r="M24" i="1585"/>
  <c r="T28" i="1585"/>
  <c r="X45" i="1585"/>
  <c r="N22" i="1585"/>
  <c r="J37" i="1585"/>
  <c r="G32" i="1585"/>
  <c r="G21" i="1585"/>
  <c r="I20" i="1585"/>
  <c r="D26" i="1585"/>
  <c r="H29" i="1585"/>
  <c r="R36" i="1585"/>
  <c r="P41" i="1585"/>
  <c r="C31" i="1585"/>
  <c r="R21" i="1585"/>
  <c r="Q45" i="1585"/>
  <c r="I19" i="1585"/>
  <c r="O42" i="1585"/>
  <c r="P34" i="1585"/>
  <c r="H45" i="1585"/>
  <c r="C25" i="1585"/>
  <c r="S44" i="1585"/>
  <c r="U26" i="1585"/>
  <c r="P22" i="1585"/>
  <c r="X24" i="1585"/>
  <c r="S23" i="1585"/>
  <c r="X29" i="1585"/>
  <c r="D44" i="1585"/>
  <c r="F40" i="1585"/>
  <c r="S31" i="1585"/>
  <c r="I34" i="1585"/>
  <c r="S20" i="1585"/>
  <c r="H39" i="1585"/>
  <c r="Q34" i="1585"/>
  <c r="R22" i="1585"/>
  <c r="F37" i="1585"/>
  <c r="Q24" i="1585"/>
  <c r="N26" i="1585"/>
  <c r="J22" i="1585"/>
  <c r="R34" i="1585"/>
  <c r="O20" i="1585"/>
  <c r="I28" i="1585"/>
  <c r="R32" i="1585"/>
  <c r="T40" i="1585"/>
  <c r="B9" i="1579"/>
  <c r="O40" i="1585"/>
  <c r="H37" i="1585"/>
  <c r="I25" i="1585"/>
  <c r="M42" i="1585"/>
  <c r="G33" i="1585"/>
  <c r="E36" i="1585"/>
  <c r="X37" i="1585"/>
  <c r="E30" i="1585"/>
  <c r="S27" i="1585"/>
  <c r="D42" i="1585"/>
  <c r="F35" i="1585"/>
  <c r="X32" i="1585"/>
  <c r="D25" i="1585"/>
  <c r="G25" i="1585"/>
  <c r="U37" i="1585"/>
  <c r="F30" i="1585"/>
  <c r="U44" i="1585"/>
  <c r="N32" i="1585"/>
  <c r="P25" i="1585"/>
  <c r="P42" i="1585"/>
  <c r="N40" i="1585"/>
  <c r="F34" i="1585"/>
  <c r="R37" i="1585"/>
  <c r="F41" i="1585"/>
  <c r="R30" i="1585"/>
  <c r="I30" i="1585"/>
  <c r="J41" i="1585"/>
  <c r="M21" i="1585"/>
  <c r="G43" i="1585"/>
  <c r="M36" i="1585"/>
  <c r="I31" i="1585"/>
  <c r="O32" i="1585"/>
  <c r="D30" i="1585"/>
  <c r="P33" i="1585"/>
  <c r="H36" i="1585"/>
  <c r="E25" i="1585"/>
  <c r="N20" i="1585"/>
  <c r="P36" i="1585"/>
  <c r="B15" i="1579"/>
  <c r="C45" i="1585"/>
  <c r="U29" i="1585"/>
  <c r="O44" i="1585"/>
  <c r="N45" i="1585"/>
  <c r="D29" i="1585"/>
  <c r="C22" i="1585"/>
  <c r="X25" i="1585"/>
  <c r="G42" i="1585"/>
  <c r="C29" i="1585"/>
  <c r="C43" i="1585"/>
  <c r="I26" i="1585"/>
  <c r="I27" i="1585"/>
  <c r="E28" i="1585"/>
  <c r="M39" i="1585"/>
  <c r="D37" i="1585"/>
  <c r="R23" i="1585"/>
  <c r="G28" i="1585"/>
  <c r="F44" i="1585"/>
  <c r="D24" i="1585"/>
  <c r="U39" i="1585"/>
  <c r="T30" i="1585"/>
  <c r="J44" i="1585"/>
  <c r="I38" i="1585"/>
  <c r="Q36" i="1585"/>
  <c r="U40" i="1585"/>
  <c r="P27" i="1585"/>
  <c r="F24" i="1585"/>
  <c r="G38" i="1585"/>
  <c r="U41" i="1585"/>
  <c r="M40" i="1585"/>
  <c r="D21" i="1585"/>
  <c r="I22" i="1585"/>
  <c r="E29" i="1585"/>
  <c r="J42" i="1585"/>
  <c r="E22" i="1585"/>
  <c r="I35" i="1585"/>
  <c r="T34" i="1585"/>
  <c r="F32" i="1585"/>
  <c r="P32" i="1585"/>
  <c r="X27" i="1585"/>
  <c r="N21" i="1585"/>
  <c r="G26" i="1585"/>
  <c r="R42" i="1585"/>
  <c r="D32" i="1585"/>
  <c r="E27" i="1585"/>
  <c r="O31" i="1585"/>
  <c r="X36" i="1585"/>
  <c r="O27" i="1585"/>
  <c r="T33" i="1585"/>
  <c r="P40" i="1585"/>
  <c r="S43" i="1585"/>
  <c r="H25" i="1585"/>
  <c r="N27" i="1585"/>
  <c r="Q41" i="1585"/>
  <c r="I39" i="1585"/>
  <c r="E19" i="1585"/>
  <c r="N38" i="1585"/>
  <c r="M22" i="1585"/>
  <c r="P43" i="1585"/>
  <c r="T44" i="1585"/>
  <c r="E34" i="1585"/>
  <c r="E43" i="1585"/>
  <c r="S36" i="1585"/>
  <c r="G24" i="1585"/>
  <c r="M25" i="1585"/>
  <c r="F39" i="1585"/>
  <c r="M45" i="1585"/>
  <c r="E24" i="1585"/>
  <c r="N28" i="1585"/>
  <c r="X31" i="1585"/>
  <c r="R20" i="1585"/>
  <c r="O36" i="1585"/>
  <c r="U24" i="1585"/>
  <c r="H41" i="1585"/>
  <c r="H38" i="1585"/>
  <c r="T45" i="1585"/>
  <c r="R45" i="1585"/>
  <c r="P24" i="1585"/>
  <c r="X30" i="1585"/>
  <c r="E20" i="1585"/>
  <c r="B14" i="1579"/>
  <c r="M28" i="1585"/>
  <c r="X40" i="1585"/>
  <c r="X35" i="1585"/>
  <c r="I33" i="1585"/>
  <c r="X21" i="1585"/>
  <c r="M20" i="1585"/>
  <c r="F31" i="1585"/>
  <c r="S34" i="1585"/>
  <c r="G27" i="1585"/>
  <c r="J36" i="1585"/>
  <c r="M31" i="1585"/>
  <c r="P35" i="1585"/>
  <c r="J25" i="1585"/>
  <c r="U31" i="1585"/>
  <c r="F22" i="1585"/>
  <c r="X38" i="1585"/>
  <c r="N43" i="1585"/>
  <c r="O25" i="1585"/>
  <c r="F20" i="1585"/>
  <c r="I43" i="1585"/>
  <c r="C30" i="1585"/>
  <c r="F26" i="1585"/>
  <c r="H35" i="1585"/>
  <c r="F19" i="1585"/>
  <c r="O24" i="1585"/>
  <c r="P23" i="1585"/>
  <c r="X26" i="1585"/>
  <c r="E39" i="1585"/>
  <c r="G45" i="1585"/>
  <c r="E26" i="1585"/>
  <c r="N19" i="1585"/>
  <c r="O19" i="1585"/>
  <c r="Q39" i="1585"/>
  <c r="I24" i="1585"/>
  <c r="Q35" i="1585"/>
  <c r="S35" i="1585"/>
  <c r="N37" i="1585"/>
  <c r="H40" i="1585"/>
  <c r="X34" i="1585"/>
  <c r="Q21" i="1585"/>
  <c r="F45" i="1585"/>
  <c r="O28" i="1585"/>
  <c r="G35" i="1585"/>
  <c r="D43" i="1585"/>
  <c r="X23" i="1585"/>
  <c r="P20" i="1585"/>
  <c r="J30" i="1585"/>
  <c r="P31" i="1585"/>
  <c r="G39" i="1585"/>
  <c r="C39" i="1585"/>
  <c r="C36" i="1585"/>
  <c r="T37" i="1585"/>
  <c r="T23" i="1585"/>
  <c r="J45" i="1585"/>
  <c r="J27" i="1585"/>
  <c r="C44" i="1585"/>
  <c r="E23" i="1585"/>
  <c r="D20" i="1585"/>
  <c r="E33" i="1585"/>
  <c r="D22" i="1585"/>
  <c r="I23" i="1585"/>
  <c r="P37" i="1585"/>
  <c r="O21" i="1585"/>
  <c r="R29" i="1585"/>
  <c r="U45" i="1585"/>
  <c r="X19" i="1585"/>
  <c r="U23" i="1585"/>
  <c r="T38" i="1585"/>
  <c r="G37" i="1585"/>
  <c r="T26" i="1585"/>
  <c r="M32" i="1585"/>
  <c r="J29" i="1585"/>
  <c r="P19" i="1585"/>
  <c r="D23" i="1585"/>
  <c r="X42" i="1585"/>
  <c r="N39" i="1585"/>
  <c r="X39" i="1585"/>
  <c r="F25" i="1585"/>
  <c r="H32" i="1585"/>
  <c r="F42" i="1585"/>
  <c r="M27" i="1585"/>
  <c r="H44" i="1585"/>
  <c r="J33" i="1585"/>
  <c r="Q44" i="1585"/>
  <c r="N36" i="1585"/>
  <c r="S33" i="1585"/>
  <c r="I40" i="1585"/>
  <c r="B16" i="1579"/>
  <c r="E40" i="1585"/>
  <c r="H31" i="1585"/>
  <c r="F43" i="1585"/>
  <c r="R41" i="1585"/>
  <c r="H26" i="1585"/>
  <c r="C19" i="1585"/>
  <c r="H28" i="1585"/>
  <c r="M34" i="1585"/>
  <c r="O38" i="1585"/>
  <c r="T25" i="1585"/>
  <c r="G19" i="1585"/>
  <c r="I32" i="1585"/>
  <c r="D27" i="1585"/>
  <c r="D34" i="1585"/>
  <c r="J35" i="1585"/>
  <c r="I29" i="1585"/>
  <c r="R35" i="1585"/>
  <c r="R39" i="1585"/>
  <c r="R19" i="1585"/>
  <c r="X22" i="1585"/>
  <c r="S22" i="1585"/>
  <c r="D41" i="1585"/>
  <c r="X33" i="1585"/>
  <c r="P28" i="1585"/>
  <c r="O41" i="1585"/>
  <c r="B6" i="1579"/>
  <c r="G36" i="1585"/>
  <c r="O30" i="1585"/>
  <c r="S42" i="1585"/>
  <c r="N23" i="1585"/>
  <c r="B10" i="1579"/>
  <c r="P44" i="1585"/>
  <c r="D40" i="1585"/>
  <c r="I45" i="1585"/>
  <c r="H43" i="1585"/>
  <c r="M37" i="1585"/>
  <c r="P21" i="1585"/>
  <c r="S29" i="1585"/>
  <c r="X41" i="1585"/>
  <c r="T42" i="1585"/>
  <c r="J21" i="1585"/>
  <c r="G29" i="1585"/>
  <c r="G23" i="1585"/>
  <c r="U43" i="1585"/>
  <c r="Q19" i="1585"/>
  <c r="C23" i="1585"/>
  <c r="G40" i="1585"/>
  <c r="X44" i="1585"/>
  <c r="S41" i="1585"/>
  <c r="C35" i="1585"/>
  <c r="T39" i="1585"/>
  <c r="J26" i="1585"/>
  <c r="G34" i="1585"/>
  <c r="C38" i="1585"/>
  <c r="P29" i="1585"/>
  <c r="H33" i="1585"/>
  <c r="F21" i="1585"/>
  <c r="F23" i="1585"/>
  <c r="C26" i="1585"/>
  <c r="C37" i="1585"/>
  <c r="I36" i="1585"/>
  <c r="S32" i="1585"/>
  <c r="G44" i="1585"/>
  <c r="D28" i="1585"/>
  <c r="B12" i="1579"/>
  <c r="C27" i="1585"/>
  <c r="T43" i="1585"/>
  <c r="O45" i="1585"/>
  <c r="D35" i="1585"/>
  <c r="J20" i="1585"/>
  <c r="C40" i="1585"/>
  <c r="M38" i="1585"/>
  <c r="T36" i="1585"/>
  <c r="Q26" i="1585"/>
  <c r="J32" i="1585"/>
  <c r="R31" i="1585"/>
  <c r="Q23" i="1585"/>
  <c r="M33" i="1585"/>
  <c r="D39" i="1585"/>
  <c r="C28" i="1585"/>
  <c r="U42" i="1585"/>
  <c r="O39" i="1585"/>
  <c r="Q38" i="1585"/>
  <c r="B8" i="1579"/>
  <c r="E42" i="1585"/>
  <c r="C33" i="1585"/>
  <c r="O33" i="1585"/>
  <c r="E38" i="1585"/>
  <c r="S30" i="1585"/>
  <c r="O23" i="1585"/>
  <c r="N41" i="1585"/>
  <c r="E31" i="1585"/>
  <c r="G22" i="1585"/>
  <c r="Q20" i="1585"/>
  <c r="M43" i="1585"/>
  <c r="R26" i="1585"/>
  <c r="I42" i="1585"/>
  <c r="M29" i="1585"/>
  <c r="B13" i="1579"/>
  <c r="J38" i="1585"/>
  <c r="M35" i="1585"/>
  <c r="C34" i="1585"/>
  <c r="M30" i="1585"/>
  <c r="S24" i="1585"/>
  <c r="R27" i="1585"/>
  <c r="O43" i="1585"/>
  <c r="O35" i="1585"/>
  <c r="C42" i="1585"/>
  <c r="P30" i="1585"/>
  <c r="S38" i="1585"/>
  <c r="C19" i="1532"/>
  <c r="H20" i="1585"/>
  <c r="Q42" i="1585"/>
  <c r="M41" i="1585"/>
  <c r="C41" i="1585"/>
  <c r="C21" i="1585"/>
  <c r="O26" i="1585"/>
  <c r="M44" i="1585"/>
  <c r="U27" i="1585"/>
  <c r="M23" i="1585"/>
  <c r="U38" i="1585"/>
  <c r="Q29" i="1585"/>
  <c r="B7" i="1579"/>
  <c r="H19" i="1585"/>
  <c r="D36" i="1585"/>
  <c r="F29" i="1585"/>
  <c r="J40" i="1585"/>
  <c r="H34" i="1585"/>
  <c r="S19" i="1585"/>
  <c r="F28" i="1585"/>
  <c r="F38" i="1585"/>
  <c r="U32" i="1585"/>
  <c r="C24" i="1585"/>
  <c r="J23" i="1585"/>
  <c r="U25" i="1585"/>
  <c r="S46" i="1585" l="1"/>
  <c r="S3" i="1585" s="1"/>
  <c r="S15" i="1585" s="1"/>
  <c r="H46" i="1585"/>
  <c r="H3" i="1585" s="1"/>
  <c r="H15" i="1585" s="1"/>
  <c r="C50" i="1532"/>
  <c r="C3" i="1532" s="1"/>
  <c r="C15" i="1532" s="1"/>
  <c r="Q46" i="1585"/>
  <c r="Q3" i="1585" s="1"/>
  <c r="Q15" i="1585" s="1"/>
  <c r="B18" i="1579"/>
  <c r="R46" i="1585"/>
  <c r="R3" i="1585" s="1"/>
  <c r="G46" i="1585"/>
  <c r="G3" i="1585" s="1"/>
  <c r="G15" i="1585" s="1"/>
  <c r="C46" i="1585"/>
  <c r="C3" i="1585" s="1"/>
  <c r="C15" i="1585" s="1"/>
  <c r="P46" i="1585"/>
  <c r="P3" i="1585" s="1"/>
  <c r="P15" i="1585" s="1"/>
  <c r="X46" i="1585"/>
  <c r="X3" i="1585" s="1"/>
  <c r="X15" i="1585" s="1"/>
  <c r="T46" i="1585"/>
  <c r="T3" i="1585" s="1"/>
  <c r="T15" i="1585" s="1"/>
  <c r="O46" i="1585"/>
  <c r="O3" i="1585" s="1"/>
  <c r="O15" i="1585" s="1"/>
  <c r="N46" i="1585"/>
  <c r="N3" i="1585" s="1"/>
  <c r="N15" i="1585" s="1"/>
  <c r="F46" i="1585"/>
  <c r="F3" i="1585" s="1"/>
  <c r="F15" i="1585" s="1"/>
  <c r="E46" i="1585"/>
  <c r="E3" i="1585" s="1"/>
  <c r="E15" i="1585" s="1"/>
  <c r="I46" i="1585"/>
  <c r="I3" i="1585" s="1"/>
  <c r="I15" i="1585" s="1"/>
  <c r="D46" i="1585"/>
  <c r="D3" i="1585" s="1"/>
  <c r="D15" i="1585" s="1"/>
  <c r="M46" i="1585"/>
  <c r="M3" i="1585" s="1"/>
  <c r="M15" i="1585" s="1"/>
  <c r="J46" i="1585"/>
  <c r="J3" i="1585" s="1"/>
  <c r="J15" i="1585" s="1"/>
  <c r="U20" i="1585"/>
  <c r="F7" i="1579"/>
  <c r="F13" i="1579"/>
  <c r="F10" i="1579"/>
  <c r="U22" i="1585"/>
  <c r="U21" i="1585"/>
  <c r="F8" i="1579"/>
  <c r="U19" i="1585"/>
  <c r="F9" i="1579"/>
  <c r="D19" i="1532"/>
  <c r="F12" i="1579"/>
  <c r="F6" i="1579"/>
  <c r="F14" i="1579"/>
  <c r="F16" i="1579"/>
  <c r="F11" i="1579"/>
  <c r="R11" i="1579" l="1"/>
  <c r="C11" i="1579"/>
  <c r="I11" i="1579"/>
  <c r="P11" i="1579"/>
  <c r="K11" i="1579"/>
  <c r="L11" i="1579"/>
  <c r="M11" i="1579"/>
  <c r="P16" i="1579"/>
  <c r="R16" i="1579"/>
  <c r="I16" i="1579"/>
  <c r="K16" i="1579"/>
  <c r="T16" i="1579"/>
  <c r="L16" i="1579"/>
  <c r="S16" i="1579"/>
  <c r="M16" i="1579"/>
  <c r="C16" i="1579"/>
  <c r="I14" i="1579"/>
  <c r="R14" i="1579"/>
  <c r="K14" i="1579"/>
  <c r="C14" i="1579"/>
  <c r="L14" i="1579"/>
  <c r="P14" i="1579"/>
  <c r="V6" i="1579"/>
  <c r="K6" i="1579"/>
  <c r="R6" i="1579"/>
  <c r="M6" i="1579"/>
  <c r="C6" i="1579"/>
  <c r="P6" i="1579"/>
  <c r="F18" i="1579"/>
  <c r="L6" i="1579"/>
  <c r="I6" i="1579"/>
  <c r="L12" i="1579"/>
  <c r="I12" i="1579"/>
  <c r="M12" i="1579"/>
  <c r="D50" i="1532"/>
  <c r="D3" i="1532" s="1"/>
  <c r="D15" i="1532" s="1"/>
  <c r="L9" i="1579"/>
  <c r="C9" i="1579"/>
  <c r="T9" i="1579"/>
  <c r="R9" i="1579"/>
  <c r="I9" i="1579"/>
  <c r="M9" i="1579"/>
  <c r="K9" i="1579"/>
  <c r="P9" i="1579"/>
  <c r="S9" i="1579"/>
  <c r="U46" i="1585"/>
  <c r="U3" i="1585" s="1"/>
  <c r="U15" i="1585" s="1"/>
  <c r="T8" i="1579"/>
  <c r="R8" i="1579"/>
  <c r="P8" i="1579"/>
  <c r="I8" i="1579"/>
  <c r="S8" i="1579"/>
  <c r="L8" i="1579"/>
  <c r="K8" i="1579"/>
  <c r="C8" i="1579"/>
  <c r="M8" i="1579"/>
  <c r="L10" i="1579"/>
  <c r="I10" i="1579"/>
  <c r="T10" i="1579"/>
  <c r="P10" i="1579"/>
  <c r="K10" i="1579"/>
  <c r="S10" i="1579"/>
  <c r="M10" i="1579"/>
  <c r="R10" i="1579"/>
  <c r="C10" i="1579"/>
  <c r="C13" i="1579"/>
  <c r="T13" i="1579"/>
  <c r="I13" i="1579"/>
  <c r="K13" i="1579"/>
  <c r="P13" i="1579"/>
  <c r="S13" i="1579"/>
  <c r="M13" i="1579"/>
  <c r="R13" i="1579"/>
  <c r="L13" i="1579"/>
  <c r="K7" i="1579"/>
  <c r="R7" i="1579"/>
  <c r="M7" i="1579"/>
  <c r="C7" i="1579"/>
  <c r="T7" i="1579"/>
  <c r="P7" i="1579"/>
  <c r="S7" i="1579"/>
  <c r="I7" i="1579"/>
  <c r="L7" i="1579"/>
  <c r="E19" i="1532"/>
  <c r="F19" i="1532"/>
  <c r="C18" i="1579" l="1"/>
  <c r="F50" i="1532"/>
  <c r="F3" i="1532" s="1"/>
  <c r="F15" i="1532" s="1"/>
</calcChain>
</file>

<file path=xl/comments1.xml><?xml version="1.0" encoding="utf-8"?>
<comments xmlns="http://schemas.openxmlformats.org/spreadsheetml/2006/main">
  <authors>
    <author>Author</author>
  </authors>
  <commentList>
    <comment ref="AG2" authorId="0" shapeId="0">
      <text>
        <r>
          <rPr>
            <b/>
            <sz val="48"/>
            <color indexed="81"/>
            <rFont val="Tahoma"/>
            <family val="2"/>
          </rPr>
          <t>=AL2/AK2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B6" authorId="0" shapeId="0">
      <text>
        <r>
          <rPr>
            <sz val="48"/>
            <color indexed="81"/>
            <rFont val="Tahoma"/>
            <family val="2"/>
          </rPr>
          <t>Somme entré / jr</t>
        </r>
      </text>
    </comment>
    <comment ref="AC6" authorId="0" shapeId="0">
      <text>
        <r>
          <rPr>
            <sz val="48"/>
            <color indexed="81"/>
            <rFont val="Tahoma"/>
            <family val="2"/>
          </rPr>
          <t>Cummul sortie</t>
        </r>
      </text>
    </comment>
    <comment ref="J7" authorId="0" shapeId="0">
      <text>
        <r>
          <rPr>
            <sz val="48"/>
            <color indexed="81"/>
            <rFont val="Tahoma"/>
            <family val="2"/>
          </rPr>
          <t>VT Modèle Remplis parAgent Méthodes</t>
        </r>
      </text>
    </comment>
    <comment ref="K7" authorId="0" shapeId="0">
      <text>
        <r>
          <rPr>
            <sz val="48"/>
            <color indexed="81"/>
            <rFont val="Tahoma"/>
            <family val="2"/>
          </rPr>
          <t>Quantité par Heure de Equilibrage remplis par agent méthodes</t>
        </r>
      </text>
    </comment>
    <comment ref="X7" authorId="0" shapeId="0">
      <text>
        <r>
          <rPr>
            <sz val="48"/>
            <color indexed="81"/>
            <rFont val="Tahoma"/>
            <family val="2"/>
          </rPr>
          <t>Moy Sortie/Heurs</t>
        </r>
      </text>
    </comment>
    <comment ref="AB7" authorId="0" shapeId="0">
      <text>
        <r>
          <rPr>
            <sz val="48"/>
            <color indexed="81"/>
            <rFont val="Tahoma"/>
            <family val="2"/>
          </rPr>
          <t>Somme sortie/jr</t>
        </r>
      </text>
    </comment>
    <comment ref="AC7" authorId="0" shapeId="0">
      <text>
        <r>
          <rPr>
            <sz val="48"/>
            <color indexed="81"/>
            <rFont val="Tahoma"/>
            <family val="2"/>
          </rPr>
          <t>Cummul entre</t>
        </r>
      </text>
    </comment>
    <comment ref="AG7" authorId="0" shapeId="0">
      <text>
        <r>
          <rPr>
            <sz val="48"/>
            <color indexed="81"/>
            <rFont val="Tahoma"/>
            <family val="2"/>
          </rPr>
          <t>Cummul entré moins Cummul Sortie</t>
        </r>
      </text>
    </comment>
    <comment ref="AH7" authorId="0" shapeId="0">
      <text>
        <r>
          <rPr>
            <sz val="48"/>
            <color theme="1"/>
            <rFont val="Calibri"/>
            <family val="2"/>
            <scheme val="minor"/>
          </rPr>
          <t>=(vt*110/Ai7)*100</t>
        </r>
      </text>
    </comment>
    <comment ref="AI7" authorId="0" shapeId="0">
      <text>
        <r>
          <rPr>
            <sz val="48"/>
            <color indexed="81"/>
            <rFont val="Tahoma"/>
            <family val="2"/>
          </rPr>
          <t>AB8+(AB9/2)</t>
        </r>
      </text>
    </comment>
    <comment ref="X8" authorId="0" shapeId="0">
      <text>
        <r>
          <rPr>
            <sz val="48"/>
            <color indexed="81"/>
            <rFont val="Tahoma"/>
            <family val="2"/>
          </rPr>
          <t>110-(60*2)</t>
        </r>
      </text>
    </comment>
    <comment ref="AB8" authorId="0" shapeId="0">
      <text>
        <r>
          <rPr>
            <sz val="48"/>
            <color indexed="81"/>
            <rFont val="Tahoma"/>
            <family val="2"/>
          </rPr>
          <t>Somme Eff</t>
        </r>
      </text>
    </comment>
    <comment ref="H9" authorId="0" shapeId="0">
      <text>
        <r>
          <rPr>
            <sz val="48"/>
            <color indexed="81"/>
            <rFont val="Tahoma"/>
            <family val="2"/>
          </rPr>
          <t>5210-6000</t>
        </r>
      </text>
    </comment>
    <comment ref="J9" authorId="0" shapeId="0">
      <text>
        <r>
          <rPr>
            <sz val="48"/>
            <color indexed="81"/>
            <rFont val="Tahoma"/>
            <family val="2"/>
          </rPr>
          <t>Rend Equilibrage =(PH*VT/eff*60)*100</t>
        </r>
      </text>
    </comment>
    <comment ref="K9" authorId="0" shapeId="0">
      <text>
        <r>
          <rPr>
            <sz val="48"/>
            <color indexed="81"/>
            <rFont val="Tahoma"/>
            <family val="2"/>
          </rPr>
          <t>Effectifs Equilibrage remplis par agent méthodes</t>
        </r>
      </text>
    </comment>
    <comment ref="AB9" authorId="0" shapeId="0">
      <text>
        <r>
          <rPr>
            <sz val="48"/>
            <color indexed="81"/>
            <rFont val="Tahoma"/>
            <family val="2"/>
          </rPr>
          <t>Somme Stagiaires</t>
        </r>
      </text>
    </comment>
    <comment ref="AG9" authorId="0" shapeId="0">
      <text>
        <r>
          <rPr>
            <sz val="48"/>
            <color indexed="81"/>
            <rFont val="Tahoma"/>
            <family val="2"/>
          </rPr>
          <t>(445/60)/8,25</t>
        </r>
      </text>
    </comment>
    <comment ref="AN9" authorId="0" shapeId="0">
      <text>
        <r>
          <rPr>
            <sz val="48"/>
            <color indexed="81"/>
            <rFont val="Tahoma"/>
            <family val="2"/>
          </rPr>
          <t>Heures de travail /Jour</t>
        </r>
      </text>
    </comment>
  </commentList>
</comments>
</file>

<file path=xl/sharedStrings.xml><?xml version="1.0" encoding="utf-8"?>
<sst xmlns="http://schemas.openxmlformats.org/spreadsheetml/2006/main" count="7928" uniqueCount="500">
  <si>
    <t>IMPORT</t>
  </si>
  <si>
    <t>MODELE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</si>
  <si>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</si>
  <si>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</si>
  <si>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</si>
  <si>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</si>
  <si>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</si>
  <si>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</si>
  <si>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</si>
  <si>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</si>
  <si>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</si>
  <si>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</si>
  <si>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</si>
  <si>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Total</t>
  </si>
  <si>
    <t>Cumul</t>
  </si>
  <si>
    <t>Encours</t>
  </si>
  <si>
    <t>CH</t>
  </si>
  <si>
    <t>Sortie Chaine</t>
  </si>
  <si>
    <t>Effectifs</t>
  </si>
  <si>
    <t>Stagiaire</t>
  </si>
  <si>
    <t>VT</t>
  </si>
  <si>
    <t>Entre Chaine</t>
  </si>
  <si>
    <t>EFF</t>
  </si>
  <si>
    <t>P/H</t>
  </si>
  <si>
    <t>DESIG</t>
  </si>
  <si>
    <t>Meth</t>
  </si>
  <si>
    <t>Réel</t>
  </si>
  <si>
    <t>CODERSA   s.a.r.l</t>
  </si>
  <si>
    <t>DATE :</t>
  </si>
  <si>
    <t>LA FICHE DE PRODUCTION  DES CHAÎNES  E06.03C</t>
  </si>
  <si>
    <t>CLIENT</t>
  </si>
  <si>
    <t>LUSO</t>
  </si>
  <si>
    <t>4043-257-721</t>
  </si>
  <si>
    <t>Veste</t>
  </si>
  <si>
    <t>092-20</t>
  </si>
  <si>
    <t>Stear</t>
  </si>
  <si>
    <t>8147-287-330</t>
  </si>
  <si>
    <t>Robe</t>
  </si>
  <si>
    <t>Manteau</t>
  </si>
  <si>
    <t>Masque</t>
  </si>
  <si>
    <t>Chemise</t>
  </si>
  <si>
    <t>Pantalon</t>
  </si>
  <si>
    <t>Sweet</t>
  </si>
  <si>
    <t>Mango</t>
  </si>
  <si>
    <t>Luso</t>
  </si>
  <si>
    <t>Mono</t>
  </si>
  <si>
    <t>Bermuda</t>
  </si>
  <si>
    <t>Top</t>
  </si>
  <si>
    <t>037-20</t>
  </si>
  <si>
    <t>4043-100-093</t>
  </si>
  <si>
    <t>089-20</t>
  </si>
  <si>
    <t>8029-743-999</t>
  </si>
  <si>
    <t>101-20</t>
  </si>
  <si>
    <t>4043-263-063</t>
  </si>
  <si>
    <t>Gilet</t>
  </si>
  <si>
    <t>091-20</t>
  </si>
  <si>
    <t>8223-431-800</t>
  </si>
  <si>
    <t>Short</t>
  </si>
  <si>
    <t>043-20</t>
  </si>
  <si>
    <t>093-20</t>
  </si>
  <si>
    <t>8168-289-069</t>
  </si>
  <si>
    <t>071-20</t>
  </si>
  <si>
    <t>074-20</t>
  </si>
  <si>
    <t>076-20</t>
  </si>
  <si>
    <t>Imprima</t>
  </si>
  <si>
    <t>ZALI01 LOUP CHINE</t>
  </si>
  <si>
    <t>8138-495-172</t>
  </si>
  <si>
    <t>8160-275-330</t>
  </si>
  <si>
    <t>100-20</t>
  </si>
  <si>
    <t>8150-305-942</t>
  </si>
  <si>
    <t>105-20</t>
  </si>
  <si>
    <t>701366 will</t>
  </si>
  <si>
    <t>Moy</t>
  </si>
  <si>
    <t>R%</t>
  </si>
  <si>
    <t>4043-800-063</t>
  </si>
  <si>
    <t>JAMAL</t>
  </si>
  <si>
    <t>DENNI</t>
  </si>
  <si>
    <t>HICHAM</t>
  </si>
  <si>
    <t>KHALID</t>
  </si>
  <si>
    <t>ABDENOUR</t>
  </si>
  <si>
    <t>FARID</t>
  </si>
  <si>
    <t>EXL 009-20</t>
  </si>
  <si>
    <t>6:45</t>
  </si>
  <si>
    <t>7:45</t>
  </si>
  <si>
    <t>8:45</t>
  </si>
  <si>
    <t>9:45</t>
  </si>
  <si>
    <t>11:00</t>
  </si>
  <si>
    <t>12:00</t>
  </si>
  <si>
    <t>13:00</t>
  </si>
  <si>
    <t>1</t>
  </si>
  <si>
    <t>7</t>
  </si>
  <si>
    <t>8</t>
  </si>
  <si>
    <t>9</t>
  </si>
  <si>
    <t>YOUSSEF</t>
  </si>
  <si>
    <t>AMINE</t>
  </si>
  <si>
    <t>METHODES</t>
  </si>
  <si>
    <t>HAMID</t>
  </si>
  <si>
    <t>HEURES SAISIE</t>
  </si>
  <si>
    <t>7:10</t>
  </si>
  <si>
    <t>8:10</t>
  </si>
  <si>
    <t>9:10</t>
  </si>
  <si>
    <t>10:10</t>
  </si>
  <si>
    <t>11:25</t>
  </si>
  <si>
    <t>12:25</t>
  </si>
  <si>
    <t>13:25</t>
  </si>
  <si>
    <t>14:00</t>
  </si>
  <si>
    <t>15:00</t>
  </si>
  <si>
    <t>14:25</t>
  </si>
  <si>
    <t>CODERSA   S.A.R.L.</t>
  </si>
  <si>
    <t>H.Lancement</t>
  </si>
  <si>
    <t>Denllo</t>
  </si>
  <si>
    <t>REDOUANE</t>
  </si>
  <si>
    <t>HASSAN</t>
  </si>
  <si>
    <t>Fin Heure</t>
  </si>
  <si>
    <t>Modele</t>
  </si>
  <si>
    <t>Objectif/Prix</t>
  </si>
  <si>
    <t>8280-667-044</t>
  </si>
  <si>
    <t>8215-313-630</t>
  </si>
  <si>
    <t>3815-451-800</t>
  </si>
  <si>
    <t>8191-397-330</t>
  </si>
  <si>
    <t>103927-PIANO</t>
  </si>
  <si>
    <t>8292-376-330</t>
  </si>
  <si>
    <t>8048-701-712</t>
  </si>
  <si>
    <t>8503-624-526</t>
  </si>
  <si>
    <t>103676-Danna</t>
  </si>
  <si>
    <t>8500-624-526</t>
  </si>
  <si>
    <t>3854-541-330</t>
  </si>
  <si>
    <t>8415-107-330</t>
  </si>
  <si>
    <t>MOHAMMED</t>
  </si>
  <si>
    <t>105637-LUIS</t>
  </si>
  <si>
    <t>OTMAN</t>
  </si>
  <si>
    <t>8285-642-800</t>
  </si>
  <si>
    <t>Ch 01</t>
  </si>
  <si>
    <t>Ch 02</t>
  </si>
  <si>
    <t>Ch 03</t>
  </si>
  <si>
    <t>Ch 04</t>
  </si>
  <si>
    <t>Ch 05</t>
  </si>
  <si>
    <t>Ch 06</t>
  </si>
  <si>
    <t>Ch 07</t>
  </si>
  <si>
    <t>Ch 08</t>
  </si>
  <si>
    <t>Ch 09</t>
  </si>
  <si>
    <t>Ch 11</t>
  </si>
  <si>
    <t>Ch 12</t>
  </si>
  <si>
    <t>Ch 13</t>
  </si>
  <si>
    <t>Ch 14</t>
  </si>
  <si>
    <t>Ch 15</t>
  </si>
  <si>
    <t>Ch 16</t>
  </si>
  <si>
    <t>Ch 17</t>
  </si>
  <si>
    <t>Ch 18</t>
  </si>
  <si>
    <t>Ch 19</t>
  </si>
  <si>
    <t>Usine</t>
  </si>
  <si>
    <t>YASSIN</t>
  </si>
  <si>
    <t>AHMED</t>
  </si>
  <si>
    <t>ch 01</t>
  </si>
  <si>
    <t>ch 02</t>
  </si>
  <si>
    <t>ch 03</t>
  </si>
  <si>
    <t>ch 04</t>
  </si>
  <si>
    <t>ch 05</t>
  </si>
  <si>
    <t>ch 06</t>
  </si>
  <si>
    <t>ch 07</t>
  </si>
  <si>
    <t>ch 08</t>
  </si>
  <si>
    <t>ch 09</t>
  </si>
  <si>
    <t>ch 11</t>
  </si>
  <si>
    <t>ch 12</t>
  </si>
  <si>
    <t>ch 13</t>
  </si>
  <si>
    <t>ch 14</t>
  </si>
  <si>
    <t>ch 15</t>
  </si>
  <si>
    <t>ch 16</t>
  </si>
  <si>
    <t>ch 17</t>
  </si>
  <si>
    <t>ch 18</t>
  </si>
  <si>
    <t>ch 19</t>
  </si>
  <si>
    <t>Vide</t>
  </si>
  <si>
    <t>Lanc.</t>
  </si>
  <si>
    <t>9253-818-630</t>
  </si>
  <si>
    <t>.</t>
  </si>
  <si>
    <t>ABDRAZZAK</t>
  </si>
  <si>
    <t>Ch 22</t>
  </si>
  <si>
    <t>QTE PREVU</t>
  </si>
  <si>
    <t>Simulation</t>
  </si>
  <si>
    <t>CUENTA</t>
  </si>
  <si>
    <t xml:space="preserve">Stagiaires Formation </t>
  </si>
  <si>
    <t xml:space="preserve">Ouvriers Formation </t>
  </si>
  <si>
    <t>,</t>
  </si>
  <si>
    <t>020-22</t>
  </si>
  <si>
    <t>2218-232-251</t>
  </si>
  <si>
    <t xml:space="preserve"> </t>
  </si>
  <si>
    <t>2890-878-800</t>
  </si>
  <si>
    <t>023-22</t>
  </si>
  <si>
    <t>2990-559-712</t>
  </si>
  <si>
    <t>026-22</t>
  </si>
  <si>
    <t>2 PàM+4FL+Ctr</t>
  </si>
  <si>
    <t>MES</t>
  </si>
  <si>
    <t>022-22</t>
  </si>
  <si>
    <t>3177-707-712</t>
  </si>
  <si>
    <t>Annee</t>
  </si>
  <si>
    <t>029-22</t>
  </si>
  <si>
    <t>2198-799-712</t>
  </si>
  <si>
    <t xml:space="preserve">                  </t>
  </si>
  <si>
    <t>033-22</t>
  </si>
  <si>
    <t>CHORT</t>
  </si>
  <si>
    <t>3PAM +1CTR+4FER</t>
  </si>
  <si>
    <t>3 PAM 4fer 1ct</t>
  </si>
  <si>
    <t>5 PAM 1fer+ 1 ct</t>
  </si>
  <si>
    <t>TOURABI</t>
  </si>
  <si>
    <t>2291-888-800</t>
  </si>
  <si>
    <t>032-22</t>
  </si>
  <si>
    <t>3467-141-800</t>
  </si>
  <si>
    <t>SHORT</t>
  </si>
  <si>
    <t>037-22</t>
  </si>
  <si>
    <t>7587-669-046</t>
  </si>
  <si>
    <t>chemise</t>
  </si>
  <si>
    <t>2 PàM+1F</t>
  </si>
  <si>
    <t>U</t>
  </si>
  <si>
    <t>1PàM+2FL+Cont</t>
  </si>
  <si>
    <t>BACHIR</t>
  </si>
  <si>
    <t>3013-888-251</t>
  </si>
  <si>
    <t>034-22</t>
  </si>
  <si>
    <t>SKORT</t>
  </si>
  <si>
    <t>039-22</t>
  </si>
  <si>
    <t>sweet</t>
  </si>
  <si>
    <t>3362-696-727</t>
  </si>
  <si>
    <t>Gabardina</t>
  </si>
  <si>
    <t>5:30</t>
  </si>
  <si>
    <t>6:30</t>
  </si>
  <si>
    <t>7:30</t>
  </si>
  <si>
    <t>8:30</t>
  </si>
  <si>
    <t>10:45</t>
  </si>
  <si>
    <t>11:45</t>
  </si>
  <si>
    <t>12:45</t>
  </si>
  <si>
    <t>5:45</t>
  </si>
  <si>
    <t>10:00</t>
  </si>
  <si>
    <t>041-22</t>
  </si>
  <si>
    <t>2189-666-800</t>
  </si>
  <si>
    <t>036-22</t>
  </si>
  <si>
    <t>040-22</t>
  </si>
  <si>
    <t>7560-939-620</t>
  </si>
  <si>
    <t>SAID</t>
  </si>
  <si>
    <t>1PàM+3FL+Cont</t>
  </si>
  <si>
    <t>061-22</t>
  </si>
  <si>
    <t>7689-452-420</t>
  </si>
  <si>
    <t>064-22</t>
  </si>
  <si>
    <t>8035-888-800</t>
  </si>
  <si>
    <t>067-22</t>
  </si>
  <si>
    <t>0926-692-800</t>
  </si>
  <si>
    <t>069-22</t>
  </si>
  <si>
    <t>5PL+1Cont</t>
  </si>
  <si>
    <t>1PàM+3PL+Cont</t>
  </si>
  <si>
    <t>ZARA-MAN</t>
  </si>
  <si>
    <t>340-400-800</t>
  </si>
  <si>
    <t>66-22</t>
  </si>
  <si>
    <t>7541-358-743</t>
  </si>
  <si>
    <t>Gillet</t>
  </si>
  <si>
    <t>TOP</t>
  </si>
  <si>
    <t>074-22</t>
  </si>
  <si>
    <t>047-22</t>
  </si>
  <si>
    <t>4PàM+1FL+4 sp</t>
  </si>
  <si>
    <t>044-22</t>
  </si>
  <si>
    <t>7520-645-401</t>
  </si>
  <si>
    <t>1 MS</t>
  </si>
  <si>
    <t>078-22</t>
  </si>
  <si>
    <t>3478-716-756</t>
  </si>
  <si>
    <t>052-22</t>
  </si>
  <si>
    <t>15:30</t>
  </si>
  <si>
    <t>A.FINAL</t>
  </si>
  <si>
    <t>AVEC FINAL</t>
  </si>
  <si>
    <t>SANS FINAL</t>
  </si>
  <si>
    <t>TOTAL CHAINES</t>
  </si>
  <si>
    <t>8:05</t>
  </si>
  <si>
    <t>9:05</t>
  </si>
  <si>
    <t>10:05</t>
  </si>
  <si>
    <t>11:20</t>
  </si>
  <si>
    <t>12:20</t>
  </si>
  <si>
    <t>13:20</t>
  </si>
  <si>
    <t>14:20</t>
  </si>
  <si>
    <t>ZARA-MAT</t>
  </si>
  <si>
    <t>ABDELWAHID</t>
  </si>
  <si>
    <t>102-22</t>
  </si>
  <si>
    <t>8263-529-251</t>
  </si>
  <si>
    <t>Hassan</t>
  </si>
  <si>
    <t>Youssef</t>
  </si>
  <si>
    <t>Outmane</t>
  </si>
  <si>
    <t>Hicham</t>
  </si>
  <si>
    <t>Kousaimi</t>
  </si>
  <si>
    <t>Abdenour</t>
  </si>
  <si>
    <t>AHMAD</t>
  </si>
  <si>
    <t>2Spc+2PàM+4FL+Cont</t>
  </si>
  <si>
    <t>ALI</t>
  </si>
  <si>
    <t>108-22</t>
  </si>
  <si>
    <t>340-350-401</t>
  </si>
  <si>
    <t>1 Spc + 1 PàM</t>
  </si>
  <si>
    <t>106-22</t>
  </si>
  <si>
    <t>116-22</t>
  </si>
  <si>
    <t>118-22</t>
  </si>
  <si>
    <t>7560-580-800</t>
  </si>
  <si>
    <t>120-22</t>
  </si>
  <si>
    <t>121-22</t>
  </si>
  <si>
    <t>8412-624-712</t>
  </si>
  <si>
    <t>8138-760-800</t>
  </si>
  <si>
    <t>127-22</t>
  </si>
  <si>
    <t>8456-298-800</t>
  </si>
  <si>
    <t>manteau</t>
  </si>
  <si>
    <t>2Pàm+4FL+Cont</t>
  </si>
  <si>
    <t>123-22</t>
  </si>
  <si>
    <t>4FL+Cont</t>
  </si>
  <si>
    <t>131-22</t>
  </si>
  <si>
    <t>8482-321-401</t>
  </si>
  <si>
    <t>2PAM +4FL+2Cont</t>
  </si>
  <si>
    <t>KAMAL</t>
  </si>
  <si>
    <t>ABDNOR</t>
  </si>
  <si>
    <t>122-22</t>
  </si>
  <si>
    <t>8263-646-500</t>
  </si>
  <si>
    <t>2sp+4FL+2Cont</t>
  </si>
  <si>
    <t>2 sp+4FL+Cont</t>
  </si>
  <si>
    <t>Arrêt  Chaudière 45min</t>
  </si>
  <si>
    <t>129-22</t>
  </si>
  <si>
    <t>8705-636-704</t>
  </si>
  <si>
    <t>135-22</t>
  </si>
  <si>
    <t>8880-888-942</t>
  </si>
  <si>
    <t>132-22</t>
  </si>
  <si>
    <t>8498-298-401</t>
  </si>
  <si>
    <t>7PàM+4FL+Cont</t>
  </si>
  <si>
    <t>OMAR</t>
  </si>
  <si>
    <t>2FL+Cont</t>
  </si>
  <si>
    <t>134-22</t>
  </si>
  <si>
    <t>8750-331-085</t>
  </si>
  <si>
    <t>139-22</t>
  </si>
  <si>
    <t>7553-457-630</t>
  </si>
  <si>
    <t>2CON+ 4 fL</t>
  </si>
  <si>
    <t>2Cont</t>
  </si>
  <si>
    <t xml:space="preserve">    </t>
  </si>
  <si>
    <t>Manque en pcs</t>
  </si>
  <si>
    <t>Lundi</t>
  </si>
  <si>
    <t>Mardi</t>
  </si>
  <si>
    <t>Mercredi</t>
  </si>
  <si>
    <t>Jeudi</t>
  </si>
  <si>
    <t>Vendredi</t>
  </si>
  <si>
    <t>Samedi</t>
  </si>
  <si>
    <t>Dimanche</t>
  </si>
  <si>
    <t>800033-104</t>
  </si>
  <si>
    <t>Ch 20</t>
  </si>
  <si>
    <t>ch 20</t>
  </si>
  <si>
    <t>Date</t>
  </si>
  <si>
    <t>Heures Presence</t>
  </si>
  <si>
    <t>Production</t>
  </si>
  <si>
    <t>Moy effectif</t>
  </si>
  <si>
    <t>Horaires</t>
  </si>
  <si>
    <t>Mensuels</t>
  </si>
  <si>
    <t>Charges</t>
  </si>
  <si>
    <t>Chiffre Affaire</t>
  </si>
  <si>
    <t>%</t>
  </si>
  <si>
    <t>800034-104</t>
  </si>
  <si>
    <t>Modèle</t>
  </si>
  <si>
    <t>Prix</t>
  </si>
  <si>
    <t>812200-104</t>
  </si>
  <si>
    <t>812200-139</t>
  </si>
  <si>
    <t>812500-104</t>
  </si>
  <si>
    <t>812500-129</t>
  </si>
  <si>
    <t xml:space="preserve">  </t>
  </si>
  <si>
    <t>QTE PRÉVU</t>
  </si>
  <si>
    <t>Heures Presences</t>
  </si>
  <si>
    <t>% Charges</t>
  </si>
  <si>
    <t>Désignation</t>
  </si>
  <si>
    <t>% Rend</t>
  </si>
  <si>
    <t>Valeurs</t>
  </si>
  <si>
    <t>Dahdoh</t>
  </si>
  <si>
    <t>7653-474-743</t>
  </si>
  <si>
    <t>DAHDOH</t>
  </si>
  <si>
    <t>STRIPE-BOMBER</t>
  </si>
  <si>
    <t>8634-599-800</t>
  </si>
  <si>
    <t>3881-600-800</t>
  </si>
  <si>
    <t>8616-507-620</t>
  </si>
  <si>
    <t>JOGGER-RAYA-N</t>
  </si>
  <si>
    <t>7751-399-800</t>
  </si>
  <si>
    <t>OUTMAN</t>
  </si>
  <si>
    <t>8711-123-712</t>
  </si>
  <si>
    <t>9134-131-084</t>
  </si>
  <si>
    <t>9041-474-743</t>
  </si>
  <si>
    <t>ch 10</t>
  </si>
  <si>
    <t>Mohammed</t>
  </si>
  <si>
    <t>M0HAMED</t>
  </si>
  <si>
    <t>2322-791-800</t>
  </si>
  <si>
    <t>2682-597-712</t>
  </si>
  <si>
    <t>2700-741-600</t>
  </si>
  <si>
    <t>2132-116-058</t>
  </si>
  <si>
    <t>2204-597-800</t>
  </si>
  <si>
    <t>7461-518-800</t>
  </si>
  <si>
    <t>2730-722-800</t>
  </si>
  <si>
    <t xml:space="preserve">2242-620-712  </t>
  </si>
  <si>
    <t xml:space="preserve">  2246-404-250</t>
  </si>
  <si>
    <t>HARDY</t>
  </si>
  <si>
    <t>3175-597-712</t>
  </si>
  <si>
    <t>3022-900-302</t>
  </si>
  <si>
    <t>3177-900-302</t>
  </si>
  <si>
    <t>2845-722-800</t>
  </si>
  <si>
    <t>FRANCOISE</t>
  </si>
  <si>
    <t>Vers Dépôt</t>
  </si>
  <si>
    <t>Vers Final</t>
  </si>
  <si>
    <t>16:00</t>
  </si>
  <si>
    <t>MUSTAPHA</t>
  </si>
  <si>
    <t>l</t>
  </si>
  <si>
    <t>L</t>
  </si>
  <si>
    <t>Entré Chaine</t>
  </si>
  <si>
    <t>%Rend</t>
  </si>
  <si>
    <t>MOSTAPHA</t>
  </si>
  <si>
    <t>MAJID</t>
  </si>
  <si>
    <t>majid</t>
  </si>
  <si>
    <t>ZAKARIA</t>
  </si>
  <si>
    <t>01-01-2026</t>
  </si>
  <si>
    <t>TISSU</t>
  </si>
  <si>
    <t>Coupe</t>
  </si>
  <si>
    <t>Prép</t>
  </si>
  <si>
    <t>DOUBLURE</t>
  </si>
  <si>
    <t>Manque</t>
  </si>
  <si>
    <t>Encours au prep</t>
  </si>
  <si>
    <t>Encours Fabriqué au prep</t>
  </si>
  <si>
    <r>
      <rPr>
        <b/>
        <sz val="11"/>
        <color theme="0"/>
        <rFont val="Verdana"/>
        <family val="2"/>
      </rPr>
      <t>,</t>
    </r>
    <r>
      <rPr>
        <b/>
        <sz val="11"/>
        <color rgb="FF0070C0"/>
        <rFont val="Verdana"/>
        <family val="2"/>
      </rPr>
      <t>---&gt; Chaines</t>
    </r>
  </si>
  <si>
    <t>Plan Entré chaines</t>
  </si>
  <si>
    <t xml:space="preserve">Reste </t>
  </si>
  <si>
    <t>2396-593-600</t>
  </si>
  <si>
    <t>028-26</t>
  </si>
  <si>
    <t>2em°</t>
  </si>
  <si>
    <t>Cumul 2em°</t>
  </si>
  <si>
    <t>MASS</t>
  </si>
  <si>
    <t>ATIF</t>
  </si>
  <si>
    <t>KOUSSAIMI</t>
  </si>
  <si>
    <t>ROBE</t>
  </si>
  <si>
    <t>MANG</t>
  </si>
  <si>
    <t>033-26</t>
  </si>
  <si>
    <t>NUDIE-301580</t>
  </si>
  <si>
    <t/>
  </si>
  <si>
    <t>034-26</t>
  </si>
  <si>
    <t xml:space="preserve">2878-556-700 </t>
  </si>
  <si>
    <t>036-26</t>
  </si>
  <si>
    <t>2843-709-800</t>
  </si>
  <si>
    <t>s</t>
  </si>
  <si>
    <t>035-26</t>
  </si>
  <si>
    <t>2628-510-630</t>
  </si>
  <si>
    <t>7696-837-802</t>
  </si>
  <si>
    <t>039-26</t>
  </si>
  <si>
    <t>040-26</t>
  </si>
  <si>
    <t>7740-876-052</t>
  </si>
  <si>
    <t>041-26</t>
  </si>
  <si>
    <t>7741-793-052</t>
  </si>
  <si>
    <t>038-26</t>
  </si>
  <si>
    <t>2917-496-712</t>
  </si>
  <si>
    <t>hamid</t>
  </si>
  <si>
    <t>045-26</t>
  </si>
  <si>
    <t>G,T</t>
  </si>
  <si>
    <t>TESS KEYHOLE</t>
  </si>
  <si>
    <t>050-26</t>
  </si>
  <si>
    <t>PIANO-PURPLE</t>
  </si>
  <si>
    <t>Falda</t>
  </si>
  <si>
    <t>OUTHMAN</t>
  </si>
  <si>
    <t>KOUSAIMI</t>
  </si>
  <si>
    <t>EL HARAK</t>
  </si>
  <si>
    <t>FATIHA</t>
  </si>
  <si>
    <t>DOT KEYHOLE</t>
  </si>
  <si>
    <t>PIANO-TURQUAZ</t>
  </si>
  <si>
    <t>ADA-TURQUAZ</t>
  </si>
  <si>
    <t>ADA-PURPLE</t>
  </si>
  <si>
    <t>049-26</t>
  </si>
  <si>
    <t>051-26</t>
  </si>
  <si>
    <t>048-26</t>
  </si>
  <si>
    <t>PIANO-Turquaz</t>
  </si>
  <si>
    <t>01-05-2026</t>
  </si>
  <si>
    <t>S</t>
  </si>
  <si>
    <t>-</t>
  </si>
  <si>
    <t>04-05-2026</t>
  </si>
  <si>
    <t>MOHAMED</t>
  </si>
  <si>
    <t>05-05-2026</t>
  </si>
  <si>
    <t>06-05-2026</t>
  </si>
  <si>
    <t>Probleme préparation doublure</t>
  </si>
  <si>
    <t>7674-739-401</t>
  </si>
  <si>
    <t>055-26</t>
  </si>
  <si>
    <t>Malva</t>
  </si>
  <si>
    <t>043-26</t>
  </si>
  <si>
    <t>Mini Robe</t>
  </si>
  <si>
    <t>ADA-Turquaz</t>
  </si>
  <si>
    <t>047-26</t>
  </si>
  <si>
    <t>07-05-2026</t>
  </si>
  <si>
    <t>Probleme Capaçité</t>
  </si>
  <si>
    <t>08-05-2026</t>
  </si>
  <si>
    <t>probléme préparation</t>
  </si>
  <si>
    <t>09-05-2026</t>
  </si>
  <si>
    <t>11-05-2026</t>
  </si>
  <si>
    <t>2869-588-505</t>
  </si>
  <si>
    <t>BERGEN</t>
  </si>
  <si>
    <t>059-26</t>
  </si>
  <si>
    <t>MNG</t>
  </si>
  <si>
    <t>BERGEN-302189</t>
  </si>
  <si>
    <t>12-05-2026</t>
  </si>
  <si>
    <t>13-05-2026</t>
  </si>
  <si>
    <t>14-05-2026</t>
  </si>
  <si>
    <t>056-26</t>
  </si>
  <si>
    <t>060-26</t>
  </si>
  <si>
    <t>7755-463-251</t>
  </si>
  <si>
    <t>15-05-2026</t>
  </si>
  <si>
    <t>Formation</t>
  </si>
  <si>
    <t>heures / Jour</t>
  </si>
  <si>
    <t>Heures de Présence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</si>
</sst>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;\-0;\-"/>
    <numFmt numFmtId="165" formatCode="0.0;\-0.0;\-"/>
    <numFmt numFmtId="166" formatCode="0.00;\-0.00;\-"/>
    <numFmt numFmtId="167" formatCode="_-* #,##0\ _€_-;\-* #,##0\ _€_-;_-* &quot;-&quot;??\ _€_-;_-@_-"/>
    <numFmt numFmtId="168" formatCode="0.0%"/>
    <numFmt numFmtId="169" formatCode="0.0"/>
    <numFmt numFmtId="170" formatCode="0_ ;\-0\ "/>
  </numFmts>
  <fonts count="7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FF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color rgb="FF0070C0"/>
      <name val="Calibri"/>
      <family val="2"/>
      <scheme val="minor"/>
    </font>
    <font>
      <b/>
      <sz val="36"/>
      <color theme="7" tint="-0.499984740745262"/>
      <name val="Calibri"/>
      <family val="2"/>
      <scheme val="minor"/>
    </font>
    <font>
      <b/>
      <sz val="48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48"/>
      <color theme="3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z val="48"/>
      <color rgb="FFC00000"/>
      <name val="Calibri"/>
      <family val="2"/>
      <scheme val="minor"/>
    </font>
    <font>
      <b/>
      <sz val="48"/>
      <color theme="9" tint="0.39997558519241921"/>
      <name val="Calibri"/>
      <family val="2"/>
      <scheme val="minor"/>
    </font>
    <font>
      <sz val="3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36"/>
      <name val="Calibri"/>
      <family val="2"/>
      <scheme val="minor"/>
    </font>
    <font>
      <sz val="24"/>
      <color theme="0" tint="-0.499984740745262"/>
      <name val="Calibri"/>
      <family val="2"/>
      <scheme val="minor"/>
    </font>
    <font>
      <sz val="36"/>
      <color theme="0" tint="-0.499984740745262"/>
      <name val="Calibri"/>
      <family val="2"/>
      <scheme val="minor"/>
    </font>
    <font>
      <sz val="36"/>
      <color theme="1" tint="0.1499984740745262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72"/>
      <color rgb="FFFF0000"/>
      <name val="Calibri"/>
      <family val="2"/>
      <scheme val="minor"/>
    </font>
    <font>
      <sz val="36"/>
      <color theme="0" tint="-0.14999847407452621"/>
      <name val="Calibri"/>
      <family val="2"/>
      <scheme val="minor"/>
    </font>
    <font>
      <sz val="26"/>
      <color rgb="FFFF0000"/>
      <name val="Calibri"/>
      <family val="2"/>
      <scheme val="minor"/>
    </font>
    <font>
      <b/>
      <sz val="72"/>
      <color theme="0"/>
      <name val="Calibri"/>
      <family val="2"/>
      <scheme val="minor"/>
    </font>
    <font>
      <b/>
      <sz val="36"/>
      <color theme="9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36"/>
      <color theme="0" tint="-4.9989318521683403E-2"/>
      <name val="Calibri"/>
      <family val="2"/>
      <scheme val="minor"/>
    </font>
    <font>
      <sz val="36"/>
      <color theme="0" tint="-4.9989318521683403E-2"/>
      <name val="Calibri"/>
      <family val="2"/>
      <scheme val="minor"/>
    </font>
    <font>
      <b/>
      <sz val="22"/>
      <color theme="7" tint="-0.499984740745262"/>
      <name val="Calibri"/>
      <family val="2"/>
      <scheme val="minor"/>
    </font>
    <font>
      <sz val="36"/>
      <name val="Calibri"/>
      <family val="2"/>
      <scheme val="minor"/>
    </font>
    <font>
      <b/>
      <sz val="36"/>
      <color theme="0" tint="-0.14999847407452621"/>
      <name val="Calibri"/>
      <family val="2"/>
      <scheme val="minor"/>
    </font>
    <font>
      <sz val="12"/>
      <name val="Calibri"/>
      <family val="2"/>
      <scheme val="minor"/>
    </font>
    <font>
      <sz val="36"/>
      <color rgb="FFFF0000"/>
      <name val="Calibri"/>
      <family val="2"/>
      <scheme val="minor"/>
    </font>
    <font>
      <sz val="28"/>
      <color rgb="FFC0000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48"/>
      <color rgb="FF00B0F0"/>
      <name val="Calibri"/>
      <family val="2"/>
      <scheme val="minor"/>
    </font>
    <font>
      <b/>
      <sz val="36"/>
      <color rgb="FF00B050"/>
      <name val="Calibri"/>
      <family val="2"/>
      <scheme val="minor"/>
    </font>
    <font>
      <b/>
      <sz val="26"/>
      <color theme="0" tint="-0.34998626667073579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1"/>
      <color theme="0"/>
      <name val="Verdana"/>
      <family val="2"/>
    </font>
    <font>
      <sz val="11"/>
      <color theme="0"/>
      <name val="Verdana"/>
      <family val="2"/>
    </font>
    <font>
      <sz val="11"/>
      <color rgb="FFFF0000"/>
      <name val="Verdana"/>
      <family val="2"/>
    </font>
    <font>
      <b/>
      <sz val="11"/>
      <color rgb="FF0070C0"/>
      <name val="Verdana"/>
      <family val="2"/>
    </font>
    <font>
      <b/>
      <sz val="11"/>
      <color rgb="FFFF0000"/>
      <name val="Verdana"/>
      <family val="2"/>
    </font>
    <font>
      <sz val="11"/>
      <name val="Verdana"/>
      <family val="2"/>
    </font>
    <font>
      <b/>
      <sz val="9"/>
      <color rgb="FF0070C0"/>
      <name val="Verdana"/>
      <family val="2"/>
    </font>
    <font>
      <sz val="48"/>
      <color indexed="81"/>
      <name val="Tahoma"/>
      <family val="2"/>
    </font>
    <font>
      <b/>
      <sz val="48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8EFC8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DEFD"/>
        <bgColor indexed="64"/>
      </patternFill>
    </fill>
    <fill>
      <patternFill patternType="solid">
        <fgColor rgb="FF76FB33"/>
        <bgColor indexed="64"/>
      </patternFill>
    </fill>
    <fill>
      <patternFill patternType="solid">
        <fgColor rgb="FFE97B8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DE0F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theme="0"/>
      </bottom>
      <diagonal/>
    </border>
    <border>
      <left style="thin">
        <color auto="1"/>
      </left>
      <right style="double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double">
        <color auto="1"/>
      </right>
      <top style="thin">
        <color theme="0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theme="0"/>
      </bottom>
      <diagonal/>
    </border>
    <border>
      <left style="double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double">
        <color auto="1"/>
      </left>
      <right style="thin">
        <color auto="1"/>
      </right>
      <top style="thin">
        <color theme="0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theme="0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theme="0"/>
      </bottom>
      <diagonal/>
    </border>
    <border>
      <left style="thin">
        <color auto="1"/>
      </left>
      <right/>
      <top style="double">
        <color auto="1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double">
        <color auto="1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auto="1"/>
      </left>
      <right style="double">
        <color auto="1"/>
      </right>
      <top style="thin">
        <color theme="0"/>
      </top>
      <bottom/>
      <diagonal/>
    </border>
    <border>
      <left/>
      <right style="thin">
        <color auto="1"/>
      </right>
      <top style="thin">
        <color theme="0" tint="-0.499984740745262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double">
        <color auto="1"/>
      </bottom>
      <diagonal/>
    </border>
    <border>
      <left style="thin">
        <color auto="1"/>
      </left>
      <right/>
      <top style="thin">
        <color theme="0" tint="-0.499984740745262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theme="0" tint="-0.499984740745262"/>
      </top>
      <bottom style="double">
        <color auto="1"/>
      </bottom>
      <diagonal/>
    </border>
    <border>
      <left/>
      <right/>
      <top style="thin">
        <color theme="0" tint="-0.499984740745262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</borders>
  <cellStyleXfs count="1728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90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0" borderId="28" xfId="0" applyNumberFormat="1" applyFont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top"/>
    </xf>
    <xf numFmtId="164" fontId="7" fillId="5" borderId="29" xfId="0" applyNumberFormat="1" applyFont="1" applyFill="1" applyBorder="1" applyAlignment="1">
      <alignment horizontal="center" vertical="center"/>
    </xf>
    <xf numFmtId="164" fontId="5" fillId="4" borderId="13" xfId="0" applyNumberFormat="1" applyFont="1" applyFill="1" applyBorder="1" applyAlignment="1">
      <alignment horizontal="center" vertical="top"/>
    </xf>
    <xf numFmtId="164" fontId="6" fillId="3" borderId="28" xfId="0" applyNumberFormat="1" applyFont="1" applyFill="1" applyBorder="1" applyAlignment="1">
      <alignment horizontal="center" vertical="center"/>
    </xf>
    <xf numFmtId="164" fontId="7" fillId="3" borderId="29" xfId="0" applyNumberFormat="1" applyFont="1" applyFill="1" applyBorder="1" applyAlignment="1">
      <alignment horizontal="center" vertical="center"/>
    </xf>
    <xf numFmtId="164" fontId="6" fillId="3" borderId="29" xfId="0" applyNumberFormat="1" applyFont="1" applyFill="1" applyBorder="1" applyAlignment="1">
      <alignment horizontal="center" vertical="center"/>
    </xf>
    <xf numFmtId="164" fontId="6" fillId="3" borderId="30" xfId="0" applyNumberFormat="1" applyFont="1" applyFill="1" applyBorder="1" applyAlignment="1">
      <alignment horizontal="center" vertical="center"/>
    </xf>
    <xf numFmtId="9" fontId="1" fillId="0" borderId="0" xfId="2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164" fontId="11" fillId="0" borderId="15" xfId="0" applyNumberFormat="1" applyFont="1" applyBorder="1" applyAlignment="1">
      <alignment horizontal="center"/>
    </xf>
    <xf numFmtId="164" fontId="10" fillId="0" borderId="33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164" fontId="11" fillId="2" borderId="14" xfId="0" applyNumberFormat="1" applyFont="1" applyFill="1" applyBorder="1" applyAlignment="1">
      <alignment horizontal="center"/>
    </xf>
    <xf numFmtId="164" fontId="10" fillId="2" borderId="34" xfId="0" applyNumberFormat="1" applyFont="1" applyFill="1" applyBorder="1" applyAlignment="1">
      <alignment horizontal="center"/>
    </xf>
    <xf numFmtId="9" fontId="11" fillId="2" borderId="21" xfId="2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4" fontId="10" fillId="0" borderId="34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166" fontId="11" fillId="0" borderId="35" xfId="0" applyNumberFormat="1" applyFont="1" applyBorder="1" applyAlignment="1">
      <alignment horizontal="center"/>
    </xf>
    <xf numFmtId="166" fontId="11" fillId="0" borderId="2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23" xfId="0" applyNumberFormat="1" applyFont="1" applyBorder="1" applyAlignment="1">
      <alignment horizontal="center"/>
    </xf>
    <xf numFmtId="164" fontId="11" fillId="3" borderId="26" xfId="0" applyNumberFormat="1" applyFont="1" applyFill="1" applyBorder="1" applyAlignment="1">
      <alignment horizontal="center" vertical="center"/>
    </xf>
    <xf numFmtId="164" fontId="11" fillId="3" borderId="25" xfId="0" applyNumberFormat="1" applyFont="1" applyFill="1" applyBorder="1" applyAlignment="1">
      <alignment horizontal="center" vertical="center"/>
    </xf>
    <xf numFmtId="164" fontId="11" fillId="3" borderId="27" xfId="0" applyNumberFormat="1" applyFont="1" applyFill="1" applyBorder="1" applyAlignment="1">
      <alignment horizontal="center" vertical="center"/>
    </xf>
    <xf numFmtId="164" fontId="11" fillId="3" borderId="24" xfId="0" applyNumberFormat="1" applyFont="1" applyFill="1" applyBorder="1" applyAlignment="1">
      <alignment horizontal="center" vertical="center"/>
    </xf>
    <xf numFmtId="166" fontId="5" fillId="3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6" fontId="5" fillId="3" borderId="24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164" fontId="5" fillId="6" borderId="7" xfId="0" applyNumberFormat="1" applyFont="1" applyFill="1" applyBorder="1" applyAlignment="1">
      <alignment horizontal="center" vertical="center"/>
    </xf>
    <xf numFmtId="166" fontId="5" fillId="3" borderId="25" xfId="0" applyNumberFormat="1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166" fontId="5" fillId="3" borderId="27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165" fontId="5" fillId="3" borderId="11" xfId="0" applyNumberFormat="1" applyFont="1" applyFill="1" applyBorder="1" applyAlignment="1">
      <alignment horizontal="center" vertical="center"/>
    </xf>
    <xf numFmtId="166" fontId="5" fillId="3" borderId="12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vertical="center"/>
    </xf>
    <xf numFmtId="166" fontId="5" fillId="3" borderId="11" xfId="0" applyNumberFormat="1" applyFont="1" applyFill="1" applyBorder="1" applyAlignment="1">
      <alignment vertical="center"/>
    </xf>
    <xf numFmtId="166" fontId="5" fillId="3" borderId="6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11" xfId="0" applyNumberFormat="1" applyFont="1" applyFill="1" applyBorder="1" applyAlignment="1">
      <alignment horizontal="center" vertical="center"/>
    </xf>
    <xf numFmtId="164" fontId="11" fillId="0" borderId="33" xfId="0" applyNumberFormat="1" applyFont="1" applyBorder="1" applyAlignment="1">
      <alignment horizontal="center"/>
    </xf>
    <xf numFmtId="164" fontId="11" fillId="2" borderId="34" xfId="0" applyNumberFormat="1" applyFont="1" applyFill="1" applyBorder="1" applyAlignment="1">
      <alignment horizontal="center"/>
    </xf>
    <xf numFmtId="164" fontId="11" fillId="0" borderId="34" xfId="0" applyNumberFormat="1" applyFont="1" applyBorder="1" applyAlignment="1">
      <alignment horizontal="center"/>
    </xf>
    <xf numFmtId="164" fontId="11" fillId="0" borderId="36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center" vertical="top"/>
    </xf>
    <xf numFmtId="164" fontId="11" fillId="4" borderId="10" xfId="0" applyNumberFormat="1" applyFont="1" applyFill="1" applyBorder="1" applyAlignment="1">
      <alignment horizontal="center" vertical="top"/>
    </xf>
    <xf numFmtId="164" fontId="11" fillId="4" borderId="8" xfId="0" applyNumberFormat="1" applyFont="1" applyFill="1" applyBorder="1" applyAlignment="1">
      <alignment horizontal="center" vertical="top"/>
    </xf>
    <xf numFmtId="164" fontId="11" fillId="4" borderId="13" xfId="0" applyNumberFormat="1" applyFont="1" applyFill="1" applyBorder="1" applyAlignment="1">
      <alignment horizontal="center" vertical="top"/>
    </xf>
    <xf numFmtId="164" fontId="11" fillId="4" borderId="9" xfId="0" applyNumberFormat="1" applyFont="1" applyFill="1" applyBorder="1" applyAlignment="1">
      <alignment horizontal="center" vertical="top"/>
    </xf>
    <xf numFmtId="9" fontId="4" fillId="7" borderId="0" xfId="2" applyFont="1" applyFill="1" applyAlignment="1">
      <alignment horizontal="center" vertical="center"/>
    </xf>
    <xf numFmtId="164" fontId="12" fillId="5" borderId="29" xfId="0" applyNumberFormat="1" applyFont="1" applyFill="1" applyBorder="1" applyAlignment="1">
      <alignment horizontal="center" vertical="center"/>
    </xf>
    <xf numFmtId="164" fontId="13" fillId="5" borderId="32" xfId="0" applyNumberFormat="1" applyFont="1" applyFill="1" applyBorder="1" applyAlignment="1">
      <alignment horizontal="center" vertical="center"/>
    </xf>
    <xf numFmtId="164" fontId="13" fillId="5" borderId="29" xfId="0" applyNumberFormat="1" applyFont="1" applyFill="1" applyBorder="1" applyAlignment="1">
      <alignment horizontal="center" vertical="center"/>
    </xf>
    <xf numFmtId="164" fontId="13" fillId="5" borderId="30" xfId="0" applyNumberFormat="1" applyFont="1" applyFill="1" applyBorder="1" applyAlignment="1">
      <alignment horizontal="center" vertical="center"/>
    </xf>
    <xf numFmtId="164" fontId="13" fillId="5" borderId="28" xfId="0" applyNumberFormat="1" applyFont="1" applyFill="1" applyBorder="1" applyAlignment="1">
      <alignment horizontal="center" vertical="center"/>
    </xf>
    <xf numFmtId="165" fontId="5" fillId="3" borderId="12" xfId="0" applyNumberFormat="1" applyFont="1" applyFill="1" applyBorder="1" applyAlignment="1">
      <alignment horizontal="center" vertical="center"/>
    </xf>
    <xf numFmtId="14" fontId="11" fillId="0" borderId="1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7" fontId="1" fillId="0" borderId="0" xfId="1" applyNumberFormat="1" applyFont="1" applyAlignment="1">
      <alignment horizontal="center"/>
    </xf>
    <xf numFmtId="16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164" fontId="7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17" fillId="0" borderId="0" xfId="0" applyNumberFormat="1" applyFont="1" applyProtection="1">
      <protection locked="0"/>
    </xf>
    <xf numFmtId="164" fontId="18" fillId="3" borderId="28" xfId="0" applyNumberFormat="1" applyFont="1" applyFill="1" applyBorder="1" applyAlignment="1">
      <alignment horizontal="center" vertical="center"/>
    </xf>
    <xf numFmtId="164" fontId="16" fillId="0" borderId="0" xfId="0" applyNumberFormat="1" applyFont="1" applyAlignment="1" applyProtection="1">
      <alignment horizontal="center"/>
      <protection locked="0"/>
    </xf>
    <xf numFmtId="164" fontId="20" fillId="0" borderId="0" xfId="0" applyNumberFormat="1" applyFont="1" applyAlignment="1" applyProtection="1">
      <alignment horizontal="center"/>
      <protection locked="0"/>
    </xf>
    <xf numFmtId="164" fontId="20" fillId="0" borderId="2" xfId="0" applyNumberFormat="1" applyFont="1" applyBorder="1" applyAlignment="1" applyProtection="1">
      <alignment horizontal="center"/>
      <protection locked="0"/>
    </xf>
    <xf numFmtId="164" fontId="20" fillId="2" borderId="1" xfId="0" applyNumberFormat="1" applyFont="1" applyFill="1" applyBorder="1" applyAlignment="1" applyProtection="1">
      <alignment horizontal="center"/>
      <protection locked="0"/>
    </xf>
    <xf numFmtId="164" fontId="20" fillId="0" borderId="1" xfId="0" applyNumberFormat="1" applyFont="1" applyBorder="1" applyAlignment="1" applyProtection="1">
      <alignment horizontal="center"/>
      <protection locked="0"/>
    </xf>
    <xf numFmtId="164" fontId="21" fillId="0" borderId="1" xfId="0" applyNumberFormat="1" applyFont="1" applyBorder="1" applyAlignment="1">
      <alignment horizontal="center"/>
    </xf>
    <xf numFmtId="164" fontId="20" fillId="0" borderId="3" xfId="0" applyNumberFormat="1" applyFont="1" applyBorder="1" applyAlignment="1" applyProtection="1">
      <alignment horizontal="center"/>
      <protection locked="0"/>
    </xf>
    <xf numFmtId="164" fontId="21" fillId="0" borderId="3" xfId="0" applyNumberFormat="1" applyFont="1" applyBorder="1" applyAlignment="1">
      <alignment horizontal="center"/>
    </xf>
    <xf numFmtId="164" fontId="17" fillId="3" borderId="24" xfId="0" applyNumberFormat="1" applyFont="1" applyFill="1" applyBorder="1" applyAlignment="1" applyProtection="1">
      <alignment horizontal="center" vertical="center"/>
      <protection locked="0"/>
    </xf>
    <xf numFmtId="166" fontId="17" fillId="3" borderId="5" xfId="0" applyNumberFormat="1" applyFont="1" applyFill="1" applyBorder="1" applyAlignment="1" applyProtection="1">
      <alignment horizontal="center" vertical="center"/>
      <protection locked="0"/>
    </xf>
    <xf numFmtId="164" fontId="17" fillId="3" borderId="5" xfId="0" applyNumberFormat="1" applyFont="1" applyFill="1" applyBorder="1" applyAlignment="1" applyProtection="1">
      <alignment horizontal="center" vertical="center"/>
      <protection locked="0"/>
    </xf>
    <xf numFmtId="164" fontId="19" fillId="0" borderId="33" xfId="0" applyNumberFormat="1" applyFont="1" applyBorder="1" applyAlignment="1">
      <alignment horizontal="center"/>
    </xf>
    <xf numFmtId="164" fontId="17" fillId="0" borderId="20" xfId="0" applyNumberFormat="1" applyFont="1" applyBorder="1" applyAlignment="1">
      <alignment horizontal="center"/>
    </xf>
    <xf numFmtId="164" fontId="17" fillId="3" borderId="25" xfId="0" applyNumberFormat="1" applyFont="1" applyFill="1" applyBorder="1" applyAlignment="1" applyProtection="1">
      <alignment horizontal="center" vertical="center"/>
      <protection locked="0"/>
    </xf>
    <xf numFmtId="164" fontId="22" fillId="3" borderId="25" xfId="0" applyNumberFormat="1" applyFont="1" applyFill="1" applyBorder="1" applyAlignment="1" applyProtection="1">
      <alignment horizontal="right" vertical="center"/>
      <protection locked="0"/>
    </xf>
    <xf numFmtId="166" fontId="17" fillId="3" borderId="7" xfId="0" applyNumberFormat="1" applyFont="1" applyFill="1" applyBorder="1" applyAlignment="1" applyProtection="1">
      <alignment horizontal="center" vertical="center"/>
      <protection locked="0"/>
    </xf>
    <xf numFmtId="164" fontId="17" fillId="3" borderId="12" xfId="0" applyNumberFormat="1" applyFont="1" applyFill="1" applyBorder="1" applyAlignment="1" applyProtection="1">
      <alignment horizontal="center" vertical="center"/>
      <protection locked="0"/>
    </xf>
    <xf numFmtId="164" fontId="19" fillId="0" borderId="34" xfId="0" applyNumberFormat="1" applyFont="1" applyBorder="1" applyAlignment="1">
      <alignment horizontal="center"/>
    </xf>
    <xf numFmtId="164" fontId="17" fillId="0" borderId="21" xfId="0" applyNumberFormat="1" applyFont="1" applyBorder="1" applyAlignment="1">
      <alignment horizontal="center"/>
    </xf>
    <xf numFmtId="164" fontId="23" fillId="3" borderId="27" xfId="0" applyNumberFormat="1" applyFont="1" applyFill="1" applyBorder="1" applyAlignment="1" applyProtection="1">
      <alignment horizontal="center" vertical="center"/>
      <protection locked="0"/>
    </xf>
    <xf numFmtId="164" fontId="17" fillId="3" borderId="11" xfId="0" applyNumberFormat="1" applyFont="1" applyFill="1" applyBorder="1" applyAlignment="1" applyProtection="1">
      <alignment horizontal="center" vertical="center"/>
      <protection locked="0"/>
    </xf>
    <xf numFmtId="166" fontId="17" fillId="0" borderId="35" xfId="0" applyNumberFormat="1" applyFont="1" applyBorder="1" applyAlignment="1">
      <alignment horizontal="center"/>
    </xf>
    <xf numFmtId="166" fontId="17" fillId="0" borderId="22" xfId="0" applyNumberFormat="1" applyFont="1" applyBorder="1" applyAlignment="1">
      <alignment horizontal="center"/>
    </xf>
    <xf numFmtId="164" fontId="17" fillId="0" borderId="33" xfId="0" applyNumberFormat="1" applyFont="1" applyBorder="1" applyAlignment="1">
      <alignment horizontal="center"/>
    </xf>
    <xf numFmtId="164" fontId="17" fillId="0" borderId="34" xfId="0" applyNumberFormat="1" applyFont="1" applyBorder="1" applyAlignment="1">
      <alignment horizontal="center"/>
    </xf>
    <xf numFmtId="164" fontId="27" fillId="6" borderId="1" xfId="0" applyNumberFormat="1" applyFont="1" applyFill="1" applyBorder="1" applyAlignment="1">
      <alignment horizontal="center"/>
    </xf>
    <xf numFmtId="164" fontId="26" fillId="0" borderId="0" xfId="0" applyNumberFormat="1" applyFont="1" applyAlignment="1" applyProtection="1">
      <alignment horizontal="center"/>
      <protection locked="0"/>
    </xf>
    <xf numFmtId="164" fontId="28" fillId="3" borderId="29" xfId="0" applyNumberFormat="1" applyFont="1" applyFill="1" applyBorder="1" applyAlignment="1">
      <alignment horizontal="center" vertical="center"/>
    </xf>
    <xf numFmtId="164" fontId="28" fillId="3" borderId="30" xfId="0" applyNumberFormat="1" applyFont="1" applyFill="1" applyBorder="1" applyAlignment="1">
      <alignment horizontal="center" vertical="center"/>
    </xf>
    <xf numFmtId="164" fontId="28" fillId="3" borderId="28" xfId="0" applyNumberFormat="1" applyFont="1" applyFill="1" applyBorder="1" applyAlignment="1">
      <alignment horizontal="center" vertical="center"/>
    </xf>
    <xf numFmtId="164" fontId="28" fillId="3" borderId="31" xfId="0" applyNumberFormat="1" applyFont="1" applyFill="1" applyBorder="1" applyAlignment="1">
      <alignment horizontal="center" vertical="center"/>
    </xf>
    <xf numFmtId="164" fontId="28" fillId="3" borderId="18" xfId="0" applyNumberFormat="1" applyFont="1" applyFill="1" applyBorder="1" applyAlignment="1">
      <alignment horizontal="center" vertical="center"/>
    </xf>
    <xf numFmtId="164" fontId="27" fillId="6" borderId="7" xfId="0" applyNumberFormat="1" applyFont="1" applyFill="1" applyBorder="1" applyAlignment="1" applyProtection="1">
      <alignment horizontal="center" vertical="center"/>
      <protection locked="0"/>
    </xf>
    <xf numFmtId="9" fontId="29" fillId="2" borderId="21" xfId="2" applyFont="1" applyFill="1" applyBorder="1" applyAlignment="1" applyProtection="1">
      <alignment horizontal="center"/>
    </xf>
    <xf numFmtId="164" fontId="30" fillId="3" borderId="29" xfId="0" applyNumberFormat="1" applyFont="1" applyFill="1" applyBorder="1" applyAlignment="1">
      <alignment horizontal="center" vertical="center"/>
    </xf>
    <xf numFmtId="164" fontId="31" fillId="3" borderId="29" xfId="0" applyNumberFormat="1" applyFont="1" applyFill="1" applyBorder="1" applyAlignment="1">
      <alignment horizontal="center" vertical="center"/>
    </xf>
    <xf numFmtId="164" fontId="32" fillId="2" borderId="1" xfId="0" applyNumberFormat="1" applyFont="1" applyFill="1" applyBorder="1" applyAlignment="1">
      <alignment horizontal="center"/>
    </xf>
    <xf numFmtId="164" fontId="27" fillId="0" borderId="2" xfId="0" applyNumberFormat="1" applyFont="1" applyBorder="1" applyAlignment="1">
      <alignment horizontal="center"/>
    </xf>
    <xf numFmtId="164" fontId="27" fillId="0" borderId="4" xfId="0" applyNumberFormat="1" applyFont="1" applyBorder="1" applyAlignment="1">
      <alignment horizontal="center"/>
    </xf>
    <xf numFmtId="164" fontId="27" fillId="2" borderId="1" xfId="0" applyNumberFormat="1" applyFont="1" applyFill="1" applyBorder="1" applyAlignment="1">
      <alignment horizontal="center"/>
    </xf>
    <xf numFmtId="164" fontId="27" fillId="0" borderId="1" xfId="0" applyNumberFormat="1" applyFont="1" applyBorder="1" applyAlignment="1">
      <alignment horizontal="center"/>
    </xf>
    <xf numFmtId="164" fontId="33" fillId="0" borderId="3" xfId="0" applyNumberFormat="1" applyFont="1" applyBorder="1" applyAlignment="1">
      <alignment horizontal="center"/>
    </xf>
    <xf numFmtId="164" fontId="27" fillId="2" borderId="34" xfId="0" applyNumberFormat="1" applyFont="1" applyFill="1" applyBorder="1" applyAlignment="1">
      <alignment horizontal="center"/>
    </xf>
    <xf numFmtId="164" fontId="19" fillId="0" borderId="0" xfId="0" applyNumberFormat="1" applyFont="1" applyAlignment="1" applyProtection="1">
      <alignment horizontal="center" vertical="center"/>
      <protection locked="0"/>
    </xf>
    <xf numFmtId="166" fontId="17" fillId="0" borderId="0" xfId="0" applyNumberFormat="1" applyFont="1" applyAlignment="1" applyProtection="1">
      <alignment horizontal="center" vertical="center"/>
      <protection locked="0"/>
    </xf>
    <xf numFmtId="164" fontId="34" fillId="0" borderId="0" xfId="0" applyNumberFormat="1" applyFont="1" applyAlignment="1" applyProtection="1">
      <alignment horizontal="center" vertical="center"/>
      <protection locked="0"/>
    </xf>
    <xf numFmtId="14" fontId="17" fillId="0" borderId="17" xfId="0" applyNumberFormat="1" applyFont="1" applyBorder="1" applyAlignment="1" applyProtection="1">
      <alignment horizontal="right" vertical="center"/>
      <protection locked="0"/>
    </xf>
    <xf numFmtId="14" fontId="17" fillId="0" borderId="17" xfId="0" applyNumberFormat="1" applyFont="1" applyBorder="1" applyAlignment="1" applyProtection="1">
      <alignment vertical="center"/>
      <protection locked="0"/>
    </xf>
    <xf numFmtId="164" fontId="24" fillId="3" borderId="11" xfId="0" applyNumberFormat="1" applyFont="1" applyFill="1" applyBorder="1" applyAlignment="1" applyProtection="1">
      <alignment horizontal="center" vertical="center"/>
      <protection locked="0"/>
    </xf>
    <xf numFmtId="49" fontId="36" fillId="3" borderId="0" xfId="0" applyNumberFormat="1" applyFont="1" applyFill="1" applyAlignment="1" applyProtection="1">
      <alignment horizontal="center" vertical="center"/>
      <protection locked="0"/>
    </xf>
    <xf numFmtId="164" fontId="16" fillId="0" borderId="0" xfId="0" applyNumberFormat="1" applyFont="1" applyAlignment="1" applyProtection="1">
      <alignment horizontal="center" vertical="center"/>
      <protection locked="0"/>
    </xf>
    <xf numFmtId="164" fontId="15" fillId="4" borderId="10" xfId="0" applyNumberFormat="1" applyFont="1" applyFill="1" applyBorder="1" applyAlignment="1" applyProtection="1">
      <alignment horizontal="center" vertical="center"/>
      <protection locked="0"/>
    </xf>
    <xf numFmtId="164" fontId="15" fillId="4" borderId="8" xfId="0" applyNumberFormat="1" applyFont="1" applyFill="1" applyBorder="1" applyAlignment="1" applyProtection="1">
      <alignment horizontal="center" vertical="center"/>
      <protection locked="0"/>
    </xf>
    <xf numFmtId="164" fontId="21" fillId="4" borderId="8" xfId="0" applyNumberFormat="1" applyFont="1" applyFill="1" applyBorder="1" applyAlignment="1" applyProtection="1">
      <alignment horizontal="center" vertical="center"/>
      <protection locked="0"/>
    </xf>
    <xf numFmtId="49" fontId="15" fillId="4" borderId="8" xfId="0" applyNumberFormat="1" applyFont="1" applyFill="1" applyBorder="1" applyAlignment="1" applyProtection="1">
      <alignment horizontal="center" vertical="center"/>
      <protection locked="0"/>
    </xf>
    <xf numFmtId="164" fontId="15" fillId="4" borderId="13" xfId="0" applyNumberFormat="1" applyFont="1" applyFill="1" applyBorder="1" applyAlignment="1" applyProtection="1">
      <alignment horizontal="center" vertical="center"/>
      <protection locked="0"/>
    </xf>
    <xf numFmtId="164" fontId="15" fillId="4" borderId="9" xfId="0" applyNumberFormat="1" applyFont="1" applyFill="1" applyBorder="1" applyAlignment="1" applyProtection="1">
      <alignment horizontal="center" vertical="center"/>
      <protection locked="0"/>
    </xf>
    <xf numFmtId="164" fontId="37" fillId="0" borderId="0" xfId="0" applyNumberFormat="1" applyFont="1" applyAlignment="1" applyProtection="1">
      <alignment horizontal="center"/>
      <protection locked="0"/>
    </xf>
    <xf numFmtId="166" fontId="37" fillId="0" borderId="0" xfId="0" applyNumberFormat="1" applyFont="1" applyAlignment="1" applyProtection="1">
      <alignment horizontal="center" vertical="center"/>
      <protection locked="0"/>
    </xf>
    <xf numFmtId="166" fontId="38" fillId="0" borderId="0" xfId="0" applyNumberFormat="1" applyFont="1" applyAlignment="1">
      <alignment horizontal="center"/>
    </xf>
    <xf numFmtId="166" fontId="38" fillId="0" borderId="0" xfId="0" applyNumberFormat="1" applyFont="1" applyAlignment="1" applyProtection="1">
      <alignment horizontal="center"/>
      <protection locked="0"/>
    </xf>
    <xf numFmtId="164" fontId="24" fillId="5" borderId="27" xfId="0" applyNumberFormat="1" applyFont="1" applyFill="1" applyBorder="1" applyAlignment="1" applyProtection="1">
      <alignment horizontal="center" vertical="center"/>
      <protection locked="0"/>
    </xf>
    <xf numFmtId="164" fontId="27" fillId="8" borderId="1" xfId="0" applyNumberFormat="1" applyFont="1" applyFill="1" applyBorder="1" applyAlignment="1">
      <alignment horizontal="center"/>
    </xf>
    <xf numFmtId="166" fontId="39" fillId="0" borderId="0" xfId="0" applyNumberFormat="1" applyFont="1" applyAlignment="1">
      <alignment horizontal="center"/>
    </xf>
    <xf numFmtId="166" fontId="17" fillId="3" borderId="22" xfId="0" applyNumberFormat="1" applyFont="1" applyFill="1" applyBorder="1" applyAlignment="1">
      <alignment horizontal="center"/>
    </xf>
    <xf numFmtId="164" fontId="15" fillId="4" borderId="8" xfId="0" applyNumberFormat="1" applyFont="1" applyFill="1" applyBorder="1" applyAlignment="1" applyProtection="1">
      <alignment horizontal="center" vertical="center" wrapText="1"/>
      <protection locked="0"/>
    </xf>
    <xf numFmtId="164" fontId="26" fillId="0" borderId="0" xfId="0" applyNumberFormat="1" applyFont="1" applyAlignment="1" applyProtection="1">
      <alignment horizontal="center" vertical="center"/>
      <protection locked="0"/>
    </xf>
    <xf numFmtId="9" fontId="23" fillId="3" borderId="27" xfId="2" applyFont="1" applyFill="1" applyBorder="1" applyAlignment="1" applyProtection="1">
      <alignment horizontal="right" vertical="center"/>
      <protection locked="0"/>
    </xf>
    <xf numFmtId="164" fontId="27" fillId="0" borderId="39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2" fontId="40" fillId="0" borderId="11" xfId="0" applyNumberFormat="1" applyFont="1" applyBorder="1" applyAlignment="1">
      <alignment horizontal="center" vertical="center"/>
    </xf>
    <xf numFmtId="2" fontId="25" fillId="0" borderId="11" xfId="0" applyNumberFormat="1" applyFont="1" applyBorder="1" applyAlignment="1">
      <alignment horizontal="center" vertical="center"/>
    </xf>
    <xf numFmtId="167" fontId="22" fillId="0" borderId="0" xfId="1" applyNumberFormat="1" applyFont="1" applyAlignment="1" applyProtection="1">
      <alignment vertical="center"/>
    </xf>
    <xf numFmtId="164" fontId="39" fillId="0" borderId="0" xfId="0" applyNumberFormat="1" applyFont="1" applyAlignment="1">
      <alignment horizontal="center"/>
    </xf>
    <xf numFmtId="49" fontId="42" fillId="3" borderId="0" xfId="0" applyNumberFormat="1" applyFont="1" applyFill="1" applyAlignment="1" applyProtection="1">
      <alignment horizontal="center" vertical="center"/>
      <protection locked="0"/>
    </xf>
    <xf numFmtId="0" fontId="27" fillId="0" borderId="3" xfId="0" applyFont="1" applyBorder="1" applyAlignment="1">
      <alignment horizontal="center"/>
    </xf>
    <xf numFmtId="164" fontId="22" fillId="3" borderId="27" xfId="0" applyNumberFormat="1" applyFont="1" applyFill="1" applyBorder="1" applyAlignment="1" applyProtection="1">
      <alignment horizontal="center" vertical="center"/>
      <protection locked="0"/>
    </xf>
    <xf numFmtId="164" fontId="17" fillId="3" borderId="27" xfId="0" applyNumberFormat="1" applyFont="1" applyFill="1" applyBorder="1" applyAlignment="1" applyProtection="1">
      <alignment horizontal="center" vertical="center"/>
      <protection locked="0"/>
    </xf>
    <xf numFmtId="164" fontId="35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166" fontId="38" fillId="0" borderId="0" xfId="0" applyNumberFormat="1" applyFont="1" applyAlignment="1" applyProtection="1">
      <alignment horizontal="center" vertical="center"/>
      <protection locked="0"/>
    </xf>
    <xf numFmtId="164" fontId="20" fillId="2" borderId="39" xfId="0" applyNumberFormat="1" applyFont="1" applyFill="1" applyBorder="1" applyAlignment="1">
      <alignment horizontal="center" vertical="center"/>
    </xf>
    <xf numFmtId="164" fontId="43" fillId="0" borderId="0" xfId="0" applyNumberFormat="1" applyFont="1" applyAlignment="1">
      <alignment horizontal="center"/>
    </xf>
    <xf numFmtId="164" fontId="7" fillId="0" borderId="0" xfId="0" applyNumberFormat="1" applyFont="1" applyAlignment="1" applyProtection="1">
      <alignment horizontal="center" vertical="center"/>
      <protection locked="0"/>
    </xf>
    <xf numFmtId="164" fontId="44" fillId="3" borderId="29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 applyProtection="1">
      <alignment horizontal="center"/>
      <protection locked="0"/>
    </xf>
    <xf numFmtId="164" fontId="45" fillId="3" borderId="25" xfId="0" applyNumberFormat="1" applyFont="1" applyFill="1" applyBorder="1" applyAlignment="1" applyProtection="1">
      <alignment horizontal="center" vertical="center"/>
      <protection locked="0"/>
    </xf>
    <xf numFmtId="165" fontId="45" fillId="3" borderId="25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" fontId="5" fillId="0" borderId="0" xfId="0" applyNumberFormat="1" applyFont="1" applyAlignment="1" applyProtection="1">
      <alignment horizontal="center" vertical="center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6" fontId="3" fillId="0" borderId="37" xfId="0" applyNumberFormat="1" applyFont="1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16" fontId="3" fillId="9" borderId="37" xfId="0" applyNumberFormat="1" applyFont="1" applyFill="1" applyBorder="1" applyAlignment="1">
      <alignment horizontal="center" vertical="center"/>
    </xf>
    <xf numFmtId="168" fontId="46" fillId="0" borderId="0" xfId="0" applyNumberFormat="1" applyFont="1" applyAlignment="1" applyProtection="1">
      <alignment horizontal="center" vertical="center"/>
      <protection locked="0"/>
    </xf>
    <xf numFmtId="9" fontId="46" fillId="0" borderId="0" xfId="0" applyNumberFormat="1" applyFont="1" applyAlignment="1" applyProtection="1">
      <alignment horizontal="center"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9" fontId="14" fillId="0" borderId="37" xfId="2" applyFont="1" applyBorder="1" applyAlignment="1" applyProtection="1">
      <alignment horizontal="center" vertical="center"/>
      <protection locked="0"/>
    </xf>
    <xf numFmtId="168" fontId="48" fillId="0" borderId="0" xfId="0" applyNumberFormat="1" applyFont="1" applyAlignment="1" applyProtection="1">
      <alignment horizontal="center" vertical="center"/>
      <protection locked="0"/>
    </xf>
    <xf numFmtId="9" fontId="48" fillId="0" borderId="0" xfId="0" applyNumberFormat="1" applyFont="1" applyAlignment="1" applyProtection="1">
      <alignment horizontal="center" vertical="center"/>
      <protection locked="0"/>
    </xf>
    <xf numFmtId="0" fontId="5" fillId="10" borderId="37" xfId="0" applyFont="1" applyFill="1" applyBorder="1" applyAlignment="1" applyProtection="1">
      <alignment horizontal="center" vertical="center"/>
      <protection locked="0"/>
    </xf>
    <xf numFmtId="9" fontId="9" fillId="10" borderId="37" xfId="2" applyFont="1" applyFill="1" applyBorder="1" applyAlignment="1" applyProtection="1">
      <alignment horizontal="center" vertical="center"/>
      <protection locked="0"/>
    </xf>
    <xf numFmtId="0" fontId="5" fillId="10" borderId="12" xfId="0" applyFont="1" applyFill="1" applyBorder="1" applyAlignment="1" applyProtection="1">
      <alignment horizontal="center" vertical="center"/>
      <protection locked="0"/>
    </xf>
    <xf numFmtId="164" fontId="20" fillId="3" borderId="39" xfId="0" applyNumberFormat="1" applyFont="1" applyFill="1" applyBorder="1" applyAlignment="1">
      <alignment horizontal="center" vertical="center"/>
    </xf>
    <xf numFmtId="9" fontId="19" fillId="0" borderId="0" xfId="2" applyFont="1" applyAlignment="1" applyProtection="1">
      <alignment horizontal="center"/>
      <protection locked="0"/>
    </xf>
    <xf numFmtId="166" fontId="17" fillId="11" borderId="7" xfId="0" applyNumberFormat="1" applyFont="1" applyFill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27" fillId="2" borderId="1" xfId="0" applyFont="1" applyFill="1" applyBorder="1" applyAlignment="1" applyProtection="1">
      <alignment horizontal="center"/>
      <protection locked="0"/>
    </xf>
    <xf numFmtId="0" fontId="26" fillId="0" borderId="1" xfId="0" applyFont="1" applyBorder="1" applyAlignment="1" applyProtection="1">
      <alignment horizontal="center"/>
      <protection locked="0"/>
    </xf>
    <xf numFmtId="0" fontId="26" fillId="0" borderId="3" xfId="0" applyFont="1" applyBorder="1" applyAlignment="1" applyProtection="1">
      <alignment horizontal="center"/>
      <protection locked="0"/>
    </xf>
    <xf numFmtId="164" fontId="17" fillId="0" borderId="0" xfId="0" applyNumberFormat="1" applyFont="1" applyAlignment="1" applyProtection="1">
      <alignment horizontal="left" vertical="center"/>
      <protection locked="0"/>
    </xf>
    <xf numFmtId="164" fontId="23" fillId="3" borderId="11" xfId="0" applyNumberFormat="1" applyFont="1" applyFill="1" applyBorder="1" applyAlignment="1" applyProtection="1">
      <alignment horizontal="center" vertical="center"/>
      <protection locked="0"/>
    </xf>
    <xf numFmtId="164" fontId="22" fillId="3" borderId="24" xfId="0" applyNumberFormat="1" applyFont="1" applyFill="1" applyBorder="1" applyAlignment="1" applyProtection="1">
      <alignment horizontal="right" vertical="center"/>
      <protection locked="0"/>
    </xf>
    <xf numFmtId="166" fontId="39" fillId="12" borderId="0" xfId="0" applyNumberFormat="1" applyFont="1" applyFill="1" applyAlignment="1">
      <alignment horizontal="center"/>
    </xf>
    <xf numFmtId="9" fontId="10" fillId="0" borderId="37" xfId="2" applyFont="1" applyBorder="1" applyAlignment="1" applyProtection="1">
      <alignment horizontal="center" vertical="center"/>
      <protection locked="0"/>
    </xf>
    <xf numFmtId="164" fontId="20" fillId="3" borderId="39" xfId="0" applyNumberFormat="1" applyFont="1" applyFill="1" applyBorder="1" applyAlignment="1">
      <alignment horizontal="center" vertical="center" wrapText="1"/>
    </xf>
    <xf numFmtId="164" fontId="27" fillId="0" borderId="0" xfId="0" applyNumberFormat="1" applyFont="1" applyAlignment="1">
      <alignment horizontal="center" vertical="center"/>
    </xf>
    <xf numFmtId="9" fontId="9" fillId="0" borderId="0" xfId="0" applyNumberFormat="1" applyFont="1" applyAlignment="1" applyProtection="1">
      <alignment horizontal="center" vertical="center"/>
      <protection locked="0"/>
    </xf>
    <xf numFmtId="49" fontId="49" fillId="3" borderId="0" xfId="0" applyNumberFormat="1" applyFont="1" applyFill="1" applyAlignment="1" applyProtection="1">
      <alignment horizontal="center" vertical="center"/>
      <protection locked="0"/>
    </xf>
    <xf numFmtId="49" fontId="50" fillId="3" borderId="0" xfId="0" applyNumberFormat="1" applyFont="1" applyFill="1" applyAlignment="1" applyProtection="1">
      <alignment horizontal="center" vertical="center"/>
      <protection locked="0"/>
    </xf>
    <xf numFmtId="164" fontId="51" fillId="5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9" fontId="8" fillId="0" borderId="37" xfId="2" applyFont="1" applyBorder="1" applyAlignment="1" applyProtection="1">
      <alignment horizontal="center" vertical="center"/>
      <protection locked="0"/>
    </xf>
    <xf numFmtId="164" fontId="40" fillId="0" borderId="0" xfId="0" applyNumberFormat="1" applyFont="1" applyAlignment="1">
      <alignment horizontal="center"/>
    </xf>
    <xf numFmtId="164" fontId="27" fillId="3" borderId="0" xfId="0" applyNumberFormat="1" applyFont="1" applyFill="1" applyAlignment="1" applyProtection="1">
      <alignment vertical="center"/>
      <protection locked="0"/>
    </xf>
    <xf numFmtId="164" fontId="15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49" fontId="52" fillId="3" borderId="0" xfId="0" applyNumberFormat="1" applyFont="1" applyFill="1" applyAlignment="1" applyProtection="1">
      <alignment horizontal="center" vertical="center"/>
      <protection locked="0"/>
    </xf>
    <xf numFmtId="49" fontId="53" fillId="3" borderId="0" xfId="0" applyNumberFormat="1" applyFont="1" applyFill="1" applyAlignment="1" applyProtection="1">
      <alignment horizontal="center" vertical="center"/>
      <protection locked="0"/>
    </xf>
    <xf numFmtId="2" fontId="27" fillId="0" borderId="11" xfId="0" applyNumberFormat="1" applyFont="1" applyBorder="1" applyAlignment="1">
      <alignment horizontal="center" vertical="center"/>
    </xf>
    <xf numFmtId="164" fontId="27" fillId="8" borderId="1" xfId="0" applyNumberFormat="1" applyFont="1" applyFill="1" applyBorder="1" applyAlignment="1" applyProtection="1">
      <alignment horizontal="center"/>
      <protection locked="0"/>
    </xf>
    <xf numFmtId="164" fontId="17" fillId="13" borderId="25" xfId="0" applyNumberFormat="1" applyFont="1" applyFill="1" applyBorder="1" applyAlignment="1" applyProtection="1">
      <alignment horizontal="center" vertical="center"/>
      <protection locked="0"/>
    </xf>
    <xf numFmtId="164" fontId="17" fillId="3" borderId="37" xfId="0" applyNumberFormat="1" applyFont="1" applyFill="1" applyBorder="1" applyAlignment="1" applyProtection="1">
      <alignment horizontal="center" vertical="center"/>
      <protection locked="0"/>
    </xf>
    <xf numFmtId="164" fontId="26" fillId="0" borderId="37" xfId="0" applyNumberFormat="1" applyFont="1" applyBorder="1" applyAlignment="1" applyProtection="1">
      <alignment horizontal="center" vertical="center"/>
      <protection locked="0"/>
    </xf>
    <xf numFmtId="164" fontId="27" fillId="0" borderId="37" xfId="0" applyNumberFormat="1" applyFont="1" applyBorder="1" applyAlignment="1">
      <alignment horizontal="center" vertical="center"/>
    </xf>
    <xf numFmtId="9" fontId="54" fillId="0" borderId="0" xfId="2" applyFont="1" applyAlignment="1" applyProtection="1">
      <alignment horizontal="center" vertical="center"/>
      <protection locked="0"/>
    </xf>
    <xf numFmtId="166" fontId="27" fillId="0" borderId="0" xfId="0" applyNumberFormat="1" applyFont="1" applyAlignment="1" applyProtection="1">
      <alignment horizontal="center" vertical="center"/>
      <protection locked="0"/>
    </xf>
    <xf numFmtId="0" fontId="55" fillId="0" borderId="1" xfId="0" applyFont="1" applyBorder="1" applyAlignment="1" applyProtection="1">
      <alignment horizontal="center"/>
      <protection locked="0"/>
    </xf>
    <xf numFmtId="0" fontId="55" fillId="0" borderId="3" xfId="0" applyFont="1" applyBorder="1" applyAlignment="1" applyProtection="1">
      <alignment horizontal="center"/>
      <protection locked="0"/>
    </xf>
    <xf numFmtId="164" fontId="26" fillId="14" borderId="0" xfId="0" applyNumberFormat="1" applyFont="1" applyFill="1" applyAlignment="1" applyProtection="1">
      <alignment horizontal="center"/>
      <protection locked="0"/>
    </xf>
    <xf numFmtId="0" fontId="27" fillId="16" borderId="1" xfId="0" applyFont="1" applyFill="1" applyBorder="1" applyAlignment="1" applyProtection="1">
      <alignment horizontal="center"/>
      <protection locked="0"/>
    </xf>
    <xf numFmtId="164" fontId="15" fillId="5" borderId="8" xfId="0" applyNumberFormat="1" applyFont="1" applyFill="1" applyBorder="1" applyAlignment="1" applyProtection="1">
      <alignment horizontal="center" vertical="center"/>
      <protection locked="0"/>
    </xf>
    <xf numFmtId="49" fontId="15" fillId="5" borderId="8" xfId="0" applyNumberFormat="1" applyFont="1" applyFill="1" applyBorder="1" applyAlignment="1" applyProtection="1">
      <alignment horizontal="center" vertical="center"/>
      <protection locked="0"/>
    </xf>
    <xf numFmtId="164" fontId="56" fillId="0" borderId="0" xfId="0" applyNumberFormat="1" applyFont="1" applyAlignment="1" applyProtection="1">
      <alignment horizontal="center"/>
      <protection locked="0"/>
    </xf>
    <xf numFmtId="0" fontId="57" fillId="0" borderId="37" xfId="0" applyFont="1" applyBorder="1" applyAlignment="1" applyProtection="1">
      <alignment horizontal="center" vertical="center"/>
      <protection locked="0"/>
    </xf>
    <xf numFmtId="0" fontId="57" fillId="0" borderId="40" xfId="0" applyFont="1" applyBorder="1" applyAlignment="1" applyProtection="1">
      <alignment horizontal="center" vertical="center"/>
      <protection locked="0"/>
    </xf>
    <xf numFmtId="9" fontId="57" fillId="0" borderId="37" xfId="2" applyFont="1" applyBorder="1" applyAlignment="1" applyProtection="1">
      <alignment horizontal="center" vertical="center"/>
      <protection locked="0"/>
    </xf>
    <xf numFmtId="0" fontId="58" fillId="0" borderId="0" xfId="0" applyFont="1" applyAlignment="1" applyProtection="1">
      <alignment horizontal="center" vertical="center"/>
      <protection locked="0"/>
    </xf>
    <xf numFmtId="9" fontId="59" fillId="0" borderId="0" xfId="0" applyNumberFormat="1" applyFont="1" applyAlignment="1" applyProtection="1">
      <alignment horizontal="center" vertical="center"/>
      <protection locked="0"/>
    </xf>
    <xf numFmtId="0" fontId="58" fillId="0" borderId="37" xfId="0" applyFont="1" applyBorder="1" applyAlignment="1">
      <alignment horizontal="center"/>
    </xf>
    <xf numFmtId="0" fontId="58" fillId="0" borderId="0" xfId="0" applyFont="1" applyAlignment="1">
      <alignment horizontal="center"/>
    </xf>
    <xf numFmtId="14" fontId="58" fillId="0" borderId="37" xfId="0" applyNumberFormat="1" applyFont="1" applyBorder="1" applyAlignment="1">
      <alignment horizontal="center"/>
    </xf>
    <xf numFmtId="0" fontId="58" fillId="0" borderId="37" xfId="0" applyFont="1" applyBorder="1" applyAlignment="1">
      <alignment horizontal="left"/>
    </xf>
    <xf numFmtId="0" fontId="58" fillId="0" borderId="0" xfId="0" applyFont="1" applyAlignment="1">
      <alignment horizontal="left"/>
    </xf>
    <xf numFmtId="43" fontId="9" fillId="0" borderId="0" xfId="1" applyFont="1" applyAlignment="1" applyProtection="1">
      <alignment horizontal="center" vertical="center"/>
    </xf>
    <xf numFmtId="17" fontId="5" fillId="0" borderId="0" xfId="1" applyNumberFormat="1" applyFont="1" applyAlignment="1" applyProtection="1">
      <alignment horizontal="center" vertical="center"/>
    </xf>
    <xf numFmtId="9" fontId="11" fillId="0" borderId="37" xfId="2" applyFont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4" borderId="43" xfId="0" applyFont="1" applyFill="1" applyBorder="1" applyAlignment="1" applyProtection="1">
      <alignment horizontal="center" vertical="center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9" fontId="3" fillId="0" borderId="37" xfId="2" applyFont="1" applyBorder="1" applyAlignment="1" applyProtection="1">
      <alignment horizontal="center" vertical="center"/>
    </xf>
    <xf numFmtId="9" fontId="3" fillId="0" borderId="0" xfId="2" applyFont="1" applyAlignment="1" applyProtection="1">
      <alignment horizontal="center" vertical="center"/>
    </xf>
    <xf numFmtId="14" fontId="3" fillId="0" borderId="44" xfId="0" applyNumberFormat="1" applyFont="1" applyBorder="1" applyAlignment="1" applyProtection="1">
      <alignment horizontal="center" vertical="center"/>
      <protection locked="0"/>
    </xf>
    <xf numFmtId="1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14" fontId="3" fillId="0" borderId="45" xfId="0" applyNumberFormat="1" applyFont="1" applyBorder="1" applyAlignment="1" applyProtection="1">
      <alignment horizontal="center" vertical="center"/>
      <protection locked="0"/>
    </xf>
    <xf numFmtId="1" fontId="3" fillId="0" borderId="45" xfId="0" applyNumberFormat="1" applyFont="1" applyBorder="1" applyAlignment="1" applyProtection="1">
      <alignment horizontal="center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14" fontId="3" fillId="0" borderId="46" xfId="0" applyNumberFormat="1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14" fontId="3" fillId="0" borderId="47" xfId="0" applyNumberFormat="1" applyFont="1" applyBorder="1" applyAlignment="1" applyProtection="1">
      <alignment horizontal="center" vertical="center"/>
      <protection locked="0"/>
    </xf>
    <xf numFmtId="0" fontId="3" fillId="0" borderId="47" xfId="0" applyFont="1" applyBorder="1" applyAlignment="1" applyProtection="1">
      <alignment horizontal="center" vertical="center"/>
      <protection locked="0"/>
    </xf>
    <xf numFmtId="9" fontId="0" fillId="0" borderId="0" xfId="2" applyFont="1" applyAlignment="1" applyProtection="1">
      <alignment horizontal="center"/>
      <protection locked="0"/>
    </xf>
    <xf numFmtId="9" fontId="11" fillId="17" borderId="37" xfId="2" applyFont="1" applyFill="1" applyBorder="1" applyAlignment="1" applyProtection="1">
      <alignment horizontal="center" vertical="center"/>
    </xf>
    <xf numFmtId="9" fontId="11" fillId="0" borderId="0" xfId="2" applyFont="1" applyAlignment="1" applyProtection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2" fontId="3" fillId="0" borderId="37" xfId="0" applyNumberFormat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11" fillId="17" borderId="37" xfId="0" applyNumberFormat="1" applyFont="1" applyFill="1" applyBorder="1" applyAlignment="1">
      <alignment horizontal="center" vertical="center"/>
    </xf>
    <xf numFmtId="44" fontId="3" fillId="0" borderId="44" xfId="0" applyNumberFormat="1" applyFont="1" applyBorder="1" applyAlignment="1">
      <alignment horizontal="center" vertical="center"/>
    </xf>
    <xf numFmtId="44" fontId="3" fillId="0" borderId="45" xfId="0" applyNumberFormat="1" applyFont="1" applyBorder="1" applyAlignment="1">
      <alignment horizontal="center" vertical="center"/>
    </xf>
    <xf numFmtId="44" fontId="3" fillId="0" borderId="46" xfId="0" applyNumberFormat="1" applyFont="1" applyBorder="1" applyAlignment="1">
      <alignment horizontal="center" vertical="center"/>
    </xf>
    <xf numFmtId="44" fontId="3" fillId="0" borderId="47" xfId="0" applyNumberFormat="1" applyFont="1" applyBorder="1" applyAlignment="1">
      <alignment horizontal="center" vertical="center"/>
    </xf>
    <xf numFmtId="44" fontId="61" fillId="0" borderId="45" xfId="0" applyNumberFormat="1" applyFont="1" applyBorder="1" applyAlignment="1">
      <alignment horizontal="center" vertical="center"/>
    </xf>
    <xf numFmtId="44" fontId="61" fillId="0" borderId="46" xfId="0" applyNumberFormat="1" applyFont="1" applyBorder="1" applyAlignment="1">
      <alignment horizontal="center" vertical="center"/>
    </xf>
    <xf numFmtId="44" fontId="60" fillId="0" borderId="47" xfId="0" applyNumberFormat="1" applyFont="1" applyBorder="1" applyAlignment="1">
      <alignment horizontal="center" vertical="center"/>
    </xf>
    <xf numFmtId="44" fontId="60" fillId="0" borderId="0" xfId="0" applyNumberFormat="1" applyFont="1" applyAlignment="1">
      <alignment horizontal="center" vertical="center"/>
    </xf>
    <xf numFmtId="44" fontId="61" fillId="0" borderId="47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4" fontId="61" fillId="0" borderId="37" xfId="0" applyNumberFormat="1" applyFont="1" applyBorder="1" applyAlignment="1">
      <alignment horizontal="center" vertical="center"/>
    </xf>
    <xf numFmtId="14" fontId="3" fillId="0" borderId="37" xfId="0" applyNumberFormat="1" applyFont="1" applyBorder="1" applyAlignment="1">
      <alignment horizontal="center" vertical="center"/>
    </xf>
    <xf numFmtId="14" fontId="11" fillId="17" borderId="37" xfId="0" applyNumberFormat="1" applyFont="1" applyFill="1" applyBorder="1" applyAlignment="1">
      <alignment horizontal="center" vertical="center" wrapText="1"/>
    </xf>
    <xf numFmtId="1" fontId="3" fillId="0" borderId="37" xfId="0" applyNumberFormat="1" applyFont="1" applyBorder="1" applyAlignment="1">
      <alignment horizontal="center" vertical="center"/>
    </xf>
    <xf numFmtId="0" fontId="11" fillId="17" borderId="37" xfId="0" applyFont="1" applyFill="1" applyBorder="1" applyAlignment="1">
      <alignment horizontal="center" vertical="center"/>
    </xf>
    <xf numFmtId="43" fontId="11" fillId="17" borderId="37" xfId="1" applyFont="1" applyFill="1" applyBorder="1" applyAlignment="1" applyProtection="1">
      <alignment horizontal="center" vertical="center"/>
    </xf>
    <xf numFmtId="9" fontId="11" fillId="5" borderId="48" xfId="2" applyFont="1" applyFill="1" applyBorder="1" applyAlignment="1" applyProtection="1">
      <alignment horizontal="center" vertical="center"/>
      <protection locked="0"/>
    </xf>
    <xf numFmtId="9" fontId="11" fillId="15" borderId="37" xfId="2" applyFont="1" applyFill="1" applyBorder="1" applyAlignment="1" applyProtection="1">
      <alignment horizontal="center" vertical="center"/>
      <protection locked="0"/>
    </xf>
    <xf numFmtId="0" fontId="46" fillId="0" borderId="0" xfId="0" applyFont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9" fontId="54" fillId="0" borderId="0" xfId="2" applyFont="1" applyAlignment="1" applyProtection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9" fontId="11" fillId="18" borderId="48" xfId="2" applyFont="1" applyFill="1" applyBorder="1" applyAlignment="1" applyProtection="1">
      <alignment horizontal="center" vertical="center"/>
      <protection locked="0"/>
    </xf>
    <xf numFmtId="9" fontId="11" fillId="19" borderId="48" xfId="2" applyFont="1" applyFill="1" applyBorder="1" applyAlignment="1" applyProtection="1">
      <alignment horizontal="center" vertical="center"/>
      <protection locked="0"/>
    </xf>
    <xf numFmtId="164" fontId="62" fillId="8" borderId="37" xfId="0" applyNumberFormat="1" applyFont="1" applyFill="1" applyBorder="1" applyAlignment="1">
      <alignment horizontal="center" vertical="center"/>
    </xf>
    <xf numFmtId="164" fontId="62" fillId="0" borderId="0" xfId="0" applyNumberFormat="1" applyFont="1" applyAlignment="1">
      <alignment horizontal="center" vertical="center"/>
    </xf>
    <xf numFmtId="164" fontId="63" fillId="0" borderId="0" xfId="0" applyNumberFormat="1" applyFont="1" applyAlignment="1">
      <alignment horizontal="center" vertical="center"/>
    </xf>
    <xf numFmtId="164" fontId="63" fillId="3" borderId="37" xfId="0" applyNumberFormat="1" applyFont="1" applyFill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0" fontId="62" fillId="3" borderId="37" xfId="0" applyFont="1" applyFill="1" applyBorder="1" applyAlignment="1">
      <alignment horizontal="center" vertical="center"/>
    </xf>
    <xf numFmtId="164" fontId="62" fillId="0" borderId="37" xfId="0" applyNumberFormat="1" applyFont="1" applyBorder="1" applyAlignment="1">
      <alignment horizontal="center" vertical="center"/>
    </xf>
    <xf numFmtId="164" fontId="62" fillId="0" borderId="37" xfId="0" applyNumberFormat="1" applyFont="1" applyBorder="1" applyAlignment="1">
      <alignment horizontal="center"/>
    </xf>
    <xf numFmtId="164" fontId="63" fillId="0" borderId="0" xfId="0" applyNumberFormat="1" applyFont="1" applyAlignment="1">
      <alignment horizontal="center"/>
    </xf>
    <xf numFmtId="166" fontId="63" fillId="0" borderId="0" xfId="0" applyNumberFormat="1" applyFont="1" applyAlignment="1">
      <alignment horizontal="center"/>
    </xf>
    <xf numFmtId="164" fontId="63" fillId="0" borderId="37" xfId="0" applyNumberFormat="1" applyFont="1" applyBorder="1" applyAlignment="1">
      <alignment horizontal="center"/>
    </xf>
    <xf numFmtId="164" fontId="63" fillId="3" borderId="0" xfId="0" applyNumberFormat="1" applyFont="1" applyFill="1" applyAlignment="1">
      <alignment horizontal="center"/>
    </xf>
    <xf numFmtId="43" fontId="0" fillId="0" borderId="0" xfId="1" applyFont="1" applyAlignment="1" applyProtection="1">
      <alignment horizontal="center"/>
    </xf>
    <xf numFmtId="164" fontId="63" fillId="0" borderId="37" xfId="0" applyNumberFormat="1" applyFont="1" applyBorder="1" applyAlignment="1">
      <alignment horizontal="center" vertical="center"/>
    </xf>
    <xf numFmtId="0" fontId="0" fillId="5" borderId="0" xfId="0" applyFill="1"/>
    <xf numFmtId="43" fontId="0" fillId="0" borderId="0" xfId="1" applyFont="1"/>
    <xf numFmtId="0" fontId="0" fillId="0" borderId="0" xfId="0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/>
    </xf>
    <xf numFmtId="166" fontId="19" fillId="0" borderId="0" xfId="0" applyNumberFormat="1" applyFont="1" applyAlignment="1">
      <alignment horizontal="center"/>
    </xf>
    <xf numFmtId="164" fontId="16" fillId="16" borderId="0" xfId="0" applyNumberFormat="1" applyFont="1" applyFill="1" applyAlignment="1">
      <alignment horizontal="center"/>
    </xf>
    <xf numFmtId="164" fontId="64" fillId="0" borderId="1" xfId="0" applyNumberFormat="1" applyFont="1" applyBorder="1" applyAlignment="1">
      <alignment horizontal="center"/>
    </xf>
    <xf numFmtId="166" fontId="17" fillId="5" borderId="0" xfId="0" applyNumberFormat="1" applyFont="1" applyFill="1" applyAlignment="1">
      <alignment horizontal="center" vertical="center"/>
    </xf>
    <xf numFmtId="43" fontId="28" fillId="3" borderId="30" xfId="1" applyFont="1" applyFill="1" applyBorder="1" applyAlignment="1" applyProtection="1">
      <alignment horizontal="center" vertical="center"/>
    </xf>
    <xf numFmtId="43" fontId="19" fillId="0" borderId="0" xfId="1" applyFont="1" applyAlignment="1" applyProtection="1">
      <alignment horizontal="center" vertical="top"/>
    </xf>
    <xf numFmtId="43" fontId="19" fillId="0" borderId="0" xfId="1" applyFont="1" applyAlignment="1" applyProtection="1">
      <alignment horizontal="center"/>
    </xf>
    <xf numFmtId="43" fontId="19" fillId="3" borderId="39" xfId="1" applyFont="1" applyFill="1" applyBorder="1" applyAlignment="1" applyProtection="1">
      <alignment horizontal="center" vertical="center" wrapText="1"/>
    </xf>
    <xf numFmtId="43" fontId="19" fillId="0" borderId="0" xfId="1" applyFont="1" applyAlignment="1" applyProtection="1">
      <alignment horizontal="center" wrapText="1"/>
    </xf>
    <xf numFmtId="43" fontId="0" fillId="0" borderId="0" xfId="1" applyFont="1" applyAlignment="1" applyProtection="1">
      <alignment horizontal="center" vertical="center"/>
    </xf>
    <xf numFmtId="167" fontId="19" fillId="0" borderId="0" xfId="1" applyNumberFormat="1" applyFont="1" applyAlignment="1" applyProtection="1">
      <alignment horizontal="center"/>
    </xf>
    <xf numFmtId="164" fontId="19" fillId="0" borderId="0" xfId="0" applyNumberFormat="1" applyFont="1" applyAlignment="1">
      <alignment horizontal="center" wrapText="1"/>
    </xf>
    <xf numFmtId="164" fontId="19" fillId="3" borderId="39" xfId="0" applyNumberFormat="1" applyFont="1" applyFill="1" applyBorder="1" applyAlignment="1">
      <alignment horizontal="center" vertical="center" wrapText="1"/>
    </xf>
    <xf numFmtId="9" fontId="19" fillId="0" borderId="0" xfId="2" applyFont="1" applyAlignment="1" applyProtection="1">
      <alignment horizontal="center"/>
    </xf>
    <xf numFmtId="164" fontId="26" fillId="0" borderId="0" xfId="0" applyNumberFormat="1" applyFont="1" applyAlignment="1">
      <alignment horizontal="center"/>
    </xf>
    <xf numFmtId="168" fontId="19" fillId="0" borderId="0" xfId="2" applyNumberFormat="1" applyFont="1" applyAlignment="1" applyProtection="1">
      <alignment horizontal="center"/>
    </xf>
    <xf numFmtId="164" fontId="20" fillId="0" borderId="0" xfId="0" applyNumberFormat="1" applyFont="1" applyAlignment="1">
      <alignment horizontal="center"/>
    </xf>
    <xf numFmtId="164" fontId="31" fillId="0" borderId="0" xfId="0" applyNumberFormat="1" applyFont="1" applyAlignment="1" applyProtection="1">
      <alignment vertical="center"/>
      <protection locked="0"/>
    </xf>
    <xf numFmtId="164" fontId="28" fillId="3" borderId="0" xfId="0" applyNumberFormat="1" applyFont="1" applyFill="1" applyAlignment="1" applyProtection="1">
      <alignment vertical="center"/>
      <protection locked="0"/>
    </xf>
    <xf numFmtId="164" fontId="28" fillId="0" borderId="0" xfId="0" applyNumberFormat="1" applyFont="1" applyAlignment="1" applyProtection="1">
      <alignment horizontal="center" vertical="center"/>
      <protection locked="0"/>
    </xf>
    <xf numFmtId="164" fontId="17" fillId="0" borderId="0" xfId="0" applyNumberFormat="1" applyFont="1" applyAlignment="1" applyProtection="1">
      <alignment horizontal="center" vertical="center"/>
      <protection locked="0"/>
    </xf>
    <xf numFmtId="49" fontId="53" fillId="3" borderId="0" xfId="0" applyNumberFormat="1" applyFont="1" applyFill="1" applyAlignment="1" applyProtection="1">
      <alignment horizontal="center" vertical="center" wrapText="1"/>
      <protection locked="0"/>
    </xf>
    <xf numFmtId="49" fontId="36" fillId="3" borderId="17" xfId="0" applyNumberFormat="1" applyFont="1" applyFill="1" applyBorder="1" applyAlignment="1" applyProtection="1">
      <alignment vertical="center"/>
      <protection locked="0"/>
    </xf>
    <xf numFmtId="164" fontId="39" fillId="0" borderId="0" xfId="0" applyNumberFormat="1" applyFont="1" applyAlignment="1" applyProtection="1">
      <alignment horizontal="center"/>
      <protection locked="0"/>
    </xf>
    <xf numFmtId="166" fontId="27" fillId="5" borderId="0" xfId="0" applyNumberFormat="1" applyFont="1" applyFill="1" applyAlignment="1" applyProtection="1">
      <alignment horizontal="center" vertical="center"/>
      <protection locked="0"/>
    </xf>
    <xf numFmtId="164" fontId="19" fillId="5" borderId="0" xfId="0" applyNumberFormat="1" applyFont="1" applyFill="1" applyAlignment="1" applyProtection="1">
      <alignment horizontal="center" vertical="center"/>
      <protection locked="0"/>
    </xf>
    <xf numFmtId="164" fontId="15" fillId="4" borderId="19" xfId="0" applyNumberFormat="1" applyFont="1" applyFill="1" applyBorder="1" applyAlignment="1" applyProtection="1">
      <alignment horizontal="center" vertical="center"/>
      <protection locked="0"/>
    </xf>
    <xf numFmtId="49" fontId="36" fillId="4" borderId="8" xfId="0" applyNumberFormat="1" applyFont="1" applyFill="1" applyBorder="1" applyAlignment="1" applyProtection="1">
      <alignment horizontal="left" vertical="center"/>
      <protection locked="0"/>
    </xf>
    <xf numFmtId="164" fontId="36" fillId="4" borderId="8" xfId="0" applyNumberFormat="1" applyFont="1" applyFill="1" applyBorder="1" applyAlignment="1" applyProtection="1">
      <alignment horizontal="left" vertical="center"/>
      <protection locked="0"/>
    </xf>
    <xf numFmtId="164" fontId="15" fillId="16" borderId="0" xfId="0" applyNumberFormat="1" applyFont="1" applyFill="1" applyAlignment="1" applyProtection="1">
      <alignment horizontal="center" vertical="center"/>
      <protection locked="0"/>
    </xf>
    <xf numFmtId="164" fontId="15" fillId="4" borderId="9" xfId="0" applyNumberFormat="1" applyFont="1" applyFill="1" applyBorder="1" applyAlignment="1" applyProtection="1">
      <alignment horizontal="center" vertical="center" wrapText="1"/>
      <protection locked="0"/>
    </xf>
    <xf numFmtId="164" fontId="18" fillId="3" borderId="49" xfId="0" applyNumberFormat="1" applyFont="1" applyFill="1" applyBorder="1" applyAlignment="1" applyProtection="1">
      <alignment horizontal="center" vertical="center"/>
      <protection locked="0"/>
    </xf>
    <xf numFmtId="164" fontId="30" fillId="3" borderId="50" xfId="0" applyNumberFormat="1" applyFont="1" applyFill="1" applyBorder="1" applyAlignment="1" applyProtection="1">
      <alignment horizontal="center" vertical="center"/>
      <protection locked="0"/>
    </xf>
    <xf numFmtId="0" fontId="17" fillId="3" borderId="25" xfId="0" applyFont="1" applyFill="1" applyBorder="1" applyAlignment="1" applyProtection="1">
      <alignment horizontal="center" vertical="center"/>
      <protection locked="0"/>
    </xf>
    <xf numFmtId="164" fontId="28" fillId="3" borderId="50" xfId="0" applyNumberFormat="1" applyFont="1" applyFill="1" applyBorder="1" applyAlignment="1" applyProtection="1">
      <alignment horizontal="center" vertical="center"/>
      <protection locked="0"/>
    </xf>
    <xf numFmtId="164" fontId="65" fillId="3" borderId="25" xfId="0" applyNumberFormat="1" applyFont="1" applyFill="1" applyBorder="1" applyAlignment="1" applyProtection="1">
      <alignment horizontal="center" vertical="center"/>
      <protection locked="0"/>
    </xf>
    <xf numFmtId="164" fontId="28" fillId="3" borderId="51" xfId="0" applyNumberFormat="1" applyFont="1" applyFill="1" applyBorder="1" applyAlignment="1" applyProtection="1">
      <alignment horizontal="center" vertical="center"/>
      <protection locked="0"/>
    </xf>
    <xf numFmtId="164" fontId="18" fillId="3" borderId="25" xfId="0" applyNumberFormat="1" applyFont="1" applyFill="1" applyBorder="1" applyAlignment="1" applyProtection="1">
      <alignment horizontal="center" vertical="center"/>
      <protection locked="0"/>
    </xf>
    <xf numFmtId="164" fontId="22" fillId="3" borderId="25" xfId="0" applyNumberFormat="1" applyFont="1" applyFill="1" applyBorder="1" applyAlignment="1" applyProtection="1">
      <alignment horizontal="center" vertical="center"/>
      <protection locked="0"/>
    </xf>
    <xf numFmtId="43" fontId="22" fillId="3" borderId="27" xfId="1" applyFont="1" applyFill="1" applyBorder="1" applyAlignment="1" applyProtection="1">
      <alignment horizontal="center" vertical="center"/>
      <protection locked="0"/>
    </xf>
    <xf numFmtId="43" fontId="7" fillId="0" borderId="0" xfId="1" applyFont="1" applyAlignment="1" applyProtection="1">
      <alignment horizontal="center"/>
      <protection locked="0"/>
    </xf>
    <xf numFmtId="43" fontId="0" fillId="0" borderId="0" xfId="1" applyFont="1" applyAlignment="1" applyProtection="1">
      <alignment horizontal="center"/>
      <protection locked="0"/>
    </xf>
    <xf numFmtId="43" fontId="19" fillId="0" borderId="0" xfId="1" applyFont="1" applyAlignment="1" applyProtection="1">
      <alignment horizontal="center" vertical="top"/>
      <protection locked="0"/>
    </xf>
    <xf numFmtId="43" fontId="3" fillId="0" borderId="0" xfId="1" applyFont="1" applyAlignment="1" applyProtection="1">
      <alignment horizontal="center"/>
      <protection locked="0"/>
    </xf>
    <xf numFmtId="43" fontId="38" fillId="0" borderId="0" xfId="1" applyFont="1" applyAlignment="1" applyProtection="1">
      <alignment horizontal="center"/>
      <protection locked="0"/>
    </xf>
    <xf numFmtId="43" fontId="16" fillId="0" borderId="0" xfId="1" applyFont="1" applyAlignment="1" applyProtection="1">
      <alignment horizontal="center"/>
      <protection locked="0"/>
    </xf>
    <xf numFmtId="43" fontId="19" fillId="0" borderId="0" xfId="1" applyFont="1" applyAlignment="1" applyProtection="1">
      <alignment horizontal="center"/>
      <protection locked="0"/>
    </xf>
    <xf numFmtId="43" fontId="16" fillId="16" borderId="0" xfId="1" applyFont="1" applyFill="1" applyAlignment="1" applyProtection="1">
      <alignment horizontal="center"/>
      <protection locked="0"/>
    </xf>
    <xf numFmtId="43" fontId="0" fillId="0" borderId="0" xfId="1" applyFont="1" applyAlignment="1" applyProtection="1">
      <alignment horizontal="center" vertical="center"/>
      <protection locked="0"/>
    </xf>
    <xf numFmtId="43" fontId="3" fillId="0" borderId="0" xfId="1" applyFont="1" applyAlignment="1" applyProtection="1">
      <alignment horizontal="center" vertical="center"/>
      <protection locked="0"/>
    </xf>
    <xf numFmtId="43" fontId="27" fillId="0" borderId="0" xfId="1" applyFont="1" applyAlignment="1" applyProtection="1">
      <alignment horizontal="center" vertical="center"/>
      <protection locked="0"/>
    </xf>
    <xf numFmtId="43" fontId="2" fillId="0" borderId="0" xfId="1" applyFont="1" applyAlignment="1" applyProtection="1">
      <alignment horizontal="center"/>
      <protection locked="0"/>
    </xf>
    <xf numFmtId="164" fontId="27" fillId="0" borderId="0" xfId="0" applyNumberFormat="1" applyFont="1" applyAlignment="1" applyProtection="1">
      <alignment horizontal="center"/>
      <protection locked="0"/>
    </xf>
    <xf numFmtId="9" fontId="11" fillId="0" borderId="37" xfId="2" applyFont="1" applyBorder="1" applyAlignment="1" applyProtection="1">
      <alignment horizontal="center" vertical="center"/>
      <protection locked="0"/>
    </xf>
    <xf numFmtId="166" fontId="27" fillId="0" borderId="0" xfId="0" applyNumberFormat="1" applyFont="1" applyAlignment="1" applyProtection="1">
      <alignment horizontal="center"/>
      <protection locked="0"/>
    </xf>
    <xf numFmtId="166" fontId="27" fillId="0" borderId="0" xfId="1" applyNumberFormat="1" applyFont="1" applyAlignment="1" applyProtection="1">
      <alignment horizontal="center"/>
      <protection locked="0"/>
    </xf>
    <xf numFmtId="164" fontId="25" fillId="0" borderId="0" xfId="0" quotePrefix="1" applyNumberFormat="1" applyFont="1" applyAlignment="1" applyProtection="1">
      <alignment vertical="center"/>
      <protection locked="0"/>
    </xf>
    <xf numFmtId="164" fontId="25" fillId="0" borderId="0" xfId="0" applyNumberFormat="1" applyFont="1" applyAlignment="1" applyProtection="1">
      <alignment vertical="center"/>
      <protection locked="0"/>
    </xf>
    <xf numFmtId="164" fontId="24" fillId="3" borderId="27" xfId="0" applyNumberFormat="1" applyFont="1" applyFill="1" applyBorder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164" fontId="27" fillId="0" borderId="7" xfId="0" applyNumberFormat="1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164" fontId="27" fillId="18" borderId="7" xfId="0" applyNumberFormat="1" applyFont="1" applyFill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center" vertical="center"/>
      <protection locked="0"/>
    </xf>
    <xf numFmtId="0" fontId="67" fillId="0" borderId="0" xfId="0" applyFont="1" applyAlignment="1" applyProtection="1">
      <alignment horizontal="center" vertical="center"/>
      <protection locked="0"/>
    </xf>
    <xf numFmtId="0" fontId="69" fillId="0" borderId="0" xfId="0" applyFont="1" applyAlignment="1" applyProtection="1">
      <alignment horizontal="center" vertical="center"/>
      <protection locked="0"/>
    </xf>
    <xf numFmtId="0" fontId="73" fillId="0" borderId="0" xfId="0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" fontId="71" fillId="0" borderId="0" xfId="0" applyNumberFormat="1" applyFont="1" applyAlignment="1" applyProtection="1">
      <alignment horizontal="center" vertical="center"/>
      <protection locked="0"/>
    </xf>
    <xf numFmtId="0" fontId="68" fillId="0" borderId="37" xfId="0" applyFont="1" applyBorder="1" applyAlignment="1" applyProtection="1">
      <alignment horizontal="center" vertical="center"/>
      <protection locked="0"/>
    </xf>
    <xf numFmtId="0" fontId="68" fillId="3" borderId="37" xfId="0" applyFont="1" applyFill="1" applyBorder="1" applyAlignment="1" applyProtection="1">
      <alignment horizontal="center" vertical="center"/>
      <protection locked="0"/>
    </xf>
    <xf numFmtId="1" fontId="68" fillId="0" borderId="0" xfId="0" applyNumberFormat="1" applyFont="1" applyAlignment="1" applyProtection="1">
      <alignment horizontal="center" vertical="center"/>
      <protection locked="0"/>
    </xf>
    <xf numFmtId="1" fontId="71" fillId="0" borderId="37" xfId="0" applyNumberFormat="1" applyFont="1" applyBorder="1" applyAlignment="1">
      <alignment horizontal="center" vertical="center"/>
    </xf>
    <xf numFmtId="1" fontId="74" fillId="0" borderId="37" xfId="0" applyNumberFormat="1" applyFont="1" applyBorder="1" applyAlignment="1">
      <alignment horizontal="center" vertical="center"/>
    </xf>
    <xf numFmtId="1" fontId="71" fillId="0" borderId="0" xfId="0" applyNumberFormat="1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1" fontId="68" fillId="0" borderId="37" xfId="0" applyNumberFormat="1" applyFont="1" applyBorder="1" applyAlignment="1">
      <alignment horizontal="center" vertical="center"/>
    </xf>
    <xf numFmtId="1" fontId="68" fillId="0" borderId="0" xfId="0" applyNumberFormat="1" applyFont="1" applyAlignment="1">
      <alignment horizontal="center" vertical="center"/>
    </xf>
    <xf numFmtId="1" fontId="68" fillId="3" borderId="37" xfId="0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164" fontId="27" fillId="0" borderId="4" xfId="0" applyNumberFormat="1" applyFont="1" applyBorder="1" applyAlignment="1" applyProtection="1">
      <alignment horizontal="center"/>
      <protection locked="0"/>
    </xf>
    <xf numFmtId="164" fontId="27" fillId="2" borderId="1" xfId="0" applyNumberFormat="1" applyFont="1" applyFill="1" applyBorder="1" applyAlignment="1" applyProtection="1">
      <alignment horizontal="center"/>
      <protection locked="0"/>
    </xf>
    <xf numFmtId="164" fontId="26" fillId="0" borderId="1" xfId="0" applyNumberFormat="1" applyFont="1" applyBorder="1" applyAlignment="1" applyProtection="1">
      <alignment horizontal="center"/>
      <protection locked="0"/>
    </xf>
    <xf numFmtId="164" fontId="27" fillId="0" borderId="1" xfId="0" applyNumberFormat="1" applyFont="1" applyBorder="1" applyAlignment="1" applyProtection="1">
      <alignment horizontal="center"/>
      <protection locked="0"/>
    </xf>
    <xf numFmtId="164" fontId="26" fillId="0" borderId="3" xfId="0" applyNumberFormat="1" applyFont="1" applyBorder="1" applyAlignment="1" applyProtection="1">
      <alignment horizontal="center"/>
      <protection locked="0"/>
    </xf>
    <xf numFmtId="164" fontId="27" fillId="0" borderId="3" xfId="0" applyNumberFormat="1" applyFont="1" applyBorder="1" applyAlignment="1" applyProtection="1">
      <alignment horizontal="center"/>
      <protection locked="0"/>
    </xf>
    <xf numFmtId="165" fontId="17" fillId="3" borderId="11" xfId="0" applyNumberFormat="1" applyFont="1" applyFill="1" applyBorder="1" applyAlignment="1" applyProtection="1">
      <alignment horizontal="center" vertical="center"/>
      <protection locked="0"/>
    </xf>
    <xf numFmtId="0" fontId="74" fillId="3" borderId="37" xfId="0" applyFont="1" applyFill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vertical="center"/>
      <protection locked="0"/>
    </xf>
    <xf numFmtId="164" fontId="36" fillId="3" borderId="20" xfId="0" applyNumberFormat="1" applyFont="1" applyFill="1" applyBorder="1" applyAlignment="1">
      <alignment horizontal="center"/>
    </xf>
    <xf numFmtId="1" fontId="25" fillId="3" borderId="21" xfId="2" applyNumberFormat="1" applyFont="1" applyFill="1" applyBorder="1" applyAlignment="1" applyProtection="1">
      <alignment horizontal="center"/>
    </xf>
    <xf numFmtId="164" fontId="36" fillId="3" borderId="21" xfId="0" applyNumberFormat="1" applyFont="1" applyFill="1" applyBorder="1" applyAlignment="1" applyProtection="1">
      <alignment horizontal="center"/>
      <protection locked="0"/>
    </xf>
    <xf numFmtId="166" fontId="36" fillId="3" borderId="22" xfId="0" applyNumberFormat="1" applyFont="1" applyFill="1" applyBorder="1" applyAlignment="1">
      <alignment horizontal="center"/>
    </xf>
    <xf numFmtId="169" fontId="75" fillId="0" borderId="37" xfId="0" applyNumberFormat="1" applyFont="1" applyBorder="1" applyAlignment="1" applyProtection="1">
      <alignment horizontal="center" vertical="center"/>
      <protection locked="0"/>
    </xf>
    <xf numFmtId="49" fontId="36" fillId="3" borderId="0" xfId="0" applyNumberFormat="1" applyFont="1" applyFill="1" applyAlignment="1" applyProtection="1">
      <alignment vertical="center"/>
      <protection locked="0"/>
    </xf>
    <xf numFmtId="164" fontId="27" fillId="0" borderId="15" xfId="0" applyNumberFormat="1" applyFont="1" applyBorder="1" applyAlignment="1">
      <alignment horizontal="center"/>
    </xf>
    <xf numFmtId="164" fontId="27" fillId="2" borderId="14" xfId="0" applyNumberFormat="1" applyFont="1" applyFill="1" applyBorder="1" applyAlignment="1">
      <alignment horizontal="center"/>
    </xf>
    <xf numFmtId="164" fontId="64" fillId="0" borderId="14" xfId="0" applyNumberFormat="1" applyFont="1" applyBorder="1" applyAlignment="1">
      <alignment horizontal="center"/>
    </xf>
    <xf numFmtId="164" fontId="33" fillId="0" borderId="16" xfId="0" applyNumberFormat="1" applyFont="1" applyBorder="1" applyAlignment="1">
      <alignment horizontal="center"/>
    </xf>
    <xf numFmtId="164" fontId="27" fillId="0" borderId="14" xfId="0" applyNumberFormat="1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6" fontId="17" fillId="0" borderId="3" xfId="0" applyNumberFormat="1" applyFont="1" applyBorder="1" applyAlignment="1">
      <alignment horizontal="center"/>
    </xf>
    <xf numFmtId="49" fontId="18" fillId="3" borderId="0" xfId="0" applyNumberFormat="1" applyFont="1" applyFill="1" applyAlignment="1" applyProtection="1">
      <alignment horizontal="center" vertical="center"/>
      <protection locked="0"/>
    </xf>
    <xf numFmtId="0" fontId="74" fillId="0" borderId="0" xfId="0" applyFont="1" applyAlignment="1" applyProtection="1">
      <alignment horizontal="center" vertical="center"/>
      <protection locked="0"/>
    </xf>
    <xf numFmtId="0" fontId="27" fillId="20" borderId="1" xfId="0" applyFont="1" applyFill="1" applyBorder="1" applyAlignment="1" applyProtection="1">
      <alignment horizontal="center"/>
      <protection locked="0"/>
    </xf>
    <xf numFmtId="0" fontId="25" fillId="0" borderId="11" xfId="0" applyFont="1" applyBorder="1" applyAlignment="1">
      <alignment horizontal="center"/>
    </xf>
    <xf numFmtId="164" fontId="27" fillId="20" borderId="1" xfId="0" applyNumberFormat="1" applyFont="1" applyFill="1" applyBorder="1" applyAlignment="1" applyProtection="1">
      <alignment horizontal="center"/>
      <protection locked="0"/>
    </xf>
    <xf numFmtId="164" fontId="17" fillId="5" borderId="25" xfId="0" applyNumberFormat="1" applyFont="1" applyFill="1" applyBorder="1" applyAlignment="1" applyProtection="1">
      <alignment horizontal="center" vertical="center"/>
      <protection locked="0"/>
    </xf>
    <xf numFmtId="170" fontId="26" fillId="0" borderId="1" xfId="0" applyNumberFormat="1" applyFont="1" applyBorder="1" applyAlignment="1" applyProtection="1">
      <alignment horizontal="center"/>
      <protection locked="0"/>
    </xf>
    <xf numFmtId="164" fontId="15" fillId="0" borderId="0" xfId="0" applyNumberFormat="1" applyFont="1" applyAlignment="1" applyProtection="1">
      <alignment horizontal="center"/>
      <protection locked="0"/>
    </xf>
    <xf numFmtId="164" fontId="27" fillId="18" borderId="1" xfId="0" applyNumberFormat="1" applyFont="1" applyFill="1" applyBorder="1" applyAlignment="1">
      <alignment horizontal="center"/>
    </xf>
    <xf numFmtId="164" fontId="45" fillId="3" borderId="27" xfId="0" applyNumberFormat="1" applyFont="1" applyFill="1" applyBorder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27" fillId="5" borderId="1" xfId="0" applyFont="1" applyFill="1" applyBorder="1" applyAlignment="1" applyProtection="1">
      <alignment horizont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17" fillId="3" borderId="7" xfId="0" applyNumberFormat="1" applyFont="1" applyFill="1" applyBorder="1" applyAlignment="1" applyProtection="1">
      <alignment horizontal="center" vertical="center"/>
      <protection locked="0"/>
    </xf>
    <xf numFmtId="0" fontId="27" fillId="0" borderId="7" xfId="0" applyFont="1" applyBorder="1" applyAlignment="1">
      <alignment horizontal="center"/>
    </xf>
    <xf numFmtId="164" fontId="33" fillId="0" borderId="14" xfId="0" applyNumberFormat="1" applyFont="1" applyBorder="1" applyAlignment="1">
      <alignment horizontal="center"/>
    </xf>
    <xf numFmtId="2" fontId="25" fillId="0" borderId="7" xfId="0" applyNumberFormat="1" applyFont="1" applyBorder="1" applyAlignment="1">
      <alignment horizontal="center" vertical="center"/>
    </xf>
    <xf numFmtId="164" fontId="28" fillId="3" borderId="59" xfId="0" applyNumberFormat="1" applyFont="1" applyFill="1" applyBorder="1" applyAlignment="1" applyProtection="1">
      <alignment horizontal="center" vertical="center"/>
      <protection locked="0"/>
    </xf>
    <xf numFmtId="164" fontId="22" fillId="3" borderId="60" xfId="0" applyNumberFormat="1" applyFont="1" applyFill="1" applyBorder="1" applyAlignment="1" applyProtection="1">
      <alignment horizontal="center" vertical="center"/>
      <protection locked="0"/>
    </xf>
    <xf numFmtId="164" fontId="17" fillId="3" borderId="60" xfId="0" applyNumberFormat="1" applyFont="1" applyFill="1" applyBorder="1" applyAlignment="1" applyProtection="1">
      <alignment horizontal="center" vertical="center"/>
      <protection locked="0"/>
    </xf>
    <xf numFmtId="164" fontId="45" fillId="3" borderId="60" xfId="0" applyNumberFormat="1" applyFont="1" applyFill="1" applyBorder="1" applyAlignment="1" applyProtection="1">
      <alignment horizontal="center" vertical="center"/>
      <protection locked="0"/>
    </xf>
    <xf numFmtId="9" fontId="23" fillId="3" borderId="60" xfId="2" applyFont="1" applyFill="1" applyBorder="1" applyAlignment="1" applyProtection="1">
      <alignment horizontal="right" vertical="center"/>
      <protection locked="0"/>
    </xf>
    <xf numFmtId="164" fontId="20" fillId="0" borderId="61" xfId="0" applyNumberFormat="1" applyFont="1" applyBorder="1" applyAlignment="1" applyProtection="1">
      <alignment horizontal="center"/>
      <protection locked="0"/>
    </xf>
    <xf numFmtId="164" fontId="26" fillId="0" borderId="61" xfId="0" applyNumberFormat="1" applyFont="1" applyBorder="1" applyAlignment="1" applyProtection="1">
      <alignment horizontal="center"/>
      <protection locked="0"/>
    </xf>
    <xf numFmtId="164" fontId="27" fillId="0" borderId="61" xfId="0" applyNumberFormat="1" applyFont="1" applyBorder="1" applyAlignment="1" applyProtection="1">
      <alignment horizontal="center"/>
      <protection locked="0"/>
    </xf>
    <xf numFmtId="0" fontId="27" fillId="0" borderId="61" xfId="0" applyFont="1" applyBorder="1" applyAlignment="1">
      <alignment horizontal="center"/>
    </xf>
    <xf numFmtId="166" fontId="17" fillId="0" borderId="61" xfId="0" applyNumberFormat="1" applyFont="1" applyBorder="1" applyAlignment="1">
      <alignment horizontal="center"/>
    </xf>
    <xf numFmtId="164" fontId="33" fillId="0" borderId="61" xfId="0" applyNumberFormat="1" applyFont="1" applyBorder="1" applyAlignment="1">
      <alignment horizontal="center"/>
    </xf>
    <xf numFmtId="166" fontId="17" fillId="0" borderId="62" xfId="0" applyNumberFormat="1" applyFont="1" applyBorder="1" applyAlignment="1">
      <alignment horizontal="center"/>
    </xf>
    <xf numFmtId="166" fontId="17" fillId="3" borderId="63" xfId="0" applyNumberFormat="1" applyFont="1" applyFill="1" applyBorder="1" applyAlignment="1">
      <alignment horizontal="center"/>
    </xf>
    <xf numFmtId="166" fontId="36" fillId="3" borderId="63" xfId="0" applyNumberFormat="1" applyFont="1" applyFill="1" applyBorder="1" applyAlignment="1">
      <alignment horizontal="center"/>
    </xf>
    <xf numFmtId="166" fontId="17" fillId="3" borderId="6" xfId="0" applyNumberFormat="1" applyFont="1" applyFill="1" applyBorder="1" applyAlignment="1" applyProtection="1">
      <alignment horizontal="center" vertical="center"/>
      <protection locked="0"/>
    </xf>
    <xf numFmtId="164" fontId="17" fillId="3" borderId="6" xfId="0" applyNumberFormat="1" applyFont="1" applyFill="1" applyBorder="1" applyAlignment="1" applyProtection="1">
      <alignment horizontal="center" vertical="center"/>
      <protection locked="0"/>
    </xf>
    <xf numFmtId="164" fontId="27" fillId="0" borderId="2" xfId="0" applyNumberFormat="1" applyFont="1" applyBorder="1" applyAlignment="1" applyProtection="1">
      <alignment horizontal="center"/>
      <protection locked="0"/>
    </xf>
    <xf numFmtId="164" fontId="19" fillId="0" borderId="36" xfId="0" applyNumberFormat="1" applyFont="1" applyBorder="1" applyAlignment="1">
      <alignment horizontal="center"/>
    </xf>
    <xf numFmtId="164" fontId="17" fillId="0" borderId="23" xfId="0" applyNumberFormat="1" applyFont="1" applyBorder="1" applyAlignment="1">
      <alignment horizontal="center"/>
    </xf>
    <xf numFmtId="164" fontId="36" fillId="3" borderId="23" xfId="0" applyNumberFormat="1" applyFont="1" applyFill="1" applyBorder="1" applyAlignment="1">
      <alignment horizontal="center"/>
    </xf>
    <xf numFmtId="164" fontId="28" fillId="3" borderId="64" xfId="0" applyNumberFormat="1" applyFont="1" applyFill="1" applyBorder="1" applyAlignment="1" applyProtection="1">
      <alignment horizontal="center" vertical="center"/>
      <protection locked="0"/>
    </xf>
    <xf numFmtId="164" fontId="17" fillId="3" borderId="65" xfId="0" applyNumberFormat="1" applyFont="1" applyFill="1" applyBorder="1" applyAlignment="1" applyProtection="1">
      <alignment horizontal="center" vertical="center"/>
      <protection locked="0"/>
    </xf>
    <xf numFmtId="164" fontId="45" fillId="3" borderId="65" xfId="0" applyNumberFormat="1" applyFont="1" applyFill="1" applyBorder="1" applyAlignment="1" applyProtection="1">
      <alignment horizontal="center" vertical="center"/>
      <protection locked="0"/>
    </xf>
    <xf numFmtId="9" fontId="23" fillId="3" borderId="65" xfId="2" applyFont="1" applyFill="1" applyBorder="1" applyAlignment="1" applyProtection="1">
      <alignment horizontal="right" vertical="center"/>
      <protection locked="0"/>
    </xf>
    <xf numFmtId="164" fontId="26" fillId="0" borderId="65" xfId="0" applyNumberFormat="1" applyFont="1" applyBorder="1" applyAlignment="1" applyProtection="1">
      <alignment horizontal="center"/>
      <protection locked="0"/>
    </xf>
    <xf numFmtId="164" fontId="27" fillId="0" borderId="65" xfId="0" applyNumberFormat="1" applyFont="1" applyBorder="1" applyAlignment="1" applyProtection="1">
      <alignment horizontal="center"/>
      <protection locked="0"/>
    </xf>
    <xf numFmtId="0" fontId="27" fillId="0" borderId="65" xfId="0" applyFont="1" applyBorder="1" applyAlignment="1">
      <alignment horizontal="center"/>
    </xf>
    <xf numFmtId="164" fontId="33" fillId="0" borderId="66" xfId="0" applyNumberFormat="1" applyFont="1" applyBorder="1" applyAlignment="1">
      <alignment horizontal="center"/>
    </xf>
    <xf numFmtId="2" fontId="25" fillId="0" borderId="65" xfId="0" applyNumberFormat="1" applyFont="1" applyBorder="1" applyAlignment="1">
      <alignment horizontal="center" vertical="center"/>
    </xf>
    <xf numFmtId="166" fontId="17" fillId="0" borderId="65" xfId="0" applyNumberFormat="1" applyFont="1" applyBorder="1" applyAlignment="1">
      <alignment horizontal="center"/>
    </xf>
    <xf numFmtId="164" fontId="33" fillId="0" borderId="65" xfId="0" applyNumberFormat="1" applyFont="1" applyBorder="1" applyAlignment="1">
      <alignment horizontal="center"/>
    </xf>
    <xf numFmtId="166" fontId="17" fillId="0" borderId="66" xfId="0" applyNumberFormat="1" applyFont="1" applyBorder="1" applyAlignment="1">
      <alignment horizontal="center"/>
    </xf>
    <xf numFmtId="166" fontId="17" fillId="3" borderId="67" xfId="0" applyNumberFormat="1" applyFont="1" applyFill="1" applyBorder="1" applyAlignment="1">
      <alignment horizontal="center"/>
    </xf>
    <xf numFmtId="166" fontId="39" fillId="0" borderId="68" xfId="0" applyNumberFormat="1" applyFont="1" applyBorder="1" applyAlignment="1">
      <alignment horizontal="center"/>
    </xf>
    <xf numFmtId="164" fontId="16" fillId="0" borderId="68" xfId="0" applyNumberFormat="1" applyFont="1" applyBorder="1" applyAlignment="1">
      <alignment horizontal="center"/>
    </xf>
    <xf numFmtId="164" fontId="40" fillId="0" borderId="68" xfId="0" applyNumberFormat="1" applyFont="1" applyBorder="1" applyAlignment="1">
      <alignment horizontal="center"/>
    </xf>
    <xf numFmtId="166" fontId="17" fillId="5" borderId="68" xfId="0" applyNumberFormat="1" applyFont="1" applyFill="1" applyBorder="1" applyAlignment="1">
      <alignment horizontal="center" vertical="center"/>
    </xf>
    <xf numFmtId="164" fontId="16" fillId="16" borderId="68" xfId="0" applyNumberFormat="1" applyFont="1" applyFill="1" applyBorder="1" applyAlignment="1">
      <alignment horizontal="center"/>
    </xf>
    <xf numFmtId="166" fontId="36" fillId="3" borderId="67" xfId="0" applyNumberFormat="1" applyFont="1" applyFill="1" applyBorder="1" applyAlignment="1">
      <alignment horizontal="center"/>
    </xf>
    <xf numFmtId="164" fontId="18" fillId="3" borderId="69" xfId="0" applyNumberFormat="1" applyFont="1" applyFill="1" applyBorder="1" applyAlignment="1">
      <alignment vertical="center"/>
    </xf>
    <xf numFmtId="164" fontId="18" fillId="3" borderId="58" xfId="0" applyNumberFormat="1" applyFont="1" applyFill="1" applyBorder="1" applyAlignment="1">
      <alignment vertical="center"/>
    </xf>
    <xf numFmtId="164" fontId="18" fillId="3" borderId="18" xfId="0" applyNumberFormat="1" applyFont="1" applyFill="1" applyBorder="1" applyAlignment="1">
      <alignment vertical="center"/>
    </xf>
    <xf numFmtId="164" fontId="31" fillId="3" borderId="58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4" fillId="0" borderId="17" xfId="0" applyNumberFormat="1" applyFont="1" applyBorder="1" applyAlignment="1">
      <alignment horizontal="left"/>
    </xf>
    <xf numFmtId="164" fontId="11" fillId="4" borderId="13" xfId="0" applyNumberFormat="1" applyFont="1" applyFill="1" applyBorder="1" applyAlignment="1">
      <alignment horizontal="center" vertical="top" wrapText="1"/>
    </xf>
    <xf numFmtId="164" fontId="11" fillId="4" borderId="19" xfId="0" applyNumberFormat="1" applyFont="1" applyFill="1" applyBorder="1" applyAlignment="1">
      <alignment horizontal="center" vertical="top" wrapText="1"/>
    </xf>
    <xf numFmtId="14" fontId="11" fillId="0" borderId="17" xfId="0" applyNumberFormat="1" applyFont="1" applyBorder="1" applyAlignment="1">
      <alignment horizontal="center" vertical="center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14" fillId="0" borderId="0" xfId="0" applyNumberFormat="1" applyFont="1" applyAlignment="1" applyProtection="1">
      <alignment horizontal="center"/>
      <protection locked="0"/>
    </xf>
    <xf numFmtId="10" fontId="31" fillId="8" borderId="0" xfId="2" applyNumberFormat="1" applyFont="1" applyFill="1" applyAlignment="1" applyProtection="1">
      <alignment horizontal="center" vertical="center"/>
    </xf>
    <xf numFmtId="164" fontId="47" fillId="0" borderId="0" xfId="0" applyNumberFormat="1" applyFont="1" applyAlignment="1" applyProtection="1">
      <alignment horizontal="center" vertical="center"/>
      <protection locked="0"/>
    </xf>
    <xf numFmtId="164" fontId="17" fillId="0" borderId="17" xfId="0" applyNumberFormat="1" applyFont="1" applyBorder="1" applyAlignment="1" applyProtection="1">
      <alignment horizontal="left" vertical="center"/>
      <protection locked="0"/>
    </xf>
    <xf numFmtId="164" fontId="36" fillId="0" borderId="0" xfId="0" applyNumberFormat="1" applyFont="1" applyAlignment="1" applyProtection="1">
      <alignment horizontal="center" vertical="center"/>
      <protection locked="0"/>
    </xf>
    <xf numFmtId="14" fontId="17" fillId="0" borderId="17" xfId="0" applyNumberFormat="1" applyFont="1" applyBorder="1" applyAlignment="1" applyProtection="1">
      <alignment horizontal="center" vertical="center"/>
      <protection locked="0"/>
    </xf>
    <xf numFmtId="2" fontId="41" fillId="0" borderId="38" xfId="0" applyNumberFormat="1" applyFont="1" applyBorder="1" applyAlignment="1">
      <alignment horizontal="center" vertical="center"/>
    </xf>
    <xf numFmtId="2" fontId="41" fillId="0" borderId="7" xfId="0" applyNumberFormat="1" applyFont="1" applyBorder="1" applyAlignment="1">
      <alignment horizontal="center" vertical="center"/>
    </xf>
    <xf numFmtId="164" fontId="15" fillId="4" borderId="13" xfId="0" applyNumberFormat="1" applyFont="1" applyFill="1" applyBorder="1" applyAlignment="1" applyProtection="1">
      <alignment horizontal="center" vertical="center" wrapText="1"/>
      <protection locked="0"/>
    </xf>
    <xf numFmtId="164" fontId="15" fillId="4" borderId="19" xfId="0" applyNumberFormat="1" applyFont="1" applyFill="1" applyBorder="1" applyAlignment="1" applyProtection="1">
      <alignment horizontal="center" vertical="center" wrapText="1"/>
      <protection locked="0"/>
    </xf>
    <xf numFmtId="164" fontId="19" fillId="0" borderId="0" xfId="0" applyNumberFormat="1" applyFont="1" applyAlignment="1" applyProtection="1">
      <alignment horizontal="left"/>
      <protection locked="0"/>
    </xf>
    <xf numFmtId="164" fontId="31" fillId="0" borderId="0" xfId="0" applyNumberFormat="1" applyFont="1" applyAlignment="1" applyProtection="1">
      <alignment horizontal="center" vertical="center"/>
      <protection locked="0"/>
    </xf>
    <xf numFmtId="49" fontId="40" fillId="5" borderId="17" xfId="0" applyNumberFormat="1" applyFont="1" applyFill="1" applyBorder="1" applyAlignment="1" applyProtection="1">
      <alignment horizontal="center" vertical="center"/>
      <protection locked="0"/>
    </xf>
    <xf numFmtId="164" fontId="27" fillId="0" borderId="37" xfId="0" applyNumberFormat="1" applyFont="1" applyBorder="1" applyAlignment="1" applyProtection="1">
      <alignment horizontal="center" vertical="center"/>
      <protection locked="0"/>
    </xf>
    <xf numFmtId="49" fontId="22" fillId="3" borderId="17" xfId="0" applyNumberFormat="1" applyFont="1" applyFill="1" applyBorder="1" applyAlignment="1" applyProtection="1">
      <alignment horizontal="center" vertical="center"/>
      <protection locked="0"/>
    </xf>
    <xf numFmtId="9" fontId="3" fillId="0" borderId="37" xfId="2" applyFont="1" applyBorder="1" applyAlignment="1" applyProtection="1">
      <alignment horizontal="center" vertical="center"/>
    </xf>
    <xf numFmtId="0" fontId="57" fillId="0" borderId="41" xfId="0" applyFont="1" applyBorder="1" applyAlignment="1" applyProtection="1">
      <alignment horizontal="center" vertical="center" wrapText="1"/>
      <protection locked="0"/>
    </xf>
    <xf numFmtId="0" fontId="57" fillId="0" borderId="40" xfId="0" applyFont="1" applyBorder="1" applyAlignment="1" applyProtection="1">
      <alignment horizontal="center" vertical="center" wrapText="1"/>
      <protection locked="0"/>
    </xf>
    <xf numFmtId="0" fontId="67" fillId="0" borderId="55" xfId="0" applyFont="1" applyBorder="1" applyAlignment="1" applyProtection="1">
      <alignment horizontal="center" vertical="center" wrapText="1"/>
      <protection locked="0"/>
    </xf>
    <xf numFmtId="0" fontId="67" fillId="0" borderId="56" xfId="0" applyFont="1" applyBorder="1" applyAlignment="1" applyProtection="1">
      <alignment horizontal="center" vertical="center" wrapText="1"/>
      <protection locked="0"/>
    </xf>
    <xf numFmtId="0" fontId="67" fillId="0" borderId="54" xfId="0" applyFont="1" applyBorder="1" applyAlignment="1" applyProtection="1">
      <alignment horizontal="center" vertical="center" wrapText="1"/>
      <protection locked="0"/>
    </xf>
    <xf numFmtId="0" fontId="67" fillId="0" borderId="57" xfId="0" applyFont="1" applyBorder="1" applyAlignment="1" applyProtection="1">
      <alignment horizontal="center" vertical="center" wrapText="1"/>
      <protection locked="0"/>
    </xf>
    <xf numFmtId="0" fontId="67" fillId="0" borderId="41" xfId="0" applyFont="1" applyBorder="1" applyAlignment="1" applyProtection="1">
      <alignment horizontal="center" vertical="center" wrapText="1"/>
      <protection locked="0"/>
    </xf>
    <xf numFmtId="0" fontId="67" fillId="0" borderId="40" xfId="0" applyFont="1" applyBorder="1" applyAlignment="1" applyProtection="1">
      <alignment horizontal="center" vertical="center" wrapText="1"/>
      <protection locked="0"/>
    </xf>
    <xf numFmtId="49" fontId="68" fillId="0" borderId="0" xfId="0" applyNumberFormat="1" applyFont="1" applyAlignment="1" applyProtection="1">
      <alignment horizontal="center" vertical="center"/>
      <protection locked="0"/>
    </xf>
    <xf numFmtId="0" fontId="72" fillId="0" borderId="12" xfId="0" applyFont="1" applyBorder="1" applyAlignment="1" applyProtection="1">
      <alignment horizontal="center" vertical="center" wrapText="1"/>
      <protection locked="0"/>
    </xf>
    <xf numFmtId="0" fontId="72" fillId="0" borderId="7" xfId="0" applyFont="1" applyBorder="1" applyAlignment="1" applyProtection="1">
      <alignment horizontal="center" vertical="center" wrapText="1"/>
      <protection locked="0"/>
    </xf>
    <xf numFmtId="0" fontId="72" fillId="0" borderId="6" xfId="0" applyFont="1" applyBorder="1" applyAlignment="1" applyProtection="1">
      <alignment horizontal="center" vertical="center" wrapText="1"/>
      <protection locked="0"/>
    </xf>
    <xf numFmtId="49" fontId="72" fillId="0" borderId="12" xfId="0" applyNumberFormat="1" applyFont="1" applyBorder="1" applyAlignment="1" applyProtection="1">
      <alignment horizontal="center" vertical="center" wrapText="1"/>
      <protection locked="0"/>
    </xf>
    <xf numFmtId="49" fontId="72" fillId="0" borderId="7" xfId="0" applyNumberFormat="1" applyFont="1" applyBorder="1" applyAlignment="1" applyProtection="1">
      <alignment horizontal="center" vertical="center" wrapText="1"/>
      <protection locked="0"/>
    </xf>
    <xf numFmtId="49" fontId="72" fillId="0" borderId="6" xfId="0" applyNumberFormat="1" applyFont="1" applyBorder="1" applyAlignment="1" applyProtection="1">
      <alignment horizontal="center" vertical="center" wrapText="1"/>
      <protection locked="0"/>
    </xf>
    <xf numFmtId="0" fontId="67" fillId="0" borderId="12" xfId="0" applyFont="1" applyBorder="1" applyAlignment="1" applyProtection="1">
      <alignment horizontal="center" vertical="center"/>
      <protection locked="0"/>
    </xf>
    <xf numFmtId="0" fontId="67" fillId="0" borderId="7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12" xfId="0" applyFont="1" applyBorder="1" applyAlignment="1" applyProtection="1">
      <alignment horizontal="center" vertical="center" wrapText="1"/>
      <protection locked="0"/>
    </xf>
    <xf numFmtId="0" fontId="67" fillId="0" borderId="7" xfId="0" applyFont="1" applyBorder="1" applyAlignment="1" applyProtection="1">
      <alignment horizontal="center" vertical="center" wrapText="1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0" fontId="67" fillId="0" borderId="37" xfId="0" applyFont="1" applyBorder="1" applyAlignment="1" applyProtection="1">
      <alignment horizontal="center" vertical="center" wrapText="1"/>
      <protection locked="0"/>
    </xf>
    <xf numFmtId="0" fontId="67" fillId="0" borderId="41" xfId="0" applyFont="1" applyBorder="1" applyAlignment="1" applyProtection="1">
      <alignment horizontal="center" vertical="center"/>
      <protection locked="0"/>
    </xf>
    <xf numFmtId="0" fontId="67" fillId="0" borderId="45" xfId="0" applyFont="1" applyBorder="1" applyAlignment="1" applyProtection="1">
      <alignment horizontal="center" vertical="center"/>
      <protection locked="0"/>
    </xf>
    <xf numFmtId="0" fontId="67" fillId="0" borderId="40" xfId="0" applyFont="1" applyBorder="1" applyAlignment="1" applyProtection="1">
      <alignment horizontal="center" vertical="center"/>
      <protection locked="0"/>
    </xf>
    <xf numFmtId="164" fontId="27" fillId="0" borderId="52" xfId="0" applyNumberFormat="1" applyFont="1" applyBorder="1" applyAlignment="1">
      <alignment horizontal="center" vertical="center"/>
    </xf>
    <xf numFmtId="164" fontId="27" fillId="0" borderId="53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22" fillId="0" borderId="0" xfId="0" applyNumberFormat="1" applyFont="1" applyAlignment="1" applyProtection="1">
      <alignment horizontal="left"/>
      <protection locked="0"/>
    </xf>
    <xf numFmtId="164" fontId="41" fillId="0" borderId="0" xfId="0" applyNumberFormat="1" applyFont="1" applyAlignment="1" applyProtection="1">
      <alignment horizontal="center"/>
      <protection locked="0"/>
    </xf>
    <xf numFmtId="0" fontId="17" fillId="0" borderId="0" xfId="0" applyFont="1" applyAlignment="1">
      <alignment horizontal="center" vertical="center"/>
    </xf>
    <xf numFmtId="164" fontId="66" fillId="0" borderId="0" xfId="0" applyNumberFormat="1" applyFont="1" applyAlignment="1" applyProtection="1">
      <alignment horizontal="center" vertical="center"/>
      <protection locked="0"/>
    </xf>
    <xf numFmtId="164" fontId="17" fillId="3" borderId="38" xfId="0" applyNumberFormat="1" applyFont="1" applyFill="1" applyBorder="1" applyAlignment="1" applyProtection="1">
      <alignment horizontal="center" vertical="center"/>
      <protection locked="0"/>
    </xf>
    <xf numFmtId="164" fontId="17" fillId="3" borderId="7" xfId="0" applyNumberFormat="1" applyFont="1" applyFill="1" applyBorder="1" applyAlignment="1" applyProtection="1">
      <alignment horizontal="center" vertical="center"/>
      <protection locked="0"/>
    </xf>
    <xf numFmtId="164" fontId="17" fillId="3" borderId="11" xfId="0" applyNumberFormat="1" applyFont="1" applyFill="1" applyBorder="1" applyAlignment="1" applyProtection="1">
      <alignment horizontal="center" vertical="center"/>
      <protection locked="0"/>
    </xf>
    <xf numFmtId="164" fontId="19" fillId="0" borderId="0" xfId="0" applyNumberFormat="1" applyFont="1" applyAlignment="1" applyProtection="1">
      <alignment horizontal="center" wrapText="1"/>
      <protection locked="0"/>
    </xf>
    <xf numFmtId="164" fontId="39" fillId="0" borderId="0" xfId="0" applyNumberFormat="1" applyFont="1" applyAlignment="1" applyProtection="1">
      <alignment horizontal="center" wrapText="1"/>
      <protection locked="0"/>
    </xf>
    <xf numFmtId="164" fontId="19" fillId="0" borderId="0" xfId="0" applyNumberFormat="1" applyFont="1" applyAlignment="1">
      <alignment horizontal="center"/>
    </xf>
  </cellXfs>
  <cellStyles count="17283">
    <cellStyle name="Comma" xfId="1" builtinId="3"/>
    <cellStyle name="Milliers 10" xfId="93"/>
    <cellStyle name="Milliers 10 2" xfId="273"/>
    <cellStyle name="Milliers 10 2 2" xfId="633"/>
    <cellStyle name="Milliers 10 2 2 2" xfId="1353"/>
    <cellStyle name="Milliers 10 2 2 2 2" xfId="3513"/>
    <cellStyle name="Milliers 10 2 2 2 2 2" xfId="7833"/>
    <cellStyle name="Milliers 10 2 2 2 2 2 2" xfId="16473"/>
    <cellStyle name="Milliers 10 2 2 2 2 3" xfId="12153"/>
    <cellStyle name="Milliers 10 2 2 2 3" xfId="5673"/>
    <cellStyle name="Milliers 10 2 2 2 3 2" xfId="14313"/>
    <cellStyle name="Milliers 10 2 2 2 4" xfId="9993"/>
    <cellStyle name="Milliers 10 2 2 3" xfId="2073"/>
    <cellStyle name="Milliers 10 2 2 3 2" xfId="4233"/>
    <cellStyle name="Milliers 10 2 2 3 2 2" xfId="8553"/>
    <cellStyle name="Milliers 10 2 2 3 2 2 2" xfId="17193"/>
    <cellStyle name="Milliers 10 2 2 3 2 3" xfId="12873"/>
    <cellStyle name="Milliers 10 2 2 3 3" xfId="6393"/>
    <cellStyle name="Milliers 10 2 2 3 3 2" xfId="15033"/>
    <cellStyle name="Milliers 10 2 2 3 4" xfId="10713"/>
    <cellStyle name="Milliers 10 2 2 4" xfId="2793"/>
    <cellStyle name="Milliers 10 2 2 4 2" xfId="7113"/>
    <cellStyle name="Milliers 10 2 2 4 2 2" xfId="15753"/>
    <cellStyle name="Milliers 10 2 2 4 3" xfId="11433"/>
    <cellStyle name="Milliers 10 2 2 5" xfId="4953"/>
    <cellStyle name="Milliers 10 2 2 5 2" xfId="13593"/>
    <cellStyle name="Milliers 10 2 2 6" xfId="9273"/>
    <cellStyle name="Milliers 10 2 3" xfId="993"/>
    <cellStyle name="Milliers 10 2 3 2" xfId="3153"/>
    <cellStyle name="Milliers 10 2 3 2 2" xfId="7473"/>
    <cellStyle name="Milliers 10 2 3 2 2 2" xfId="16113"/>
    <cellStyle name="Milliers 10 2 3 2 3" xfId="11793"/>
    <cellStyle name="Milliers 10 2 3 3" xfId="5313"/>
    <cellStyle name="Milliers 10 2 3 3 2" xfId="13953"/>
    <cellStyle name="Milliers 10 2 3 4" xfId="9633"/>
    <cellStyle name="Milliers 10 2 4" xfId="1713"/>
    <cellStyle name="Milliers 10 2 4 2" xfId="3873"/>
    <cellStyle name="Milliers 10 2 4 2 2" xfId="8193"/>
    <cellStyle name="Milliers 10 2 4 2 2 2" xfId="16833"/>
    <cellStyle name="Milliers 10 2 4 2 3" xfId="12513"/>
    <cellStyle name="Milliers 10 2 4 3" xfId="6033"/>
    <cellStyle name="Milliers 10 2 4 3 2" xfId="14673"/>
    <cellStyle name="Milliers 10 2 4 4" xfId="10353"/>
    <cellStyle name="Milliers 10 2 5" xfId="2433"/>
    <cellStyle name="Milliers 10 2 5 2" xfId="6753"/>
    <cellStyle name="Milliers 10 2 5 2 2" xfId="15393"/>
    <cellStyle name="Milliers 10 2 5 3" xfId="11073"/>
    <cellStyle name="Milliers 10 2 6" xfId="4593"/>
    <cellStyle name="Milliers 10 2 6 2" xfId="13233"/>
    <cellStyle name="Milliers 10 2 7" xfId="8913"/>
    <cellStyle name="Milliers 10 3" xfId="453"/>
    <cellStyle name="Milliers 10 3 2" xfId="1173"/>
    <cellStyle name="Milliers 10 3 2 2" xfId="3333"/>
    <cellStyle name="Milliers 10 3 2 2 2" xfId="7653"/>
    <cellStyle name="Milliers 10 3 2 2 2 2" xfId="16293"/>
    <cellStyle name="Milliers 10 3 2 2 3" xfId="11973"/>
    <cellStyle name="Milliers 10 3 2 3" xfId="5493"/>
    <cellStyle name="Milliers 10 3 2 3 2" xfId="14133"/>
    <cellStyle name="Milliers 10 3 2 4" xfId="9813"/>
    <cellStyle name="Milliers 10 3 3" xfId="1893"/>
    <cellStyle name="Milliers 10 3 3 2" xfId="4053"/>
    <cellStyle name="Milliers 10 3 3 2 2" xfId="8373"/>
    <cellStyle name="Milliers 10 3 3 2 2 2" xfId="17013"/>
    <cellStyle name="Milliers 10 3 3 2 3" xfId="12693"/>
    <cellStyle name="Milliers 10 3 3 3" xfId="6213"/>
    <cellStyle name="Milliers 10 3 3 3 2" xfId="14853"/>
    <cellStyle name="Milliers 10 3 3 4" xfId="10533"/>
    <cellStyle name="Milliers 10 3 4" xfId="2613"/>
    <cellStyle name="Milliers 10 3 4 2" xfId="6933"/>
    <cellStyle name="Milliers 10 3 4 2 2" xfId="15573"/>
    <cellStyle name="Milliers 10 3 4 3" xfId="11253"/>
    <cellStyle name="Milliers 10 3 5" xfId="4773"/>
    <cellStyle name="Milliers 10 3 5 2" xfId="13413"/>
    <cellStyle name="Milliers 10 3 6" xfId="9093"/>
    <cellStyle name="Milliers 10 4" xfId="813"/>
    <cellStyle name="Milliers 10 4 2" xfId="2973"/>
    <cellStyle name="Milliers 10 4 2 2" xfId="7293"/>
    <cellStyle name="Milliers 10 4 2 2 2" xfId="15933"/>
    <cellStyle name="Milliers 10 4 2 3" xfId="11613"/>
    <cellStyle name="Milliers 10 4 3" xfId="5133"/>
    <cellStyle name="Milliers 10 4 3 2" xfId="13773"/>
    <cellStyle name="Milliers 10 4 4" xfId="9453"/>
    <cellStyle name="Milliers 10 5" xfId="1533"/>
    <cellStyle name="Milliers 10 5 2" xfId="3693"/>
    <cellStyle name="Milliers 10 5 2 2" xfId="8013"/>
    <cellStyle name="Milliers 10 5 2 2 2" xfId="16653"/>
    <cellStyle name="Milliers 10 5 2 3" xfId="12333"/>
    <cellStyle name="Milliers 10 5 3" xfId="5853"/>
    <cellStyle name="Milliers 10 5 3 2" xfId="14493"/>
    <cellStyle name="Milliers 10 5 4" xfId="10173"/>
    <cellStyle name="Milliers 10 6" xfId="2253"/>
    <cellStyle name="Milliers 10 6 2" xfId="6573"/>
    <cellStyle name="Milliers 10 6 2 2" xfId="15213"/>
    <cellStyle name="Milliers 10 6 3" xfId="10893"/>
    <cellStyle name="Milliers 10 7" xfId="4413"/>
    <cellStyle name="Milliers 10 7 2" xfId="13053"/>
    <cellStyle name="Milliers 10 8" xfId="8733"/>
    <cellStyle name="Milliers 11" xfId="183"/>
    <cellStyle name="Milliers 11 2" xfId="543"/>
    <cellStyle name="Milliers 11 2 2" xfId="1263"/>
    <cellStyle name="Milliers 11 2 2 2" xfId="3423"/>
    <cellStyle name="Milliers 11 2 2 2 2" xfId="7743"/>
    <cellStyle name="Milliers 11 2 2 2 2 2" xfId="16383"/>
    <cellStyle name="Milliers 11 2 2 2 3" xfId="12063"/>
    <cellStyle name="Milliers 11 2 2 3" xfId="5583"/>
    <cellStyle name="Milliers 11 2 2 3 2" xfId="14223"/>
    <cellStyle name="Milliers 11 2 2 4" xfId="9903"/>
    <cellStyle name="Milliers 11 2 3" xfId="1983"/>
    <cellStyle name="Milliers 11 2 3 2" xfId="4143"/>
    <cellStyle name="Milliers 11 2 3 2 2" xfId="8463"/>
    <cellStyle name="Milliers 11 2 3 2 2 2" xfId="17103"/>
    <cellStyle name="Milliers 11 2 3 2 3" xfId="12783"/>
    <cellStyle name="Milliers 11 2 3 3" xfId="6303"/>
    <cellStyle name="Milliers 11 2 3 3 2" xfId="14943"/>
    <cellStyle name="Milliers 11 2 3 4" xfId="10623"/>
    <cellStyle name="Milliers 11 2 4" xfId="2703"/>
    <cellStyle name="Milliers 11 2 4 2" xfId="7023"/>
    <cellStyle name="Milliers 11 2 4 2 2" xfId="15663"/>
    <cellStyle name="Milliers 11 2 4 3" xfId="11343"/>
    <cellStyle name="Milliers 11 2 5" xfId="4863"/>
    <cellStyle name="Milliers 11 2 5 2" xfId="13503"/>
    <cellStyle name="Milliers 11 2 6" xfId="9183"/>
    <cellStyle name="Milliers 11 3" xfId="903"/>
    <cellStyle name="Milliers 11 3 2" xfId="3063"/>
    <cellStyle name="Milliers 11 3 2 2" xfId="7383"/>
    <cellStyle name="Milliers 11 3 2 2 2" xfId="16023"/>
    <cellStyle name="Milliers 11 3 2 3" xfId="11703"/>
    <cellStyle name="Milliers 11 3 3" xfId="5223"/>
    <cellStyle name="Milliers 11 3 3 2" xfId="13863"/>
    <cellStyle name="Milliers 11 3 4" xfId="9543"/>
    <cellStyle name="Milliers 11 4" xfId="1623"/>
    <cellStyle name="Milliers 11 4 2" xfId="3783"/>
    <cellStyle name="Milliers 11 4 2 2" xfId="8103"/>
    <cellStyle name="Milliers 11 4 2 2 2" xfId="16743"/>
    <cellStyle name="Milliers 11 4 2 3" xfId="12423"/>
    <cellStyle name="Milliers 11 4 3" xfId="5943"/>
    <cellStyle name="Milliers 11 4 3 2" xfId="14583"/>
    <cellStyle name="Milliers 11 4 4" xfId="10263"/>
    <cellStyle name="Milliers 11 5" xfId="2343"/>
    <cellStyle name="Milliers 11 5 2" xfId="6663"/>
    <cellStyle name="Milliers 11 5 2 2" xfId="15303"/>
    <cellStyle name="Milliers 11 5 3" xfId="10983"/>
    <cellStyle name="Milliers 11 6" xfId="4503"/>
    <cellStyle name="Milliers 11 6 2" xfId="13143"/>
    <cellStyle name="Milliers 11 7" xfId="8823"/>
    <cellStyle name="Milliers 12" xfId="363"/>
    <cellStyle name="Milliers 12 2" xfId="1083"/>
    <cellStyle name="Milliers 12 2 2" xfId="3243"/>
    <cellStyle name="Milliers 12 2 2 2" xfId="7563"/>
    <cellStyle name="Milliers 12 2 2 2 2" xfId="16203"/>
    <cellStyle name="Milliers 12 2 2 3" xfId="11883"/>
    <cellStyle name="Milliers 12 2 3" xfId="5403"/>
    <cellStyle name="Milliers 12 2 3 2" xfId="14043"/>
    <cellStyle name="Milliers 12 2 4" xfId="9723"/>
    <cellStyle name="Milliers 12 3" xfId="1803"/>
    <cellStyle name="Milliers 12 3 2" xfId="3963"/>
    <cellStyle name="Milliers 12 3 2 2" xfId="8283"/>
    <cellStyle name="Milliers 12 3 2 2 2" xfId="16923"/>
    <cellStyle name="Milliers 12 3 2 3" xfId="12603"/>
    <cellStyle name="Milliers 12 3 3" xfId="6123"/>
    <cellStyle name="Milliers 12 3 3 2" xfId="14763"/>
    <cellStyle name="Milliers 12 3 4" xfId="10443"/>
    <cellStyle name="Milliers 12 4" xfId="2523"/>
    <cellStyle name="Milliers 12 4 2" xfId="6843"/>
    <cellStyle name="Milliers 12 4 2 2" xfId="15483"/>
    <cellStyle name="Milliers 12 4 3" xfId="11163"/>
    <cellStyle name="Milliers 12 5" xfId="4683"/>
    <cellStyle name="Milliers 12 5 2" xfId="13323"/>
    <cellStyle name="Milliers 12 6" xfId="9003"/>
    <cellStyle name="Milliers 13" xfId="723"/>
    <cellStyle name="Milliers 13 2" xfId="2883"/>
    <cellStyle name="Milliers 13 2 2" xfId="7203"/>
    <cellStyle name="Milliers 13 2 2 2" xfId="15843"/>
    <cellStyle name="Milliers 13 2 3" xfId="11523"/>
    <cellStyle name="Milliers 13 3" xfId="5043"/>
    <cellStyle name="Milliers 13 3 2" xfId="13683"/>
    <cellStyle name="Milliers 13 4" xfId="9363"/>
    <cellStyle name="Milliers 14" xfId="1443"/>
    <cellStyle name="Milliers 14 2" xfId="3603"/>
    <cellStyle name="Milliers 14 2 2" xfId="7923"/>
    <cellStyle name="Milliers 14 2 2 2" xfId="16563"/>
    <cellStyle name="Milliers 14 2 3" xfId="12243"/>
    <cellStyle name="Milliers 14 3" xfId="5763"/>
    <cellStyle name="Milliers 14 3 2" xfId="14403"/>
    <cellStyle name="Milliers 14 4" xfId="10083"/>
    <cellStyle name="Milliers 15" xfId="2163"/>
    <cellStyle name="Milliers 15 2" xfId="6483"/>
    <cellStyle name="Milliers 15 2 2" xfId="15123"/>
    <cellStyle name="Milliers 15 3" xfId="10803"/>
    <cellStyle name="Milliers 16" xfId="4323"/>
    <cellStyle name="Milliers 16 2" xfId="12963"/>
    <cellStyle name="Milliers 17" xfId="8643"/>
    <cellStyle name="Milliers 2" xfId="3"/>
    <cellStyle name="Milliers 2 10" xfId="364"/>
    <cellStyle name="Milliers 2 10 2" xfId="1084"/>
    <cellStyle name="Milliers 2 10 2 2" xfId="3244"/>
    <cellStyle name="Milliers 2 10 2 2 2" xfId="7564"/>
    <cellStyle name="Milliers 2 10 2 2 2 2" xfId="16204"/>
    <cellStyle name="Milliers 2 10 2 2 3" xfId="11884"/>
    <cellStyle name="Milliers 2 10 2 3" xfId="5404"/>
    <cellStyle name="Milliers 2 10 2 3 2" xfId="14044"/>
    <cellStyle name="Milliers 2 10 2 4" xfId="9724"/>
    <cellStyle name="Milliers 2 10 3" xfId="1804"/>
    <cellStyle name="Milliers 2 10 3 2" xfId="3964"/>
    <cellStyle name="Milliers 2 10 3 2 2" xfId="8284"/>
    <cellStyle name="Milliers 2 10 3 2 2 2" xfId="16924"/>
    <cellStyle name="Milliers 2 10 3 2 3" xfId="12604"/>
    <cellStyle name="Milliers 2 10 3 3" xfId="6124"/>
    <cellStyle name="Milliers 2 10 3 3 2" xfId="14764"/>
    <cellStyle name="Milliers 2 10 3 4" xfId="10444"/>
    <cellStyle name="Milliers 2 10 4" xfId="2524"/>
    <cellStyle name="Milliers 2 10 4 2" xfId="6844"/>
    <cellStyle name="Milliers 2 10 4 2 2" xfId="15484"/>
    <cellStyle name="Milliers 2 10 4 3" xfId="11164"/>
    <cellStyle name="Milliers 2 10 5" xfId="4684"/>
    <cellStyle name="Milliers 2 10 5 2" xfId="13324"/>
    <cellStyle name="Milliers 2 10 6" xfId="9004"/>
    <cellStyle name="Milliers 2 11" xfId="724"/>
    <cellStyle name="Milliers 2 11 2" xfId="2884"/>
    <cellStyle name="Milliers 2 11 2 2" xfId="7204"/>
    <cellStyle name="Milliers 2 11 2 2 2" xfId="15844"/>
    <cellStyle name="Milliers 2 11 2 3" xfId="11524"/>
    <cellStyle name="Milliers 2 11 3" xfId="5044"/>
    <cellStyle name="Milliers 2 11 3 2" xfId="13684"/>
    <cellStyle name="Milliers 2 11 4" xfId="9364"/>
    <cellStyle name="Milliers 2 12" xfId="1444"/>
    <cellStyle name="Milliers 2 12 2" xfId="3604"/>
    <cellStyle name="Milliers 2 12 2 2" xfId="7924"/>
    <cellStyle name="Milliers 2 12 2 2 2" xfId="16564"/>
    <cellStyle name="Milliers 2 12 2 3" xfId="12244"/>
    <cellStyle name="Milliers 2 12 3" xfId="5764"/>
    <cellStyle name="Milliers 2 12 3 2" xfId="14404"/>
    <cellStyle name="Milliers 2 12 4" xfId="10084"/>
    <cellStyle name="Milliers 2 13" xfId="2164"/>
    <cellStyle name="Milliers 2 13 2" xfId="6484"/>
    <cellStyle name="Milliers 2 13 2 2" xfId="15124"/>
    <cellStyle name="Milliers 2 13 3" xfId="10804"/>
    <cellStyle name="Milliers 2 14" xfId="4324"/>
    <cellStyle name="Milliers 2 14 2" xfId="12964"/>
    <cellStyle name="Milliers 2 15" xfId="8644"/>
    <cellStyle name="Milliers 2 2" xfId="7"/>
    <cellStyle name="Milliers 2 2 10" xfId="1447"/>
    <cellStyle name="Milliers 2 2 10 2" xfId="3607"/>
    <cellStyle name="Milliers 2 2 10 2 2" xfId="7927"/>
    <cellStyle name="Milliers 2 2 10 2 2 2" xfId="16567"/>
    <cellStyle name="Milliers 2 2 10 2 3" xfId="12247"/>
    <cellStyle name="Milliers 2 2 10 3" xfId="5767"/>
    <cellStyle name="Milliers 2 2 10 3 2" xfId="14407"/>
    <cellStyle name="Milliers 2 2 10 4" xfId="10087"/>
    <cellStyle name="Milliers 2 2 11" xfId="2167"/>
    <cellStyle name="Milliers 2 2 11 2" xfId="6487"/>
    <cellStyle name="Milliers 2 2 11 2 2" xfId="15127"/>
    <cellStyle name="Milliers 2 2 11 3" xfId="10807"/>
    <cellStyle name="Milliers 2 2 12" xfId="4327"/>
    <cellStyle name="Milliers 2 2 12 2" xfId="12967"/>
    <cellStyle name="Milliers 2 2 13" xfId="8647"/>
    <cellStyle name="Milliers 2 2 2" xfId="13"/>
    <cellStyle name="Milliers 2 2 2 10" xfId="2173"/>
    <cellStyle name="Milliers 2 2 2 10 2" xfId="6493"/>
    <cellStyle name="Milliers 2 2 2 10 2 2" xfId="15133"/>
    <cellStyle name="Milliers 2 2 2 10 3" xfId="10813"/>
    <cellStyle name="Milliers 2 2 2 11" xfId="4333"/>
    <cellStyle name="Milliers 2 2 2 11 2" xfId="12973"/>
    <cellStyle name="Milliers 2 2 2 12" xfId="8653"/>
    <cellStyle name="Milliers 2 2 2 2" xfId="28"/>
    <cellStyle name="Milliers 2 2 2 2 10" xfId="8668"/>
    <cellStyle name="Milliers 2 2 2 2 2" xfId="73"/>
    <cellStyle name="Milliers 2 2 2 2 2 2" xfId="163"/>
    <cellStyle name="Milliers 2 2 2 2 2 2 2" xfId="343"/>
    <cellStyle name="Milliers 2 2 2 2 2 2 2 2" xfId="703"/>
    <cellStyle name="Milliers 2 2 2 2 2 2 2 2 2" xfId="1423"/>
    <cellStyle name="Milliers 2 2 2 2 2 2 2 2 2 2" xfId="3583"/>
    <cellStyle name="Milliers 2 2 2 2 2 2 2 2 2 2 2" xfId="7903"/>
    <cellStyle name="Milliers 2 2 2 2 2 2 2 2 2 2 2 2" xfId="16543"/>
    <cellStyle name="Milliers 2 2 2 2 2 2 2 2 2 2 3" xfId="12223"/>
    <cellStyle name="Milliers 2 2 2 2 2 2 2 2 2 3" xfId="5743"/>
    <cellStyle name="Milliers 2 2 2 2 2 2 2 2 2 3 2" xfId="14383"/>
    <cellStyle name="Milliers 2 2 2 2 2 2 2 2 2 4" xfId="10063"/>
    <cellStyle name="Milliers 2 2 2 2 2 2 2 2 3" xfId="2143"/>
    <cellStyle name="Milliers 2 2 2 2 2 2 2 2 3 2" xfId="4303"/>
    <cellStyle name="Milliers 2 2 2 2 2 2 2 2 3 2 2" xfId="8623"/>
    <cellStyle name="Milliers 2 2 2 2 2 2 2 2 3 2 2 2" xfId="17263"/>
    <cellStyle name="Milliers 2 2 2 2 2 2 2 2 3 2 3" xfId="12943"/>
    <cellStyle name="Milliers 2 2 2 2 2 2 2 2 3 3" xfId="6463"/>
    <cellStyle name="Milliers 2 2 2 2 2 2 2 2 3 3 2" xfId="15103"/>
    <cellStyle name="Milliers 2 2 2 2 2 2 2 2 3 4" xfId="10783"/>
    <cellStyle name="Milliers 2 2 2 2 2 2 2 2 4" xfId="2863"/>
    <cellStyle name="Milliers 2 2 2 2 2 2 2 2 4 2" xfId="7183"/>
    <cellStyle name="Milliers 2 2 2 2 2 2 2 2 4 2 2" xfId="15823"/>
    <cellStyle name="Milliers 2 2 2 2 2 2 2 2 4 3" xfId="11503"/>
    <cellStyle name="Milliers 2 2 2 2 2 2 2 2 5" xfId="5023"/>
    <cellStyle name="Milliers 2 2 2 2 2 2 2 2 5 2" xfId="13663"/>
    <cellStyle name="Milliers 2 2 2 2 2 2 2 2 6" xfId="9343"/>
    <cellStyle name="Milliers 2 2 2 2 2 2 2 3" xfId="1063"/>
    <cellStyle name="Milliers 2 2 2 2 2 2 2 3 2" xfId="3223"/>
    <cellStyle name="Milliers 2 2 2 2 2 2 2 3 2 2" xfId="7543"/>
    <cellStyle name="Milliers 2 2 2 2 2 2 2 3 2 2 2" xfId="16183"/>
    <cellStyle name="Milliers 2 2 2 2 2 2 2 3 2 3" xfId="11863"/>
    <cellStyle name="Milliers 2 2 2 2 2 2 2 3 3" xfId="5383"/>
    <cellStyle name="Milliers 2 2 2 2 2 2 2 3 3 2" xfId="14023"/>
    <cellStyle name="Milliers 2 2 2 2 2 2 2 3 4" xfId="9703"/>
    <cellStyle name="Milliers 2 2 2 2 2 2 2 4" xfId="1783"/>
    <cellStyle name="Milliers 2 2 2 2 2 2 2 4 2" xfId="3943"/>
    <cellStyle name="Milliers 2 2 2 2 2 2 2 4 2 2" xfId="8263"/>
    <cellStyle name="Milliers 2 2 2 2 2 2 2 4 2 2 2" xfId="16903"/>
    <cellStyle name="Milliers 2 2 2 2 2 2 2 4 2 3" xfId="12583"/>
    <cellStyle name="Milliers 2 2 2 2 2 2 2 4 3" xfId="6103"/>
    <cellStyle name="Milliers 2 2 2 2 2 2 2 4 3 2" xfId="14743"/>
    <cellStyle name="Milliers 2 2 2 2 2 2 2 4 4" xfId="10423"/>
    <cellStyle name="Milliers 2 2 2 2 2 2 2 5" xfId="2503"/>
    <cellStyle name="Milliers 2 2 2 2 2 2 2 5 2" xfId="6823"/>
    <cellStyle name="Milliers 2 2 2 2 2 2 2 5 2 2" xfId="15463"/>
    <cellStyle name="Milliers 2 2 2 2 2 2 2 5 3" xfId="11143"/>
    <cellStyle name="Milliers 2 2 2 2 2 2 2 6" xfId="4663"/>
    <cellStyle name="Milliers 2 2 2 2 2 2 2 6 2" xfId="13303"/>
    <cellStyle name="Milliers 2 2 2 2 2 2 2 7" xfId="8983"/>
    <cellStyle name="Milliers 2 2 2 2 2 2 3" xfId="523"/>
    <cellStyle name="Milliers 2 2 2 2 2 2 3 2" xfId="1243"/>
    <cellStyle name="Milliers 2 2 2 2 2 2 3 2 2" xfId="3403"/>
    <cellStyle name="Milliers 2 2 2 2 2 2 3 2 2 2" xfId="7723"/>
    <cellStyle name="Milliers 2 2 2 2 2 2 3 2 2 2 2" xfId="16363"/>
    <cellStyle name="Milliers 2 2 2 2 2 2 3 2 2 3" xfId="12043"/>
    <cellStyle name="Milliers 2 2 2 2 2 2 3 2 3" xfId="5563"/>
    <cellStyle name="Milliers 2 2 2 2 2 2 3 2 3 2" xfId="14203"/>
    <cellStyle name="Milliers 2 2 2 2 2 2 3 2 4" xfId="9883"/>
    <cellStyle name="Milliers 2 2 2 2 2 2 3 3" xfId="1963"/>
    <cellStyle name="Milliers 2 2 2 2 2 2 3 3 2" xfId="4123"/>
    <cellStyle name="Milliers 2 2 2 2 2 2 3 3 2 2" xfId="8443"/>
    <cellStyle name="Milliers 2 2 2 2 2 2 3 3 2 2 2" xfId="17083"/>
    <cellStyle name="Milliers 2 2 2 2 2 2 3 3 2 3" xfId="12763"/>
    <cellStyle name="Milliers 2 2 2 2 2 2 3 3 3" xfId="6283"/>
    <cellStyle name="Milliers 2 2 2 2 2 2 3 3 3 2" xfId="14923"/>
    <cellStyle name="Milliers 2 2 2 2 2 2 3 3 4" xfId="10603"/>
    <cellStyle name="Milliers 2 2 2 2 2 2 3 4" xfId="2683"/>
    <cellStyle name="Milliers 2 2 2 2 2 2 3 4 2" xfId="7003"/>
    <cellStyle name="Milliers 2 2 2 2 2 2 3 4 2 2" xfId="15643"/>
    <cellStyle name="Milliers 2 2 2 2 2 2 3 4 3" xfId="11323"/>
    <cellStyle name="Milliers 2 2 2 2 2 2 3 5" xfId="4843"/>
    <cellStyle name="Milliers 2 2 2 2 2 2 3 5 2" xfId="13483"/>
    <cellStyle name="Milliers 2 2 2 2 2 2 3 6" xfId="9163"/>
    <cellStyle name="Milliers 2 2 2 2 2 2 4" xfId="883"/>
    <cellStyle name="Milliers 2 2 2 2 2 2 4 2" xfId="3043"/>
    <cellStyle name="Milliers 2 2 2 2 2 2 4 2 2" xfId="7363"/>
    <cellStyle name="Milliers 2 2 2 2 2 2 4 2 2 2" xfId="16003"/>
    <cellStyle name="Milliers 2 2 2 2 2 2 4 2 3" xfId="11683"/>
    <cellStyle name="Milliers 2 2 2 2 2 2 4 3" xfId="5203"/>
    <cellStyle name="Milliers 2 2 2 2 2 2 4 3 2" xfId="13843"/>
    <cellStyle name="Milliers 2 2 2 2 2 2 4 4" xfId="9523"/>
    <cellStyle name="Milliers 2 2 2 2 2 2 5" xfId="1603"/>
    <cellStyle name="Milliers 2 2 2 2 2 2 5 2" xfId="3763"/>
    <cellStyle name="Milliers 2 2 2 2 2 2 5 2 2" xfId="8083"/>
    <cellStyle name="Milliers 2 2 2 2 2 2 5 2 2 2" xfId="16723"/>
    <cellStyle name="Milliers 2 2 2 2 2 2 5 2 3" xfId="12403"/>
    <cellStyle name="Milliers 2 2 2 2 2 2 5 3" xfId="5923"/>
    <cellStyle name="Milliers 2 2 2 2 2 2 5 3 2" xfId="14563"/>
    <cellStyle name="Milliers 2 2 2 2 2 2 5 4" xfId="10243"/>
    <cellStyle name="Milliers 2 2 2 2 2 2 6" xfId="2323"/>
    <cellStyle name="Milliers 2 2 2 2 2 2 6 2" xfId="6643"/>
    <cellStyle name="Milliers 2 2 2 2 2 2 6 2 2" xfId="15283"/>
    <cellStyle name="Milliers 2 2 2 2 2 2 6 3" xfId="10963"/>
    <cellStyle name="Milliers 2 2 2 2 2 2 7" xfId="4483"/>
    <cellStyle name="Milliers 2 2 2 2 2 2 7 2" xfId="13123"/>
    <cellStyle name="Milliers 2 2 2 2 2 2 8" xfId="8803"/>
    <cellStyle name="Milliers 2 2 2 2 2 3" xfId="253"/>
    <cellStyle name="Milliers 2 2 2 2 2 3 2" xfId="613"/>
    <cellStyle name="Milliers 2 2 2 2 2 3 2 2" xfId="1333"/>
    <cellStyle name="Milliers 2 2 2 2 2 3 2 2 2" xfId="3493"/>
    <cellStyle name="Milliers 2 2 2 2 2 3 2 2 2 2" xfId="7813"/>
    <cellStyle name="Milliers 2 2 2 2 2 3 2 2 2 2 2" xfId="16453"/>
    <cellStyle name="Milliers 2 2 2 2 2 3 2 2 2 3" xfId="12133"/>
    <cellStyle name="Milliers 2 2 2 2 2 3 2 2 3" xfId="5653"/>
    <cellStyle name="Milliers 2 2 2 2 2 3 2 2 3 2" xfId="14293"/>
    <cellStyle name="Milliers 2 2 2 2 2 3 2 2 4" xfId="9973"/>
    <cellStyle name="Milliers 2 2 2 2 2 3 2 3" xfId="2053"/>
    <cellStyle name="Milliers 2 2 2 2 2 3 2 3 2" xfId="4213"/>
    <cellStyle name="Milliers 2 2 2 2 2 3 2 3 2 2" xfId="8533"/>
    <cellStyle name="Milliers 2 2 2 2 2 3 2 3 2 2 2" xfId="17173"/>
    <cellStyle name="Milliers 2 2 2 2 2 3 2 3 2 3" xfId="12853"/>
    <cellStyle name="Milliers 2 2 2 2 2 3 2 3 3" xfId="6373"/>
    <cellStyle name="Milliers 2 2 2 2 2 3 2 3 3 2" xfId="15013"/>
    <cellStyle name="Milliers 2 2 2 2 2 3 2 3 4" xfId="10693"/>
    <cellStyle name="Milliers 2 2 2 2 2 3 2 4" xfId="2773"/>
    <cellStyle name="Milliers 2 2 2 2 2 3 2 4 2" xfId="7093"/>
    <cellStyle name="Milliers 2 2 2 2 2 3 2 4 2 2" xfId="15733"/>
    <cellStyle name="Milliers 2 2 2 2 2 3 2 4 3" xfId="11413"/>
    <cellStyle name="Milliers 2 2 2 2 2 3 2 5" xfId="4933"/>
    <cellStyle name="Milliers 2 2 2 2 2 3 2 5 2" xfId="13573"/>
    <cellStyle name="Milliers 2 2 2 2 2 3 2 6" xfId="9253"/>
    <cellStyle name="Milliers 2 2 2 2 2 3 3" xfId="973"/>
    <cellStyle name="Milliers 2 2 2 2 2 3 3 2" xfId="3133"/>
    <cellStyle name="Milliers 2 2 2 2 2 3 3 2 2" xfId="7453"/>
    <cellStyle name="Milliers 2 2 2 2 2 3 3 2 2 2" xfId="16093"/>
    <cellStyle name="Milliers 2 2 2 2 2 3 3 2 3" xfId="11773"/>
    <cellStyle name="Milliers 2 2 2 2 2 3 3 3" xfId="5293"/>
    <cellStyle name="Milliers 2 2 2 2 2 3 3 3 2" xfId="13933"/>
    <cellStyle name="Milliers 2 2 2 2 2 3 3 4" xfId="9613"/>
    <cellStyle name="Milliers 2 2 2 2 2 3 4" xfId="1693"/>
    <cellStyle name="Milliers 2 2 2 2 2 3 4 2" xfId="3853"/>
    <cellStyle name="Milliers 2 2 2 2 2 3 4 2 2" xfId="8173"/>
    <cellStyle name="Milliers 2 2 2 2 2 3 4 2 2 2" xfId="16813"/>
    <cellStyle name="Milliers 2 2 2 2 2 3 4 2 3" xfId="12493"/>
    <cellStyle name="Milliers 2 2 2 2 2 3 4 3" xfId="6013"/>
    <cellStyle name="Milliers 2 2 2 2 2 3 4 3 2" xfId="14653"/>
    <cellStyle name="Milliers 2 2 2 2 2 3 4 4" xfId="10333"/>
    <cellStyle name="Milliers 2 2 2 2 2 3 5" xfId="2413"/>
    <cellStyle name="Milliers 2 2 2 2 2 3 5 2" xfId="6733"/>
    <cellStyle name="Milliers 2 2 2 2 2 3 5 2 2" xfId="15373"/>
    <cellStyle name="Milliers 2 2 2 2 2 3 5 3" xfId="11053"/>
    <cellStyle name="Milliers 2 2 2 2 2 3 6" xfId="4573"/>
    <cellStyle name="Milliers 2 2 2 2 2 3 6 2" xfId="13213"/>
    <cellStyle name="Milliers 2 2 2 2 2 3 7" xfId="8893"/>
    <cellStyle name="Milliers 2 2 2 2 2 4" xfId="433"/>
    <cellStyle name="Milliers 2 2 2 2 2 4 2" xfId="1153"/>
    <cellStyle name="Milliers 2 2 2 2 2 4 2 2" xfId="3313"/>
    <cellStyle name="Milliers 2 2 2 2 2 4 2 2 2" xfId="7633"/>
    <cellStyle name="Milliers 2 2 2 2 2 4 2 2 2 2" xfId="16273"/>
    <cellStyle name="Milliers 2 2 2 2 2 4 2 2 3" xfId="11953"/>
    <cellStyle name="Milliers 2 2 2 2 2 4 2 3" xfId="5473"/>
    <cellStyle name="Milliers 2 2 2 2 2 4 2 3 2" xfId="14113"/>
    <cellStyle name="Milliers 2 2 2 2 2 4 2 4" xfId="9793"/>
    <cellStyle name="Milliers 2 2 2 2 2 4 3" xfId="1873"/>
    <cellStyle name="Milliers 2 2 2 2 2 4 3 2" xfId="4033"/>
    <cellStyle name="Milliers 2 2 2 2 2 4 3 2 2" xfId="8353"/>
    <cellStyle name="Milliers 2 2 2 2 2 4 3 2 2 2" xfId="16993"/>
    <cellStyle name="Milliers 2 2 2 2 2 4 3 2 3" xfId="12673"/>
    <cellStyle name="Milliers 2 2 2 2 2 4 3 3" xfId="6193"/>
    <cellStyle name="Milliers 2 2 2 2 2 4 3 3 2" xfId="14833"/>
    <cellStyle name="Milliers 2 2 2 2 2 4 3 4" xfId="10513"/>
    <cellStyle name="Milliers 2 2 2 2 2 4 4" xfId="2593"/>
    <cellStyle name="Milliers 2 2 2 2 2 4 4 2" xfId="6913"/>
    <cellStyle name="Milliers 2 2 2 2 2 4 4 2 2" xfId="15553"/>
    <cellStyle name="Milliers 2 2 2 2 2 4 4 3" xfId="11233"/>
    <cellStyle name="Milliers 2 2 2 2 2 4 5" xfId="4753"/>
    <cellStyle name="Milliers 2 2 2 2 2 4 5 2" xfId="13393"/>
    <cellStyle name="Milliers 2 2 2 2 2 4 6" xfId="9073"/>
    <cellStyle name="Milliers 2 2 2 2 2 5" xfId="793"/>
    <cellStyle name="Milliers 2 2 2 2 2 5 2" xfId="2953"/>
    <cellStyle name="Milliers 2 2 2 2 2 5 2 2" xfId="7273"/>
    <cellStyle name="Milliers 2 2 2 2 2 5 2 2 2" xfId="15913"/>
    <cellStyle name="Milliers 2 2 2 2 2 5 2 3" xfId="11593"/>
    <cellStyle name="Milliers 2 2 2 2 2 5 3" xfId="5113"/>
    <cellStyle name="Milliers 2 2 2 2 2 5 3 2" xfId="13753"/>
    <cellStyle name="Milliers 2 2 2 2 2 5 4" xfId="9433"/>
    <cellStyle name="Milliers 2 2 2 2 2 6" xfId="1513"/>
    <cellStyle name="Milliers 2 2 2 2 2 6 2" xfId="3673"/>
    <cellStyle name="Milliers 2 2 2 2 2 6 2 2" xfId="7993"/>
    <cellStyle name="Milliers 2 2 2 2 2 6 2 2 2" xfId="16633"/>
    <cellStyle name="Milliers 2 2 2 2 2 6 2 3" xfId="12313"/>
    <cellStyle name="Milliers 2 2 2 2 2 6 3" xfId="5833"/>
    <cellStyle name="Milliers 2 2 2 2 2 6 3 2" xfId="14473"/>
    <cellStyle name="Milliers 2 2 2 2 2 6 4" xfId="10153"/>
    <cellStyle name="Milliers 2 2 2 2 2 7" xfId="2233"/>
    <cellStyle name="Milliers 2 2 2 2 2 7 2" xfId="6553"/>
    <cellStyle name="Milliers 2 2 2 2 2 7 2 2" xfId="15193"/>
    <cellStyle name="Milliers 2 2 2 2 2 7 3" xfId="10873"/>
    <cellStyle name="Milliers 2 2 2 2 2 8" xfId="4393"/>
    <cellStyle name="Milliers 2 2 2 2 2 8 2" xfId="13033"/>
    <cellStyle name="Milliers 2 2 2 2 2 9" xfId="8713"/>
    <cellStyle name="Milliers 2 2 2 2 3" xfId="118"/>
    <cellStyle name="Milliers 2 2 2 2 3 2" xfId="298"/>
    <cellStyle name="Milliers 2 2 2 2 3 2 2" xfId="658"/>
    <cellStyle name="Milliers 2 2 2 2 3 2 2 2" xfId="1378"/>
    <cellStyle name="Milliers 2 2 2 2 3 2 2 2 2" xfId="3538"/>
    <cellStyle name="Milliers 2 2 2 2 3 2 2 2 2 2" xfId="7858"/>
    <cellStyle name="Milliers 2 2 2 2 3 2 2 2 2 2 2" xfId="16498"/>
    <cellStyle name="Milliers 2 2 2 2 3 2 2 2 2 3" xfId="12178"/>
    <cellStyle name="Milliers 2 2 2 2 3 2 2 2 3" xfId="5698"/>
    <cellStyle name="Milliers 2 2 2 2 3 2 2 2 3 2" xfId="14338"/>
    <cellStyle name="Milliers 2 2 2 2 3 2 2 2 4" xfId="10018"/>
    <cellStyle name="Milliers 2 2 2 2 3 2 2 3" xfId="2098"/>
    <cellStyle name="Milliers 2 2 2 2 3 2 2 3 2" xfId="4258"/>
    <cellStyle name="Milliers 2 2 2 2 3 2 2 3 2 2" xfId="8578"/>
    <cellStyle name="Milliers 2 2 2 2 3 2 2 3 2 2 2" xfId="17218"/>
    <cellStyle name="Milliers 2 2 2 2 3 2 2 3 2 3" xfId="12898"/>
    <cellStyle name="Milliers 2 2 2 2 3 2 2 3 3" xfId="6418"/>
    <cellStyle name="Milliers 2 2 2 2 3 2 2 3 3 2" xfId="15058"/>
    <cellStyle name="Milliers 2 2 2 2 3 2 2 3 4" xfId="10738"/>
    <cellStyle name="Milliers 2 2 2 2 3 2 2 4" xfId="2818"/>
    <cellStyle name="Milliers 2 2 2 2 3 2 2 4 2" xfId="7138"/>
    <cellStyle name="Milliers 2 2 2 2 3 2 2 4 2 2" xfId="15778"/>
    <cellStyle name="Milliers 2 2 2 2 3 2 2 4 3" xfId="11458"/>
    <cellStyle name="Milliers 2 2 2 2 3 2 2 5" xfId="4978"/>
    <cellStyle name="Milliers 2 2 2 2 3 2 2 5 2" xfId="13618"/>
    <cellStyle name="Milliers 2 2 2 2 3 2 2 6" xfId="9298"/>
    <cellStyle name="Milliers 2 2 2 2 3 2 3" xfId="1018"/>
    <cellStyle name="Milliers 2 2 2 2 3 2 3 2" xfId="3178"/>
    <cellStyle name="Milliers 2 2 2 2 3 2 3 2 2" xfId="7498"/>
    <cellStyle name="Milliers 2 2 2 2 3 2 3 2 2 2" xfId="16138"/>
    <cellStyle name="Milliers 2 2 2 2 3 2 3 2 3" xfId="11818"/>
    <cellStyle name="Milliers 2 2 2 2 3 2 3 3" xfId="5338"/>
    <cellStyle name="Milliers 2 2 2 2 3 2 3 3 2" xfId="13978"/>
    <cellStyle name="Milliers 2 2 2 2 3 2 3 4" xfId="9658"/>
    <cellStyle name="Milliers 2 2 2 2 3 2 4" xfId="1738"/>
    <cellStyle name="Milliers 2 2 2 2 3 2 4 2" xfId="3898"/>
    <cellStyle name="Milliers 2 2 2 2 3 2 4 2 2" xfId="8218"/>
    <cellStyle name="Milliers 2 2 2 2 3 2 4 2 2 2" xfId="16858"/>
    <cellStyle name="Milliers 2 2 2 2 3 2 4 2 3" xfId="12538"/>
    <cellStyle name="Milliers 2 2 2 2 3 2 4 3" xfId="6058"/>
    <cellStyle name="Milliers 2 2 2 2 3 2 4 3 2" xfId="14698"/>
    <cellStyle name="Milliers 2 2 2 2 3 2 4 4" xfId="10378"/>
    <cellStyle name="Milliers 2 2 2 2 3 2 5" xfId="2458"/>
    <cellStyle name="Milliers 2 2 2 2 3 2 5 2" xfId="6778"/>
    <cellStyle name="Milliers 2 2 2 2 3 2 5 2 2" xfId="15418"/>
    <cellStyle name="Milliers 2 2 2 2 3 2 5 3" xfId="11098"/>
    <cellStyle name="Milliers 2 2 2 2 3 2 6" xfId="4618"/>
    <cellStyle name="Milliers 2 2 2 2 3 2 6 2" xfId="13258"/>
    <cellStyle name="Milliers 2 2 2 2 3 2 7" xfId="8938"/>
    <cellStyle name="Milliers 2 2 2 2 3 3" xfId="478"/>
    <cellStyle name="Milliers 2 2 2 2 3 3 2" xfId="1198"/>
    <cellStyle name="Milliers 2 2 2 2 3 3 2 2" xfId="3358"/>
    <cellStyle name="Milliers 2 2 2 2 3 3 2 2 2" xfId="7678"/>
    <cellStyle name="Milliers 2 2 2 2 3 3 2 2 2 2" xfId="16318"/>
    <cellStyle name="Milliers 2 2 2 2 3 3 2 2 3" xfId="11998"/>
    <cellStyle name="Milliers 2 2 2 2 3 3 2 3" xfId="5518"/>
    <cellStyle name="Milliers 2 2 2 2 3 3 2 3 2" xfId="14158"/>
    <cellStyle name="Milliers 2 2 2 2 3 3 2 4" xfId="9838"/>
    <cellStyle name="Milliers 2 2 2 2 3 3 3" xfId="1918"/>
    <cellStyle name="Milliers 2 2 2 2 3 3 3 2" xfId="4078"/>
    <cellStyle name="Milliers 2 2 2 2 3 3 3 2 2" xfId="8398"/>
    <cellStyle name="Milliers 2 2 2 2 3 3 3 2 2 2" xfId="17038"/>
    <cellStyle name="Milliers 2 2 2 2 3 3 3 2 3" xfId="12718"/>
    <cellStyle name="Milliers 2 2 2 2 3 3 3 3" xfId="6238"/>
    <cellStyle name="Milliers 2 2 2 2 3 3 3 3 2" xfId="14878"/>
    <cellStyle name="Milliers 2 2 2 2 3 3 3 4" xfId="10558"/>
    <cellStyle name="Milliers 2 2 2 2 3 3 4" xfId="2638"/>
    <cellStyle name="Milliers 2 2 2 2 3 3 4 2" xfId="6958"/>
    <cellStyle name="Milliers 2 2 2 2 3 3 4 2 2" xfId="15598"/>
    <cellStyle name="Milliers 2 2 2 2 3 3 4 3" xfId="11278"/>
    <cellStyle name="Milliers 2 2 2 2 3 3 5" xfId="4798"/>
    <cellStyle name="Milliers 2 2 2 2 3 3 5 2" xfId="13438"/>
    <cellStyle name="Milliers 2 2 2 2 3 3 6" xfId="9118"/>
    <cellStyle name="Milliers 2 2 2 2 3 4" xfId="838"/>
    <cellStyle name="Milliers 2 2 2 2 3 4 2" xfId="2998"/>
    <cellStyle name="Milliers 2 2 2 2 3 4 2 2" xfId="7318"/>
    <cellStyle name="Milliers 2 2 2 2 3 4 2 2 2" xfId="15958"/>
    <cellStyle name="Milliers 2 2 2 2 3 4 2 3" xfId="11638"/>
    <cellStyle name="Milliers 2 2 2 2 3 4 3" xfId="5158"/>
    <cellStyle name="Milliers 2 2 2 2 3 4 3 2" xfId="13798"/>
    <cellStyle name="Milliers 2 2 2 2 3 4 4" xfId="9478"/>
    <cellStyle name="Milliers 2 2 2 2 3 5" xfId="1558"/>
    <cellStyle name="Milliers 2 2 2 2 3 5 2" xfId="3718"/>
    <cellStyle name="Milliers 2 2 2 2 3 5 2 2" xfId="8038"/>
    <cellStyle name="Milliers 2 2 2 2 3 5 2 2 2" xfId="16678"/>
    <cellStyle name="Milliers 2 2 2 2 3 5 2 3" xfId="12358"/>
    <cellStyle name="Milliers 2 2 2 2 3 5 3" xfId="5878"/>
    <cellStyle name="Milliers 2 2 2 2 3 5 3 2" xfId="14518"/>
    <cellStyle name="Milliers 2 2 2 2 3 5 4" xfId="10198"/>
    <cellStyle name="Milliers 2 2 2 2 3 6" xfId="2278"/>
    <cellStyle name="Milliers 2 2 2 2 3 6 2" xfId="6598"/>
    <cellStyle name="Milliers 2 2 2 2 3 6 2 2" xfId="15238"/>
    <cellStyle name="Milliers 2 2 2 2 3 6 3" xfId="10918"/>
    <cellStyle name="Milliers 2 2 2 2 3 7" xfId="4438"/>
    <cellStyle name="Milliers 2 2 2 2 3 7 2" xfId="13078"/>
    <cellStyle name="Milliers 2 2 2 2 3 8" xfId="8758"/>
    <cellStyle name="Milliers 2 2 2 2 4" xfId="208"/>
    <cellStyle name="Milliers 2 2 2 2 4 2" xfId="568"/>
    <cellStyle name="Milliers 2 2 2 2 4 2 2" xfId="1288"/>
    <cellStyle name="Milliers 2 2 2 2 4 2 2 2" xfId="3448"/>
    <cellStyle name="Milliers 2 2 2 2 4 2 2 2 2" xfId="7768"/>
    <cellStyle name="Milliers 2 2 2 2 4 2 2 2 2 2" xfId="16408"/>
    <cellStyle name="Milliers 2 2 2 2 4 2 2 2 3" xfId="12088"/>
    <cellStyle name="Milliers 2 2 2 2 4 2 2 3" xfId="5608"/>
    <cellStyle name="Milliers 2 2 2 2 4 2 2 3 2" xfId="14248"/>
    <cellStyle name="Milliers 2 2 2 2 4 2 2 4" xfId="9928"/>
    <cellStyle name="Milliers 2 2 2 2 4 2 3" xfId="2008"/>
    <cellStyle name="Milliers 2 2 2 2 4 2 3 2" xfId="4168"/>
    <cellStyle name="Milliers 2 2 2 2 4 2 3 2 2" xfId="8488"/>
    <cellStyle name="Milliers 2 2 2 2 4 2 3 2 2 2" xfId="17128"/>
    <cellStyle name="Milliers 2 2 2 2 4 2 3 2 3" xfId="12808"/>
    <cellStyle name="Milliers 2 2 2 2 4 2 3 3" xfId="6328"/>
    <cellStyle name="Milliers 2 2 2 2 4 2 3 3 2" xfId="14968"/>
    <cellStyle name="Milliers 2 2 2 2 4 2 3 4" xfId="10648"/>
    <cellStyle name="Milliers 2 2 2 2 4 2 4" xfId="2728"/>
    <cellStyle name="Milliers 2 2 2 2 4 2 4 2" xfId="7048"/>
    <cellStyle name="Milliers 2 2 2 2 4 2 4 2 2" xfId="15688"/>
    <cellStyle name="Milliers 2 2 2 2 4 2 4 3" xfId="11368"/>
    <cellStyle name="Milliers 2 2 2 2 4 2 5" xfId="4888"/>
    <cellStyle name="Milliers 2 2 2 2 4 2 5 2" xfId="13528"/>
    <cellStyle name="Milliers 2 2 2 2 4 2 6" xfId="9208"/>
    <cellStyle name="Milliers 2 2 2 2 4 3" xfId="928"/>
    <cellStyle name="Milliers 2 2 2 2 4 3 2" xfId="3088"/>
    <cellStyle name="Milliers 2 2 2 2 4 3 2 2" xfId="7408"/>
    <cellStyle name="Milliers 2 2 2 2 4 3 2 2 2" xfId="16048"/>
    <cellStyle name="Milliers 2 2 2 2 4 3 2 3" xfId="11728"/>
    <cellStyle name="Milliers 2 2 2 2 4 3 3" xfId="5248"/>
    <cellStyle name="Milliers 2 2 2 2 4 3 3 2" xfId="13888"/>
    <cellStyle name="Milliers 2 2 2 2 4 3 4" xfId="9568"/>
    <cellStyle name="Milliers 2 2 2 2 4 4" xfId="1648"/>
    <cellStyle name="Milliers 2 2 2 2 4 4 2" xfId="3808"/>
    <cellStyle name="Milliers 2 2 2 2 4 4 2 2" xfId="8128"/>
    <cellStyle name="Milliers 2 2 2 2 4 4 2 2 2" xfId="16768"/>
    <cellStyle name="Milliers 2 2 2 2 4 4 2 3" xfId="12448"/>
    <cellStyle name="Milliers 2 2 2 2 4 4 3" xfId="5968"/>
    <cellStyle name="Milliers 2 2 2 2 4 4 3 2" xfId="14608"/>
    <cellStyle name="Milliers 2 2 2 2 4 4 4" xfId="10288"/>
    <cellStyle name="Milliers 2 2 2 2 4 5" xfId="2368"/>
    <cellStyle name="Milliers 2 2 2 2 4 5 2" xfId="6688"/>
    <cellStyle name="Milliers 2 2 2 2 4 5 2 2" xfId="15328"/>
    <cellStyle name="Milliers 2 2 2 2 4 5 3" xfId="11008"/>
    <cellStyle name="Milliers 2 2 2 2 4 6" xfId="4528"/>
    <cellStyle name="Milliers 2 2 2 2 4 6 2" xfId="13168"/>
    <cellStyle name="Milliers 2 2 2 2 4 7" xfId="8848"/>
    <cellStyle name="Milliers 2 2 2 2 5" xfId="388"/>
    <cellStyle name="Milliers 2 2 2 2 5 2" xfId="1108"/>
    <cellStyle name="Milliers 2 2 2 2 5 2 2" xfId="3268"/>
    <cellStyle name="Milliers 2 2 2 2 5 2 2 2" xfId="7588"/>
    <cellStyle name="Milliers 2 2 2 2 5 2 2 2 2" xfId="16228"/>
    <cellStyle name="Milliers 2 2 2 2 5 2 2 3" xfId="11908"/>
    <cellStyle name="Milliers 2 2 2 2 5 2 3" xfId="5428"/>
    <cellStyle name="Milliers 2 2 2 2 5 2 3 2" xfId="14068"/>
    <cellStyle name="Milliers 2 2 2 2 5 2 4" xfId="9748"/>
    <cellStyle name="Milliers 2 2 2 2 5 3" xfId="1828"/>
    <cellStyle name="Milliers 2 2 2 2 5 3 2" xfId="3988"/>
    <cellStyle name="Milliers 2 2 2 2 5 3 2 2" xfId="8308"/>
    <cellStyle name="Milliers 2 2 2 2 5 3 2 2 2" xfId="16948"/>
    <cellStyle name="Milliers 2 2 2 2 5 3 2 3" xfId="12628"/>
    <cellStyle name="Milliers 2 2 2 2 5 3 3" xfId="6148"/>
    <cellStyle name="Milliers 2 2 2 2 5 3 3 2" xfId="14788"/>
    <cellStyle name="Milliers 2 2 2 2 5 3 4" xfId="10468"/>
    <cellStyle name="Milliers 2 2 2 2 5 4" xfId="2548"/>
    <cellStyle name="Milliers 2 2 2 2 5 4 2" xfId="6868"/>
    <cellStyle name="Milliers 2 2 2 2 5 4 2 2" xfId="15508"/>
    <cellStyle name="Milliers 2 2 2 2 5 4 3" xfId="11188"/>
    <cellStyle name="Milliers 2 2 2 2 5 5" xfId="4708"/>
    <cellStyle name="Milliers 2 2 2 2 5 5 2" xfId="13348"/>
    <cellStyle name="Milliers 2 2 2 2 5 6" xfId="9028"/>
    <cellStyle name="Milliers 2 2 2 2 6" xfId="748"/>
    <cellStyle name="Milliers 2 2 2 2 6 2" xfId="2908"/>
    <cellStyle name="Milliers 2 2 2 2 6 2 2" xfId="7228"/>
    <cellStyle name="Milliers 2 2 2 2 6 2 2 2" xfId="15868"/>
    <cellStyle name="Milliers 2 2 2 2 6 2 3" xfId="11548"/>
    <cellStyle name="Milliers 2 2 2 2 6 3" xfId="5068"/>
    <cellStyle name="Milliers 2 2 2 2 6 3 2" xfId="13708"/>
    <cellStyle name="Milliers 2 2 2 2 6 4" xfId="9388"/>
    <cellStyle name="Milliers 2 2 2 2 7" xfId="1468"/>
    <cellStyle name="Milliers 2 2 2 2 7 2" xfId="3628"/>
    <cellStyle name="Milliers 2 2 2 2 7 2 2" xfId="7948"/>
    <cellStyle name="Milliers 2 2 2 2 7 2 2 2" xfId="16588"/>
    <cellStyle name="Milliers 2 2 2 2 7 2 3" xfId="12268"/>
    <cellStyle name="Milliers 2 2 2 2 7 3" xfId="5788"/>
    <cellStyle name="Milliers 2 2 2 2 7 3 2" xfId="14428"/>
    <cellStyle name="Milliers 2 2 2 2 7 4" xfId="10108"/>
    <cellStyle name="Milliers 2 2 2 2 8" xfId="2188"/>
    <cellStyle name="Milliers 2 2 2 2 8 2" xfId="6508"/>
    <cellStyle name="Milliers 2 2 2 2 8 2 2" xfId="15148"/>
    <cellStyle name="Milliers 2 2 2 2 8 3" xfId="10828"/>
    <cellStyle name="Milliers 2 2 2 2 9" xfId="4348"/>
    <cellStyle name="Milliers 2 2 2 2 9 2" xfId="12988"/>
    <cellStyle name="Milliers 2 2 2 3" xfId="43"/>
    <cellStyle name="Milliers 2 2 2 3 10" xfId="8683"/>
    <cellStyle name="Milliers 2 2 2 3 2" xfId="88"/>
    <cellStyle name="Milliers 2 2 2 3 2 2" xfId="178"/>
    <cellStyle name="Milliers 2 2 2 3 2 2 2" xfId="358"/>
    <cellStyle name="Milliers 2 2 2 3 2 2 2 2" xfId="718"/>
    <cellStyle name="Milliers 2 2 2 3 2 2 2 2 2" xfId="1438"/>
    <cellStyle name="Milliers 2 2 2 3 2 2 2 2 2 2" xfId="3598"/>
    <cellStyle name="Milliers 2 2 2 3 2 2 2 2 2 2 2" xfId="7918"/>
    <cellStyle name="Milliers 2 2 2 3 2 2 2 2 2 2 2 2" xfId="16558"/>
    <cellStyle name="Milliers 2 2 2 3 2 2 2 2 2 2 3" xfId="12238"/>
    <cellStyle name="Milliers 2 2 2 3 2 2 2 2 2 3" xfId="5758"/>
    <cellStyle name="Milliers 2 2 2 3 2 2 2 2 2 3 2" xfId="14398"/>
    <cellStyle name="Milliers 2 2 2 3 2 2 2 2 2 4" xfId="10078"/>
    <cellStyle name="Milliers 2 2 2 3 2 2 2 2 3" xfId="2158"/>
    <cellStyle name="Milliers 2 2 2 3 2 2 2 2 3 2" xfId="4318"/>
    <cellStyle name="Milliers 2 2 2 3 2 2 2 2 3 2 2" xfId="8638"/>
    <cellStyle name="Milliers 2 2 2 3 2 2 2 2 3 2 2 2" xfId="17278"/>
    <cellStyle name="Milliers 2 2 2 3 2 2 2 2 3 2 3" xfId="12958"/>
    <cellStyle name="Milliers 2 2 2 3 2 2 2 2 3 3" xfId="6478"/>
    <cellStyle name="Milliers 2 2 2 3 2 2 2 2 3 3 2" xfId="15118"/>
    <cellStyle name="Milliers 2 2 2 3 2 2 2 2 3 4" xfId="10798"/>
    <cellStyle name="Milliers 2 2 2 3 2 2 2 2 4" xfId="2878"/>
    <cellStyle name="Milliers 2 2 2 3 2 2 2 2 4 2" xfId="7198"/>
    <cellStyle name="Milliers 2 2 2 3 2 2 2 2 4 2 2" xfId="15838"/>
    <cellStyle name="Milliers 2 2 2 3 2 2 2 2 4 3" xfId="11518"/>
    <cellStyle name="Milliers 2 2 2 3 2 2 2 2 5" xfId="5038"/>
    <cellStyle name="Milliers 2 2 2 3 2 2 2 2 5 2" xfId="13678"/>
    <cellStyle name="Milliers 2 2 2 3 2 2 2 2 6" xfId="9358"/>
    <cellStyle name="Milliers 2 2 2 3 2 2 2 3" xfId="1078"/>
    <cellStyle name="Milliers 2 2 2 3 2 2 2 3 2" xfId="3238"/>
    <cellStyle name="Milliers 2 2 2 3 2 2 2 3 2 2" xfId="7558"/>
    <cellStyle name="Milliers 2 2 2 3 2 2 2 3 2 2 2" xfId="16198"/>
    <cellStyle name="Milliers 2 2 2 3 2 2 2 3 2 3" xfId="11878"/>
    <cellStyle name="Milliers 2 2 2 3 2 2 2 3 3" xfId="5398"/>
    <cellStyle name="Milliers 2 2 2 3 2 2 2 3 3 2" xfId="14038"/>
    <cellStyle name="Milliers 2 2 2 3 2 2 2 3 4" xfId="9718"/>
    <cellStyle name="Milliers 2 2 2 3 2 2 2 4" xfId="1798"/>
    <cellStyle name="Milliers 2 2 2 3 2 2 2 4 2" xfId="3958"/>
    <cellStyle name="Milliers 2 2 2 3 2 2 2 4 2 2" xfId="8278"/>
    <cellStyle name="Milliers 2 2 2 3 2 2 2 4 2 2 2" xfId="16918"/>
    <cellStyle name="Milliers 2 2 2 3 2 2 2 4 2 3" xfId="12598"/>
    <cellStyle name="Milliers 2 2 2 3 2 2 2 4 3" xfId="6118"/>
    <cellStyle name="Milliers 2 2 2 3 2 2 2 4 3 2" xfId="14758"/>
    <cellStyle name="Milliers 2 2 2 3 2 2 2 4 4" xfId="10438"/>
    <cellStyle name="Milliers 2 2 2 3 2 2 2 5" xfId="2518"/>
    <cellStyle name="Milliers 2 2 2 3 2 2 2 5 2" xfId="6838"/>
    <cellStyle name="Milliers 2 2 2 3 2 2 2 5 2 2" xfId="15478"/>
    <cellStyle name="Milliers 2 2 2 3 2 2 2 5 3" xfId="11158"/>
    <cellStyle name="Milliers 2 2 2 3 2 2 2 6" xfId="4678"/>
    <cellStyle name="Milliers 2 2 2 3 2 2 2 6 2" xfId="13318"/>
    <cellStyle name="Milliers 2 2 2 3 2 2 2 7" xfId="8998"/>
    <cellStyle name="Milliers 2 2 2 3 2 2 3" xfId="538"/>
    <cellStyle name="Milliers 2 2 2 3 2 2 3 2" xfId="1258"/>
    <cellStyle name="Milliers 2 2 2 3 2 2 3 2 2" xfId="3418"/>
    <cellStyle name="Milliers 2 2 2 3 2 2 3 2 2 2" xfId="7738"/>
    <cellStyle name="Milliers 2 2 2 3 2 2 3 2 2 2 2" xfId="16378"/>
    <cellStyle name="Milliers 2 2 2 3 2 2 3 2 2 3" xfId="12058"/>
    <cellStyle name="Milliers 2 2 2 3 2 2 3 2 3" xfId="5578"/>
    <cellStyle name="Milliers 2 2 2 3 2 2 3 2 3 2" xfId="14218"/>
    <cellStyle name="Milliers 2 2 2 3 2 2 3 2 4" xfId="9898"/>
    <cellStyle name="Milliers 2 2 2 3 2 2 3 3" xfId="1978"/>
    <cellStyle name="Milliers 2 2 2 3 2 2 3 3 2" xfId="4138"/>
    <cellStyle name="Milliers 2 2 2 3 2 2 3 3 2 2" xfId="8458"/>
    <cellStyle name="Milliers 2 2 2 3 2 2 3 3 2 2 2" xfId="17098"/>
    <cellStyle name="Milliers 2 2 2 3 2 2 3 3 2 3" xfId="12778"/>
    <cellStyle name="Milliers 2 2 2 3 2 2 3 3 3" xfId="6298"/>
    <cellStyle name="Milliers 2 2 2 3 2 2 3 3 3 2" xfId="14938"/>
    <cellStyle name="Milliers 2 2 2 3 2 2 3 3 4" xfId="10618"/>
    <cellStyle name="Milliers 2 2 2 3 2 2 3 4" xfId="2698"/>
    <cellStyle name="Milliers 2 2 2 3 2 2 3 4 2" xfId="7018"/>
    <cellStyle name="Milliers 2 2 2 3 2 2 3 4 2 2" xfId="15658"/>
    <cellStyle name="Milliers 2 2 2 3 2 2 3 4 3" xfId="11338"/>
    <cellStyle name="Milliers 2 2 2 3 2 2 3 5" xfId="4858"/>
    <cellStyle name="Milliers 2 2 2 3 2 2 3 5 2" xfId="13498"/>
    <cellStyle name="Milliers 2 2 2 3 2 2 3 6" xfId="9178"/>
    <cellStyle name="Milliers 2 2 2 3 2 2 4" xfId="898"/>
    <cellStyle name="Milliers 2 2 2 3 2 2 4 2" xfId="3058"/>
    <cellStyle name="Milliers 2 2 2 3 2 2 4 2 2" xfId="7378"/>
    <cellStyle name="Milliers 2 2 2 3 2 2 4 2 2 2" xfId="16018"/>
    <cellStyle name="Milliers 2 2 2 3 2 2 4 2 3" xfId="11698"/>
    <cellStyle name="Milliers 2 2 2 3 2 2 4 3" xfId="5218"/>
    <cellStyle name="Milliers 2 2 2 3 2 2 4 3 2" xfId="13858"/>
    <cellStyle name="Milliers 2 2 2 3 2 2 4 4" xfId="9538"/>
    <cellStyle name="Milliers 2 2 2 3 2 2 5" xfId="1618"/>
    <cellStyle name="Milliers 2 2 2 3 2 2 5 2" xfId="3778"/>
    <cellStyle name="Milliers 2 2 2 3 2 2 5 2 2" xfId="8098"/>
    <cellStyle name="Milliers 2 2 2 3 2 2 5 2 2 2" xfId="16738"/>
    <cellStyle name="Milliers 2 2 2 3 2 2 5 2 3" xfId="12418"/>
    <cellStyle name="Milliers 2 2 2 3 2 2 5 3" xfId="5938"/>
    <cellStyle name="Milliers 2 2 2 3 2 2 5 3 2" xfId="14578"/>
    <cellStyle name="Milliers 2 2 2 3 2 2 5 4" xfId="10258"/>
    <cellStyle name="Milliers 2 2 2 3 2 2 6" xfId="2338"/>
    <cellStyle name="Milliers 2 2 2 3 2 2 6 2" xfId="6658"/>
    <cellStyle name="Milliers 2 2 2 3 2 2 6 2 2" xfId="15298"/>
    <cellStyle name="Milliers 2 2 2 3 2 2 6 3" xfId="10978"/>
    <cellStyle name="Milliers 2 2 2 3 2 2 7" xfId="4498"/>
    <cellStyle name="Milliers 2 2 2 3 2 2 7 2" xfId="13138"/>
    <cellStyle name="Milliers 2 2 2 3 2 2 8" xfId="8818"/>
    <cellStyle name="Milliers 2 2 2 3 2 3" xfId="268"/>
    <cellStyle name="Milliers 2 2 2 3 2 3 2" xfId="628"/>
    <cellStyle name="Milliers 2 2 2 3 2 3 2 2" xfId="1348"/>
    <cellStyle name="Milliers 2 2 2 3 2 3 2 2 2" xfId="3508"/>
    <cellStyle name="Milliers 2 2 2 3 2 3 2 2 2 2" xfId="7828"/>
    <cellStyle name="Milliers 2 2 2 3 2 3 2 2 2 2 2" xfId="16468"/>
    <cellStyle name="Milliers 2 2 2 3 2 3 2 2 2 3" xfId="12148"/>
    <cellStyle name="Milliers 2 2 2 3 2 3 2 2 3" xfId="5668"/>
    <cellStyle name="Milliers 2 2 2 3 2 3 2 2 3 2" xfId="14308"/>
    <cellStyle name="Milliers 2 2 2 3 2 3 2 2 4" xfId="9988"/>
    <cellStyle name="Milliers 2 2 2 3 2 3 2 3" xfId="2068"/>
    <cellStyle name="Milliers 2 2 2 3 2 3 2 3 2" xfId="4228"/>
    <cellStyle name="Milliers 2 2 2 3 2 3 2 3 2 2" xfId="8548"/>
    <cellStyle name="Milliers 2 2 2 3 2 3 2 3 2 2 2" xfId="17188"/>
    <cellStyle name="Milliers 2 2 2 3 2 3 2 3 2 3" xfId="12868"/>
    <cellStyle name="Milliers 2 2 2 3 2 3 2 3 3" xfId="6388"/>
    <cellStyle name="Milliers 2 2 2 3 2 3 2 3 3 2" xfId="15028"/>
    <cellStyle name="Milliers 2 2 2 3 2 3 2 3 4" xfId="10708"/>
    <cellStyle name="Milliers 2 2 2 3 2 3 2 4" xfId="2788"/>
    <cellStyle name="Milliers 2 2 2 3 2 3 2 4 2" xfId="7108"/>
    <cellStyle name="Milliers 2 2 2 3 2 3 2 4 2 2" xfId="15748"/>
    <cellStyle name="Milliers 2 2 2 3 2 3 2 4 3" xfId="11428"/>
    <cellStyle name="Milliers 2 2 2 3 2 3 2 5" xfId="4948"/>
    <cellStyle name="Milliers 2 2 2 3 2 3 2 5 2" xfId="13588"/>
    <cellStyle name="Milliers 2 2 2 3 2 3 2 6" xfId="9268"/>
    <cellStyle name="Milliers 2 2 2 3 2 3 3" xfId="988"/>
    <cellStyle name="Milliers 2 2 2 3 2 3 3 2" xfId="3148"/>
    <cellStyle name="Milliers 2 2 2 3 2 3 3 2 2" xfId="7468"/>
    <cellStyle name="Milliers 2 2 2 3 2 3 3 2 2 2" xfId="16108"/>
    <cellStyle name="Milliers 2 2 2 3 2 3 3 2 3" xfId="11788"/>
    <cellStyle name="Milliers 2 2 2 3 2 3 3 3" xfId="5308"/>
    <cellStyle name="Milliers 2 2 2 3 2 3 3 3 2" xfId="13948"/>
    <cellStyle name="Milliers 2 2 2 3 2 3 3 4" xfId="9628"/>
    <cellStyle name="Milliers 2 2 2 3 2 3 4" xfId="1708"/>
    <cellStyle name="Milliers 2 2 2 3 2 3 4 2" xfId="3868"/>
    <cellStyle name="Milliers 2 2 2 3 2 3 4 2 2" xfId="8188"/>
    <cellStyle name="Milliers 2 2 2 3 2 3 4 2 2 2" xfId="16828"/>
    <cellStyle name="Milliers 2 2 2 3 2 3 4 2 3" xfId="12508"/>
    <cellStyle name="Milliers 2 2 2 3 2 3 4 3" xfId="6028"/>
    <cellStyle name="Milliers 2 2 2 3 2 3 4 3 2" xfId="14668"/>
    <cellStyle name="Milliers 2 2 2 3 2 3 4 4" xfId="10348"/>
    <cellStyle name="Milliers 2 2 2 3 2 3 5" xfId="2428"/>
    <cellStyle name="Milliers 2 2 2 3 2 3 5 2" xfId="6748"/>
    <cellStyle name="Milliers 2 2 2 3 2 3 5 2 2" xfId="15388"/>
    <cellStyle name="Milliers 2 2 2 3 2 3 5 3" xfId="11068"/>
    <cellStyle name="Milliers 2 2 2 3 2 3 6" xfId="4588"/>
    <cellStyle name="Milliers 2 2 2 3 2 3 6 2" xfId="13228"/>
    <cellStyle name="Milliers 2 2 2 3 2 3 7" xfId="8908"/>
    <cellStyle name="Milliers 2 2 2 3 2 4" xfId="448"/>
    <cellStyle name="Milliers 2 2 2 3 2 4 2" xfId="1168"/>
    <cellStyle name="Milliers 2 2 2 3 2 4 2 2" xfId="3328"/>
    <cellStyle name="Milliers 2 2 2 3 2 4 2 2 2" xfId="7648"/>
    <cellStyle name="Milliers 2 2 2 3 2 4 2 2 2 2" xfId="16288"/>
    <cellStyle name="Milliers 2 2 2 3 2 4 2 2 3" xfId="11968"/>
    <cellStyle name="Milliers 2 2 2 3 2 4 2 3" xfId="5488"/>
    <cellStyle name="Milliers 2 2 2 3 2 4 2 3 2" xfId="14128"/>
    <cellStyle name="Milliers 2 2 2 3 2 4 2 4" xfId="9808"/>
    <cellStyle name="Milliers 2 2 2 3 2 4 3" xfId="1888"/>
    <cellStyle name="Milliers 2 2 2 3 2 4 3 2" xfId="4048"/>
    <cellStyle name="Milliers 2 2 2 3 2 4 3 2 2" xfId="8368"/>
    <cellStyle name="Milliers 2 2 2 3 2 4 3 2 2 2" xfId="17008"/>
    <cellStyle name="Milliers 2 2 2 3 2 4 3 2 3" xfId="12688"/>
    <cellStyle name="Milliers 2 2 2 3 2 4 3 3" xfId="6208"/>
    <cellStyle name="Milliers 2 2 2 3 2 4 3 3 2" xfId="14848"/>
    <cellStyle name="Milliers 2 2 2 3 2 4 3 4" xfId="10528"/>
    <cellStyle name="Milliers 2 2 2 3 2 4 4" xfId="2608"/>
    <cellStyle name="Milliers 2 2 2 3 2 4 4 2" xfId="6928"/>
    <cellStyle name="Milliers 2 2 2 3 2 4 4 2 2" xfId="15568"/>
    <cellStyle name="Milliers 2 2 2 3 2 4 4 3" xfId="11248"/>
    <cellStyle name="Milliers 2 2 2 3 2 4 5" xfId="4768"/>
    <cellStyle name="Milliers 2 2 2 3 2 4 5 2" xfId="13408"/>
    <cellStyle name="Milliers 2 2 2 3 2 4 6" xfId="9088"/>
    <cellStyle name="Milliers 2 2 2 3 2 5" xfId="808"/>
    <cellStyle name="Milliers 2 2 2 3 2 5 2" xfId="2968"/>
    <cellStyle name="Milliers 2 2 2 3 2 5 2 2" xfId="7288"/>
    <cellStyle name="Milliers 2 2 2 3 2 5 2 2 2" xfId="15928"/>
    <cellStyle name="Milliers 2 2 2 3 2 5 2 3" xfId="11608"/>
    <cellStyle name="Milliers 2 2 2 3 2 5 3" xfId="5128"/>
    <cellStyle name="Milliers 2 2 2 3 2 5 3 2" xfId="13768"/>
    <cellStyle name="Milliers 2 2 2 3 2 5 4" xfId="9448"/>
    <cellStyle name="Milliers 2 2 2 3 2 6" xfId="1528"/>
    <cellStyle name="Milliers 2 2 2 3 2 6 2" xfId="3688"/>
    <cellStyle name="Milliers 2 2 2 3 2 6 2 2" xfId="8008"/>
    <cellStyle name="Milliers 2 2 2 3 2 6 2 2 2" xfId="16648"/>
    <cellStyle name="Milliers 2 2 2 3 2 6 2 3" xfId="12328"/>
    <cellStyle name="Milliers 2 2 2 3 2 6 3" xfId="5848"/>
    <cellStyle name="Milliers 2 2 2 3 2 6 3 2" xfId="14488"/>
    <cellStyle name="Milliers 2 2 2 3 2 6 4" xfId="10168"/>
    <cellStyle name="Milliers 2 2 2 3 2 7" xfId="2248"/>
    <cellStyle name="Milliers 2 2 2 3 2 7 2" xfId="6568"/>
    <cellStyle name="Milliers 2 2 2 3 2 7 2 2" xfId="15208"/>
    <cellStyle name="Milliers 2 2 2 3 2 7 3" xfId="10888"/>
    <cellStyle name="Milliers 2 2 2 3 2 8" xfId="4408"/>
    <cellStyle name="Milliers 2 2 2 3 2 8 2" xfId="13048"/>
    <cellStyle name="Milliers 2 2 2 3 2 9" xfId="8728"/>
    <cellStyle name="Milliers 2 2 2 3 3" xfId="133"/>
    <cellStyle name="Milliers 2 2 2 3 3 2" xfId="313"/>
    <cellStyle name="Milliers 2 2 2 3 3 2 2" xfId="673"/>
    <cellStyle name="Milliers 2 2 2 3 3 2 2 2" xfId="1393"/>
    <cellStyle name="Milliers 2 2 2 3 3 2 2 2 2" xfId="3553"/>
    <cellStyle name="Milliers 2 2 2 3 3 2 2 2 2 2" xfId="7873"/>
    <cellStyle name="Milliers 2 2 2 3 3 2 2 2 2 2 2" xfId="16513"/>
    <cellStyle name="Milliers 2 2 2 3 3 2 2 2 2 3" xfId="12193"/>
    <cellStyle name="Milliers 2 2 2 3 3 2 2 2 3" xfId="5713"/>
    <cellStyle name="Milliers 2 2 2 3 3 2 2 2 3 2" xfId="14353"/>
    <cellStyle name="Milliers 2 2 2 3 3 2 2 2 4" xfId="10033"/>
    <cellStyle name="Milliers 2 2 2 3 3 2 2 3" xfId="2113"/>
    <cellStyle name="Milliers 2 2 2 3 3 2 2 3 2" xfId="4273"/>
    <cellStyle name="Milliers 2 2 2 3 3 2 2 3 2 2" xfId="8593"/>
    <cellStyle name="Milliers 2 2 2 3 3 2 2 3 2 2 2" xfId="17233"/>
    <cellStyle name="Milliers 2 2 2 3 3 2 2 3 2 3" xfId="12913"/>
    <cellStyle name="Milliers 2 2 2 3 3 2 2 3 3" xfId="6433"/>
    <cellStyle name="Milliers 2 2 2 3 3 2 2 3 3 2" xfId="15073"/>
    <cellStyle name="Milliers 2 2 2 3 3 2 2 3 4" xfId="10753"/>
    <cellStyle name="Milliers 2 2 2 3 3 2 2 4" xfId="2833"/>
    <cellStyle name="Milliers 2 2 2 3 3 2 2 4 2" xfId="7153"/>
    <cellStyle name="Milliers 2 2 2 3 3 2 2 4 2 2" xfId="15793"/>
    <cellStyle name="Milliers 2 2 2 3 3 2 2 4 3" xfId="11473"/>
    <cellStyle name="Milliers 2 2 2 3 3 2 2 5" xfId="4993"/>
    <cellStyle name="Milliers 2 2 2 3 3 2 2 5 2" xfId="13633"/>
    <cellStyle name="Milliers 2 2 2 3 3 2 2 6" xfId="9313"/>
    <cellStyle name="Milliers 2 2 2 3 3 2 3" xfId="1033"/>
    <cellStyle name="Milliers 2 2 2 3 3 2 3 2" xfId="3193"/>
    <cellStyle name="Milliers 2 2 2 3 3 2 3 2 2" xfId="7513"/>
    <cellStyle name="Milliers 2 2 2 3 3 2 3 2 2 2" xfId="16153"/>
    <cellStyle name="Milliers 2 2 2 3 3 2 3 2 3" xfId="11833"/>
    <cellStyle name="Milliers 2 2 2 3 3 2 3 3" xfId="5353"/>
    <cellStyle name="Milliers 2 2 2 3 3 2 3 3 2" xfId="13993"/>
    <cellStyle name="Milliers 2 2 2 3 3 2 3 4" xfId="9673"/>
    <cellStyle name="Milliers 2 2 2 3 3 2 4" xfId="1753"/>
    <cellStyle name="Milliers 2 2 2 3 3 2 4 2" xfId="3913"/>
    <cellStyle name="Milliers 2 2 2 3 3 2 4 2 2" xfId="8233"/>
    <cellStyle name="Milliers 2 2 2 3 3 2 4 2 2 2" xfId="16873"/>
    <cellStyle name="Milliers 2 2 2 3 3 2 4 2 3" xfId="12553"/>
    <cellStyle name="Milliers 2 2 2 3 3 2 4 3" xfId="6073"/>
    <cellStyle name="Milliers 2 2 2 3 3 2 4 3 2" xfId="14713"/>
    <cellStyle name="Milliers 2 2 2 3 3 2 4 4" xfId="10393"/>
    <cellStyle name="Milliers 2 2 2 3 3 2 5" xfId="2473"/>
    <cellStyle name="Milliers 2 2 2 3 3 2 5 2" xfId="6793"/>
    <cellStyle name="Milliers 2 2 2 3 3 2 5 2 2" xfId="15433"/>
    <cellStyle name="Milliers 2 2 2 3 3 2 5 3" xfId="11113"/>
    <cellStyle name="Milliers 2 2 2 3 3 2 6" xfId="4633"/>
    <cellStyle name="Milliers 2 2 2 3 3 2 6 2" xfId="13273"/>
    <cellStyle name="Milliers 2 2 2 3 3 2 7" xfId="8953"/>
    <cellStyle name="Milliers 2 2 2 3 3 3" xfId="493"/>
    <cellStyle name="Milliers 2 2 2 3 3 3 2" xfId="1213"/>
    <cellStyle name="Milliers 2 2 2 3 3 3 2 2" xfId="3373"/>
    <cellStyle name="Milliers 2 2 2 3 3 3 2 2 2" xfId="7693"/>
    <cellStyle name="Milliers 2 2 2 3 3 3 2 2 2 2" xfId="16333"/>
    <cellStyle name="Milliers 2 2 2 3 3 3 2 2 3" xfId="12013"/>
    <cellStyle name="Milliers 2 2 2 3 3 3 2 3" xfId="5533"/>
    <cellStyle name="Milliers 2 2 2 3 3 3 2 3 2" xfId="14173"/>
    <cellStyle name="Milliers 2 2 2 3 3 3 2 4" xfId="9853"/>
    <cellStyle name="Milliers 2 2 2 3 3 3 3" xfId="1933"/>
    <cellStyle name="Milliers 2 2 2 3 3 3 3 2" xfId="4093"/>
    <cellStyle name="Milliers 2 2 2 3 3 3 3 2 2" xfId="8413"/>
    <cellStyle name="Milliers 2 2 2 3 3 3 3 2 2 2" xfId="17053"/>
    <cellStyle name="Milliers 2 2 2 3 3 3 3 2 3" xfId="12733"/>
    <cellStyle name="Milliers 2 2 2 3 3 3 3 3" xfId="6253"/>
    <cellStyle name="Milliers 2 2 2 3 3 3 3 3 2" xfId="14893"/>
    <cellStyle name="Milliers 2 2 2 3 3 3 3 4" xfId="10573"/>
    <cellStyle name="Milliers 2 2 2 3 3 3 4" xfId="2653"/>
    <cellStyle name="Milliers 2 2 2 3 3 3 4 2" xfId="6973"/>
    <cellStyle name="Milliers 2 2 2 3 3 3 4 2 2" xfId="15613"/>
    <cellStyle name="Milliers 2 2 2 3 3 3 4 3" xfId="11293"/>
    <cellStyle name="Milliers 2 2 2 3 3 3 5" xfId="4813"/>
    <cellStyle name="Milliers 2 2 2 3 3 3 5 2" xfId="13453"/>
    <cellStyle name="Milliers 2 2 2 3 3 3 6" xfId="9133"/>
    <cellStyle name="Milliers 2 2 2 3 3 4" xfId="853"/>
    <cellStyle name="Milliers 2 2 2 3 3 4 2" xfId="3013"/>
    <cellStyle name="Milliers 2 2 2 3 3 4 2 2" xfId="7333"/>
    <cellStyle name="Milliers 2 2 2 3 3 4 2 2 2" xfId="15973"/>
    <cellStyle name="Milliers 2 2 2 3 3 4 2 3" xfId="11653"/>
    <cellStyle name="Milliers 2 2 2 3 3 4 3" xfId="5173"/>
    <cellStyle name="Milliers 2 2 2 3 3 4 3 2" xfId="13813"/>
    <cellStyle name="Milliers 2 2 2 3 3 4 4" xfId="9493"/>
    <cellStyle name="Milliers 2 2 2 3 3 5" xfId="1573"/>
    <cellStyle name="Milliers 2 2 2 3 3 5 2" xfId="3733"/>
    <cellStyle name="Milliers 2 2 2 3 3 5 2 2" xfId="8053"/>
    <cellStyle name="Milliers 2 2 2 3 3 5 2 2 2" xfId="16693"/>
    <cellStyle name="Milliers 2 2 2 3 3 5 2 3" xfId="12373"/>
    <cellStyle name="Milliers 2 2 2 3 3 5 3" xfId="5893"/>
    <cellStyle name="Milliers 2 2 2 3 3 5 3 2" xfId="14533"/>
    <cellStyle name="Milliers 2 2 2 3 3 5 4" xfId="10213"/>
    <cellStyle name="Milliers 2 2 2 3 3 6" xfId="2293"/>
    <cellStyle name="Milliers 2 2 2 3 3 6 2" xfId="6613"/>
    <cellStyle name="Milliers 2 2 2 3 3 6 2 2" xfId="15253"/>
    <cellStyle name="Milliers 2 2 2 3 3 6 3" xfId="10933"/>
    <cellStyle name="Milliers 2 2 2 3 3 7" xfId="4453"/>
    <cellStyle name="Milliers 2 2 2 3 3 7 2" xfId="13093"/>
    <cellStyle name="Milliers 2 2 2 3 3 8" xfId="8773"/>
    <cellStyle name="Milliers 2 2 2 3 4" xfId="223"/>
    <cellStyle name="Milliers 2 2 2 3 4 2" xfId="583"/>
    <cellStyle name="Milliers 2 2 2 3 4 2 2" xfId="1303"/>
    <cellStyle name="Milliers 2 2 2 3 4 2 2 2" xfId="3463"/>
    <cellStyle name="Milliers 2 2 2 3 4 2 2 2 2" xfId="7783"/>
    <cellStyle name="Milliers 2 2 2 3 4 2 2 2 2 2" xfId="16423"/>
    <cellStyle name="Milliers 2 2 2 3 4 2 2 2 3" xfId="12103"/>
    <cellStyle name="Milliers 2 2 2 3 4 2 2 3" xfId="5623"/>
    <cellStyle name="Milliers 2 2 2 3 4 2 2 3 2" xfId="14263"/>
    <cellStyle name="Milliers 2 2 2 3 4 2 2 4" xfId="9943"/>
    <cellStyle name="Milliers 2 2 2 3 4 2 3" xfId="2023"/>
    <cellStyle name="Milliers 2 2 2 3 4 2 3 2" xfId="4183"/>
    <cellStyle name="Milliers 2 2 2 3 4 2 3 2 2" xfId="8503"/>
    <cellStyle name="Milliers 2 2 2 3 4 2 3 2 2 2" xfId="17143"/>
    <cellStyle name="Milliers 2 2 2 3 4 2 3 2 3" xfId="12823"/>
    <cellStyle name="Milliers 2 2 2 3 4 2 3 3" xfId="6343"/>
    <cellStyle name="Milliers 2 2 2 3 4 2 3 3 2" xfId="14983"/>
    <cellStyle name="Milliers 2 2 2 3 4 2 3 4" xfId="10663"/>
    <cellStyle name="Milliers 2 2 2 3 4 2 4" xfId="2743"/>
    <cellStyle name="Milliers 2 2 2 3 4 2 4 2" xfId="7063"/>
    <cellStyle name="Milliers 2 2 2 3 4 2 4 2 2" xfId="15703"/>
    <cellStyle name="Milliers 2 2 2 3 4 2 4 3" xfId="11383"/>
    <cellStyle name="Milliers 2 2 2 3 4 2 5" xfId="4903"/>
    <cellStyle name="Milliers 2 2 2 3 4 2 5 2" xfId="13543"/>
    <cellStyle name="Milliers 2 2 2 3 4 2 6" xfId="9223"/>
    <cellStyle name="Milliers 2 2 2 3 4 3" xfId="943"/>
    <cellStyle name="Milliers 2 2 2 3 4 3 2" xfId="3103"/>
    <cellStyle name="Milliers 2 2 2 3 4 3 2 2" xfId="7423"/>
    <cellStyle name="Milliers 2 2 2 3 4 3 2 2 2" xfId="16063"/>
    <cellStyle name="Milliers 2 2 2 3 4 3 2 3" xfId="11743"/>
    <cellStyle name="Milliers 2 2 2 3 4 3 3" xfId="5263"/>
    <cellStyle name="Milliers 2 2 2 3 4 3 3 2" xfId="13903"/>
    <cellStyle name="Milliers 2 2 2 3 4 3 4" xfId="9583"/>
    <cellStyle name="Milliers 2 2 2 3 4 4" xfId="1663"/>
    <cellStyle name="Milliers 2 2 2 3 4 4 2" xfId="3823"/>
    <cellStyle name="Milliers 2 2 2 3 4 4 2 2" xfId="8143"/>
    <cellStyle name="Milliers 2 2 2 3 4 4 2 2 2" xfId="16783"/>
    <cellStyle name="Milliers 2 2 2 3 4 4 2 3" xfId="12463"/>
    <cellStyle name="Milliers 2 2 2 3 4 4 3" xfId="5983"/>
    <cellStyle name="Milliers 2 2 2 3 4 4 3 2" xfId="14623"/>
    <cellStyle name="Milliers 2 2 2 3 4 4 4" xfId="10303"/>
    <cellStyle name="Milliers 2 2 2 3 4 5" xfId="2383"/>
    <cellStyle name="Milliers 2 2 2 3 4 5 2" xfId="6703"/>
    <cellStyle name="Milliers 2 2 2 3 4 5 2 2" xfId="15343"/>
    <cellStyle name="Milliers 2 2 2 3 4 5 3" xfId="11023"/>
    <cellStyle name="Milliers 2 2 2 3 4 6" xfId="4543"/>
    <cellStyle name="Milliers 2 2 2 3 4 6 2" xfId="13183"/>
    <cellStyle name="Milliers 2 2 2 3 4 7" xfId="8863"/>
    <cellStyle name="Milliers 2 2 2 3 5" xfId="403"/>
    <cellStyle name="Milliers 2 2 2 3 5 2" xfId="1123"/>
    <cellStyle name="Milliers 2 2 2 3 5 2 2" xfId="3283"/>
    <cellStyle name="Milliers 2 2 2 3 5 2 2 2" xfId="7603"/>
    <cellStyle name="Milliers 2 2 2 3 5 2 2 2 2" xfId="16243"/>
    <cellStyle name="Milliers 2 2 2 3 5 2 2 3" xfId="11923"/>
    <cellStyle name="Milliers 2 2 2 3 5 2 3" xfId="5443"/>
    <cellStyle name="Milliers 2 2 2 3 5 2 3 2" xfId="14083"/>
    <cellStyle name="Milliers 2 2 2 3 5 2 4" xfId="9763"/>
    <cellStyle name="Milliers 2 2 2 3 5 3" xfId="1843"/>
    <cellStyle name="Milliers 2 2 2 3 5 3 2" xfId="4003"/>
    <cellStyle name="Milliers 2 2 2 3 5 3 2 2" xfId="8323"/>
    <cellStyle name="Milliers 2 2 2 3 5 3 2 2 2" xfId="16963"/>
    <cellStyle name="Milliers 2 2 2 3 5 3 2 3" xfId="12643"/>
    <cellStyle name="Milliers 2 2 2 3 5 3 3" xfId="6163"/>
    <cellStyle name="Milliers 2 2 2 3 5 3 3 2" xfId="14803"/>
    <cellStyle name="Milliers 2 2 2 3 5 3 4" xfId="10483"/>
    <cellStyle name="Milliers 2 2 2 3 5 4" xfId="2563"/>
    <cellStyle name="Milliers 2 2 2 3 5 4 2" xfId="6883"/>
    <cellStyle name="Milliers 2 2 2 3 5 4 2 2" xfId="15523"/>
    <cellStyle name="Milliers 2 2 2 3 5 4 3" xfId="11203"/>
    <cellStyle name="Milliers 2 2 2 3 5 5" xfId="4723"/>
    <cellStyle name="Milliers 2 2 2 3 5 5 2" xfId="13363"/>
    <cellStyle name="Milliers 2 2 2 3 5 6" xfId="9043"/>
    <cellStyle name="Milliers 2 2 2 3 6" xfId="763"/>
    <cellStyle name="Milliers 2 2 2 3 6 2" xfId="2923"/>
    <cellStyle name="Milliers 2 2 2 3 6 2 2" xfId="7243"/>
    <cellStyle name="Milliers 2 2 2 3 6 2 2 2" xfId="15883"/>
    <cellStyle name="Milliers 2 2 2 3 6 2 3" xfId="11563"/>
    <cellStyle name="Milliers 2 2 2 3 6 3" xfId="5083"/>
    <cellStyle name="Milliers 2 2 2 3 6 3 2" xfId="13723"/>
    <cellStyle name="Milliers 2 2 2 3 6 4" xfId="9403"/>
    <cellStyle name="Milliers 2 2 2 3 7" xfId="1483"/>
    <cellStyle name="Milliers 2 2 2 3 7 2" xfId="3643"/>
    <cellStyle name="Milliers 2 2 2 3 7 2 2" xfId="7963"/>
    <cellStyle name="Milliers 2 2 2 3 7 2 2 2" xfId="16603"/>
    <cellStyle name="Milliers 2 2 2 3 7 2 3" xfId="12283"/>
    <cellStyle name="Milliers 2 2 2 3 7 3" xfId="5803"/>
    <cellStyle name="Milliers 2 2 2 3 7 3 2" xfId="14443"/>
    <cellStyle name="Milliers 2 2 2 3 7 4" xfId="10123"/>
    <cellStyle name="Milliers 2 2 2 3 8" xfId="2203"/>
    <cellStyle name="Milliers 2 2 2 3 8 2" xfId="6523"/>
    <cellStyle name="Milliers 2 2 2 3 8 2 2" xfId="15163"/>
    <cellStyle name="Milliers 2 2 2 3 8 3" xfId="10843"/>
    <cellStyle name="Milliers 2 2 2 3 9" xfId="4363"/>
    <cellStyle name="Milliers 2 2 2 3 9 2" xfId="13003"/>
    <cellStyle name="Milliers 2 2 2 4" xfId="58"/>
    <cellStyle name="Milliers 2 2 2 4 2" xfId="148"/>
    <cellStyle name="Milliers 2 2 2 4 2 2" xfId="328"/>
    <cellStyle name="Milliers 2 2 2 4 2 2 2" xfId="688"/>
    <cellStyle name="Milliers 2 2 2 4 2 2 2 2" xfId="1408"/>
    <cellStyle name="Milliers 2 2 2 4 2 2 2 2 2" xfId="3568"/>
    <cellStyle name="Milliers 2 2 2 4 2 2 2 2 2 2" xfId="7888"/>
    <cellStyle name="Milliers 2 2 2 4 2 2 2 2 2 2 2" xfId="16528"/>
    <cellStyle name="Milliers 2 2 2 4 2 2 2 2 2 3" xfId="12208"/>
    <cellStyle name="Milliers 2 2 2 4 2 2 2 2 3" xfId="5728"/>
    <cellStyle name="Milliers 2 2 2 4 2 2 2 2 3 2" xfId="14368"/>
    <cellStyle name="Milliers 2 2 2 4 2 2 2 2 4" xfId="10048"/>
    <cellStyle name="Milliers 2 2 2 4 2 2 2 3" xfId="2128"/>
    <cellStyle name="Milliers 2 2 2 4 2 2 2 3 2" xfId="4288"/>
    <cellStyle name="Milliers 2 2 2 4 2 2 2 3 2 2" xfId="8608"/>
    <cellStyle name="Milliers 2 2 2 4 2 2 2 3 2 2 2" xfId="17248"/>
    <cellStyle name="Milliers 2 2 2 4 2 2 2 3 2 3" xfId="12928"/>
    <cellStyle name="Milliers 2 2 2 4 2 2 2 3 3" xfId="6448"/>
    <cellStyle name="Milliers 2 2 2 4 2 2 2 3 3 2" xfId="15088"/>
    <cellStyle name="Milliers 2 2 2 4 2 2 2 3 4" xfId="10768"/>
    <cellStyle name="Milliers 2 2 2 4 2 2 2 4" xfId="2848"/>
    <cellStyle name="Milliers 2 2 2 4 2 2 2 4 2" xfId="7168"/>
    <cellStyle name="Milliers 2 2 2 4 2 2 2 4 2 2" xfId="15808"/>
    <cellStyle name="Milliers 2 2 2 4 2 2 2 4 3" xfId="11488"/>
    <cellStyle name="Milliers 2 2 2 4 2 2 2 5" xfId="5008"/>
    <cellStyle name="Milliers 2 2 2 4 2 2 2 5 2" xfId="13648"/>
    <cellStyle name="Milliers 2 2 2 4 2 2 2 6" xfId="9328"/>
    <cellStyle name="Milliers 2 2 2 4 2 2 3" xfId="1048"/>
    <cellStyle name="Milliers 2 2 2 4 2 2 3 2" xfId="3208"/>
    <cellStyle name="Milliers 2 2 2 4 2 2 3 2 2" xfId="7528"/>
    <cellStyle name="Milliers 2 2 2 4 2 2 3 2 2 2" xfId="16168"/>
    <cellStyle name="Milliers 2 2 2 4 2 2 3 2 3" xfId="11848"/>
    <cellStyle name="Milliers 2 2 2 4 2 2 3 3" xfId="5368"/>
    <cellStyle name="Milliers 2 2 2 4 2 2 3 3 2" xfId="14008"/>
    <cellStyle name="Milliers 2 2 2 4 2 2 3 4" xfId="9688"/>
    <cellStyle name="Milliers 2 2 2 4 2 2 4" xfId="1768"/>
    <cellStyle name="Milliers 2 2 2 4 2 2 4 2" xfId="3928"/>
    <cellStyle name="Milliers 2 2 2 4 2 2 4 2 2" xfId="8248"/>
    <cellStyle name="Milliers 2 2 2 4 2 2 4 2 2 2" xfId="16888"/>
    <cellStyle name="Milliers 2 2 2 4 2 2 4 2 3" xfId="12568"/>
    <cellStyle name="Milliers 2 2 2 4 2 2 4 3" xfId="6088"/>
    <cellStyle name="Milliers 2 2 2 4 2 2 4 3 2" xfId="14728"/>
    <cellStyle name="Milliers 2 2 2 4 2 2 4 4" xfId="10408"/>
    <cellStyle name="Milliers 2 2 2 4 2 2 5" xfId="2488"/>
    <cellStyle name="Milliers 2 2 2 4 2 2 5 2" xfId="6808"/>
    <cellStyle name="Milliers 2 2 2 4 2 2 5 2 2" xfId="15448"/>
    <cellStyle name="Milliers 2 2 2 4 2 2 5 3" xfId="11128"/>
    <cellStyle name="Milliers 2 2 2 4 2 2 6" xfId="4648"/>
    <cellStyle name="Milliers 2 2 2 4 2 2 6 2" xfId="13288"/>
    <cellStyle name="Milliers 2 2 2 4 2 2 7" xfId="8968"/>
    <cellStyle name="Milliers 2 2 2 4 2 3" xfId="508"/>
    <cellStyle name="Milliers 2 2 2 4 2 3 2" xfId="1228"/>
    <cellStyle name="Milliers 2 2 2 4 2 3 2 2" xfId="3388"/>
    <cellStyle name="Milliers 2 2 2 4 2 3 2 2 2" xfId="7708"/>
    <cellStyle name="Milliers 2 2 2 4 2 3 2 2 2 2" xfId="16348"/>
    <cellStyle name="Milliers 2 2 2 4 2 3 2 2 3" xfId="12028"/>
    <cellStyle name="Milliers 2 2 2 4 2 3 2 3" xfId="5548"/>
    <cellStyle name="Milliers 2 2 2 4 2 3 2 3 2" xfId="14188"/>
    <cellStyle name="Milliers 2 2 2 4 2 3 2 4" xfId="9868"/>
    <cellStyle name="Milliers 2 2 2 4 2 3 3" xfId="1948"/>
    <cellStyle name="Milliers 2 2 2 4 2 3 3 2" xfId="4108"/>
    <cellStyle name="Milliers 2 2 2 4 2 3 3 2 2" xfId="8428"/>
    <cellStyle name="Milliers 2 2 2 4 2 3 3 2 2 2" xfId="17068"/>
    <cellStyle name="Milliers 2 2 2 4 2 3 3 2 3" xfId="12748"/>
    <cellStyle name="Milliers 2 2 2 4 2 3 3 3" xfId="6268"/>
    <cellStyle name="Milliers 2 2 2 4 2 3 3 3 2" xfId="14908"/>
    <cellStyle name="Milliers 2 2 2 4 2 3 3 4" xfId="10588"/>
    <cellStyle name="Milliers 2 2 2 4 2 3 4" xfId="2668"/>
    <cellStyle name="Milliers 2 2 2 4 2 3 4 2" xfId="6988"/>
    <cellStyle name="Milliers 2 2 2 4 2 3 4 2 2" xfId="15628"/>
    <cellStyle name="Milliers 2 2 2 4 2 3 4 3" xfId="11308"/>
    <cellStyle name="Milliers 2 2 2 4 2 3 5" xfId="4828"/>
    <cellStyle name="Milliers 2 2 2 4 2 3 5 2" xfId="13468"/>
    <cellStyle name="Milliers 2 2 2 4 2 3 6" xfId="9148"/>
    <cellStyle name="Milliers 2 2 2 4 2 4" xfId="868"/>
    <cellStyle name="Milliers 2 2 2 4 2 4 2" xfId="3028"/>
    <cellStyle name="Milliers 2 2 2 4 2 4 2 2" xfId="7348"/>
    <cellStyle name="Milliers 2 2 2 4 2 4 2 2 2" xfId="15988"/>
    <cellStyle name="Milliers 2 2 2 4 2 4 2 3" xfId="11668"/>
    <cellStyle name="Milliers 2 2 2 4 2 4 3" xfId="5188"/>
    <cellStyle name="Milliers 2 2 2 4 2 4 3 2" xfId="13828"/>
    <cellStyle name="Milliers 2 2 2 4 2 4 4" xfId="9508"/>
    <cellStyle name="Milliers 2 2 2 4 2 5" xfId="1588"/>
    <cellStyle name="Milliers 2 2 2 4 2 5 2" xfId="3748"/>
    <cellStyle name="Milliers 2 2 2 4 2 5 2 2" xfId="8068"/>
    <cellStyle name="Milliers 2 2 2 4 2 5 2 2 2" xfId="16708"/>
    <cellStyle name="Milliers 2 2 2 4 2 5 2 3" xfId="12388"/>
    <cellStyle name="Milliers 2 2 2 4 2 5 3" xfId="5908"/>
    <cellStyle name="Milliers 2 2 2 4 2 5 3 2" xfId="14548"/>
    <cellStyle name="Milliers 2 2 2 4 2 5 4" xfId="10228"/>
    <cellStyle name="Milliers 2 2 2 4 2 6" xfId="2308"/>
    <cellStyle name="Milliers 2 2 2 4 2 6 2" xfId="6628"/>
    <cellStyle name="Milliers 2 2 2 4 2 6 2 2" xfId="15268"/>
    <cellStyle name="Milliers 2 2 2 4 2 6 3" xfId="10948"/>
    <cellStyle name="Milliers 2 2 2 4 2 7" xfId="4468"/>
    <cellStyle name="Milliers 2 2 2 4 2 7 2" xfId="13108"/>
    <cellStyle name="Milliers 2 2 2 4 2 8" xfId="8788"/>
    <cellStyle name="Milliers 2 2 2 4 3" xfId="238"/>
    <cellStyle name="Milliers 2 2 2 4 3 2" xfId="598"/>
    <cellStyle name="Milliers 2 2 2 4 3 2 2" xfId="1318"/>
    <cellStyle name="Milliers 2 2 2 4 3 2 2 2" xfId="3478"/>
    <cellStyle name="Milliers 2 2 2 4 3 2 2 2 2" xfId="7798"/>
    <cellStyle name="Milliers 2 2 2 4 3 2 2 2 2 2" xfId="16438"/>
    <cellStyle name="Milliers 2 2 2 4 3 2 2 2 3" xfId="12118"/>
    <cellStyle name="Milliers 2 2 2 4 3 2 2 3" xfId="5638"/>
    <cellStyle name="Milliers 2 2 2 4 3 2 2 3 2" xfId="14278"/>
    <cellStyle name="Milliers 2 2 2 4 3 2 2 4" xfId="9958"/>
    <cellStyle name="Milliers 2 2 2 4 3 2 3" xfId="2038"/>
    <cellStyle name="Milliers 2 2 2 4 3 2 3 2" xfId="4198"/>
    <cellStyle name="Milliers 2 2 2 4 3 2 3 2 2" xfId="8518"/>
    <cellStyle name="Milliers 2 2 2 4 3 2 3 2 2 2" xfId="17158"/>
    <cellStyle name="Milliers 2 2 2 4 3 2 3 2 3" xfId="12838"/>
    <cellStyle name="Milliers 2 2 2 4 3 2 3 3" xfId="6358"/>
    <cellStyle name="Milliers 2 2 2 4 3 2 3 3 2" xfId="14998"/>
    <cellStyle name="Milliers 2 2 2 4 3 2 3 4" xfId="10678"/>
    <cellStyle name="Milliers 2 2 2 4 3 2 4" xfId="2758"/>
    <cellStyle name="Milliers 2 2 2 4 3 2 4 2" xfId="7078"/>
    <cellStyle name="Milliers 2 2 2 4 3 2 4 2 2" xfId="15718"/>
    <cellStyle name="Milliers 2 2 2 4 3 2 4 3" xfId="11398"/>
    <cellStyle name="Milliers 2 2 2 4 3 2 5" xfId="4918"/>
    <cellStyle name="Milliers 2 2 2 4 3 2 5 2" xfId="13558"/>
    <cellStyle name="Milliers 2 2 2 4 3 2 6" xfId="9238"/>
    <cellStyle name="Milliers 2 2 2 4 3 3" xfId="958"/>
    <cellStyle name="Milliers 2 2 2 4 3 3 2" xfId="3118"/>
    <cellStyle name="Milliers 2 2 2 4 3 3 2 2" xfId="7438"/>
    <cellStyle name="Milliers 2 2 2 4 3 3 2 2 2" xfId="16078"/>
    <cellStyle name="Milliers 2 2 2 4 3 3 2 3" xfId="11758"/>
    <cellStyle name="Milliers 2 2 2 4 3 3 3" xfId="5278"/>
    <cellStyle name="Milliers 2 2 2 4 3 3 3 2" xfId="13918"/>
    <cellStyle name="Milliers 2 2 2 4 3 3 4" xfId="9598"/>
    <cellStyle name="Milliers 2 2 2 4 3 4" xfId="1678"/>
    <cellStyle name="Milliers 2 2 2 4 3 4 2" xfId="3838"/>
    <cellStyle name="Milliers 2 2 2 4 3 4 2 2" xfId="8158"/>
    <cellStyle name="Milliers 2 2 2 4 3 4 2 2 2" xfId="16798"/>
    <cellStyle name="Milliers 2 2 2 4 3 4 2 3" xfId="12478"/>
    <cellStyle name="Milliers 2 2 2 4 3 4 3" xfId="5998"/>
    <cellStyle name="Milliers 2 2 2 4 3 4 3 2" xfId="14638"/>
    <cellStyle name="Milliers 2 2 2 4 3 4 4" xfId="10318"/>
    <cellStyle name="Milliers 2 2 2 4 3 5" xfId="2398"/>
    <cellStyle name="Milliers 2 2 2 4 3 5 2" xfId="6718"/>
    <cellStyle name="Milliers 2 2 2 4 3 5 2 2" xfId="15358"/>
    <cellStyle name="Milliers 2 2 2 4 3 5 3" xfId="11038"/>
    <cellStyle name="Milliers 2 2 2 4 3 6" xfId="4558"/>
    <cellStyle name="Milliers 2 2 2 4 3 6 2" xfId="13198"/>
    <cellStyle name="Milliers 2 2 2 4 3 7" xfId="8878"/>
    <cellStyle name="Milliers 2 2 2 4 4" xfId="418"/>
    <cellStyle name="Milliers 2 2 2 4 4 2" xfId="1138"/>
    <cellStyle name="Milliers 2 2 2 4 4 2 2" xfId="3298"/>
    <cellStyle name="Milliers 2 2 2 4 4 2 2 2" xfId="7618"/>
    <cellStyle name="Milliers 2 2 2 4 4 2 2 2 2" xfId="16258"/>
    <cellStyle name="Milliers 2 2 2 4 4 2 2 3" xfId="11938"/>
    <cellStyle name="Milliers 2 2 2 4 4 2 3" xfId="5458"/>
    <cellStyle name="Milliers 2 2 2 4 4 2 3 2" xfId="14098"/>
    <cellStyle name="Milliers 2 2 2 4 4 2 4" xfId="9778"/>
    <cellStyle name="Milliers 2 2 2 4 4 3" xfId="1858"/>
    <cellStyle name="Milliers 2 2 2 4 4 3 2" xfId="4018"/>
    <cellStyle name="Milliers 2 2 2 4 4 3 2 2" xfId="8338"/>
    <cellStyle name="Milliers 2 2 2 4 4 3 2 2 2" xfId="16978"/>
    <cellStyle name="Milliers 2 2 2 4 4 3 2 3" xfId="12658"/>
    <cellStyle name="Milliers 2 2 2 4 4 3 3" xfId="6178"/>
    <cellStyle name="Milliers 2 2 2 4 4 3 3 2" xfId="14818"/>
    <cellStyle name="Milliers 2 2 2 4 4 3 4" xfId="10498"/>
    <cellStyle name="Milliers 2 2 2 4 4 4" xfId="2578"/>
    <cellStyle name="Milliers 2 2 2 4 4 4 2" xfId="6898"/>
    <cellStyle name="Milliers 2 2 2 4 4 4 2 2" xfId="15538"/>
    <cellStyle name="Milliers 2 2 2 4 4 4 3" xfId="11218"/>
    <cellStyle name="Milliers 2 2 2 4 4 5" xfId="4738"/>
    <cellStyle name="Milliers 2 2 2 4 4 5 2" xfId="13378"/>
    <cellStyle name="Milliers 2 2 2 4 4 6" xfId="9058"/>
    <cellStyle name="Milliers 2 2 2 4 5" xfId="778"/>
    <cellStyle name="Milliers 2 2 2 4 5 2" xfId="2938"/>
    <cellStyle name="Milliers 2 2 2 4 5 2 2" xfId="7258"/>
    <cellStyle name="Milliers 2 2 2 4 5 2 2 2" xfId="15898"/>
    <cellStyle name="Milliers 2 2 2 4 5 2 3" xfId="11578"/>
    <cellStyle name="Milliers 2 2 2 4 5 3" xfId="5098"/>
    <cellStyle name="Milliers 2 2 2 4 5 3 2" xfId="13738"/>
    <cellStyle name="Milliers 2 2 2 4 5 4" xfId="9418"/>
    <cellStyle name="Milliers 2 2 2 4 6" xfId="1498"/>
    <cellStyle name="Milliers 2 2 2 4 6 2" xfId="3658"/>
    <cellStyle name="Milliers 2 2 2 4 6 2 2" xfId="7978"/>
    <cellStyle name="Milliers 2 2 2 4 6 2 2 2" xfId="16618"/>
    <cellStyle name="Milliers 2 2 2 4 6 2 3" xfId="12298"/>
    <cellStyle name="Milliers 2 2 2 4 6 3" xfId="5818"/>
    <cellStyle name="Milliers 2 2 2 4 6 3 2" xfId="14458"/>
    <cellStyle name="Milliers 2 2 2 4 6 4" xfId="10138"/>
    <cellStyle name="Milliers 2 2 2 4 7" xfId="2218"/>
    <cellStyle name="Milliers 2 2 2 4 7 2" xfId="6538"/>
    <cellStyle name="Milliers 2 2 2 4 7 2 2" xfId="15178"/>
    <cellStyle name="Milliers 2 2 2 4 7 3" xfId="10858"/>
    <cellStyle name="Milliers 2 2 2 4 8" xfId="4378"/>
    <cellStyle name="Milliers 2 2 2 4 8 2" xfId="13018"/>
    <cellStyle name="Milliers 2 2 2 4 9" xfId="8698"/>
    <cellStyle name="Milliers 2 2 2 5" xfId="103"/>
    <cellStyle name="Milliers 2 2 2 5 2" xfId="283"/>
    <cellStyle name="Milliers 2 2 2 5 2 2" xfId="643"/>
    <cellStyle name="Milliers 2 2 2 5 2 2 2" xfId="1363"/>
    <cellStyle name="Milliers 2 2 2 5 2 2 2 2" xfId="3523"/>
    <cellStyle name="Milliers 2 2 2 5 2 2 2 2 2" xfId="7843"/>
    <cellStyle name="Milliers 2 2 2 5 2 2 2 2 2 2" xfId="16483"/>
    <cellStyle name="Milliers 2 2 2 5 2 2 2 2 3" xfId="12163"/>
    <cellStyle name="Milliers 2 2 2 5 2 2 2 3" xfId="5683"/>
    <cellStyle name="Milliers 2 2 2 5 2 2 2 3 2" xfId="14323"/>
    <cellStyle name="Milliers 2 2 2 5 2 2 2 4" xfId="10003"/>
    <cellStyle name="Milliers 2 2 2 5 2 2 3" xfId="2083"/>
    <cellStyle name="Milliers 2 2 2 5 2 2 3 2" xfId="4243"/>
    <cellStyle name="Milliers 2 2 2 5 2 2 3 2 2" xfId="8563"/>
    <cellStyle name="Milliers 2 2 2 5 2 2 3 2 2 2" xfId="17203"/>
    <cellStyle name="Milliers 2 2 2 5 2 2 3 2 3" xfId="12883"/>
    <cellStyle name="Milliers 2 2 2 5 2 2 3 3" xfId="6403"/>
    <cellStyle name="Milliers 2 2 2 5 2 2 3 3 2" xfId="15043"/>
    <cellStyle name="Milliers 2 2 2 5 2 2 3 4" xfId="10723"/>
    <cellStyle name="Milliers 2 2 2 5 2 2 4" xfId="2803"/>
    <cellStyle name="Milliers 2 2 2 5 2 2 4 2" xfId="7123"/>
    <cellStyle name="Milliers 2 2 2 5 2 2 4 2 2" xfId="15763"/>
    <cellStyle name="Milliers 2 2 2 5 2 2 4 3" xfId="11443"/>
    <cellStyle name="Milliers 2 2 2 5 2 2 5" xfId="4963"/>
    <cellStyle name="Milliers 2 2 2 5 2 2 5 2" xfId="13603"/>
    <cellStyle name="Milliers 2 2 2 5 2 2 6" xfId="9283"/>
    <cellStyle name="Milliers 2 2 2 5 2 3" xfId="1003"/>
    <cellStyle name="Milliers 2 2 2 5 2 3 2" xfId="3163"/>
    <cellStyle name="Milliers 2 2 2 5 2 3 2 2" xfId="7483"/>
    <cellStyle name="Milliers 2 2 2 5 2 3 2 2 2" xfId="16123"/>
    <cellStyle name="Milliers 2 2 2 5 2 3 2 3" xfId="11803"/>
    <cellStyle name="Milliers 2 2 2 5 2 3 3" xfId="5323"/>
    <cellStyle name="Milliers 2 2 2 5 2 3 3 2" xfId="13963"/>
    <cellStyle name="Milliers 2 2 2 5 2 3 4" xfId="9643"/>
    <cellStyle name="Milliers 2 2 2 5 2 4" xfId="1723"/>
    <cellStyle name="Milliers 2 2 2 5 2 4 2" xfId="3883"/>
    <cellStyle name="Milliers 2 2 2 5 2 4 2 2" xfId="8203"/>
    <cellStyle name="Milliers 2 2 2 5 2 4 2 2 2" xfId="16843"/>
    <cellStyle name="Milliers 2 2 2 5 2 4 2 3" xfId="12523"/>
    <cellStyle name="Milliers 2 2 2 5 2 4 3" xfId="6043"/>
    <cellStyle name="Milliers 2 2 2 5 2 4 3 2" xfId="14683"/>
    <cellStyle name="Milliers 2 2 2 5 2 4 4" xfId="10363"/>
    <cellStyle name="Milliers 2 2 2 5 2 5" xfId="2443"/>
    <cellStyle name="Milliers 2 2 2 5 2 5 2" xfId="6763"/>
    <cellStyle name="Milliers 2 2 2 5 2 5 2 2" xfId="15403"/>
    <cellStyle name="Milliers 2 2 2 5 2 5 3" xfId="11083"/>
    <cellStyle name="Milliers 2 2 2 5 2 6" xfId="4603"/>
    <cellStyle name="Milliers 2 2 2 5 2 6 2" xfId="13243"/>
    <cellStyle name="Milliers 2 2 2 5 2 7" xfId="8923"/>
    <cellStyle name="Milliers 2 2 2 5 3" xfId="463"/>
    <cellStyle name="Milliers 2 2 2 5 3 2" xfId="1183"/>
    <cellStyle name="Milliers 2 2 2 5 3 2 2" xfId="3343"/>
    <cellStyle name="Milliers 2 2 2 5 3 2 2 2" xfId="7663"/>
    <cellStyle name="Milliers 2 2 2 5 3 2 2 2 2" xfId="16303"/>
    <cellStyle name="Milliers 2 2 2 5 3 2 2 3" xfId="11983"/>
    <cellStyle name="Milliers 2 2 2 5 3 2 3" xfId="5503"/>
    <cellStyle name="Milliers 2 2 2 5 3 2 3 2" xfId="14143"/>
    <cellStyle name="Milliers 2 2 2 5 3 2 4" xfId="9823"/>
    <cellStyle name="Milliers 2 2 2 5 3 3" xfId="1903"/>
    <cellStyle name="Milliers 2 2 2 5 3 3 2" xfId="4063"/>
    <cellStyle name="Milliers 2 2 2 5 3 3 2 2" xfId="8383"/>
    <cellStyle name="Milliers 2 2 2 5 3 3 2 2 2" xfId="17023"/>
    <cellStyle name="Milliers 2 2 2 5 3 3 2 3" xfId="12703"/>
    <cellStyle name="Milliers 2 2 2 5 3 3 3" xfId="6223"/>
    <cellStyle name="Milliers 2 2 2 5 3 3 3 2" xfId="14863"/>
    <cellStyle name="Milliers 2 2 2 5 3 3 4" xfId="10543"/>
    <cellStyle name="Milliers 2 2 2 5 3 4" xfId="2623"/>
    <cellStyle name="Milliers 2 2 2 5 3 4 2" xfId="6943"/>
    <cellStyle name="Milliers 2 2 2 5 3 4 2 2" xfId="15583"/>
    <cellStyle name="Milliers 2 2 2 5 3 4 3" xfId="11263"/>
    <cellStyle name="Milliers 2 2 2 5 3 5" xfId="4783"/>
    <cellStyle name="Milliers 2 2 2 5 3 5 2" xfId="13423"/>
    <cellStyle name="Milliers 2 2 2 5 3 6" xfId="9103"/>
    <cellStyle name="Milliers 2 2 2 5 4" xfId="823"/>
    <cellStyle name="Milliers 2 2 2 5 4 2" xfId="2983"/>
    <cellStyle name="Milliers 2 2 2 5 4 2 2" xfId="7303"/>
    <cellStyle name="Milliers 2 2 2 5 4 2 2 2" xfId="15943"/>
    <cellStyle name="Milliers 2 2 2 5 4 2 3" xfId="11623"/>
    <cellStyle name="Milliers 2 2 2 5 4 3" xfId="5143"/>
    <cellStyle name="Milliers 2 2 2 5 4 3 2" xfId="13783"/>
    <cellStyle name="Milliers 2 2 2 5 4 4" xfId="9463"/>
    <cellStyle name="Milliers 2 2 2 5 5" xfId="1543"/>
    <cellStyle name="Milliers 2 2 2 5 5 2" xfId="3703"/>
    <cellStyle name="Milliers 2 2 2 5 5 2 2" xfId="8023"/>
    <cellStyle name="Milliers 2 2 2 5 5 2 2 2" xfId="16663"/>
    <cellStyle name="Milliers 2 2 2 5 5 2 3" xfId="12343"/>
    <cellStyle name="Milliers 2 2 2 5 5 3" xfId="5863"/>
    <cellStyle name="Milliers 2 2 2 5 5 3 2" xfId="14503"/>
    <cellStyle name="Milliers 2 2 2 5 5 4" xfId="10183"/>
    <cellStyle name="Milliers 2 2 2 5 6" xfId="2263"/>
    <cellStyle name="Milliers 2 2 2 5 6 2" xfId="6583"/>
    <cellStyle name="Milliers 2 2 2 5 6 2 2" xfId="15223"/>
    <cellStyle name="Milliers 2 2 2 5 6 3" xfId="10903"/>
    <cellStyle name="Milliers 2 2 2 5 7" xfId="4423"/>
    <cellStyle name="Milliers 2 2 2 5 7 2" xfId="13063"/>
    <cellStyle name="Milliers 2 2 2 5 8" xfId="8743"/>
    <cellStyle name="Milliers 2 2 2 6" xfId="193"/>
    <cellStyle name="Milliers 2 2 2 6 2" xfId="553"/>
    <cellStyle name="Milliers 2 2 2 6 2 2" xfId="1273"/>
    <cellStyle name="Milliers 2 2 2 6 2 2 2" xfId="3433"/>
    <cellStyle name="Milliers 2 2 2 6 2 2 2 2" xfId="7753"/>
    <cellStyle name="Milliers 2 2 2 6 2 2 2 2 2" xfId="16393"/>
    <cellStyle name="Milliers 2 2 2 6 2 2 2 3" xfId="12073"/>
    <cellStyle name="Milliers 2 2 2 6 2 2 3" xfId="5593"/>
    <cellStyle name="Milliers 2 2 2 6 2 2 3 2" xfId="14233"/>
    <cellStyle name="Milliers 2 2 2 6 2 2 4" xfId="9913"/>
    <cellStyle name="Milliers 2 2 2 6 2 3" xfId="1993"/>
    <cellStyle name="Milliers 2 2 2 6 2 3 2" xfId="4153"/>
    <cellStyle name="Milliers 2 2 2 6 2 3 2 2" xfId="8473"/>
    <cellStyle name="Milliers 2 2 2 6 2 3 2 2 2" xfId="17113"/>
    <cellStyle name="Milliers 2 2 2 6 2 3 2 3" xfId="12793"/>
    <cellStyle name="Milliers 2 2 2 6 2 3 3" xfId="6313"/>
    <cellStyle name="Milliers 2 2 2 6 2 3 3 2" xfId="14953"/>
    <cellStyle name="Milliers 2 2 2 6 2 3 4" xfId="10633"/>
    <cellStyle name="Milliers 2 2 2 6 2 4" xfId="2713"/>
    <cellStyle name="Milliers 2 2 2 6 2 4 2" xfId="7033"/>
    <cellStyle name="Milliers 2 2 2 6 2 4 2 2" xfId="15673"/>
    <cellStyle name="Milliers 2 2 2 6 2 4 3" xfId="11353"/>
    <cellStyle name="Milliers 2 2 2 6 2 5" xfId="4873"/>
    <cellStyle name="Milliers 2 2 2 6 2 5 2" xfId="13513"/>
    <cellStyle name="Milliers 2 2 2 6 2 6" xfId="9193"/>
    <cellStyle name="Milliers 2 2 2 6 3" xfId="913"/>
    <cellStyle name="Milliers 2 2 2 6 3 2" xfId="3073"/>
    <cellStyle name="Milliers 2 2 2 6 3 2 2" xfId="7393"/>
    <cellStyle name="Milliers 2 2 2 6 3 2 2 2" xfId="16033"/>
    <cellStyle name="Milliers 2 2 2 6 3 2 3" xfId="11713"/>
    <cellStyle name="Milliers 2 2 2 6 3 3" xfId="5233"/>
    <cellStyle name="Milliers 2 2 2 6 3 3 2" xfId="13873"/>
    <cellStyle name="Milliers 2 2 2 6 3 4" xfId="9553"/>
    <cellStyle name="Milliers 2 2 2 6 4" xfId="1633"/>
    <cellStyle name="Milliers 2 2 2 6 4 2" xfId="3793"/>
    <cellStyle name="Milliers 2 2 2 6 4 2 2" xfId="8113"/>
    <cellStyle name="Milliers 2 2 2 6 4 2 2 2" xfId="16753"/>
    <cellStyle name="Milliers 2 2 2 6 4 2 3" xfId="12433"/>
    <cellStyle name="Milliers 2 2 2 6 4 3" xfId="5953"/>
    <cellStyle name="Milliers 2 2 2 6 4 3 2" xfId="14593"/>
    <cellStyle name="Milliers 2 2 2 6 4 4" xfId="10273"/>
    <cellStyle name="Milliers 2 2 2 6 5" xfId="2353"/>
    <cellStyle name="Milliers 2 2 2 6 5 2" xfId="6673"/>
    <cellStyle name="Milliers 2 2 2 6 5 2 2" xfId="15313"/>
    <cellStyle name="Milliers 2 2 2 6 5 3" xfId="10993"/>
    <cellStyle name="Milliers 2 2 2 6 6" xfId="4513"/>
    <cellStyle name="Milliers 2 2 2 6 6 2" xfId="13153"/>
    <cellStyle name="Milliers 2 2 2 6 7" xfId="8833"/>
    <cellStyle name="Milliers 2 2 2 7" xfId="373"/>
    <cellStyle name="Milliers 2 2 2 7 2" xfId="1093"/>
    <cellStyle name="Milliers 2 2 2 7 2 2" xfId="3253"/>
    <cellStyle name="Milliers 2 2 2 7 2 2 2" xfId="7573"/>
    <cellStyle name="Milliers 2 2 2 7 2 2 2 2" xfId="16213"/>
    <cellStyle name="Milliers 2 2 2 7 2 2 3" xfId="11893"/>
    <cellStyle name="Milliers 2 2 2 7 2 3" xfId="5413"/>
    <cellStyle name="Milliers 2 2 2 7 2 3 2" xfId="14053"/>
    <cellStyle name="Milliers 2 2 2 7 2 4" xfId="9733"/>
    <cellStyle name="Milliers 2 2 2 7 3" xfId="1813"/>
    <cellStyle name="Milliers 2 2 2 7 3 2" xfId="3973"/>
    <cellStyle name="Milliers 2 2 2 7 3 2 2" xfId="8293"/>
    <cellStyle name="Milliers 2 2 2 7 3 2 2 2" xfId="16933"/>
    <cellStyle name="Milliers 2 2 2 7 3 2 3" xfId="12613"/>
    <cellStyle name="Milliers 2 2 2 7 3 3" xfId="6133"/>
    <cellStyle name="Milliers 2 2 2 7 3 3 2" xfId="14773"/>
    <cellStyle name="Milliers 2 2 2 7 3 4" xfId="10453"/>
    <cellStyle name="Milliers 2 2 2 7 4" xfId="2533"/>
    <cellStyle name="Milliers 2 2 2 7 4 2" xfId="6853"/>
    <cellStyle name="Milliers 2 2 2 7 4 2 2" xfId="15493"/>
    <cellStyle name="Milliers 2 2 2 7 4 3" xfId="11173"/>
    <cellStyle name="Milliers 2 2 2 7 5" xfId="4693"/>
    <cellStyle name="Milliers 2 2 2 7 5 2" xfId="13333"/>
    <cellStyle name="Milliers 2 2 2 7 6" xfId="9013"/>
    <cellStyle name="Milliers 2 2 2 8" xfId="733"/>
    <cellStyle name="Milliers 2 2 2 8 2" xfId="2893"/>
    <cellStyle name="Milliers 2 2 2 8 2 2" xfId="7213"/>
    <cellStyle name="Milliers 2 2 2 8 2 2 2" xfId="15853"/>
    <cellStyle name="Milliers 2 2 2 8 2 3" xfId="11533"/>
    <cellStyle name="Milliers 2 2 2 8 3" xfId="5053"/>
    <cellStyle name="Milliers 2 2 2 8 3 2" xfId="13693"/>
    <cellStyle name="Milliers 2 2 2 8 4" xfId="9373"/>
    <cellStyle name="Milliers 2 2 2 9" xfId="1453"/>
    <cellStyle name="Milliers 2 2 2 9 2" xfId="3613"/>
    <cellStyle name="Milliers 2 2 2 9 2 2" xfId="7933"/>
    <cellStyle name="Milliers 2 2 2 9 2 2 2" xfId="16573"/>
    <cellStyle name="Milliers 2 2 2 9 2 3" xfId="12253"/>
    <cellStyle name="Milliers 2 2 2 9 3" xfId="5773"/>
    <cellStyle name="Milliers 2 2 2 9 3 2" xfId="14413"/>
    <cellStyle name="Milliers 2 2 2 9 4" xfId="10093"/>
    <cellStyle name="Milliers 2 2 3" xfId="22"/>
    <cellStyle name="Milliers 2 2 3 10" xfId="8662"/>
    <cellStyle name="Milliers 2 2 3 2" xfId="67"/>
    <cellStyle name="Milliers 2 2 3 2 2" xfId="157"/>
    <cellStyle name="Milliers 2 2 3 2 2 2" xfId="337"/>
    <cellStyle name="Milliers 2 2 3 2 2 2 2" xfId="697"/>
    <cellStyle name="Milliers 2 2 3 2 2 2 2 2" xfId="1417"/>
    <cellStyle name="Milliers 2 2 3 2 2 2 2 2 2" xfId="3577"/>
    <cellStyle name="Milliers 2 2 3 2 2 2 2 2 2 2" xfId="7897"/>
    <cellStyle name="Milliers 2 2 3 2 2 2 2 2 2 2 2" xfId="16537"/>
    <cellStyle name="Milliers 2 2 3 2 2 2 2 2 2 3" xfId="12217"/>
    <cellStyle name="Milliers 2 2 3 2 2 2 2 2 3" xfId="5737"/>
    <cellStyle name="Milliers 2 2 3 2 2 2 2 2 3 2" xfId="14377"/>
    <cellStyle name="Milliers 2 2 3 2 2 2 2 2 4" xfId="10057"/>
    <cellStyle name="Milliers 2 2 3 2 2 2 2 3" xfId="2137"/>
    <cellStyle name="Milliers 2 2 3 2 2 2 2 3 2" xfId="4297"/>
    <cellStyle name="Milliers 2 2 3 2 2 2 2 3 2 2" xfId="8617"/>
    <cellStyle name="Milliers 2 2 3 2 2 2 2 3 2 2 2" xfId="17257"/>
    <cellStyle name="Milliers 2 2 3 2 2 2 2 3 2 3" xfId="12937"/>
    <cellStyle name="Milliers 2 2 3 2 2 2 2 3 3" xfId="6457"/>
    <cellStyle name="Milliers 2 2 3 2 2 2 2 3 3 2" xfId="15097"/>
    <cellStyle name="Milliers 2 2 3 2 2 2 2 3 4" xfId="10777"/>
    <cellStyle name="Milliers 2 2 3 2 2 2 2 4" xfId="2857"/>
    <cellStyle name="Milliers 2 2 3 2 2 2 2 4 2" xfId="7177"/>
    <cellStyle name="Milliers 2 2 3 2 2 2 2 4 2 2" xfId="15817"/>
    <cellStyle name="Milliers 2 2 3 2 2 2 2 4 3" xfId="11497"/>
    <cellStyle name="Milliers 2 2 3 2 2 2 2 5" xfId="5017"/>
    <cellStyle name="Milliers 2 2 3 2 2 2 2 5 2" xfId="13657"/>
    <cellStyle name="Milliers 2 2 3 2 2 2 2 6" xfId="9337"/>
    <cellStyle name="Milliers 2 2 3 2 2 2 3" xfId="1057"/>
    <cellStyle name="Milliers 2 2 3 2 2 2 3 2" xfId="3217"/>
    <cellStyle name="Milliers 2 2 3 2 2 2 3 2 2" xfId="7537"/>
    <cellStyle name="Milliers 2 2 3 2 2 2 3 2 2 2" xfId="16177"/>
    <cellStyle name="Milliers 2 2 3 2 2 2 3 2 3" xfId="11857"/>
    <cellStyle name="Milliers 2 2 3 2 2 2 3 3" xfId="5377"/>
    <cellStyle name="Milliers 2 2 3 2 2 2 3 3 2" xfId="14017"/>
    <cellStyle name="Milliers 2 2 3 2 2 2 3 4" xfId="9697"/>
    <cellStyle name="Milliers 2 2 3 2 2 2 4" xfId="1777"/>
    <cellStyle name="Milliers 2 2 3 2 2 2 4 2" xfId="3937"/>
    <cellStyle name="Milliers 2 2 3 2 2 2 4 2 2" xfId="8257"/>
    <cellStyle name="Milliers 2 2 3 2 2 2 4 2 2 2" xfId="16897"/>
    <cellStyle name="Milliers 2 2 3 2 2 2 4 2 3" xfId="12577"/>
    <cellStyle name="Milliers 2 2 3 2 2 2 4 3" xfId="6097"/>
    <cellStyle name="Milliers 2 2 3 2 2 2 4 3 2" xfId="14737"/>
    <cellStyle name="Milliers 2 2 3 2 2 2 4 4" xfId="10417"/>
    <cellStyle name="Milliers 2 2 3 2 2 2 5" xfId="2497"/>
    <cellStyle name="Milliers 2 2 3 2 2 2 5 2" xfId="6817"/>
    <cellStyle name="Milliers 2 2 3 2 2 2 5 2 2" xfId="15457"/>
    <cellStyle name="Milliers 2 2 3 2 2 2 5 3" xfId="11137"/>
    <cellStyle name="Milliers 2 2 3 2 2 2 6" xfId="4657"/>
    <cellStyle name="Milliers 2 2 3 2 2 2 6 2" xfId="13297"/>
    <cellStyle name="Milliers 2 2 3 2 2 2 7" xfId="8977"/>
    <cellStyle name="Milliers 2 2 3 2 2 3" xfId="517"/>
    <cellStyle name="Milliers 2 2 3 2 2 3 2" xfId="1237"/>
    <cellStyle name="Milliers 2 2 3 2 2 3 2 2" xfId="3397"/>
    <cellStyle name="Milliers 2 2 3 2 2 3 2 2 2" xfId="7717"/>
    <cellStyle name="Milliers 2 2 3 2 2 3 2 2 2 2" xfId="16357"/>
    <cellStyle name="Milliers 2 2 3 2 2 3 2 2 3" xfId="12037"/>
    <cellStyle name="Milliers 2 2 3 2 2 3 2 3" xfId="5557"/>
    <cellStyle name="Milliers 2 2 3 2 2 3 2 3 2" xfId="14197"/>
    <cellStyle name="Milliers 2 2 3 2 2 3 2 4" xfId="9877"/>
    <cellStyle name="Milliers 2 2 3 2 2 3 3" xfId="1957"/>
    <cellStyle name="Milliers 2 2 3 2 2 3 3 2" xfId="4117"/>
    <cellStyle name="Milliers 2 2 3 2 2 3 3 2 2" xfId="8437"/>
    <cellStyle name="Milliers 2 2 3 2 2 3 3 2 2 2" xfId="17077"/>
    <cellStyle name="Milliers 2 2 3 2 2 3 3 2 3" xfId="12757"/>
    <cellStyle name="Milliers 2 2 3 2 2 3 3 3" xfId="6277"/>
    <cellStyle name="Milliers 2 2 3 2 2 3 3 3 2" xfId="14917"/>
    <cellStyle name="Milliers 2 2 3 2 2 3 3 4" xfId="10597"/>
    <cellStyle name="Milliers 2 2 3 2 2 3 4" xfId="2677"/>
    <cellStyle name="Milliers 2 2 3 2 2 3 4 2" xfId="6997"/>
    <cellStyle name="Milliers 2 2 3 2 2 3 4 2 2" xfId="15637"/>
    <cellStyle name="Milliers 2 2 3 2 2 3 4 3" xfId="11317"/>
    <cellStyle name="Milliers 2 2 3 2 2 3 5" xfId="4837"/>
    <cellStyle name="Milliers 2 2 3 2 2 3 5 2" xfId="13477"/>
    <cellStyle name="Milliers 2 2 3 2 2 3 6" xfId="9157"/>
    <cellStyle name="Milliers 2 2 3 2 2 4" xfId="877"/>
    <cellStyle name="Milliers 2 2 3 2 2 4 2" xfId="3037"/>
    <cellStyle name="Milliers 2 2 3 2 2 4 2 2" xfId="7357"/>
    <cellStyle name="Milliers 2 2 3 2 2 4 2 2 2" xfId="15997"/>
    <cellStyle name="Milliers 2 2 3 2 2 4 2 3" xfId="11677"/>
    <cellStyle name="Milliers 2 2 3 2 2 4 3" xfId="5197"/>
    <cellStyle name="Milliers 2 2 3 2 2 4 3 2" xfId="13837"/>
    <cellStyle name="Milliers 2 2 3 2 2 4 4" xfId="9517"/>
    <cellStyle name="Milliers 2 2 3 2 2 5" xfId="1597"/>
    <cellStyle name="Milliers 2 2 3 2 2 5 2" xfId="3757"/>
    <cellStyle name="Milliers 2 2 3 2 2 5 2 2" xfId="8077"/>
    <cellStyle name="Milliers 2 2 3 2 2 5 2 2 2" xfId="16717"/>
    <cellStyle name="Milliers 2 2 3 2 2 5 2 3" xfId="12397"/>
    <cellStyle name="Milliers 2 2 3 2 2 5 3" xfId="5917"/>
    <cellStyle name="Milliers 2 2 3 2 2 5 3 2" xfId="14557"/>
    <cellStyle name="Milliers 2 2 3 2 2 5 4" xfId="10237"/>
    <cellStyle name="Milliers 2 2 3 2 2 6" xfId="2317"/>
    <cellStyle name="Milliers 2 2 3 2 2 6 2" xfId="6637"/>
    <cellStyle name="Milliers 2 2 3 2 2 6 2 2" xfId="15277"/>
    <cellStyle name="Milliers 2 2 3 2 2 6 3" xfId="10957"/>
    <cellStyle name="Milliers 2 2 3 2 2 7" xfId="4477"/>
    <cellStyle name="Milliers 2 2 3 2 2 7 2" xfId="13117"/>
    <cellStyle name="Milliers 2 2 3 2 2 8" xfId="8797"/>
    <cellStyle name="Milliers 2 2 3 2 3" xfId="247"/>
    <cellStyle name="Milliers 2 2 3 2 3 2" xfId="607"/>
    <cellStyle name="Milliers 2 2 3 2 3 2 2" xfId="1327"/>
    <cellStyle name="Milliers 2 2 3 2 3 2 2 2" xfId="3487"/>
    <cellStyle name="Milliers 2 2 3 2 3 2 2 2 2" xfId="7807"/>
    <cellStyle name="Milliers 2 2 3 2 3 2 2 2 2 2" xfId="16447"/>
    <cellStyle name="Milliers 2 2 3 2 3 2 2 2 3" xfId="12127"/>
    <cellStyle name="Milliers 2 2 3 2 3 2 2 3" xfId="5647"/>
    <cellStyle name="Milliers 2 2 3 2 3 2 2 3 2" xfId="14287"/>
    <cellStyle name="Milliers 2 2 3 2 3 2 2 4" xfId="9967"/>
    <cellStyle name="Milliers 2 2 3 2 3 2 3" xfId="2047"/>
    <cellStyle name="Milliers 2 2 3 2 3 2 3 2" xfId="4207"/>
    <cellStyle name="Milliers 2 2 3 2 3 2 3 2 2" xfId="8527"/>
    <cellStyle name="Milliers 2 2 3 2 3 2 3 2 2 2" xfId="17167"/>
    <cellStyle name="Milliers 2 2 3 2 3 2 3 2 3" xfId="12847"/>
    <cellStyle name="Milliers 2 2 3 2 3 2 3 3" xfId="6367"/>
    <cellStyle name="Milliers 2 2 3 2 3 2 3 3 2" xfId="15007"/>
    <cellStyle name="Milliers 2 2 3 2 3 2 3 4" xfId="10687"/>
    <cellStyle name="Milliers 2 2 3 2 3 2 4" xfId="2767"/>
    <cellStyle name="Milliers 2 2 3 2 3 2 4 2" xfId="7087"/>
    <cellStyle name="Milliers 2 2 3 2 3 2 4 2 2" xfId="15727"/>
    <cellStyle name="Milliers 2 2 3 2 3 2 4 3" xfId="11407"/>
    <cellStyle name="Milliers 2 2 3 2 3 2 5" xfId="4927"/>
    <cellStyle name="Milliers 2 2 3 2 3 2 5 2" xfId="13567"/>
    <cellStyle name="Milliers 2 2 3 2 3 2 6" xfId="9247"/>
    <cellStyle name="Milliers 2 2 3 2 3 3" xfId="967"/>
    <cellStyle name="Milliers 2 2 3 2 3 3 2" xfId="3127"/>
    <cellStyle name="Milliers 2 2 3 2 3 3 2 2" xfId="7447"/>
    <cellStyle name="Milliers 2 2 3 2 3 3 2 2 2" xfId="16087"/>
    <cellStyle name="Milliers 2 2 3 2 3 3 2 3" xfId="11767"/>
    <cellStyle name="Milliers 2 2 3 2 3 3 3" xfId="5287"/>
    <cellStyle name="Milliers 2 2 3 2 3 3 3 2" xfId="13927"/>
    <cellStyle name="Milliers 2 2 3 2 3 3 4" xfId="9607"/>
    <cellStyle name="Milliers 2 2 3 2 3 4" xfId="1687"/>
    <cellStyle name="Milliers 2 2 3 2 3 4 2" xfId="3847"/>
    <cellStyle name="Milliers 2 2 3 2 3 4 2 2" xfId="8167"/>
    <cellStyle name="Milliers 2 2 3 2 3 4 2 2 2" xfId="16807"/>
    <cellStyle name="Milliers 2 2 3 2 3 4 2 3" xfId="12487"/>
    <cellStyle name="Milliers 2 2 3 2 3 4 3" xfId="6007"/>
    <cellStyle name="Milliers 2 2 3 2 3 4 3 2" xfId="14647"/>
    <cellStyle name="Milliers 2 2 3 2 3 4 4" xfId="10327"/>
    <cellStyle name="Milliers 2 2 3 2 3 5" xfId="2407"/>
    <cellStyle name="Milliers 2 2 3 2 3 5 2" xfId="6727"/>
    <cellStyle name="Milliers 2 2 3 2 3 5 2 2" xfId="15367"/>
    <cellStyle name="Milliers 2 2 3 2 3 5 3" xfId="11047"/>
    <cellStyle name="Milliers 2 2 3 2 3 6" xfId="4567"/>
    <cellStyle name="Milliers 2 2 3 2 3 6 2" xfId="13207"/>
    <cellStyle name="Milliers 2 2 3 2 3 7" xfId="8887"/>
    <cellStyle name="Milliers 2 2 3 2 4" xfId="427"/>
    <cellStyle name="Milliers 2 2 3 2 4 2" xfId="1147"/>
    <cellStyle name="Milliers 2 2 3 2 4 2 2" xfId="3307"/>
    <cellStyle name="Milliers 2 2 3 2 4 2 2 2" xfId="7627"/>
    <cellStyle name="Milliers 2 2 3 2 4 2 2 2 2" xfId="16267"/>
    <cellStyle name="Milliers 2 2 3 2 4 2 2 3" xfId="11947"/>
    <cellStyle name="Milliers 2 2 3 2 4 2 3" xfId="5467"/>
    <cellStyle name="Milliers 2 2 3 2 4 2 3 2" xfId="14107"/>
    <cellStyle name="Milliers 2 2 3 2 4 2 4" xfId="9787"/>
    <cellStyle name="Milliers 2 2 3 2 4 3" xfId="1867"/>
    <cellStyle name="Milliers 2 2 3 2 4 3 2" xfId="4027"/>
    <cellStyle name="Milliers 2 2 3 2 4 3 2 2" xfId="8347"/>
    <cellStyle name="Milliers 2 2 3 2 4 3 2 2 2" xfId="16987"/>
    <cellStyle name="Milliers 2 2 3 2 4 3 2 3" xfId="12667"/>
    <cellStyle name="Milliers 2 2 3 2 4 3 3" xfId="6187"/>
    <cellStyle name="Milliers 2 2 3 2 4 3 3 2" xfId="14827"/>
    <cellStyle name="Milliers 2 2 3 2 4 3 4" xfId="10507"/>
    <cellStyle name="Milliers 2 2 3 2 4 4" xfId="2587"/>
    <cellStyle name="Milliers 2 2 3 2 4 4 2" xfId="6907"/>
    <cellStyle name="Milliers 2 2 3 2 4 4 2 2" xfId="15547"/>
    <cellStyle name="Milliers 2 2 3 2 4 4 3" xfId="11227"/>
    <cellStyle name="Milliers 2 2 3 2 4 5" xfId="4747"/>
    <cellStyle name="Milliers 2 2 3 2 4 5 2" xfId="13387"/>
    <cellStyle name="Milliers 2 2 3 2 4 6" xfId="9067"/>
    <cellStyle name="Milliers 2 2 3 2 5" xfId="787"/>
    <cellStyle name="Milliers 2 2 3 2 5 2" xfId="2947"/>
    <cellStyle name="Milliers 2 2 3 2 5 2 2" xfId="7267"/>
    <cellStyle name="Milliers 2 2 3 2 5 2 2 2" xfId="15907"/>
    <cellStyle name="Milliers 2 2 3 2 5 2 3" xfId="11587"/>
    <cellStyle name="Milliers 2 2 3 2 5 3" xfId="5107"/>
    <cellStyle name="Milliers 2 2 3 2 5 3 2" xfId="13747"/>
    <cellStyle name="Milliers 2 2 3 2 5 4" xfId="9427"/>
    <cellStyle name="Milliers 2 2 3 2 6" xfId="1507"/>
    <cellStyle name="Milliers 2 2 3 2 6 2" xfId="3667"/>
    <cellStyle name="Milliers 2 2 3 2 6 2 2" xfId="7987"/>
    <cellStyle name="Milliers 2 2 3 2 6 2 2 2" xfId="16627"/>
    <cellStyle name="Milliers 2 2 3 2 6 2 3" xfId="12307"/>
    <cellStyle name="Milliers 2 2 3 2 6 3" xfId="5827"/>
    <cellStyle name="Milliers 2 2 3 2 6 3 2" xfId="14467"/>
    <cellStyle name="Milliers 2 2 3 2 6 4" xfId="10147"/>
    <cellStyle name="Milliers 2 2 3 2 7" xfId="2227"/>
    <cellStyle name="Milliers 2 2 3 2 7 2" xfId="6547"/>
    <cellStyle name="Milliers 2 2 3 2 7 2 2" xfId="15187"/>
    <cellStyle name="Milliers 2 2 3 2 7 3" xfId="10867"/>
    <cellStyle name="Milliers 2 2 3 2 8" xfId="4387"/>
    <cellStyle name="Milliers 2 2 3 2 8 2" xfId="13027"/>
    <cellStyle name="Milliers 2 2 3 2 9" xfId="8707"/>
    <cellStyle name="Milliers 2 2 3 3" xfId="112"/>
    <cellStyle name="Milliers 2 2 3 3 2" xfId="292"/>
    <cellStyle name="Milliers 2 2 3 3 2 2" xfId="652"/>
    <cellStyle name="Milliers 2 2 3 3 2 2 2" xfId="1372"/>
    <cellStyle name="Milliers 2 2 3 3 2 2 2 2" xfId="3532"/>
    <cellStyle name="Milliers 2 2 3 3 2 2 2 2 2" xfId="7852"/>
    <cellStyle name="Milliers 2 2 3 3 2 2 2 2 2 2" xfId="16492"/>
    <cellStyle name="Milliers 2 2 3 3 2 2 2 2 3" xfId="12172"/>
    <cellStyle name="Milliers 2 2 3 3 2 2 2 3" xfId="5692"/>
    <cellStyle name="Milliers 2 2 3 3 2 2 2 3 2" xfId="14332"/>
    <cellStyle name="Milliers 2 2 3 3 2 2 2 4" xfId="10012"/>
    <cellStyle name="Milliers 2 2 3 3 2 2 3" xfId="2092"/>
    <cellStyle name="Milliers 2 2 3 3 2 2 3 2" xfId="4252"/>
    <cellStyle name="Milliers 2 2 3 3 2 2 3 2 2" xfId="8572"/>
    <cellStyle name="Milliers 2 2 3 3 2 2 3 2 2 2" xfId="17212"/>
    <cellStyle name="Milliers 2 2 3 3 2 2 3 2 3" xfId="12892"/>
    <cellStyle name="Milliers 2 2 3 3 2 2 3 3" xfId="6412"/>
    <cellStyle name="Milliers 2 2 3 3 2 2 3 3 2" xfId="15052"/>
    <cellStyle name="Milliers 2 2 3 3 2 2 3 4" xfId="10732"/>
    <cellStyle name="Milliers 2 2 3 3 2 2 4" xfId="2812"/>
    <cellStyle name="Milliers 2 2 3 3 2 2 4 2" xfId="7132"/>
    <cellStyle name="Milliers 2 2 3 3 2 2 4 2 2" xfId="15772"/>
    <cellStyle name="Milliers 2 2 3 3 2 2 4 3" xfId="11452"/>
    <cellStyle name="Milliers 2 2 3 3 2 2 5" xfId="4972"/>
    <cellStyle name="Milliers 2 2 3 3 2 2 5 2" xfId="13612"/>
    <cellStyle name="Milliers 2 2 3 3 2 2 6" xfId="9292"/>
    <cellStyle name="Milliers 2 2 3 3 2 3" xfId="1012"/>
    <cellStyle name="Milliers 2 2 3 3 2 3 2" xfId="3172"/>
    <cellStyle name="Milliers 2 2 3 3 2 3 2 2" xfId="7492"/>
    <cellStyle name="Milliers 2 2 3 3 2 3 2 2 2" xfId="16132"/>
    <cellStyle name="Milliers 2 2 3 3 2 3 2 3" xfId="11812"/>
    <cellStyle name="Milliers 2 2 3 3 2 3 3" xfId="5332"/>
    <cellStyle name="Milliers 2 2 3 3 2 3 3 2" xfId="13972"/>
    <cellStyle name="Milliers 2 2 3 3 2 3 4" xfId="9652"/>
    <cellStyle name="Milliers 2 2 3 3 2 4" xfId="1732"/>
    <cellStyle name="Milliers 2 2 3 3 2 4 2" xfId="3892"/>
    <cellStyle name="Milliers 2 2 3 3 2 4 2 2" xfId="8212"/>
    <cellStyle name="Milliers 2 2 3 3 2 4 2 2 2" xfId="16852"/>
    <cellStyle name="Milliers 2 2 3 3 2 4 2 3" xfId="12532"/>
    <cellStyle name="Milliers 2 2 3 3 2 4 3" xfId="6052"/>
    <cellStyle name="Milliers 2 2 3 3 2 4 3 2" xfId="14692"/>
    <cellStyle name="Milliers 2 2 3 3 2 4 4" xfId="10372"/>
    <cellStyle name="Milliers 2 2 3 3 2 5" xfId="2452"/>
    <cellStyle name="Milliers 2 2 3 3 2 5 2" xfId="6772"/>
    <cellStyle name="Milliers 2 2 3 3 2 5 2 2" xfId="15412"/>
    <cellStyle name="Milliers 2 2 3 3 2 5 3" xfId="11092"/>
    <cellStyle name="Milliers 2 2 3 3 2 6" xfId="4612"/>
    <cellStyle name="Milliers 2 2 3 3 2 6 2" xfId="13252"/>
    <cellStyle name="Milliers 2 2 3 3 2 7" xfId="8932"/>
    <cellStyle name="Milliers 2 2 3 3 3" xfId="472"/>
    <cellStyle name="Milliers 2 2 3 3 3 2" xfId="1192"/>
    <cellStyle name="Milliers 2 2 3 3 3 2 2" xfId="3352"/>
    <cellStyle name="Milliers 2 2 3 3 3 2 2 2" xfId="7672"/>
    <cellStyle name="Milliers 2 2 3 3 3 2 2 2 2" xfId="16312"/>
    <cellStyle name="Milliers 2 2 3 3 3 2 2 3" xfId="11992"/>
    <cellStyle name="Milliers 2 2 3 3 3 2 3" xfId="5512"/>
    <cellStyle name="Milliers 2 2 3 3 3 2 3 2" xfId="14152"/>
    <cellStyle name="Milliers 2 2 3 3 3 2 4" xfId="9832"/>
    <cellStyle name="Milliers 2 2 3 3 3 3" xfId="1912"/>
    <cellStyle name="Milliers 2 2 3 3 3 3 2" xfId="4072"/>
    <cellStyle name="Milliers 2 2 3 3 3 3 2 2" xfId="8392"/>
    <cellStyle name="Milliers 2 2 3 3 3 3 2 2 2" xfId="17032"/>
    <cellStyle name="Milliers 2 2 3 3 3 3 2 3" xfId="12712"/>
    <cellStyle name="Milliers 2 2 3 3 3 3 3" xfId="6232"/>
    <cellStyle name="Milliers 2 2 3 3 3 3 3 2" xfId="14872"/>
    <cellStyle name="Milliers 2 2 3 3 3 3 4" xfId="10552"/>
    <cellStyle name="Milliers 2 2 3 3 3 4" xfId="2632"/>
    <cellStyle name="Milliers 2 2 3 3 3 4 2" xfId="6952"/>
    <cellStyle name="Milliers 2 2 3 3 3 4 2 2" xfId="15592"/>
    <cellStyle name="Milliers 2 2 3 3 3 4 3" xfId="11272"/>
    <cellStyle name="Milliers 2 2 3 3 3 5" xfId="4792"/>
    <cellStyle name="Milliers 2 2 3 3 3 5 2" xfId="13432"/>
    <cellStyle name="Milliers 2 2 3 3 3 6" xfId="9112"/>
    <cellStyle name="Milliers 2 2 3 3 4" xfId="832"/>
    <cellStyle name="Milliers 2 2 3 3 4 2" xfId="2992"/>
    <cellStyle name="Milliers 2 2 3 3 4 2 2" xfId="7312"/>
    <cellStyle name="Milliers 2 2 3 3 4 2 2 2" xfId="15952"/>
    <cellStyle name="Milliers 2 2 3 3 4 2 3" xfId="11632"/>
    <cellStyle name="Milliers 2 2 3 3 4 3" xfId="5152"/>
    <cellStyle name="Milliers 2 2 3 3 4 3 2" xfId="13792"/>
    <cellStyle name="Milliers 2 2 3 3 4 4" xfId="9472"/>
    <cellStyle name="Milliers 2 2 3 3 5" xfId="1552"/>
    <cellStyle name="Milliers 2 2 3 3 5 2" xfId="3712"/>
    <cellStyle name="Milliers 2 2 3 3 5 2 2" xfId="8032"/>
    <cellStyle name="Milliers 2 2 3 3 5 2 2 2" xfId="16672"/>
    <cellStyle name="Milliers 2 2 3 3 5 2 3" xfId="12352"/>
    <cellStyle name="Milliers 2 2 3 3 5 3" xfId="5872"/>
    <cellStyle name="Milliers 2 2 3 3 5 3 2" xfId="14512"/>
    <cellStyle name="Milliers 2 2 3 3 5 4" xfId="10192"/>
    <cellStyle name="Milliers 2 2 3 3 6" xfId="2272"/>
    <cellStyle name="Milliers 2 2 3 3 6 2" xfId="6592"/>
    <cellStyle name="Milliers 2 2 3 3 6 2 2" xfId="15232"/>
    <cellStyle name="Milliers 2 2 3 3 6 3" xfId="10912"/>
    <cellStyle name="Milliers 2 2 3 3 7" xfId="4432"/>
    <cellStyle name="Milliers 2 2 3 3 7 2" xfId="13072"/>
    <cellStyle name="Milliers 2 2 3 3 8" xfId="8752"/>
    <cellStyle name="Milliers 2 2 3 4" xfId="202"/>
    <cellStyle name="Milliers 2 2 3 4 2" xfId="562"/>
    <cellStyle name="Milliers 2 2 3 4 2 2" xfId="1282"/>
    <cellStyle name="Milliers 2 2 3 4 2 2 2" xfId="3442"/>
    <cellStyle name="Milliers 2 2 3 4 2 2 2 2" xfId="7762"/>
    <cellStyle name="Milliers 2 2 3 4 2 2 2 2 2" xfId="16402"/>
    <cellStyle name="Milliers 2 2 3 4 2 2 2 3" xfId="12082"/>
    <cellStyle name="Milliers 2 2 3 4 2 2 3" xfId="5602"/>
    <cellStyle name="Milliers 2 2 3 4 2 2 3 2" xfId="14242"/>
    <cellStyle name="Milliers 2 2 3 4 2 2 4" xfId="9922"/>
    <cellStyle name="Milliers 2 2 3 4 2 3" xfId="2002"/>
    <cellStyle name="Milliers 2 2 3 4 2 3 2" xfId="4162"/>
    <cellStyle name="Milliers 2 2 3 4 2 3 2 2" xfId="8482"/>
    <cellStyle name="Milliers 2 2 3 4 2 3 2 2 2" xfId="17122"/>
    <cellStyle name="Milliers 2 2 3 4 2 3 2 3" xfId="12802"/>
    <cellStyle name="Milliers 2 2 3 4 2 3 3" xfId="6322"/>
    <cellStyle name="Milliers 2 2 3 4 2 3 3 2" xfId="14962"/>
    <cellStyle name="Milliers 2 2 3 4 2 3 4" xfId="10642"/>
    <cellStyle name="Milliers 2 2 3 4 2 4" xfId="2722"/>
    <cellStyle name="Milliers 2 2 3 4 2 4 2" xfId="7042"/>
    <cellStyle name="Milliers 2 2 3 4 2 4 2 2" xfId="15682"/>
    <cellStyle name="Milliers 2 2 3 4 2 4 3" xfId="11362"/>
    <cellStyle name="Milliers 2 2 3 4 2 5" xfId="4882"/>
    <cellStyle name="Milliers 2 2 3 4 2 5 2" xfId="13522"/>
    <cellStyle name="Milliers 2 2 3 4 2 6" xfId="9202"/>
    <cellStyle name="Milliers 2 2 3 4 3" xfId="922"/>
    <cellStyle name="Milliers 2 2 3 4 3 2" xfId="3082"/>
    <cellStyle name="Milliers 2 2 3 4 3 2 2" xfId="7402"/>
    <cellStyle name="Milliers 2 2 3 4 3 2 2 2" xfId="16042"/>
    <cellStyle name="Milliers 2 2 3 4 3 2 3" xfId="11722"/>
    <cellStyle name="Milliers 2 2 3 4 3 3" xfId="5242"/>
    <cellStyle name="Milliers 2 2 3 4 3 3 2" xfId="13882"/>
    <cellStyle name="Milliers 2 2 3 4 3 4" xfId="9562"/>
    <cellStyle name="Milliers 2 2 3 4 4" xfId="1642"/>
    <cellStyle name="Milliers 2 2 3 4 4 2" xfId="3802"/>
    <cellStyle name="Milliers 2 2 3 4 4 2 2" xfId="8122"/>
    <cellStyle name="Milliers 2 2 3 4 4 2 2 2" xfId="16762"/>
    <cellStyle name="Milliers 2 2 3 4 4 2 3" xfId="12442"/>
    <cellStyle name="Milliers 2 2 3 4 4 3" xfId="5962"/>
    <cellStyle name="Milliers 2 2 3 4 4 3 2" xfId="14602"/>
    <cellStyle name="Milliers 2 2 3 4 4 4" xfId="10282"/>
    <cellStyle name="Milliers 2 2 3 4 5" xfId="2362"/>
    <cellStyle name="Milliers 2 2 3 4 5 2" xfId="6682"/>
    <cellStyle name="Milliers 2 2 3 4 5 2 2" xfId="15322"/>
    <cellStyle name="Milliers 2 2 3 4 5 3" xfId="11002"/>
    <cellStyle name="Milliers 2 2 3 4 6" xfId="4522"/>
    <cellStyle name="Milliers 2 2 3 4 6 2" xfId="13162"/>
    <cellStyle name="Milliers 2 2 3 4 7" xfId="8842"/>
    <cellStyle name="Milliers 2 2 3 5" xfId="382"/>
    <cellStyle name="Milliers 2 2 3 5 2" xfId="1102"/>
    <cellStyle name="Milliers 2 2 3 5 2 2" xfId="3262"/>
    <cellStyle name="Milliers 2 2 3 5 2 2 2" xfId="7582"/>
    <cellStyle name="Milliers 2 2 3 5 2 2 2 2" xfId="16222"/>
    <cellStyle name="Milliers 2 2 3 5 2 2 3" xfId="11902"/>
    <cellStyle name="Milliers 2 2 3 5 2 3" xfId="5422"/>
    <cellStyle name="Milliers 2 2 3 5 2 3 2" xfId="14062"/>
    <cellStyle name="Milliers 2 2 3 5 2 4" xfId="9742"/>
    <cellStyle name="Milliers 2 2 3 5 3" xfId="1822"/>
    <cellStyle name="Milliers 2 2 3 5 3 2" xfId="3982"/>
    <cellStyle name="Milliers 2 2 3 5 3 2 2" xfId="8302"/>
    <cellStyle name="Milliers 2 2 3 5 3 2 2 2" xfId="16942"/>
    <cellStyle name="Milliers 2 2 3 5 3 2 3" xfId="12622"/>
    <cellStyle name="Milliers 2 2 3 5 3 3" xfId="6142"/>
    <cellStyle name="Milliers 2 2 3 5 3 3 2" xfId="14782"/>
    <cellStyle name="Milliers 2 2 3 5 3 4" xfId="10462"/>
    <cellStyle name="Milliers 2 2 3 5 4" xfId="2542"/>
    <cellStyle name="Milliers 2 2 3 5 4 2" xfId="6862"/>
    <cellStyle name="Milliers 2 2 3 5 4 2 2" xfId="15502"/>
    <cellStyle name="Milliers 2 2 3 5 4 3" xfId="11182"/>
    <cellStyle name="Milliers 2 2 3 5 5" xfId="4702"/>
    <cellStyle name="Milliers 2 2 3 5 5 2" xfId="13342"/>
    <cellStyle name="Milliers 2 2 3 5 6" xfId="9022"/>
    <cellStyle name="Milliers 2 2 3 6" xfId="742"/>
    <cellStyle name="Milliers 2 2 3 6 2" xfId="2902"/>
    <cellStyle name="Milliers 2 2 3 6 2 2" xfId="7222"/>
    <cellStyle name="Milliers 2 2 3 6 2 2 2" xfId="15862"/>
    <cellStyle name="Milliers 2 2 3 6 2 3" xfId="11542"/>
    <cellStyle name="Milliers 2 2 3 6 3" xfId="5062"/>
    <cellStyle name="Milliers 2 2 3 6 3 2" xfId="13702"/>
    <cellStyle name="Milliers 2 2 3 6 4" xfId="9382"/>
    <cellStyle name="Milliers 2 2 3 7" xfId="1462"/>
    <cellStyle name="Milliers 2 2 3 7 2" xfId="3622"/>
    <cellStyle name="Milliers 2 2 3 7 2 2" xfId="7942"/>
    <cellStyle name="Milliers 2 2 3 7 2 2 2" xfId="16582"/>
    <cellStyle name="Milliers 2 2 3 7 2 3" xfId="12262"/>
    <cellStyle name="Milliers 2 2 3 7 3" xfId="5782"/>
    <cellStyle name="Milliers 2 2 3 7 3 2" xfId="14422"/>
    <cellStyle name="Milliers 2 2 3 7 4" xfId="10102"/>
    <cellStyle name="Milliers 2 2 3 8" xfId="2182"/>
    <cellStyle name="Milliers 2 2 3 8 2" xfId="6502"/>
    <cellStyle name="Milliers 2 2 3 8 2 2" xfId="15142"/>
    <cellStyle name="Milliers 2 2 3 8 3" xfId="10822"/>
    <cellStyle name="Milliers 2 2 3 9" xfId="4342"/>
    <cellStyle name="Milliers 2 2 3 9 2" xfId="12982"/>
    <cellStyle name="Milliers 2 2 4" xfId="37"/>
    <cellStyle name="Milliers 2 2 4 10" xfId="8677"/>
    <cellStyle name="Milliers 2 2 4 2" xfId="82"/>
    <cellStyle name="Milliers 2 2 4 2 2" xfId="172"/>
    <cellStyle name="Milliers 2 2 4 2 2 2" xfId="352"/>
    <cellStyle name="Milliers 2 2 4 2 2 2 2" xfId="712"/>
    <cellStyle name="Milliers 2 2 4 2 2 2 2 2" xfId="1432"/>
    <cellStyle name="Milliers 2 2 4 2 2 2 2 2 2" xfId="3592"/>
    <cellStyle name="Milliers 2 2 4 2 2 2 2 2 2 2" xfId="7912"/>
    <cellStyle name="Milliers 2 2 4 2 2 2 2 2 2 2 2" xfId="16552"/>
    <cellStyle name="Milliers 2 2 4 2 2 2 2 2 2 3" xfId="12232"/>
    <cellStyle name="Milliers 2 2 4 2 2 2 2 2 3" xfId="5752"/>
    <cellStyle name="Milliers 2 2 4 2 2 2 2 2 3 2" xfId="14392"/>
    <cellStyle name="Milliers 2 2 4 2 2 2 2 2 4" xfId="10072"/>
    <cellStyle name="Milliers 2 2 4 2 2 2 2 3" xfId="2152"/>
    <cellStyle name="Milliers 2 2 4 2 2 2 2 3 2" xfId="4312"/>
    <cellStyle name="Milliers 2 2 4 2 2 2 2 3 2 2" xfId="8632"/>
    <cellStyle name="Milliers 2 2 4 2 2 2 2 3 2 2 2" xfId="17272"/>
    <cellStyle name="Milliers 2 2 4 2 2 2 2 3 2 3" xfId="12952"/>
    <cellStyle name="Milliers 2 2 4 2 2 2 2 3 3" xfId="6472"/>
    <cellStyle name="Milliers 2 2 4 2 2 2 2 3 3 2" xfId="15112"/>
    <cellStyle name="Milliers 2 2 4 2 2 2 2 3 4" xfId="10792"/>
    <cellStyle name="Milliers 2 2 4 2 2 2 2 4" xfId="2872"/>
    <cellStyle name="Milliers 2 2 4 2 2 2 2 4 2" xfId="7192"/>
    <cellStyle name="Milliers 2 2 4 2 2 2 2 4 2 2" xfId="15832"/>
    <cellStyle name="Milliers 2 2 4 2 2 2 2 4 3" xfId="11512"/>
    <cellStyle name="Milliers 2 2 4 2 2 2 2 5" xfId="5032"/>
    <cellStyle name="Milliers 2 2 4 2 2 2 2 5 2" xfId="13672"/>
    <cellStyle name="Milliers 2 2 4 2 2 2 2 6" xfId="9352"/>
    <cellStyle name="Milliers 2 2 4 2 2 2 3" xfId="1072"/>
    <cellStyle name="Milliers 2 2 4 2 2 2 3 2" xfId="3232"/>
    <cellStyle name="Milliers 2 2 4 2 2 2 3 2 2" xfId="7552"/>
    <cellStyle name="Milliers 2 2 4 2 2 2 3 2 2 2" xfId="16192"/>
    <cellStyle name="Milliers 2 2 4 2 2 2 3 2 3" xfId="11872"/>
    <cellStyle name="Milliers 2 2 4 2 2 2 3 3" xfId="5392"/>
    <cellStyle name="Milliers 2 2 4 2 2 2 3 3 2" xfId="14032"/>
    <cellStyle name="Milliers 2 2 4 2 2 2 3 4" xfId="9712"/>
    <cellStyle name="Milliers 2 2 4 2 2 2 4" xfId="1792"/>
    <cellStyle name="Milliers 2 2 4 2 2 2 4 2" xfId="3952"/>
    <cellStyle name="Milliers 2 2 4 2 2 2 4 2 2" xfId="8272"/>
    <cellStyle name="Milliers 2 2 4 2 2 2 4 2 2 2" xfId="16912"/>
    <cellStyle name="Milliers 2 2 4 2 2 2 4 2 3" xfId="12592"/>
    <cellStyle name="Milliers 2 2 4 2 2 2 4 3" xfId="6112"/>
    <cellStyle name="Milliers 2 2 4 2 2 2 4 3 2" xfId="14752"/>
    <cellStyle name="Milliers 2 2 4 2 2 2 4 4" xfId="10432"/>
    <cellStyle name="Milliers 2 2 4 2 2 2 5" xfId="2512"/>
    <cellStyle name="Milliers 2 2 4 2 2 2 5 2" xfId="6832"/>
    <cellStyle name="Milliers 2 2 4 2 2 2 5 2 2" xfId="15472"/>
    <cellStyle name="Milliers 2 2 4 2 2 2 5 3" xfId="11152"/>
    <cellStyle name="Milliers 2 2 4 2 2 2 6" xfId="4672"/>
    <cellStyle name="Milliers 2 2 4 2 2 2 6 2" xfId="13312"/>
    <cellStyle name="Milliers 2 2 4 2 2 2 7" xfId="8992"/>
    <cellStyle name="Milliers 2 2 4 2 2 3" xfId="532"/>
    <cellStyle name="Milliers 2 2 4 2 2 3 2" xfId="1252"/>
    <cellStyle name="Milliers 2 2 4 2 2 3 2 2" xfId="3412"/>
    <cellStyle name="Milliers 2 2 4 2 2 3 2 2 2" xfId="7732"/>
    <cellStyle name="Milliers 2 2 4 2 2 3 2 2 2 2" xfId="16372"/>
    <cellStyle name="Milliers 2 2 4 2 2 3 2 2 3" xfId="12052"/>
    <cellStyle name="Milliers 2 2 4 2 2 3 2 3" xfId="5572"/>
    <cellStyle name="Milliers 2 2 4 2 2 3 2 3 2" xfId="14212"/>
    <cellStyle name="Milliers 2 2 4 2 2 3 2 4" xfId="9892"/>
    <cellStyle name="Milliers 2 2 4 2 2 3 3" xfId="1972"/>
    <cellStyle name="Milliers 2 2 4 2 2 3 3 2" xfId="4132"/>
    <cellStyle name="Milliers 2 2 4 2 2 3 3 2 2" xfId="8452"/>
    <cellStyle name="Milliers 2 2 4 2 2 3 3 2 2 2" xfId="17092"/>
    <cellStyle name="Milliers 2 2 4 2 2 3 3 2 3" xfId="12772"/>
    <cellStyle name="Milliers 2 2 4 2 2 3 3 3" xfId="6292"/>
    <cellStyle name="Milliers 2 2 4 2 2 3 3 3 2" xfId="14932"/>
    <cellStyle name="Milliers 2 2 4 2 2 3 3 4" xfId="10612"/>
    <cellStyle name="Milliers 2 2 4 2 2 3 4" xfId="2692"/>
    <cellStyle name="Milliers 2 2 4 2 2 3 4 2" xfId="7012"/>
    <cellStyle name="Milliers 2 2 4 2 2 3 4 2 2" xfId="15652"/>
    <cellStyle name="Milliers 2 2 4 2 2 3 4 3" xfId="11332"/>
    <cellStyle name="Milliers 2 2 4 2 2 3 5" xfId="4852"/>
    <cellStyle name="Milliers 2 2 4 2 2 3 5 2" xfId="13492"/>
    <cellStyle name="Milliers 2 2 4 2 2 3 6" xfId="9172"/>
    <cellStyle name="Milliers 2 2 4 2 2 4" xfId="892"/>
    <cellStyle name="Milliers 2 2 4 2 2 4 2" xfId="3052"/>
    <cellStyle name="Milliers 2 2 4 2 2 4 2 2" xfId="7372"/>
    <cellStyle name="Milliers 2 2 4 2 2 4 2 2 2" xfId="16012"/>
    <cellStyle name="Milliers 2 2 4 2 2 4 2 3" xfId="11692"/>
    <cellStyle name="Milliers 2 2 4 2 2 4 3" xfId="5212"/>
    <cellStyle name="Milliers 2 2 4 2 2 4 3 2" xfId="13852"/>
    <cellStyle name="Milliers 2 2 4 2 2 4 4" xfId="9532"/>
    <cellStyle name="Milliers 2 2 4 2 2 5" xfId="1612"/>
    <cellStyle name="Milliers 2 2 4 2 2 5 2" xfId="3772"/>
    <cellStyle name="Milliers 2 2 4 2 2 5 2 2" xfId="8092"/>
    <cellStyle name="Milliers 2 2 4 2 2 5 2 2 2" xfId="16732"/>
    <cellStyle name="Milliers 2 2 4 2 2 5 2 3" xfId="12412"/>
    <cellStyle name="Milliers 2 2 4 2 2 5 3" xfId="5932"/>
    <cellStyle name="Milliers 2 2 4 2 2 5 3 2" xfId="14572"/>
    <cellStyle name="Milliers 2 2 4 2 2 5 4" xfId="10252"/>
    <cellStyle name="Milliers 2 2 4 2 2 6" xfId="2332"/>
    <cellStyle name="Milliers 2 2 4 2 2 6 2" xfId="6652"/>
    <cellStyle name="Milliers 2 2 4 2 2 6 2 2" xfId="15292"/>
    <cellStyle name="Milliers 2 2 4 2 2 6 3" xfId="10972"/>
    <cellStyle name="Milliers 2 2 4 2 2 7" xfId="4492"/>
    <cellStyle name="Milliers 2 2 4 2 2 7 2" xfId="13132"/>
    <cellStyle name="Milliers 2 2 4 2 2 8" xfId="8812"/>
    <cellStyle name="Milliers 2 2 4 2 3" xfId="262"/>
    <cellStyle name="Milliers 2 2 4 2 3 2" xfId="622"/>
    <cellStyle name="Milliers 2 2 4 2 3 2 2" xfId="1342"/>
    <cellStyle name="Milliers 2 2 4 2 3 2 2 2" xfId="3502"/>
    <cellStyle name="Milliers 2 2 4 2 3 2 2 2 2" xfId="7822"/>
    <cellStyle name="Milliers 2 2 4 2 3 2 2 2 2 2" xfId="16462"/>
    <cellStyle name="Milliers 2 2 4 2 3 2 2 2 3" xfId="12142"/>
    <cellStyle name="Milliers 2 2 4 2 3 2 2 3" xfId="5662"/>
    <cellStyle name="Milliers 2 2 4 2 3 2 2 3 2" xfId="14302"/>
    <cellStyle name="Milliers 2 2 4 2 3 2 2 4" xfId="9982"/>
    <cellStyle name="Milliers 2 2 4 2 3 2 3" xfId="2062"/>
    <cellStyle name="Milliers 2 2 4 2 3 2 3 2" xfId="4222"/>
    <cellStyle name="Milliers 2 2 4 2 3 2 3 2 2" xfId="8542"/>
    <cellStyle name="Milliers 2 2 4 2 3 2 3 2 2 2" xfId="17182"/>
    <cellStyle name="Milliers 2 2 4 2 3 2 3 2 3" xfId="12862"/>
    <cellStyle name="Milliers 2 2 4 2 3 2 3 3" xfId="6382"/>
    <cellStyle name="Milliers 2 2 4 2 3 2 3 3 2" xfId="15022"/>
    <cellStyle name="Milliers 2 2 4 2 3 2 3 4" xfId="10702"/>
    <cellStyle name="Milliers 2 2 4 2 3 2 4" xfId="2782"/>
    <cellStyle name="Milliers 2 2 4 2 3 2 4 2" xfId="7102"/>
    <cellStyle name="Milliers 2 2 4 2 3 2 4 2 2" xfId="15742"/>
    <cellStyle name="Milliers 2 2 4 2 3 2 4 3" xfId="11422"/>
    <cellStyle name="Milliers 2 2 4 2 3 2 5" xfId="4942"/>
    <cellStyle name="Milliers 2 2 4 2 3 2 5 2" xfId="13582"/>
    <cellStyle name="Milliers 2 2 4 2 3 2 6" xfId="9262"/>
    <cellStyle name="Milliers 2 2 4 2 3 3" xfId="982"/>
    <cellStyle name="Milliers 2 2 4 2 3 3 2" xfId="3142"/>
    <cellStyle name="Milliers 2 2 4 2 3 3 2 2" xfId="7462"/>
    <cellStyle name="Milliers 2 2 4 2 3 3 2 2 2" xfId="16102"/>
    <cellStyle name="Milliers 2 2 4 2 3 3 2 3" xfId="11782"/>
    <cellStyle name="Milliers 2 2 4 2 3 3 3" xfId="5302"/>
    <cellStyle name="Milliers 2 2 4 2 3 3 3 2" xfId="13942"/>
    <cellStyle name="Milliers 2 2 4 2 3 3 4" xfId="9622"/>
    <cellStyle name="Milliers 2 2 4 2 3 4" xfId="1702"/>
    <cellStyle name="Milliers 2 2 4 2 3 4 2" xfId="3862"/>
    <cellStyle name="Milliers 2 2 4 2 3 4 2 2" xfId="8182"/>
    <cellStyle name="Milliers 2 2 4 2 3 4 2 2 2" xfId="16822"/>
    <cellStyle name="Milliers 2 2 4 2 3 4 2 3" xfId="12502"/>
    <cellStyle name="Milliers 2 2 4 2 3 4 3" xfId="6022"/>
    <cellStyle name="Milliers 2 2 4 2 3 4 3 2" xfId="14662"/>
    <cellStyle name="Milliers 2 2 4 2 3 4 4" xfId="10342"/>
    <cellStyle name="Milliers 2 2 4 2 3 5" xfId="2422"/>
    <cellStyle name="Milliers 2 2 4 2 3 5 2" xfId="6742"/>
    <cellStyle name="Milliers 2 2 4 2 3 5 2 2" xfId="15382"/>
    <cellStyle name="Milliers 2 2 4 2 3 5 3" xfId="11062"/>
    <cellStyle name="Milliers 2 2 4 2 3 6" xfId="4582"/>
    <cellStyle name="Milliers 2 2 4 2 3 6 2" xfId="13222"/>
    <cellStyle name="Milliers 2 2 4 2 3 7" xfId="8902"/>
    <cellStyle name="Milliers 2 2 4 2 4" xfId="442"/>
    <cellStyle name="Milliers 2 2 4 2 4 2" xfId="1162"/>
    <cellStyle name="Milliers 2 2 4 2 4 2 2" xfId="3322"/>
    <cellStyle name="Milliers 2 2 4 2 4 2 2 2" xfId="7642"/>
    <cellStyle name="Milliers 2 2 4 2 4 2 2 2 2" xfId="16282"/>
    <cellStyle name="Milliers 2 2 4 2 4 2 2 3" xfId="11962"/>
    <cellStyle name="Milliers 2 2 4 2 4 2 3" xfId="5482"/>
    <cellStyle name="Milliers 2 2 4 2 4 2 3 2" xfId="14122"/>
    <cellStyle name="Milliers 2 2 4 2 4 2 4" xfId="9802"/>
    <cellStyle name="Milliers 2 2 4 2 4 3" xfId="1882"/>
    <cellStyle name="Milliers 2 2 4 2 4 3 2" xfId="4042"/>
    <cellStyle name="Milliers 2 2 4 2 4 3 2 2" xfId="8362"/>
    <cellStyle name="Milliers 2 2 4 2 4 3 2 2 2" xfId="17002"/>
    <cellStyle name="Milliers 2 2 4 2 4 3 2 3" xfId="12682"/>
    <cellStyle name="Milliers 2 2 4 2 4 3 3" xfId="6202"/>
    <cellStyle name="Milliers 2 2 4 2 4 3 3 2" xfId="14842"/>
    <cellStyle name="Milliers 2 2 4 2 4 3 4" xfId="10522"/>
    <cellStyle name="Milliers 2 2 4 2 4 4" xfId="2602"/>
    <cellStyle name="Milliers 2 2 4 2 4 4 2" xfId="6922"/>
    <cellStyle name="Milliers 2 2 4 2 4 4 2 2" xfId="15562"/>
    <cellStyle name="Milliers 2 2 4 2 4 4 3" xfId="11242"/>
    <cellStyle name="Milliers 2 2 4 2 4 5" xfId="4762"/>
    <cellStyle name="Milliers 2 2 4 2 4 5 2" xfId="13402"/>
    <cellStyle name="Milliers 2 2 4 2 4 6" xfId="9082"/>
    <cellStyle name="Milliers 2 2 4 2 5" xfId="802"/>
    <cellStyle name="Milliers 2 2 4 2 5 2" xfId="2962"/>
    <cellStyle name="Milliers 2 2 4 2 5 2 2" xfId="7282"/>
    <cellStyle name="Milliers 2 2 4 2 5 2 2 2" xfId="15922"/>
    <cellStyle name="Milliers 2 2 4 2 5 2 3" xfId="11602"/>
    <cellStyle name="Milliers 2 2 4 2 5 3" xfId="5122"/>
    <cellStyle name="Milliers 2 2 4 2 5 3 2" xfId="13762"/>
    <cellStyle name="Milliers 2 2 4 2 5 4" xfId="9442"/>
    <cellStyle name="Milliers 2 2 4 2 6" xfId="1522"/>
    <cellStyle name="Milliers 2 2 4 2 6 2" xfId="3682"/>
    <cellStyle name="Milliers 2 2 4 2 6 2 2" xfId="8002"/>
    <cellStyle name="Milliers 2 2 4 2 6 2 2 2" xfId="16642"/>
    <cellStyle name="Milliers 2 2 4 2 6 2 3" xfId="12322"/>
    <cellStyle name="Milliers 2 2 4 2 6 3" xfId="5842"/>
    <cellStyle name="Milliers 2 2 4 2 6 3 2" xfId="14482"/>
    <cellStyle name="Milliers 2 2 4 2 6 4" xfId="10162"/>
    <cellStyle name="Milliers 2 2 4 2 7" xfId="2242"/>
    <cellStyle name="Milliers 2 2 4 2 7 2" xfId="6562"/>
    <cellStyle name="Milliers 2 2 4 2 7 2 2" xfId="15202"/>
    <cellStyle name="Milliers 2 2 4 2 7 3" xfId="10882"/>
    <cellStyle name="Milliers 2 2 4 2 8" xfId="4402"/>
    <cellStyle name="Milliers 2 2 4 2 8 2" xfId="13042"/>
    <cellStyle name="Milliers 2 2 4 2 9" xfId="8722"/>
    <cellStyle name="Milliers 2 2 4 3" xfId="127"/>
    <cellStyle name="Milliers 2 2 4 3 2" xfId="307"/>
    <cellStyle name="Milliers 2 2 4 3 2 2" xfId="667"/>
    <cellStyle name="Milliers 2 2 4 3 2 2 2" xfId="1387"/>
    <cellStyle name="Milliers 2 2 4 3 2 2 2 2" xfId="3547"/>
    <cellStyle name="Milliers 2 2 4 3 2 2 2 2 2" xfId="7867"/>
    <cellStyle name="Milliers 2 2 4 3 2 2 2 2 2 2" xfId="16507"/>
    <cellStyle name="Milliers 2 2 4 3 2 2 2 2 3" xfId="12187"/>
    <cellStyle name="Milliers 2 2 4 3 2 2 2 3" xfId="5707"/>
    <cellStyle name="Milliers 2 2 4 3 2 2 2 3 2" xfId="14347"/>
    <cellStyle name="Milliers 2 2 4 3 2 2 2 4" xfId="10027"/>
    <cellStyle name="Milliers 2 2 4 3 2 2 3" xfId="2107"/>
    <cellStyle name="Milliers 2 2 4 3 2 2 3 2" xfId="4267"/>
    <cellStyle name="Milliers 2 2 4 3 2 2 3 2 2" xfId="8587"/>
    <cellStyle name="Milliers 2 2 4 3 2 2 3 2 2 2" xfId="17227"/>
    <cellStyle name="Milliers 2 2 4 3 2 2 3 2 3" xfId="12907"/>
    <cellStyle name="Milliers 2 2 4 3 2 2 3 3" xfId="6427"/>
    <cellStyle name="Milliers 2 2 4 3 2 2 3 3 2" xfId="15067"/>
    <cellStyle name="Milliers 2 2 4 3 2 2 3 4" xfId="10747"/>
    <cellStyle name="Milliers 2 2 4 3 2 2 4" xfId="2827"/>
    <cellStyle name="Milliers 2 2 4 3 2 2 4 2" xfId="7147"/>
    <cellStyle name="Milliers 2 2 4 3 2 2 4 2 2" xfId="15787"/>
    <cellStyle name="Milliers 2 2 4 3 2 2 4 3" xfId="11467"/>
    <cellStyle name="Milliers 2 2 4 3 2 2 5" xfId="4987"/>
    <cellStyle name="Milliers 2 2 4 3 2 2 5 2" xfId="13627"/>
    <cellStyle name="Milliers 2 2 4 3 2 2 6" xfId="9307"/>
    <cellStyle name="Milliers 2 2 4 3 2 3" xfId="1027"/>
    <cellStyle name="Milliers 2 2 4 3 2 3 2" xfId="3187"/>
    <cellStyle name="Milliers 2 2 4 3 2 3 2 2" xfId="7507"/>
    <cellStyle name="Milliers 2 2 4 3 2 3 2 2 2" xfId="16147"/>
    <cellStyle name="Milliers 2 2 4 3 2 3 2 3" xfId="11827"/>
    <cellStyle name="Milliers 2 2 4 3 2 3 3" xfId="5347"/>
    <cellStyle name="Milliers 2 2 4 3 2 3 3 2" xfId="13987"/>
    <cellStyle name="Milliers 2 2 4 3 2 3 4" xfId="9667"/>
    <cellStyle name="Milliers 2 2 4 3 2 4" xfId="1747"/>
    <cellStyle name="Milliers 2 2 4 3 2 4 2" xfId="3907"/>
    <cellStyle name="Milliers 2 2 4 3 2 4 2 2" xfId="8227"/>
    <cellStyle name="Milliers 2 2 4 3 2 4 2 2 2" xfId="16867"/>
    <cellStyle name="Milliers 2 2 4 3 2 4 2 3" xfId="12547"/>
    <cellStyle name="Milliers 2 2 4 3 2 4 3" xfId="6067"/>
    <cellStyle name="Milliers 2 2 4 3 2 4 3 2" xfId="14707"/>
    <cellStyle name="Milliers 2 2 4 3 2 4 4" xfId="10387"/>
    <cellStyle name="Milliers 2 2 4 3 2 5" xfId="2467"/>
    <cellStyle name="Milliers 2 2 4 3 2 5 2" xfId="6787"/>
    <cellStyle name="Milliers 2 2 4 3 2 5 2 2" xfId="15427"/>
    <cellStyle name="Milliers 2 2 4 3 2 5 3" xfId="11107"/>
    <cellStyle name="Milliers 2 2 4 3 2 6" xfId="4627"/>
    <cellStyle name="Milliers 2 2 4 3 2 6 2" xfId="13267"/>
    <cellStyle name="Milliers 2 2 4 3 2 7" xfId="8947"/>
    <cellStyle name="Milliers 2 2 4 3 3" xfId="487"/>
    <cellStyle name="Milliers 2 2 4 3 3 2" xfId="1207"/>
    <cellStyle name="Milliers 2 2 4 3 3 2 2" xfId="3367"/>
    <cellStyle name="Milliers 2 2 4 3 3 2 2 2" xfId="7687"/>
    <cellStyle name="Milliers 2 2 4 3 3 2 2 2 2" xfId="16327"/>
    <cellStyle name="Milliers 2 2 4 3 3 2 2 3" xfId="12007"/>
    <cellStyle name="Milliers 2 2 4 3 3 2 3" xfId="5527"/>
    <cellStyle name="Milliers 2 2 4 3 3 2 3 2" xfId="14167"/>
    <cellStyle name="Milliers 2 2 4 3 3 2 4" xfId="9847"/>
    <cellStyle name="Milliers 2 2 4 3 3 3" xfId="1927"/>
    <cellStyle name="Milliers 2 2 4 3 3 3 2" xfId="4087"/>
    <cellStyle name="Milliers 2 2 4 3 3 3 2 2" xfId="8407"/>
    <cellStyle name="Milliers 2 2 4 3 3 3 2 2 2" xfId="17047"/>
    <cellStyle name="Milliers 2 2 4 3 3 3 2 3" xfId="12727"/>
    <cellStyle name="Milliers 2 2 4 3 3 3 3" xfId="6247"/>
    <cellStyle name="Milliers 2 2 4 3 3 3 3 2" xfId="14887"/>
    <cellStyle name="Milliers 2 2 4 3 3 3 4" xfId="10567"/>
    <cellStyle name="Milliers 2 2 4 3 3 4" xfId="2647"/>
    <cellStyle name="Milliers 2 2 4 3 3 4 2" xfId="6967"/>
    <cellStyle name="Milliers 2 2 4 3 3 4 2 2" xfId="15607"/>
    <cellStyle name="Milliers 2 2 4 3 3 4 3" xfId="11287"/>
    <cellStyle name="Milliers 2 2 4 3 3 5" xfId="4807"/>
    <cellStyle name="Milliers 2 2 4 3 3 5 2" xfId="13447"/>
    <cellStyle name="Milliers 2 2 4 3 3 6" xfId="9127"/>
    <cellStyle name="Milliers 2 2 4 3 4" xfId="847"/>
    <cellStyle name="Milliers 2 2 4 3 4 2" xfId="3007"/>
    <cellStyle name="Milliers 2 2 4 3 4 2 2" xfId="7327"/>
    <cellStyle name="Milliers 2 2 4 3 4 2 2 2" xfId="15967"/>
    <cellStyle name="Milliers 2 2 4 3 4 2 3" xfId="11647"/>
    <cellStyle name="Milliers 2 2 4 3 4 3" xfId="5167"/>
    <cellStyle name="Milliers 2 2 4 3 4 3 2" xfId="13807"/>
    <cellStyle name="Milliers 2 2 4 3 4 4" xfId="9487"/>
    <cellStyle name="Milliers 2 2 4 3 5" xfId="1567"/>
    <cellStyle name="Milliers 2 2 4 3 5 2" xfId="3727"/>
    <cellStyle name="Milliers 2 2 4 3 5 2 2" xfId="8047"/>
    <cellStyle name="Milliers 2 2 4 3 5 2 2 2" xfId="16687"/>
    <cellStyle name="Milliers 2 2 4 3 5 2 3" xfId="12367"/>
    <cellStyle name="Milliers 2 2 4 3 5 3" xfId="5887"/>
    <cellStyle name="Milliers 2 2 4 3 5 3 2" xfId="14527"/>
    <cellStyle name="Milliers 2 2 4 3 5 4" xfId="10207"/>
    <cellStyle name="Milliers 2 2 4 3 6" xfId="2287"/>
    <cellStyle name="Milliers 2 2 4 3 6 2" xfId="6607"/>
    <cellStyle name="Milliers 2 2 4 3 6 2 2" xfId="15247"/>
    <cellStyle name="Milliers 2 2 4 3 6 3" xfId="10927"/>
    <cellStyle name="Milliers 2 2 4 3 7" xfId="4447"/>
    <cellStyle name="Milliers 2 2 4 3 7 2" xfId="13087"/>
    <cellStyle name="Milliers 2 2 4 3 8" xfId="8767"/>
    <cellStyle name="Milliers 2 2 4 4" xfId="217"/>
    <cellStyle name="Milliers 2 2 4 4 2" xfId="577"/>
    <cellStyle name="Milliers 2 2 4 4 2 2" xfId="1297"/>
    <cellStyle name="Milliers 2 2 4 4 2 2 2" xfId="3457"/>
    <cellStyle name="Milliers 2 2 4 4 2 2 2 2" xfId="7777"/>
    <cellStyle name="Milliers 2 2 4 4 2 2 2 2 2" xfId="16417"/>
    <cellStyle name="Milliers 2 2 4 4 2 2 2 3" xfId="12097"/>
    <cellStyle name="Milliers 2 2 4 4 2 2 3" xfId="5617"/>
    <cellStyle name="Milliers 2 2 4 4 2 2 3 2" xfId="14257"/>
    <cellStyle name="Milliers 2 2 4 4 2 2 4" xfId="9937"/>
    <cellStyle name="Milliers 2 2 4 4 2 3" xfId="2017"/>
    <cellStyle name="Milliers 2 2 4 4 2 3 2" xfId="4177"/>
    <cellStyle name="Milliers 2 2 4 4 2 3 2 2" xfId="8497"/>
    <cellStyle name="Milliers 2 2 4 4 2 3 2 2 2" xfId="17137"/>
    <cellStyle name="Milliers 2 2 4 4 2 3 2 3" xfId="12817"/>
    <cellStyle name="Milliers 2 2 4 4 2 3 3" xfId="6337"/>
    <cellStyle name="Milliers 2 2 4 4 2 3 3 2" xfId="14977"/>
    <cellStyle name="Milliers 2 2 4 4 2 3 4" xfId="10657"/>
    <cellStyle name="Milliers 2 2 4 4 2 4" xfId="2737"/>
    <cellStyle name="Milliers 2 2 4 4 2 4 2" xfId="7057"/>
    <cellStyle name="Milliers 2 2 4 4 2 4 2 2" xfId="15697"/>
    <cellStyle name="Milliers 2 2 4 4 2 4 3" xfId="11377"/>
    <cellStyle name="Milliers 2 2 4 4 2 5" xfId="4897"/>
    <cellStyle name="Milliers 2 2 4 4 2 5 2" xfId="13537"/>
    <cellStyle name="Milliers 2 2 4 4 2 6" xfId="9217"/>
    <cellStyle name="Milliers 2 2 4 4 3" xfId="937"/>
    <cellStyle name="Milliers 2 2 4 4 3 2" xfId="3097"/>
    <cellStyle name="Milliers 2 2 4 4 3 2 2" xfId="7417"/>
    <cellStyle name="Milliers 2 2 4 4 3 2 2 2" xfId="16057"/>
    <cellStyle name="Milliers 2 2 4 4 3 2 3" xfId="11737"/>
    <cellStyle name="Milliers 2 2 4 4 3 3" xfId="5257"/>
    <cellStyle name="Milliers 2 2 4 4 3 3 2" xfId="13897"/>
    <cellStyle name="Milliers 2 2 4 4 3 4" xfId="9577"/>
    <cellStyle name="Milliers 2 2 4 4 4" xfId="1657"/>
    <cellStyle name="Milliers 2 2 4 4 4 2" xfId="3817"/>
    <cellStyle name="Milliers 2 2 4 4 4 2 2" xfId="8137"/>
    <cellStyle name="Milliers 2 2 4 4 4 2 2 2" xfId="16777"/>
    <cellStyle name="Milliers 2 2 4 4 4 2 3" xfId="12457"/>
    <cellStyle name="Milliers 2 2 4 4 4 3" xfId="5977"/>
    <cellStyle name="Milliers 2 2 4 4 4 3 2" xfId="14617"/>
    <cellStyle name="Milliers 2 2 4 4 4 4" xfId="10297"/>
    <cellStyle name="Milliers 2 2 4 4 5" xfId="2377"/>
    <cellStyle name="Milliers 2 2 4 4 5 2" xfId="6697"/>
    <cellStyle name="Milliers 2 2 4 4 5 2 2" xfId="15337"/>
    <cellStyle name="Milliers 2 2 4 4 5 3" xfId="11017"/>
    <cellStyle name="Milliers 2 2 4 4 6" xfId="4537"/>
    <cellStyle name="Milliers 2 2 4 4 6 2" xfId="13177"/>
    <cellStyle name="Milliers 2 2 4 4 7" xfId="8857"/>
    <cellStyle name="Milliers 2 2 4 5" xfId="397"/>
    <cellStyle name="Milliers 2 2 4 5 2" xfId="1117"/>
    <cellStyle name="Milliers 2 2 4 5 2 2" xfId="3277"/>
    <cellStyle name="Milliers 2 2 4 5 2 2 2" xfId="7597"/>
    <cellStyle name="Milliers 2 2 4 5 2 2 2 2" xfId="16237"/>
    <cellStyle name="Milliers 2 2 4 5 2 2 3" xfId="11917"/>
    <cellStyle name="Milliers 2 2 4 5 2 3" xfId="5437"/>
    <cellStyle name="Milliers 2 2 4 5 2 3 2" xfId="14077"/>
    <cellStyle name="Milliers 2 2 4 5 2 4" xfId="9757"/>
    <cellStyle name="Milliers 2 2 4 5 3" xfId="1837"/>
    <cellStyle name="Milliers 2 2 4 5 3 2" xfId="3997"/>
    <cellStyle name="Milliers 2 2 4 5 3 2 2" xfId="8317"/>
    <cellStyle name="Milliers 2 2 4 5 3 2 2 2" xfId="16957"/>
    <cellStyle name="Milliers 2 2 4 5 3 2 3" xfId="12637"/>
    <cellStyle name="Milliers 2 2 4 5 3 3" xfId="6157"/>
    <cellStyle name="Milliers 2 2 4 5 3 3 2" xfId="14797"/>
    <cellStyle name="Milliers 2 2 4 5 3 4" xfId="10477"/>
    <cellStyle name="Milliers 2 2 4 5 4" xfId="2557"/>
    <cellStyle name="Milliers 2 2 4 5 4 2" xfId="6877"/>
    <cellStyle name="Milliers 2 2 4 5 4 2 2" xfId="15517"/>
    <cellStyle name="Milliers 2 2 4 5 4 3" xfId="11197"/>
    <cellStyle name="Milliers 2 2 4 5 5" xfId="4717"/>
    <cellStyle name="Milliers 2 2 4 5 5 2" xfId="13357"/>
    <cellStyle name="Milliers 2 2 4 5 6" xfId="9037"/>
    <cellStyle name="Milliers 2 2 4 6" xfId="757"/>
    <cellStyle name="Milliers 2 2 4 6 2" xfId="2917"/>
    <cellStyle name="Milliers 2 2 4 6 2 2" xfId="7237"/>
    <cellStyle name="Milliers 2 2 4 6 2 2 2" xfId="15877"/>
    <cellStyle name="Milliers 2 2 4 6 2 3" xfId="11557"/>
    <cellStyle name="Milliers 2 2 4 6 3" xfId="5077"/>
    <cellStyle name="Milliers 2 2 4 6 3 2" xfId="13717"/>
    <cellStyle name="Milliers 2 2 4 6 4" xfId="9397"/>
    <cellStyle name="Milliers 2 2 4 7" xfId="1477"/>
    <cellStyle name="Milliers 2 2 4 7 2" xfId="3637"/>
    <cellStyle name="Milliers 2 2 4 7 2 2" xfId="7957"/>
    <cellStyle name="Milliers 2 2 4 7 2 2 2" xfId="16597"/>
    <cellStyle name="Milliers 2 2 4 7 2 3" xfId="12277"/>
    <cellStyle name="Milliers 2 2 4 7 3" xfId="5797"/>
    <cellStyle name="Milliers 2 2 4 7 3 2" xfId="14437"/>
    <cellStyle name="Milliers 2 2 4 7 4" xfId="10117"/>
    <cellStyle name="Milliers 2 2 4 8" xfId="2197"/>
    <cellStyle name="Milliers 2 2 4 8 2" xfId="6517"/>
    <cellStyle name="Milliers 2 2 4 8 2 2" xfId="15157"/>
    <cellStyle name="Milliers 2 2 4 8 3" xfId="10837"/>
    <cellStyle name="Milliers 2 2 4 9" xfId="4357"/>
    <cellStyle name="Milliers 2 2 4 9 2" xfId="12997"/>
    <cellStyle name="Milliers 2 2 5" xfId="52"/>
    <cellStyle name="Milliers 2 2 5 2" xfId="142"/>
    <cellStyle name="Milliers 2 2 5 2 2" xfId="322"/>
    <cellStyle name="Milliers 2 2 5 2 2 2" xfId="682"/>
    <cellStyle name="Milliers 2 2 5 2 2 2 2" xfId="1402"/>
    <cellStyle name="Milliers 2 2 5 2 2 2 2 2" xfId="3562"/>
    <cellStyle name="Milliers 2 2 5 2 2 2 2 2 2" xfId="7882"/>
    <cellStyle name="Milliers 2 2 5 2 2 2 2 2 2 2" xfId="16522"/>
    <cellStyle name="Milliers 2 2 5 2 2 2 2 2 3" xfId="12202"/>
    <cellStyle name="Milliers 2 2 5 2 2 2 2 3" xfId="5722"/>
    <cellStyle name="Milliers 2 2 5 2 2 2 2 3 2" xfId="14362"/>
    <cellStyle name="Milliers 2 2 5 2 2 2 2 4" xfId="10042"/>
    <cellStyle name="Milliers 2 2 5 2 2 2 3" xfId="2122"/>
    <cellStyle name="Milliers 2 2 5 2 2 2 3 2" xfId="4282"/>
    <cellStyle name="Milliers 2 2 5 2 2 2 3 2 2" xfId="8602"/>
    <cellStyle name="Milliers 2 2 5 2 2 2 3 2 2 2" xfId="17242"/>
    <cellStyle name="Milliers 2 2 5 2 2 2 3 2 3" xfId="12922"/>
    <cellStyle name="Milliers 2 2 5 2 2 2 3 3" xfId="6442"/>
    <cellStyle name="Milliers 2 2 5 2 2 2 3 3 2" xfId="15082"/>
    <cellStyle name="Milliers 2 2 5 2 2 2 3 4" xfId="10762"/>
    <cellStyle name="Milliers 2 2 5 2 2 2 4" xfId="2842"/>
    <cellStyle name="Milliers 2 2 5 2 2 2 4 2" xfId="7162"/>
    <cellStyle name="Milliers 2 2 5 2 2 2 4 2 2" xfId="15802"/>
    <cellStyle name="Milliers 2 2 5 2 2 2 4 3" xfId="11482"/>
    <cellStyle name="Milliers 2 2 5 2 2 2 5" xfId="5002"/>
    <cellStyle name="Milliers 2 2 5 2 2 2 5 2" xfId="13642"/>
    <cellStyle name="Milliers 2 2 5 2 2 2 6" xfId="9322"/>
    <cellStyle name="Milliers 2 2 5 2 2 3" xfId="1042"/>
    <cellStyle name="Milliers 2 2 5 2 2 3 2" xfId="3202"/>
    <cellStyle name="Milliers 2 2 5 2 2 3 2 2" xfId="7522"/>
    <cellStyle name="Milliers 2 2 5 2 2 3 2 2 2" xfId="16162"/>
    <cellStyle name="Milliers 2 2 5 2 2 3 2 3" xfId="11842"/>
    <cellStyle name="Milliers 2 2 5 2 2 3 3" xfId="5362"/>
    <cellStyle name="Milliers 2 2 5 2 2 3 3 2" xfId="14002"/>
    <cellStyle name="Milliers 2 2 5 2 2 3 4" xfId="9682"/>
    <cellStyle name="Milliers 2 2 5 2 2 4" xfId="1762"/>
    <cellStyle name="Milliers 2 2 5 2 2 4 2" xfId="3922"/>
    <cellStyle name="Milliers 2 2 5 2 2 4 2 2" xfId="8242"/>
    <cellStyle name="Milliers 2 2 5 2 2 4 2 2 2" xfId="16882"/>
    <cellStyle name="Milliers 2 2 5 2 2 4 2 3" xfId="12562"/>
    <cellStyle name="Milliers 2 2 5 2 2 4 3" xfId="6082"/>
    <cellStyle name="Milliers 2 2 5 2 2 4 3 2" xfId="14722"/>
    <cellStyle name="Milliers 2 2 5 2 2 4 4" xfId="10402"/>
    <cellStyle name="Milliers 2 2 5 2 2 5" xfId="2482"/>
    <cellStyle name="Milliers 2 2 5 2 2 5 2" xfId="6802"/>
    <cellStyle name="Milliers 2 2 5 2 2 5 2 2" xfId="15442"/>
    <cellStyle name="Milliers 2 2 5 2 2 5 3" xfId="11122"/>
    <cellStyle name="Milliers 2 2 5 2 2 6" xfId="4642"/>
    <cellStyle name="Milliers 2 2 5 2 2 6 2" xfId="13282"/>
    <cellStyle name="Milliers 2 2 5 2 2 7" xfId="8962"/>
    <cellStyle name="Milliers 2 2 5 2 3" xfId="502"/>
    <cellStyle name="Milliers 2 2 5 2 3 2" xfId="1222"/>
    <cellStyle name="Milliers 2 2 5 2 3 2 2" xfId="3382"/>
    <cellStyle name="Milliers 2 2 5 2 3 2 2 2" xfId="7702"/>
    <cellStyle name="Milliers 2 2 5 2 3 2 2 2 2" xfId="16342"/>
    <cellStyle name="Milliers 2 2 5 2 3 2 2 3" xfId="12022"/>
    <cellStyle name="Milliers 2 2 5 2 3 2 3" xfId="5542"/>
    <cellStyle name="Milliers 2 2 5 2 3 2 3 2" xfId="14182"/>
    <cellStyle name="Milliers 2 2 5 2 3 2 4" xfId="9862"/>
    <cellStyle name="Milliers 2 2 5 2 3 3" xfId="1942"/>
    <cellStyle name="Milliers 2 2 5 2 3 3 2" xfId="4102"/>
    <cellStyle name="Milliers 2 2 5 2 3 3 2 2" xfId="8422"/>
    <cellStyle name="Milliers 2 2 5 2 3 3 2 2 2" xfId="17062"/>
    <cellStyle name="Milliers 2 2 5 2 3 3 2 3" xfId="12742"/>
    <cellStyle name="Milliers 2 2 5 2 3 3 3" xfId="6262"/>
    <cellStyle name="Milliers 2 2 5 2 3 3 3 2" xfId="14902"/>
    <cellStyle name="Milliers 2 2 5 2 3 3 4" xfId="10582"/>
    <cellStyle name="Milliers 2 2 5 2 3 4" xfId="2662"/>
    <cellStyle name="Milliers 2 2 5 2 3 4 2" xfId="6982"/>
    <cellStyle name="Milliers 2 2 5 2 3 4 2 2" xfId="15622"/>
    <cellStyle name="Milliers 2 2 5 2 3 4 3" xfId="11302"/>
    <cellStyle name="Milliers 2 2 5 2 3 5" xfId="4822"/>
    <cellStyle name="Milliers 2 2 5 2 3 5 2" xfId="13462"/>
    <cellStyle name="Milliers 2 2 5 2 3 6" xfId="9142"/>
    <cellStyle name="Milliers 2 2 5 2 4" xfId="862"/>
    <cellStyle name="Milliers 2 2 5 2 4 2" xfId="3022"/>
    <cellStyle name="Milliers 2 2 5 2 4 2 2" xfId="7342"/>
    <cellStyle name="Milliers 2 2 5 2 4 2 2 2" xfId="15982"/>
    <cellStyle name="Milliers 2 2 5 2 4 2 3" xfId="11662"/>
    <cellStyle name="Milliers 2 2 5 2 4 3" xfId="5182"/>
    <cellStyle name="Milliers 2 2 5 2 4 3 2" xfId="13822"/>
    <cellStyle name="Milliers 2 2 5 2 4 4" xfId="9502"/>
    <cellStyle name="Milliers 2 2 5 2 5" xfId="1582"/>
    <cellStyle name="Milliers 2 2 5 2 5 2" xfId="3742"/>
    <cellStyle name="Milliers 2 2 5 2 5 2 2" xfId="8062"/>
    <cellStyle name="Milliers 2 2 5 2 5 2 2 2" xfId="16702"/>
    <cellStyle name="Milliers 2 2 5 2 5 2 3" xfId="12382"/>
    <cellStyle name="Milliers 2 2 5 2 5 3" xfId="5902"/>
    <cellStyle name="Milliers 2 2 5 2 5 3 2" xfId="14542"/>
    <cellStyle name="Milliers 2 2 5 2 5 4" xfId="10222"/>
    <cellStyle name="Milliers 2 2 5 2 6" xfId="2302"/>
    <cellStyle name="Milliers 2 2 5 2 6 2" xfId="6622"/>
    <cellStyle name="Milliers 2 2 5 2 6 2 2" xfId="15262"/>
    <cellStyle name="Milliers 2 2 5 2 6 3" xfId="10942"/>
    <cellStyle name="Milliers 2 2 5 2 7" xfId="4462"/>
    <cellStyle name="Milliers 2 2 5 2 7 2" xfId="13102"/>
    <cellStyle name="Milliers 2 2 5 2 8" xfId="8782"/>
    <cellStyle name="Milliers 2 2 5 3" xfId="232"/>
    <cellStyle name="Milliers 2 2 5 3 2" xfId="592"/>
    <cellStyle name="Milliers 2 2 5 3 2 2" xfId="1312"/>
    <cellStyle name="Milliers 2 2 5 3 2 2 2" xfId="3472"/>
    <cellStyle name="Milliers 2 2 5 3 2 2 2 2" xfId="7792"/>
    <cellStyle name="Milliers 2 2 5 3 2 2 2 2 2" xfId="16432"/>
    <cellStyle name="Milliers 2 2 5 3 2 2 2 3" xfId="12112"/>
    <cellStyle name="Milliers 2 2 5 3 2 2 3" xfId="5632"/>
    <cellStyle name="Milliers 2 2 5 3 2 2 3 2" xfId="14272"/>
    <cellStyle name="Milliers 2 2 5 3 2 2 4" xfId="9952"/>
    <cellStyle name="Milliers 2 2 5 3 2 3" xfId="2032"/>
    <cellStyle name="Milliers 2 2 5 3 2 3 2" xfId="4192"/>
    <cellStyle name="Milliers 2 2 5 3 2 3 2 2" xfId="8512"/>
    <cellStyle name="Milliers 2 2 5 3 2 3 2 2 2" xfId="17152"/>
    <cellStyle name="Milliers 2 2 5 3 2 3 2 3" xfId="12832"/>
    <cellStyle name="Milliers 2 2 5 3 2 3 3" xfId="6352"/>
    <cellStyle name="Milliers 2 2 5 3 2 3 3 2" xfId="14992"/>
    <cellStyle name="Milliers 2 2 5 3 2 3 4" xfId="10672"/>
    <cellStyle name="Milliers 2 2 5 3 2 4" xfId="2752"/>
    <cellStyle name="Milliers 2 2 5 3 2 4 2" xfId="7072"/>
    <cellStyle name="Milliers 2 2 5 3 2 4 2 2" xfId="15712"/>
    <cellStyle name="Milliers 2 2 5 3 2 4 3" xfId="11392"/>
    <cellStyle name="Milliers 2 2 5 3 2 5" xfId="4912"/>
    <cellStyle name="Milliers 2 2 5 3 2 5 2" xfId="13552"/>
    <cellStyle name="Milliers 2 2 5 3 2 6" xfId="9232"/>
    <cellStyle name="Milliers 2 2 5 3 3" xfId="952"/>
    <cellStyle name="Milliers 2 2 5 3 3 2" xfId="3112"/>
    <cellStyle name="Milliers 2 2 5 3 3 2 2" xfId="7432"/>
    <cellStyle name="Milliers 2 2 5 3 3 2 2 2" xfId="16072"/>
    <cellStyle name="Milliers 2 2 5 3 3 2 3" xfId="11752"/>
    <cellStyle name="Milliers 2 2 5 3 3 3" xfId="5272"/>
    <cellStyle name="Milliers 2 2 5 3 3 3 2" xfId="13912"/>
    <cellStyle name="Milliers 2 2 5 3 3 4" xfId="9592"/>
    <cellStyle name="Milliers 2 2 5 3 4" xfId="1672"/>
    <cellStyle name="Milliers 2 2 5 3 4 2" xfId="3832"/>
    <cellStyle name="Milliers 2 2 5 3 4 2 2" xfId="8152"/>
    <cellStyle name="Milliers 2 2 5 3 4 2 2 2" xfId="16792"/>
    <cellStyle name="Milliers 2 2 5 3 4 2 3" xfId="12472"/>
    <cellStyle name="Milliers 2 2 5 3 4 3" xfId="5992"/>
    <cellStyle name="Milliers 2 2 5 3 4 3 2" xfId="14632"/>
    <cellStyle name="Milliers 2 2 5 3 4 4" xfId="10312"/>
    <cellStyle name="Milliers 2 2 5 3 5" xfId="2392"/>
    <cellStyle name="Milliers 2 2 5 3 5 2" xfId="6712"/>
    <cellStyle name="Milliers 2 2 5 3 5 2 2" xfId="15352"/>
    <cellStyle name="Milliers 2 2 5 3 5 3" xfId="11032"/>
    <cellStyle name="Milliers 2 2 5 3 6" xfId="4552"/>
    <cellStyle name="Milliers 2 2 5 3 6 2" xfId="13192"/>
    <cellStyle name="Milliers 2 2 5 3 7" xfId="8872"/>
    <cellStyle name="Milliers 2 2 5 4" xfId="412"/>
    <cellStyle name="Milliers 2 2 5 4 2" xfId="1132"/>
    <cellStyle name="Milliers 2 2 5 4 2 2" xfId="3292"/>
    <cellStyle name="Milliers 2 2 5 4 2 2 2" xfId="7612"/>
    <cellStyle name="Milliers 2 2 5 4 2 2 2 2" xfId="16252"/>
    <cellStyle name="Milliers 2 2 5 4 2 2 3" xfId="11932"/>
    <cellStyle name="Milliers 2 2 5 4 2 3" xfId="5452"/>
    <cellStyle name="Milliers 2 2 5 4 2 3 2" xfId="14092"/>
    <cellStyle name="Milliers 2 2 5 4 2 4" xfId="9772"/>
    <cellStyle name="Milliers 2 2 5 4 3" xfId="1852"/>
    <cellStyle name="Milliers 2 2 5 4 3 2" xfId="4012"/>
    <cellStyle name="Milliers 2 2 5 4 3 2 2" xfId="8332"/>
    <cellStyle name="Milliers 2 2 5 4 3 2 2 2" xfId="16972"/>
    <cellStyle name="Milliers 2 2 5 4 3 2 3" xfId="12652"/>
    <cellStyle name="Milliers 2 2 5 4 3 3" xfId="6172"/>
    <cellStyle name="Milliers 2 2 5 4 3 3 2" xfId="14812"/>
    <cellStyle name="Milliers 2 2 5 4 3 4" xfId="10492"/>
    <cellStyle name="Milliers 2 2 5 4 4" xfId="2572"/>
    <cellStyle name="Milliers 2 2 5 4 4 2" xfId="6892"/>
    <cellStyle name="Milliers 2 2 5 4 4 2 2" xfId="15532"/>
    <cellStyle name="Milliers 2 2 5 4 4 3" xfId="11212"/>
    <cellStyle name="Milliers 2 2 5 4 5" xfId="4732"/>
    <cellStyle name="Milliers 2 2 5 4 5 2" xfId="13372"/>
    <cellStyle name="Milliers 2 2 5 4 6" xfId="9052"/>
    <cellStyle name="Milliers 2 2 5 5" xfId="772"/>
    <cellStyle name="Milliers 2 2 5 5 2" xfId="2932"/>
    <cellStyle name="Milliers 2 2 5 5 2 2" xfId="7252"/>
    <cellStyle name="Milliers 2 2 5 5 2 2 2" xfId="15892"/>
    <cellStyle name="Milliers 2 2 5 5 2 3" xfId="11572"/>
    <cellStyle name="Milliers 2 2 5 5 3" xfId="5092"/>
    <cellStyle name="Milliers 2 2 5 5 3 2" xfId="13732"/>
    <cellStyle name="Milliers 2 2 5 5 4" xfId="9412"/>
    <cellStyle name="Milliers 2 2 5 6" xfId="1492"/>
    <cellStyle name="Milliers 2 2 5 6 2" xfId="3652"/>
    <cellStyle name="Milliers 2 2 5 6 2 2" xfId="7972"/>
    <cellStyle name="Milliers 2 2 5 6 2 2 2" xfId="16612"/>
    <cellStyle name="Milliers 2 2 5 6 2 3" xfId="12292"/>
    <cellStyle name="Milliers 2 2 5 6 3" xfId="5812"/>
    <cellStyle name="Milliers 2 2 5 6 3 2" xfId="14452"/>
    <cellStyle name="Milliers 2 2 5 6 4" xfId="10132"/>
    <cellStyle name="Milliers 2 2 5 7" xfId="2212"/>
    <cellStyle name="Milliers 2 2 5 7 2" xfId="6532"/>
    <cellStyle name="Milliers 2 2 5 7 2 2" xfId="15172"/>
    <cellStyle name="Milliers 2 2 5 7 3" xfId="10852"/>
    <cellStyle name="Milliers 2 2 5 8" xfId="4372"/>
    <cellStyle name="Milliers 2 2 5 8 2" xfId="13012"/>
    <cellStyle name="Milliers 2 2 5 9" xfId="8692"/>
    <cellStyle name="Milliers 2 2 6" xfId="97"/>
    <cellStyle name="Milliers 2 2 6 2" xfId="277"/>
    <cellStyle name="Milliers 2 2 6 2 2" xfId="637"/>
    <cellStyle name="Milliers 2 2 6 2 2 2" xfId="1357"/>
    <cellStyle name="Milliers 2 2 6 2 2 2 2" xfId="3517"/>
    <cellStyle name="Milliers 2 2 6 2 2 2 2 2" xfId="7837"/>
    <cellStyle name="Milliers 2 2 6 2 2 2 2 2 2" xfId="16477"/>
    <cellStyle name="Milliers 2 2 6 2 2 2 2 3" xfId="12157"/>
    <cellStyle name="Milliers 2 2 6 2 2 2 3" xfId="5677"/>
    <cellStyle name="Milliers 2 2 6 2 2 2 3 2" xfId="14317"/>
    <cellStyle name="Milliers 2 2 6 2 2 2 4" xfId="9997"/>
    <cellStyle name="Milliers 2 2 6 2 2 3" xfId="2077"/>
    <cellStyle name="Milliers 2 2 6 2 2 3 2" xfId="4237"/>
    <cellStyle name="Milliers 2 2 6 2 2 3 2 2" xfId="8557"/>
    <cellStyle name="Milliers 2 2 6 2 2 3 2 2 2" xfId="17197"/>
    <cellStyle name="Milliers 2 2 6 2 2 3 2 3" xfId="12877"/>
    <cellStyle name="Milliers 2 2 6 2 2 3 3" xfId="6397"/>
    <cellStyle name="Milliers 2 2 6 2 2 3 3 2" xfId="15037"/>
    <cellStyle name="Milliers 2 2 6 2 2 3 4" xfId="10717"/>
    <cellStyle name="Milliers 2 2 6 2 2 4" xfId="2797"/>
    <cellStyle name="Milliers 2 2 6 2 2 4 2" xfId="7117"/>
    <cellStyle name="Milliers 2 2 6 2 2 4 2 2" xfId="15757"/>
    <cellStyle name="Milliers 2 2 6 2 2 4 3" xfId="11437"/>
    <cellStyle name="Milliers 2 2 6 2 2 5" xfId="4957"/>
    <cellStyle name="Milliers 2 2 6 2 2 5 2" xfId="13597"/>
    <cellStyle name="Milliers 2 2 6 2 2 6" xfId="9277"/>
    <cellStyle name="Milliers 2 2 6 2 3" xfId="997"/>
    <cellStyle name="Milliers 2 2 6 2 3 2" xfId="3157"/>
    <cellStyle name="Milliers 2 2 6 2 3 2 2" xfId="7477"/>
    <cellStyle name="Milliers 2 2 6 2 3 2 2 2" xfId="16117"/>
    <cellStyle name="Milliers 2 2 6 2 3 2 3" xfId="11797"/>
    <cellStyle name="Milliers 2 2 6 2 3 3" xfId="5317"/>
    <cellStyle name="Milliers 2 2 6 2 3 3 2" xfId="13957"/>
    <cellStyle name="Milliers 2 2 6 2 3 4" xfId="9637"/>
    <cellStyle name="Milliers 2 2 6 2 4" xfId="1717"/>
    <cellStyle name="Milliers 2 2 6 2 4 2" xfId="3877"/>
    <cellStyle name="Milliers 2 2 6 2 4 2 2" xfId="8197"/>
    <cellStyle name="Milliers 2 2 6 2 4 2 2 2" xfId="16837"/>
    <cellStyle name="Milliers 2 2 6 2 4 2 3" xfId="12517"/>
    <cellStyle name="Milliers 2 2 6 2 4 3" xfId="6037"/>
    <cellStyle name="Milliers 2 2 6 2 4 3 2" xfId="14677"/>
    <cellStyle name="Milliers 2 2 6 2 4 4" xfId="10357"/>
    <cellStyle name="Milliers 2 2 6 2 5" xfId="2437"/>
    <cellStyle name="Milliers 2 2 6 2 5 2" xfId="6757"/>
    <cellStyle name="Milliers 2 2 6 2 5 2 2" xfId="15397"/>
    <cellStyle name="Milliers 2 2 6 2 5 3" xfId="11077"/>
    <cellStyle name="Milliers 2 2 6 2 6" xfId="4597"/>
    <cellStyle name="Milliers 2 2 6 2 6 2" xfId="13237"/>
    <cellStyle name="Milliers 2 2 6 2 7" xfId="8917"/>
    <cellStyle name="Milliers 2 2 6 3" xfId="457"/>
    <cellStyle name="Milliers 2 2 6 3 2" xfId="1177"/>
    <cellStyle name="Milliers 2 2 6 3 2 2" xfId="3337"/>
    <cellStyle name="Milliers 2 2 6 3 2 2 2" xfId="7657"/>
    <cellStyle name="Milliers 2 2 6 3 2 2 2 2" xfId="16297"/>
    <cellStyle name="Milliers 2 2 6 3 2 2 3" xfId="11977"/>
    <cellStyle name="Milliers 2 2 6 3 2 3" xfId="5497"/>
    <cellStyle name="Milliers 2 2 6 3 2 3 2" xfId="14137"/>
    <cellStyle name="Milliers 2 2 6 3 2 4" xfId="9817"/>
    <cellStyle name="Milliers 2 2 6 3 3" xfId="1897"/>
    <cellStyle name="Milliers 2 2 6 3 3 2" xfId="4057"/>
    <cellStyle name="Milliers 2 2 6 3 3 2 2" xfId="8377"/>
    <cellStyle name="Milliers 2 2 6 3 3 2 2 2" xfId="17017"/>
    <cellStyle name="Milliers 2 2 6 3 3 2 3" xfId="12697"/>
    <cellStyle name="Milliers 2 2 6 3 3 3" xfId="6217"/>
    <cellStyle name="Milliers 2 2 6 3 3 3 2" xfId="14857"/>
    <cellStyle name="Milliers 2 2 6 3 3 4" xfId="10537"/>
    <cellStyle name="Milliers 2 2 6 3 4" xfId="2617"/>
    <cellStyle name="Milliers 2 2 6 3 4 2" xfId="6937"/>
    <cellStyle name="Milliers 2 2 6 3 4 2 2" xfId="15577"/>
    <cellStyle name="Milliers 2 2 6 3 4 3" xfId="11257"/>
    <cellStyle name="Milliers 2 2 6 3 5" xfId="4777"/>
    <cellStyle name="Milliers 2 2 6 3 5 2" xfId="13417"/>
    <cellStyle name="Milliers 2 2 6 3 6" xfId="9097"/>
    <cellStyle name="Milliers 2 2 6 4" xfId="817"/>
    <cellStyle name="Milliers 2 2 6 4 2" xfId="2977"/>
    <cellStyle name="Milliers 2 2 6 4 2 2" xfId="7297"/>
    <cellStyle name="Milliers 2 2 6 4 2 2 2" xfId="15937"/>
    <cellStyle name="Milliers 2 2 6 4 2 3" xfId="11617"/>
    <cellStyle name="Milliers 2 2 6 4 3" xfId="5137"/>
    <cellStyle name="Milliers 2 2 6 4 3 2" xfId="13777"/>
    <cellStyle name="Milliers 2 2 6 4 4" xfId="9457"/>
    <cellStyle name="Milliers 2 2 6 5" xfId="1537"/>
    <cellStyle name="Milliers 2 2 6 5 2" xfId="3697"/>
    <cellStyle name="Milliers 2 2 6 5 2 2" xfId="8017"/>
    <cellStyle name="Milliers 2 2 6 5 2 2 2" xfId="16657"/>
    <cellStyle name="Milliers 2 2 6 5 2 3" xfId="12337"/>
    <cellStyle name="Milliers 2 2 6 5 3" xfId="5857"/>
    <cellStyle name="Milliers 2 2 6 5 3 2" xfId="14497"/>
    <cellStyle name="Milliers 2 2 6 5 4" xfId="10177"/>
    <cellStyle name="Milliers 2 2 6 6" xfId="2257"/>
    <cellStyle name="Milliers 2 2 6 6 2" xfId="6577"/>
    <cellStyle name="Milliers 2 2 6 6 2 2" xfId="15217"/>
    <cellStyle name="Milliers 2 2 6 6 3" xfId="10897"/>
    <cellStyle name="Milliers 2 2 6 7" xfId="4417"/>
    <cellStyle name="Milliers 2 2 6 7 2" xfId="13057"/>
    <cellStyle name="Milliers 2 2 6 8" xfId="8737"/>
    <cellStyle name="Milliers 2 2 7" xfId="187"/>
    <cellStyle name="Milliers 2 2 7 2" xfId="547"/>
    <cellStyle name="Milliers 2 2 7 2 2" xfId="1267"/>
    <cellStyle name="Milliers 2 2 7 2 2 2" xfId="3427"/>
    <cellStyle name="Milliers 2 2 7 2 2 2 2" xfId="7747"/>
    <cellStyle name="Milliers 2 2 7 2 2 2 2 2" xfId="16387"/>
    <cellStyle name="Milliers 2 2 7 2 2 2 3" xfId="12067"/>
    <cellStyle name="Milliers 2 2 7 2 2 3" xfId="5587"/>
    <cellStyle name="Milliers 2 2 7 2 2 3 2" xfId="14227"/>
    <cellStyle name="Milliers 2 2 7 2 2 4" xfId="9907"/>
    <cellStyle name="Milliers 2 2 7 2 3" xfId="1987"/>
    <cellStyle name="Milliers 2 2 7 2 3 2" xfId="4147"/>
    <cellStyle name="Milliers 2 2 7 2 3 2 2" xfId="8467"/>
    <cellStyle name="Milliers 2 2 7 2 3 2 2 2" xfId="17107"/>
    <cellStyle name="Milliers 2 2 7 2 3 2 3" xfId="12787"/>
    <cellStyle name="Milliers 2 2 7 2 3 3" xfId="6307"/>
    <cellStyle name="Milliers 2 2 7 2 3 3 2" xfId="14947"/>
    <cellStyle name="Milliers 2 2 7 2 3 4" xfId="10627"/>
    <cellStyle name="Milliers 2 2 7 2 4" xfId="2707"/>
    <cellStyle name="Milliers 2 2 7 2 4 2" xfId="7027"/>
    <cellStyle name="Milliers 2 2 7 2 4 2 2" xfId="15667"/>
    <cellStyle name="Milliers 2 2 7 2 4 3" xfId="11347"/>
    <cellStyle name="Milliers 2 2 7 2 5" xfId="4867"/>
    <cellStyle name="Milliers 2 2 7 2 5 2" xfId="13507"/>
    <cellStyle name="Milliers 2 2 7 2 6" xfId="9187"/>
    <cellStyle name="Milliers 2 2 7 3" xfId="907"/>
    <cellStyle name="Milliers 2 2 7 3 2" xfId="3067"/>
    <cellStyle name="Milliers 2 2 7 3 2 2" xfId="7387"/>
    <cellStyle name="Milliers 2 2 7 3 2 2 2" xfId="16027"/>
    <cellStyle name="Milliers 2 2 7 3 2 3" xfId="11707"/>
    <cellStyle name="Milliers 2 2 7 3 3" xfId="5227"/>
    <cellStyle name="Milliers 2 2 7 3 3 2" xfId="13867"/>
    <cellStyle name="Milliers 2 2 7 3 4" xfId="9547"/>
    <cellStyle name="Milliers 2 2 7 4" xfId="1627"/>
    <cellStyle name="Milliers 2 2 7 4 2" xfId="3787"/>
    <cellStyle name="Milliers 2 2 7 4 2 2" xfId="8107"/>
    <cellStyle name="Milliers 2 2 7 4 2 2 2" xfId="16747"/>
    <cellStyle name="Milliers 2 2 7 4 2 3" xfId="12427"/>
    <cellStyle name="Milliers 2 2 7 4 3" xfId="5947"/>
    <cellStyle name="Milliers 2 2 7 4 3 2" xfId="14587"/>
    <cellStyle name="Milliers 2 2 7 4 4" xfId="10267"/>
    <cellStyle name="Milliers 2 2 7 5" xfId="2347"/>
    <cellStyle name="Milliers 2 2 7 5 2" xfId="6667"/>
    <cellStyle name="Milliers 2 2 7 5 2 2" xfId="15307"/>
    <cellStyle name="Milliers 2 2 7 5 3" xfId="10987"/>
    <cellStyle name="Milliers 2 2 7 6" xfId="4507"/>
    <cellStyle name="Milliers 2 2 7 6 2" xfId="13147"/>
    <cellStyle name="Milliers 2 2 7 7" xfId="8827"/>
    <cellStyle name="Milliers 2 2 8" xfId="367"/>
    <cellStyle name="Milliers 2 2 8 2" xfId="1087"/>
    <cellStyle name="Milliers 2 2 8 2 2" xfId="3247"/>
    <cellStyle name="Milliers 2 2 8 2 2 2" xfId="7567"/>
    <cellStyle name="Milliers 2 2 8 2 2 2 2" xfId="16207"/>
    <cellStyle name="Milliers 2 2 8 2 2 3" xfId="11887"/>
    <cellStyle name="Milliers 2 2 8 2 3" xfId="5407"/>
    <cellStyle name="Milliers 2 2 8 2 3 2" xfId="14047"/>
    <cellStyle name="Milliers 2 2 8 2 4" xfId="9727"/>
    <cellStyle name="Milliers 2 2 8 3" xfId="1807"/>
    <cellStyle name="Milliers 2 2 8 3 2" xfId="3967"/>
    <cellStyle name="Milliers 2 2 8 3 2 2" xfId="8287"/>
    <cellStyle name="Milliers 2 2 8 3 2 2 2" xfId="16927"/>
    <cellStyle name="Milliers 2 2 8 3 2 3" xfId="12607"/>
    <cellStyle name="Milliers 2 2 8 3 3" xfId="6127"/>
    <cellStyle name="Milliers 2 2 8 3 3 2" xfId="14767"/>
    <cellStyle name="Milliers 2 2 8 3 4" xfId="10447"/>
    <cellStyle name="Milliers 2 2 8 4" xfId="2527"/>
    <cellStyle name="Milliers 2 2 8 4 2" xfId="6847"/>
    <cellStyle name="Milliers 2 2 8 4 2 2" xfId="15487"/>
    <cellStyle name="Milliers 2 2 8 4 3" xfId="11167"/>
    <cellStyle name="Milliers 2 2 8 5" xfId="4687"/>
    <cellStyle name="Milliers 2 2 8 5 2" xfId="13327"/>
    <cellStyle name="Milliers 2 2 8 6" xfId="9007"/>
    <cellStyle name="Milliers 2 2 9" xfId="727"/>
    <cellStyle name="Milliers 2 2 9 2" xfId="2887"/>
    <cellStyle name="Milliers 2 2 9 2 2" xfId="7207"/>
    <cellStyle name="Milliers 2 2 9 2 2 2" xfId="15847"/>
    <cellStyle name="Milliers 2 2 9 2 3" xfId="11527"/>
    <cellStyle name="Milliers 2 2 9 3" xfId="5047"/>
    <cellStyle name="Milliers 2 2 9 3 2" xfId="13687"/>
    <cellStyle name="Milliers 2 2 9 4" xfId="9367"/>
    <cellStyle name="Milliers 2 3" xfId="10"/>
    <cellStyle name="Milliers 2 3 10" xfId="2170"/>
    <cellStyle name="Milliers 2 3 10 2" xfId="6490"/>
    <cellStyle name="Milliers 2 3 10 2 2" xfId="15130"/>
    <cellStyle name="Milliers 2 3 10 3" xfId="10810"/>
    <cellStyle name="Milliers 2 3 11" xfId="4330"/>
    <cellStyle name="Milliers 2 3 11 2" xfId="12970"/>
    <cellStyle name="Milliers 2 3 12" xfId="8650"/>
    <cellStyle name="Milliers 2 3 2" xfId="25"/>
    <cellStyle name="Milliers 2 3 2 10" xfId="8665"/>
    <cellStyle name="Milliers 2 3 2 2" xfId="70"/>
    <cellStyle name="Milliers 2 3 2 2 2" xfId="160"/>
    <cellStyle name="Milliers 2 3 2 2 2 2" xfId="340"/>
    <cellStyle name="Milliers 2 3 2 2 2 2 2" xfId="700"/>
    <cellStyle name="Milliers 2 3 2 2 2 2 2 2" xfId="1420"/>
    <cellStyle name="Milliers 2 3 2 2 2 2 2 2 2" xfId="3580"/>
    <cellStyle name="Milliers 2 3 2 2 2 2 2 2 2 2" xfId="7900"/>
    <cellStyle name="Milliers 2 3 2 2 2 2 2 2 2 2 2" xfId="16540"/>
    <cellStyle name="Milliers 2 3 2 2 2 2 2 2 2 3" xfId="12220"/>
    <cellStyle name="Milliers 2 3 2 2 2 2 2 2 3" xfId="5740"/>
    <cellStyle name="Milliers 2 3 2 2 2 2 2 2 3 2" xfId="14380"/>
    <cellStyle name="Milliers 2 3 2 2 2 2 2 2 4" xfId="10060"/>
    <cellStyle name="Milliers 2 3 2 2 2 2 2 3" xfId="2140"/>
    <cellStyle name="Milliers 2 3 2 2 2 2 2 3 2" xfId="4300"/>
    <cellStyle name="Milliers 2 3 2 2 2 2 2 3 2 2" xfId="8620"/>
    <cellStyle name="Milliers 2 3 2 2 2 2 2 3 2 2 2" xfId="17260"/>
    <cellStyle name="Milliers 2 3 2 2 2 2 2 3 2 3" xfId="12940"/>
    <cellStyle name="Milliers 2 3 2 2 2 2 2 3 3" xfId="6460"/>
    <cellStyle name="Milliers 2 3 2 2 2 2 2 3 3 2" xfId="15100"/>
    <cellStyle name="Milliers 2 3 2 2 2 2 2 3 4" xfId="10780"/>
    <cellStyle name="Milliers 2 3 2 2 2 2 2 4" xfId="2860"/>
    <cellStyle name="Milliers 2 3 2 2 2 2 2 4 2" xfId="7180"/>
    <cellStyle name="Milliers 2 3 2 2 2 2 2 4 2 2" xfId="15820"/>
    <cellStyle name="Milliers 2 3 2 2 2 2 2 4 3" xfId="11500"/>
    <cellStyle name="Milliers 2 3 2 2 2 2 2 5" xfId="5020"/>
    <cellStyle name="Milliers 2 3 2 2 2 2 2 5 2" xfId="13660"/>
    <cellStyle name="Milliers 2 3 2 2 2 2 2 6" xfId="9340"/>
    <cellStyle name="Milliers 2 3 2 2 2 2 3" xfId="1060"/>
    <cellStyle name="Milliers 2 3 2 2 2 2 3 2" xfId="3220"/>
    <cellStyle name="Milliers 2 3 2 2 2 2 3 2 2" xfId="7540"/>
    <cellStyle name="Milliers 2 3 2 2 2 2 3 2 2 2" xfId="16180"/>
    <cellStyle name="Milliers 2 3 2 2 2 2 3 2 3" xfId="11860"/>
    <cellStyle name="Milliers 2 3 2 2 2 2 3 3" xfId="5380"/>
    <cellStyle name="Milliers 2 3 2 2 2 2 3 3 2" xfId="14020"/>
    <cellStyle name="Milliers 2 3 2 2 2 2 3 4" xfId="9700"/>
    <cellStyle name="Milliers 2 3 2 2 2 2 4" xfId="1780"/>
    <cellStyle name="Milliers 2 3 2 2 2 2 4 2" xfId="3940"/>
    <cellStyle name="Milliers 2 3 2 2 2 2 4 2 2" xfId="8260"/>
    <cellStyle name="Milliers 2 3 2 2 2 2 4 2 2 2" xfId="16900"/>
    <cellStyle name="Milliers 2 3 2 2 2 2 4 2 3" xfId="12580"/>
    <cellStyle name="Milliers 2 3 2 2 2 2 4 3" xfId="6100"/>
    <cellStyle name="Milliers 2 3 2 2 2 2 4 3 2" xfId="14740"/>
    <cellStyle name="Milliers 2 3 2 2 2 2 4 4" xfId="10420"/>
    <cellStyle name="Milliers 2 3 2 2 2 2 5" xfId="2500"/>
    <cellStyle name="Milliers 2 3 2 2 2 2 5 2" xfId="6820"/>
    <cellStyle name="Milliers 2 3 2 2 2 2 5 2 2" xfId="15460"/>
    <cellStyle name="Milliers 2 3 2 2 2 2 5 3" xfId="11140"/>
    <cellStyle name="Milliers 2 3 2 2 2 2 6" xfId="4660"/>
    <cellStyle name="Milliers 2 3 2 2 2 2 6 2" xfId="13300"/>
    <cellStyle name="Milliers 2 3 2 2 2 2 7" xfId="8980"/>
    <cellStyle name="Milliers 2 3 2 2 2 3" xfId="520"/>
    <cellStyle name="Milliers 2 3 2 2 2 3 2" xfId="1240"/>
    <cellStyle name="Milliers 2 3 2 2 2 3 2 2" xfId="3400"/>
    <cellStyle name="Milliers 2 3 2 2 2 3 2 2 2" xfId="7720"/>
    <cellStyle name="Milliers 2 3 2 2 2 3 2 2 2 2" xfId="16360"/>
    <cellStyle name="Milliers 2 3 2 2 2 3 2 2 3" xfId="12040"/>
    <cellStyle name="Milliers 2 3 2 2 2 3 2 3" xfId="5560"/>
    <cellStyle name="Milliers 2 3 2 2 2 3 2 3 2" xfId="14200"/>
    <cellStyle name="Milliers 2 3 2 2 2 3 2 4" xfId="9880"/>
    <cellStyle name="Milliers 2 3 2 2 2 3 3" xfId="1960"/>
    <cellStyle name="Milliers 2 3 2 2 2 3 3 2" xfId="4120"/>
    <cellStyle name="Milliers 2 3 2 2 2 3 3 2 2" xfId="8440"/>
    <cellStyle name="Milliers 2 3 2 2 2 3 3 2 2 2" xfId="17080"/>
    <cellStyle name="Milliers 2 3 2 2 2 3 3 2 3" xfId="12760"/>
    <cellStyle name="Milliers 2 3 2 2 2 3 3 3" xfId="6280"/>
    <cellStyle name="Milliers 2 3 2 2 2 3 3 3 2" xfId="14920"/>
    <cellStyle name="Milliers 2 3 2 2 2 3 3 4" xfId="10600"/>
    <cellStyle name="Milliers 2 3 2 2 2 3 4" xfId="2680"/>
    <cellStyle name="Milliers 2 3 2 2 2 3 4 2" xfId="7000"/>
    <cellStyle name="Milliers 2 3 2 2 2 3 4 2 2" xfId="15640"/>
    <cellStyle name="Milliers 2 3 2 2 2 3 4 3" xfId="11320"/>
    <cellStyle name="Milliers 2 3 2 2 2 3 5" xfId="4840"/>
    <cellStyle name="Milliers 2 3 2 2 2 3 5 2" xfId="13480"/>
    <cellStyle name="Milliers 2 3 2 2 2 3 6" xfId="9160"/>
    <cellStyle name="Milliers 2 3 2 2 2 4" xfId="880"/>
    <cellStyle name="Milliers 2 3 2 2 2 4 2" xfId="3040"/>
    <cellStyle name="Milliers 2 3 2 2 2 4 2 2" xfId="7360"/>
    <cellStyle name="Milliers 2 3 2 2 2 4 2 2 2" xfId="16000"/>
    <cellStyle name="Milliers 2 3 2 2 2 4 2 3" xfId="11680"/>
    <cellStyle name="Milliers 2 3 2 2 2 4 3" xfId="5200"/>
    <cellStyle name="Milliers 2 3 2 2 2 4 3 2" xfId="13840"/>
    <cellStyle name="Milliers 2 3 2 2 2 4 4" xfId="9520"/>
    <cellStyle name="Milliers 2 3 2 2 2 5" xfId="1600"/>
    <cellStyle name="Milliers 2 3 2 2 2 5 2" xfId="3760"/>
    <cellStyle name="Milliers 2 3 2 2 2 5 2 2" xfId="8080"/>
    <cellStyle name="Milliers 2 3 2 2 2 5 2 2 2" xfId="16720"/>
    <cellStyle name="Milliers 2 3 2 2 2 5 2 3" xfId="12400"/>
    <cellStyle name="Milliers 2 3 2 2 2 5 3" xfId="5920"/>
    <cellStyle name="Milliers 2 3 2 2 2 5 3 2" xfId="14560"/>
    <cellStyle name="Milliers 2 3 2 2 2 5 4" xfId="10240"/>
    <cellStyle name="Milliers 2 3 2 2 2 6" xfId="2320"/>
    <cellStyle name="Milliers 2 3 2 2 2 6 2" xfId="6640"/>
    <cellStyle name="Milliers 2 3 2 2 2 6 2 2" xfId="15280"/>
    <cellStyle name="Milliers 2 3 2 2 2 6 3" xfId="10960"/>
    <cellStyle name="Milliers 2 3 2 2 2 7" xfId="4480"/>
    <cellStyle name="Milliers 2 3 2 2 2 7 2" xfId="13120"/>
    <cellStyle name="Milliers 2 3 2 2 2 8" xfId="8800"/>
    <cellStyle name="Milliers 2 3 2 2 3" xfId="250"/>
    <cellStyle name="Milliers 2 3 2 2 3 2" xfId="610"/>
    <cellStyle name="Milliers 2 3 2 2 3 2 2" xfId="1330"/>
    <cellStyle name="Milliers 2 3 2 2 3 2 2 2" xfId="3490"/>
    <cellStyle name="Milliers 2 3 2 2 3 2 2 2 2" xfId="7810"/>
    <cellStyle name="Milliers 2 3 2 2 3 2 2 2 2 2" xfId="16450"/>
    <cellStyle name="Milliers 2 3 2 2 3 2 2 2 3" xfId="12130"/>
    <cellStyle name="Milliers 2 3 2 2 3 2 2 3" xfId="5650"/>
    <cellStyle name="Milliers 2 3 2 2 3 2 2 3 2" xfId="14290"/>
    <cellStyle name="Milliers 2 3 2 2 3 2 2 4" xfId="9970"/>
    <cellStyle name="Milliers 2 3 2 2 3 2 3" xfId="2050"/>
    <cellStyle name="Milliers 2 3 2 2 3 2 3 2" xfId="4210"/>
    <cellStyle name="Milliers 2 3 2 2 3 2 3 2 2" xfId="8530"/>
    <cellStyle name="Milliers 2 3 2 2 3 2 3 2 2 2" xfId="17170"/>
    <cellStyle name="Milliers 2 3 2 2 3 2 3 2 3" xfId="12850"/>
    <cellStyle name="Milliers 2 3 2 2 3 2 3 3" xfId="6370"/>
    <cellStyle name="Milliers 2 3 2 2 3 2 3 3 2" xfId="15010"/>
    <cellStyle name="Milliers 2 3 2 2 3 2 3 4" xfId="10690"/>
    <cellStyle name="Milliers 2 3 2 2 3 2 4" xfId="2770"/>
    <cellStyle name="Milliers 2 3 2 2 3 2 4 2" xfId="7090"/>
    <cellStyle name="Milliers 2 3 2 2 3 2 4 2 2" xfId="15730"/>
    <cellStyle name="Milliers 2 3 2 2 3 2 4 3" xfId="11410"/>
    <cellStyle name="Milliers 2 3 2 2 3 2 5" xfId="4930"/>
    <cellStyle name="Milliers 2 3 2 2 3 2 5 2" xfId="13570"/>
    <cellStyle name="Milliers 2 3 2 2 3 2 6" xfId="9250"/>
    <cellStyle name="Milliers 2 3 2 2 3 3" xfId="970"/>
    <cellStyle name="Milliers 2 3 2 2 3 3 2" xfId="3130"/>
    <cellStyle name="Milliers 2 3 2 2 3 3 2 2" xfId="7450"/>
    <cellStyle name="Milliers 2 3 2 2 3 3 2 2 2" xfId="16090"/>
    <cellStyle name="Milliers 2 3 2 2 3 3 2 3" xfId="11770"/>
    <cellStyle name="Milliers 2 3 2 2 3 3 3" xfId="5290"/>
    <cellStyle name="Milliers 2 3 2 2 3 3 3 2" xfId="13930"/>
    <cellStyle name="Milliers 2 3 2 2 3 3 4" xfId="9610"/>
    <cellStyle name="Milliers 2 3 2 2 3 4" xfId="1690"/>
    <cellStyle name="Milliers 2 3 2 2 3 4 2" xfId="3850"/>
    <cellStyle name="Milliers 2 3 2 2 3 4 2 2" xfId="8170"/>
    <cellStyle name="Milliers 2 3 2 2 3 4 2 2 2" xfId="16810"/>
    <cellStyle name="Milliers 2 3 2 2 3 4 2 3" xfId="12490"/>
    <cellStyle name="Milliers 2 3 2 2 3 4 3" xfId="6010"/>
    <cellStyle name="Milliers 2 3 2 2 3 4 3 2" xfId="14650"/>
    <cellStyle name="Milliers 2 3 2 2 3 4 4" xfId="10330"/>
    <cellStyle name="Milliers 2 3 2 2 3 5" xfId="2410"/>
    <cellStyle name="Milliers 2 3 2 2 3 5 2" xfId="6730"/>
    <cellStyle name="Milliers 2 3 2 2 3 5 2 2" xfId="15370"/>
    <cellStyle name="Milliers 2 3 2 2 3 5 3" xfId="11050"/>
    <cellStyle name="Milliers 2 3 2 2 3 6" xfId="4570"/>
    <cellStyle name="Milliers 2 3 2 2 3 6 2" xfId="13210"/>
    <cellStyle name="Milliers 2 3 2 2 3 7" xfId="8890"/>
    <cellStyle name="Milliers 2 3 2 2 4" xfId="430"/>
    <cellStyle name="Milliers 2 3 2 2 4 2" xfId="1150"/>
    <cellStyle name="Milliers 2 3 2 2 4 2 2" xfId="3310"/>
    <cellStyle name="Milliers 2 3 2 2 4 2 2 2" xfId="7630"/>
    <cellStyle name="Milliers 2 3 2 2 4 2 2 2 2" xfId="16270"/>
    <cellStyle name="Milliers 2 3 2 2 4 2 2 3" xfId="11950"/>
    <cellStyle name="Milliers 2 3 2 2 4 2 3" xfId="5470"/>
    <cellStyle name="Milliers 2 3 2 2 4 2 3 2" xfId="14110"/>
    <cellStyle name="Milliers 2 3 2 2 4 2 4" xfId="9790"/>
    <cellStyle name="Milliers 2 3 2 2 4 3" xfId="1870"/>
    <cellStyle name="Milliers 2 3 2 2 4 3 2" xfId="4030"/>
    <cellStyle name="Milliers 2 3 2 2 4 3 2 2" xfId="8350"/>
    <cellStyle name="Milliers 2 3 2 2 4 3 2 2 2" xfId="16990"/>
    <cellStyle name="Milliers 2 3 2 2 4 3 2 3" xfId="12670"/>
    <cellStyle name="Milliers 2 3 2 2 4 3 3" xfId="6190"/>
    <cellStyle name="Milliers 2 3 2 2 4 3 3 2" xfId="14830"/>
    <cellStyle name="Milliers 2 3 2 2 4 3 4" xfId="10510"/>
    <cellStyle name="Milliers 2 3 2 2 4 4" xfId="2590"/>
    <cellStyle name="Milliers 2 3 2 2 4 4 2" xfId="6910"/>
    <cellStyle name="Milliers 2 3 2 2 4 4 2 2" xfId="15550"/>
    <cellStyle name="Milliers 2 3 2 2 4 4 3" xfId="11230"/>
    <cellStyle name="Milliers 2 3 2 2 4 5" xfId="4750"/>
    <cellStyle name="Milliers 2 3 2 2 4 5 2" xfId="13390"/>
    <cellStyle name="Milliers 2 3 2 2 4 6" xfId="9070"/>
    <cellStyle name="Milliers 2 3 2 2 5" xfId="790"/>
    <cellStyle name="Milliers 2 3 2 2 5 2" xfId="2950"/>
    <cellStyle name="Milliers 2 3 2 2 5 2 2" xfId="7270"/>
    <cellStyle name="Milliers 2 3 2 2 5 2 2 2" xfId="15910"/>
    <cellStyle name="Milliers 2 3 2 2 5 2 3" xfId="11590"/>
    <cellStyle name="Milliers 2 3 2 2 5 3" xfId="5110"/>
    <cellStyle name="Milliers 2 3 2 2 5 3 2" xfId="13750"/>
    <cellStyle name="Milliers 2 3 2 2 5 4" xfId="9430"/>
    <cellStyle name="Milliers 2 3 2 2 6" xfId="1510"/>
    <cellStyle name="Milliers 2 3 2 2 6 2" xfId="3670"/>
    <cellStyle name="Milliers 2 3 2 2 6 2 2" xfId="7990"/>
    <cellStyle name="Milliers 2 3 2 2 6 2 2 2" xfId="16630"/>
    <cellStyle name="Milliers 2 3 2 2 6 2 3" xfId="12310"/>
    <cellStyle name="Milliers 2 3 2 2 6 3" xfId="5830"/>
    <cellStyle name="Milliers 2 3 2 2 6 3 2" xfId="14470"/>
    <cellStyle name="Milliers 2 3 2 2 6 4" xfId="10150"/>
    <cellStyle name="Milliers 2 3 2 2 7" xfId="2230"/>
    <cellStyle name="Milliers 2 3 2 2 7 2" xfId="6550"/>
    <cellStyle name="Milliers 2 3 2 2 7 2 2" xfId="15190"/>
    <cellStyle name="Milliers 2 3 2 2 7 3" xfId="10870"/>
    <cellStyle name="Milliers 2 3 2 2 8" xfId="4390"/>
    <cellStyle name="Milliers 2 3 2 2 8 2" xfId="13030"/>
    <cellStyle name="Milliers 2 3 2 2 9" xfId="8710"/>
    <cellStyle name="Milliers 2 3 2 3" xfId="115"/>
    <cellStyle name="Milliers 2 3 2 3 2" xfId="295"/>
    <cellStyle name="Milliers 2 3 2 3 2 2" xfId="655"/>
    <cellStyle name="Milliers 2 3 2 3 2 2 2" xfId="1375"/>
    <cellStyle name="Milliers 2 3 2 3 2 2 2 2" xfId="3535"/>
    <cellStyle name="Milliers 2 3 2 3 2 2 2 2 2" xfId="7855"/>
    <cellStyle name="Milliers 2 3 2 3 2 2 2 2 2 2" xfId="16495"/>
    <cellStyle name="Milliers 2 3 2 3 2 2 2 2 3" xfId="12175"/>
    <cellStyle name="Milliers 2 3 2 3 2 2 2 3" xfId="5695"/>
    <cellStyle name="Milliers 2 3 2 3 2 2 2 3 2" xfId="14335"/>
    <cellStyle name="Milliers 2 3 2 3 2 2 2 4" xfId="10015"/>
    <cellStyle name="Milliers 2 3 2 3 2 2 3" xfId="2095"/>
    <cellStyle name="Milliers 2 3 2 3 2 2 3 2" xfId="4255"/>
    <cellStyle name="Milliers 2 3 2 3 2 2 3 2 2" xfId="8575"/>
    <cellStyle name="Milliers 2 3 2 3 2 2 3 2 2 2" xfId="17215"/>
    <cellStyle name="Milliers 2 3 2 3 2 2 3 2 3" xfId="12895"/>
    <cellStyle name="Milliers 2 3 2 3 2 2 3 3" xfId="6415"/>
    <cellStyle name="Milliers 2 3 2 3 2 2 3 3 2" xfId="15055"/>
    <cellStyle name="Milliers 2 3 2 3 2 2 3 4" xfId="10735"/>
    <cellStyle name="Milliers 2 3 2 3 2 2 4" xfId="2815"/>
    <cellStyle name="Milliers 2 3 2 3 2 2 4 2" xfId="7135"/>
    <cellStyle name="Milliers 2 3 2 3 2 2 4 2 2" xfId="15775"/>
    <cellStyle name="Milliers 2 3 2 3 2 2 4 3" xfId="11455"/>
    <cellStyle name="Milliers 2 3 2 3 2 2 5" xfId="4975"/>
    <cellStyle name="Milliers 2 3 2 3 2 2 5 2" xfId="13615"/>
    <cellStyle name="Milliers 2 3 2 3 2 2 6" xfId="9295"/>
    <cellStyle name="Milliers 2 3 2 3 2 3" xfId="1015"/>
    <cellStyle name="Milliers 2 3 2 3 2 3 2" xfId="3175"/>
    <cellStyle name="Milliers 2 3 2 3 2 3 2 2" xfId="7495"/>
    <cellStyle name="Milliers 2 3 2 3 2 3 2 2 2" xfId="16135"/>
    <cellStyle name="Milliers 2 3 2 3 2 3 2 3" xfId="11815"/>
    <cellStyle name="Milliers 2 3 2 3 2 3 3" xfId="5335"/>
    <cellStyle name="Milliers 2 3 2 3 2 3 3 2" xfId="13975"/>
    <cellStyle name="Milliers 2 3 2 3 2 3 4" xfId="9655"/>
    <cellStyle name="Milliers 2 3 2 3 2 4" xfId="1735"/>
    <cellStyle name="Milliers 2 3 2 3 2 4 2" xfId="3895"/>
    <cellStyle name="Milliers 2 3 2 3 2 4 2 2" xfId="8215"/>
    <cellStyle name="Milliers 2 3 2 3 2 4 2 2 2" xfId="16855"/>
    <cellStyle name="Milliers 2 3 2 3 2 4 2 3" xfId="12535"/>
    <cellStyle name="Milliers 2 3 2 3 2 4 3" xfId="6055"/>
    <cellStyle name="Milliers 2 3 2 3 2 4 3 2" xfId="14695"/>
    <cellStyle name="Milliers 2 3 2 3 2 4 4" xfId="10375"/>
    <cellStyle name="Milliers 2 3 2 3 2 5" xfId="2455"/>
    <cellStyle name="Milliers 2 3 2 3 2 5 2" xfId="6775"/>
    <cellStyle name="Milliers 2 3 2 3 2 5 2 2" xfId="15415"/>
    <cellStyle name="Milliers 2 3 2 3 2 5 3" xfId="11095"/>
    <cellStyle name="Milliers 2 3 2 3 2 6" xfId="4615"/>
    <cellStyle name="Milliers 2 3 2 3 2 6 2" xfId="13255"/>
    <cellStyle name="Milliers 2 3 2 3 2 7" xfId="8935"/>
    <cellStyle name="Milliers 2 3 2 3 3" xfId="475"/>
    <cellStyle name="Milliers 2 3 2 3 3 2" xfId="1195"/>
    <cellStyle name="Milliers 2 3 2 3 3 2 2" xfId="3355"/>
    <cellStyle name="Milliers 2 3 2 3 3 2 2 2" xfId="7675"/>
    <cellStyle name="Milliers 2 3 2 3 3 2 2 2 2" xfId="16315"/>
    <cellStyle name="Milliers 2 3 2 3 3 2 2 3" xfId="11995"/>
    <cellStyle name="Milliers 2 3 2 3 3 2 3" xfId="5515"/>
    <cellStyle name="Milliers 2 3 2 3 3 2 3 2" xfId="14155"/>
    <cellStyle name="Milliers 2 3 2 3 3 2 4" xfId="9835"/>
    <cellStyle name="Milliers 2 3 2 3 3 3" xfId="1915"/>
    <cellStyle name="Milliers 2 3 2 3 3 3 2" xfId="4075"/>
    <cellStyle name="Milliers 2 3 2 3 3 3 2 2" xfId="8395"/>
    <cellStyle name="Milliers 2 3 2 3 3 3 2 2 2" xfId="17035"/>
    <cellStyle name="Milliers 2 3 2 3 3 3 2 3" xfId="12715"/>
    <cellStyle name="Milliers 2 3 2 3 3 3 3" xfId="6235"/>
    <cellStyle name="Milliers 2 3 2 3 3 3 3 2" xfId="14875"/>
    <cellStyle name="Milliers 2 3 2 3 3 3 4" xfId="10555"/>
    <cellStyle name="Milliers 2 3 2 3 3 4" xfId="2635"/>
    <cellStyle name="Milliers 2 3 2 3 3 4 2" xfId="6955"/>
    <cellStyle name="Milliers 2 3 2 3 3 4 2 2" xfId="15595"/>
    <cellStyle name="Milliers 2 3 2 3 3 4 3" xfId="11275"/>
    <cellStyle name="Milliers 2 3 2 3 3 5" xfId="4795"/>
    <cellStyle name="Milliers 2 3 2 3 3 5 2" xfId="13435"/>
    <cellStyle name="Milliers 2 3 2 3 3 6" xfId="9115"/>
    <cellStyle name="Milliers 2 3 2 3 4" xfId="835"/>
    <cellStyle name="Milliers 2 3 2 3 4 2" xfId="2995"/>
    <cellStyle name="Milliers 2 3 2 3 4 2 2" xfId="7315"/>
    <cellStyle name="Milliers 2 3 2 3 4 2 2 2" xfId="15955"/>
    <cellStyle name="Milliers 2 3 2 3 4 2 3" xfId="11635"/>
    <cellStyle name="Milliers 2 3 2 3 4 3" xfId="5155"/>
    <cellStyle name="Milliers 2 3 2 3 4 3 2" xfId="13795"/>
    <cellStyle name="Milliers 2 3 2 3 4 4" xfId="9475"/>
    <cellStyle name="Milliers 2 3 2 3 5" xfId="1555"/>
    <cellStyle name="Milliers 2 3 2 3 5 2" xfId="3715"/>
    <cellStyle name="Milliers 2 3 2 3 5 2 2" xfId="8035"/>
    <cellStyle name="Milliers 2 3 2 3 5 2 2 2" xfId="16675"/>
    <cellStyle name="Milliers 2 3 2 3 5 2 3" xfId="12355"/>
    <cellStyle name="Milliers 2 3 2 3 5 3" xfId="5875"/>
    <cellStyle name="Milliers 2 3 2 3 5 3 2" xfId="14515"/>
    <cellStyle name="Milliers 2 3 2 3 5 4" xfId="10195"/>
    <cellStyle name="Milliers 2 3 2 3 6" xfId="2275"/>
    <cellStyle name="Milliers 2 3 2 3 6 2" xfId="6595"/>
    <cellStyle name="Milliers 2 3 2 3 6 2 2" xfId="15235"/>
    <cellStyle name="Milliers 2 3 2 3 6 3" xfId="10915"/>
    <cellStyle name="Milliers 2 3 2 3 7" xfId="4435"/>
    <cellStyle name="Milliers 2 3 2 3 7 2" xfId="13075"/>
    <cellStyle name="Milliers 2 3 2 3 8" xfId="8755"/>
    <cellStyle name="Milliers 2 3 2 4" xfId="205"/>
    <cellStyle name="Milliers 2 3 2 4 2" xfId="565"/>
    <cellStyle name="Milliers 2 3 2 4 2 2" xfId="1285"/>
    <cellStyle name="Milliers 2 3 2 4 2 2 2" xfId="3445"/>
    <cellStyle name="Milliers 2 3 2 4 2 2 2 2" xfId="7765"/>
    <cellStyle name="Milliers 2 3 2 4 2 2 2 2 2" xfId="16405"/>
    <cellStyle name="Milliers 2 3 2 4 2 2 2 3" xfId="12085"/>
    <cellStyle name="Milliers 2 3 2 4 2 2 3" xfId="5605"/>
    <cellStyle name="Milliers 2 3 2 4 2 2 3 2" xfId="14245"/>
    <cellStyle name="Milliers 2 3 2 4 2 2 4" xfId="9925"/>
    <cellStyle name="Milliers 2 3 2 4 2 3" xfId="2005"/>
    <cellStyle name="Milliers 2 3 2 4 2 3 2" xfId="4165"/>
    <cellStyle name="Milliers 2 3 2 4 2 3 2 2" xfId="8485"/>
    <cellStyle name="Milliers 2 3 2 4 2 3 2 2 2" xfId="17125"/>
    <cellStyle name="Milliers 2 3 2 4 2 3 2 3" xfId="12805"/>
    <cellStyle name="Milliers 2 3 2 4 2 3 3" xfId="6325"/>
    <cellStyle name="Milliers 2 3 2 4 2 3 3 2" xfId="14965"/>
    <cellStyle name="Milliers 2 3 2 4 2 3 4" xfId="10645"/>
    <cellStyle name="Milliers 2 3 2 4 2 4" xfId="2725"/>
    <cellStyle name="Milliers 2 3 2 4 2 4 2" xfId="7045"/>
    <cellStyle name="Milliers 2 3 2 4 2 4 2 2" xfId="15685"/>
    <cellStyle name="Milliers 2 3 2 4 2 4 3" xfId="11365"/>
    <cellStyle name="Milliers 2 3 2 4 2 5" xfId="4885"/>
    <cellStyle name="Milliers 2 3 2 4 2 5 2" xfId="13525"/>
    <cellStyle name="Milliers 2 3 2 4 2 6" xfId="9205"/>
    <cellStyle name="Milliers 2 3 2 4 3" xfId="925"/>
    <cellStyle name="Milliers 2 3 2 4 3 2" xfId="3085"/>
    <cellStyle name="Milliers 2 3 2 4 3 2 2" xfId="7405"/>
    <cellStyle name="Milliers 2 3 2 4 3 2 2 2" xfId="16045"/>
    <cellStyle name="Milliers 2 3 2 4 3 2 3" xfId="11725"/>
    <cellStyle name="Milliers 2 3 2 4 3 3" xfId="5245"/>
    <cellStyle name="Milliers 2 3 2 4 3 3 2" xfId="13885"/>
    <cellStyle name="Milliers 2 3 2 4 3 4" xfId="9565"/>
    <cellStyle name="Milliers 2 3 2 4 4" xfId="1645"/>
    <cellStyle name="Milliers 2 3 2 4 4 2" xfId="3805"/>
    <cellStyle name="Milliers 2 3 2 4 4 2 2" xfId="8125"/>
    <cellStyle name="Milliers 2 3 2 4 4 2 2 2" xfId="16765"/>
    <cellStyle name="Milliers 2 3 2 4 4 2 3" xfId="12445"/>
    <cellStyle name="Milliers 2 3 2 4 4 3" xfId="5965"/>
    <cellStyle name="Milliers 2 3 2 4 4 3 2" xfId="14605"/>
    <cellStyle name="Milliers 2 3 2 4 4 4" xfId="10285"/>
    <cellStyle name="Milliers 2 3 2 4 5" xfId="2365"/>
    <cellStyle name="Milliers 2 3 2 4 5 2" xfId="6685"/>
    <cellStyle name="Milliers 2 3 2 4 5 2 2" xfId="15325"/>
    <cellStyle name="Milliers 2 3 2 4 5 3" xfId="11005"/>
    <cellStyle name="Milliers 2 3 2 4 6" xfId="4525"/>
    <cellStyle name="Milliers 2 3 2 4 6 2" xfId="13165"/>
    <cellStyle name="Milliers 2 3 2 4 7" xfId="8845"/>
    <cellStyle name="Milliers 2 3 2 5" xfId="385"/>
    <cellStyle name="Milliers 2 3 2 5 2" xfId="1105"/>
    <cellStyle name="Milliers 2 3 2 5 2 2" xfId="3265"/>
    <cellStyle name="Milliers 2 3 2 5 2 2 2" xfId="7585"/>
    <cellStyle name="Milliers 2 3 2 5 2 2 2 2" xfId="16225"/>
    <cellStyle name="Milliers 2 3 2 5 2 2 3" xfId="11905"/>
    <cellStyle name="Milliers 2 3 2 5 2 3" xfId="5425"/>
    <cellStyle name="Milliers 2 3 2 5 2 3 2" xfId="14065"/>
    <cellStyle name="Milliers 2 3 2 5 2 4" xfId="9745"/>
    <cellStyle name="Milliers 2 3 2 5 3" xfId="1825"/>
    <cellStyle name="Milliers 2 3 2 5 3 2" xfId="3985"/>
    <cellStyle name="Milliers 2 3 2 5 3 2 2" xfId="8305"/>
    <cellStyle name="Milliers 2 3 2 5 3 2 2 2" xfId="16945"/>
    <cellStyle name="Milliers 2 3 2 5 3 2 3" xfId="12625"/>
    <cellStyle name="Milliers 2 3 2 5 3 3" xfId="6145"/>
    <cellStyle name="Milliers 2 3 2 5 3 3 2" xfId="14785"/>
    <cellStyle name="Milliers 2 3 2 5 3 4" xfId="10465"/>
    <cellStyle name="Milliers 2 3 2 5 4" xfId="2545"/>
    <cellStyle name="Milliers 2 3 2 5 4 2" xfId="6865"/>
    <cellStyle name="Milliers 2 3 2 5 4 2 2" xfId="15505"/>
    <cellStyle name="Milliers 2 3 2 5 4 3" xfId="11185"/>
    <cellStyle name="Milliers 2 3 2 5 5" xfId="4705"/>
    <cellStyle name="Milliers 2 3 2 5 5 2" xfId="13345"/>
    <cellStyle name="Milliers 2 3 2 5 6" xfId="9025"/>
    <cellStyle name="Milliers 2 3 2 6" xfId="745"/>
    <cellStyle name="Milliers 2 3 2 6 2" xfId="2905"/>
    <cellStyle name="Milliers 2 3 2 6 2 2" xfId="7225"/>
    <cellStyle name="Milliers 2 3 2 6 2 2 2" xfId="15865"/>
    <cellStyle name="Milliers 2 3 2 6 2 3" xfId="11545"/>
    <cellStyle name="Milliers 2 3 2 6 3" xfId="5065"/>
    <cellStyle name="Milliers 2 3 2 6 3 2" xfId="13705"/>
    <cellStyle name="Milliers 2 3 2 6 4" xfId="9385"/>
    <cellStyle name="Milliers 2 3 2 7" xfId="1465"/>
    <cellStyle name="Milliers 2 3 2 7 2" xfId="3625"/>
    <cellStyle name="Milliers 2 3 2 7 2 2" xfId="7945"/>
    <cellStyle name="Milliers 2 3 2 7 2 2 2" xfId="16585"/>
    <cellStyle name="Milliers 2 3 2 7 2 3" xfId="12265"/>
    <cellStyle name="Milliers 2 3 2 7 3" xfId="5785"/>
    <cellStyle name="Milliers 2 3 2 7 3 2" xfId="14425"/>
    <cellStyle name="Milliers 2 3 2 7 4" xfId="10105"/>
    <cellStyle name="Milliers 2 3 2 8" xfId="2185"/>
    <cellStyle name="Milliers 2 3 2 8 2" xfId="6505"/>
    <cellStyle name="Milliers 2 3 2 8 2 2" xfId="15145"/>
    <cellStyle name="Milliers 2 3 2 8 3" xfId="10825"/>
    <cellStyle name="Milliers 2 3 2 9" xfId="4345"/>
    <cellStyle name="Milliers 2 3 2 9 2" xfId="12985"/>
    <cellStyle name="Milliers 2 3 3" xfId="40"/>
    <cellStyle name="Milliers 2 3 3 10" xfId="8680"/>
    <cellStyle name="Milliers 2 3 3 2" xfId="85"/>
    <cellStyle name="Milliers 2 3 3 2 2" xfId="175"/>
    <cellStyle name="Milliers 2 3 3 2 2 2" xfId="355"/>
    <cellStyle name="Milliers 2 3 3 2 2 2 2" xfId="715"/>
    <cellStyle name="Milliers 2 3 3 2 2 2 2 2" xfId="1435"/>
    <cellStyle name="Milliers 2 3 3 2 2 2 2 2 2" xfId="3595"/>
    <cellStyle name="Milliers 2 3 3 2 2 2 2 2 2 2" xfId="7915"/>
    <cellStyle name="Milliers 2 3 3 2 2 2 2 2 2 2 2" xfId="16555"/>
    <cellStyle name="Milliers 2 3 3 2 2 2 2 2 2 3" xfId="12235"/>
    <cellStyle name="Milliers 2 3 3 2 2 2 2 2 3" xfId="5755"/>
    <cellStyle name="Milliers 2 3 3 2 2 2 2 2 3 2" xfId="14395"/>
    <cellStyle name="Milliers 2 3 3 2 2 2 2 2 4" xfId="10075"/>
    <cellStyle name="Milliers 2 3 3 2 2 2 2 3" xfId="2155"/>
    <cellStyle name="Milliers 2 3 3 2 2 2 2 3 2" xfId="4315"/>
    <cellStyle name="Milliers 2 3 3 2 2 2 2 3 2 2" xfId="8635"/>
    <cellStyle name="Milliers 2 3 3 2 2 2 2 3 2 2 2" xfId="17275"/>
    <cellStyle name="Milliers 2 3 3 2 2 2 2 3 2 3" xfId="12955"/>
    <cellStyle name="Milliers 2 3 3 2 2 2 2 3 3" xfId="6475"/>
    <cellStyle name="Milliers 2 3 3 2 2 2 2 3 3 2" xfId="15115"/>
    <cellStyle name="Milliers 2 3 3 2 2 2 2 3 4" xfId="10795"/>
    <cellStyle name="Milliers 2 3 3 2 2 2 2 4" xfId="2875"/>
    <cellStyle name="Milliers 2 3 3 2 2 2 2 4 2" xfId="7195"/>
    <cellStyle name="Milliers 2 3 3 2 2 2 2 4 2 2" xfId="15835"/>
    <cellStyle name="Milliers 2 3 3 2 2 2 2 4 3" xfId="11515"/>
    <cellStyle name="Milliers 2 3 3 2 2 2 2 5" xfId="5035"/>
    <cellStyle name="Milliers 2 3 3 2 2 2 2 5 2" xfId="13675"/>
    <cellStyle name="Milliers 2 3 3 2 2 2 2 6" xfId="9355"/>
    <cellStyle name="Milliers 2 3 3 2 2 2 3" xfId="1075"/>
    <cellStyle name="Milliers 2 3 3 2 2 2 3 2" xfId="3235"/>
    <cellStyle name="Milliers 2 3 3 2 2 2 3 2 2" xfId="7555"/>
    <cellStyle name="Milliers 2 3 3 2 2 2 3 2 2 2" xfId="16195"/>
    <cellStyle name="Milliers 2 3 3 2 2 2 3 2 3" xfId="11875"/>
    <cellStyle name="Milliers 2 3 3 2 2 2 3 3" xfId="5395"/>
    <cellStyle name="Milliers 2 3 3 2 2 2 3 3 2" xfId="14035"/>
    <cellStyle name="Milliers 2 3 3 2 2 2 3 4" xfId="9715"/>
    <cellStyle name="Milliers 2 3 3 2 2 2 4" xfId="1795"/>
    <cellStyle name="Milliers 2 3 3 2 2 2 4 2" xfId="3955"/>
    <cellStyle name="Milliers 2 3 3 2 2 2 4 2 2" xfId="8275"/>
    <cellStyle name="Milliers 2 3 3 2 2 2 4 2 2 2" xfId="16915"/>
    <cellStyle name="Milliers 2 3 3 2 2 2 4 2 3" xfId="12595"/>
    <cellStyle name="Milliers 2 3 3 2 2 2 4 3" xfId="6115"/>
    <cellStyle name="Milliers 2 3 3 2 2 2 4 3 2" xfId="14755"/>
    <cellStyle name="Milliers 2 3 3 2 2 2 4 4" xfId="10435"/>
    <cellStyle name="Milliers 2 3 3 2 2 2 5" xfId="2515"/>
    <cellStyle name="Milliers 2 3 3 2 2 2 5 2" xfId="6835"/>
    <cellStyle name="Milliers 2 3 3 2 2 2 5 2 2" xfId="15475"/>
    <cellStyle name="Milliers 2 3 3 2 2 2 5 3" xfId="11155"/>
    <cellStyle name="Milliers 2 3 3 2 2 2 6" xfId="4675"/>
    <cellStyle name="Milliers 2 3 3 2 2 2 6 2" xfId="13315"/>
    <cellStyle name="Milliers 2 3 3 2 2 2 7" xfId="8995"/>
    <cellStyle name="Milliers 2 3 3 2 2 3" xfId="535"/>
    <cellStyle name="Milliers 2 3 3 2 2 3 2" xfId="1255"/>
    <cellStyle name="Milliers 2 3 3 2 2 3 2 2" xfId="3415"/>
    <cellStyle name="Milliers 2 3 3 2 2 3 2 2 2" xfId="7735"/>
    <cellStyle name="Milliers 2 3 3 2 2 3 2 2 2 2" xfId="16375"/>
    <cellStyle name="Milliers 2 3 3 2 2 3 2 2 3" xfId="12055"/>
    <cellStyle name="Milliers 2 3 3 2 2 3 2 3" xfId="5575"/>
    <cellStyle name="Milliers 2 3 3 2 2 3 2 3 2" xfId="14215"/>
    <cellStyle name="Milliers 2 3 3 2 2 3 2 4" xfId="9895"/>
    <cellStyle name="Milliers 2 3 3 2 2 3 3" xfId="1975"/>
    <cellStyle name="Milliers 2 3 3 2 2 3 3 2" xfId="4135"/>
    <cellStyle name="Milliers 2 3 3 2 2 3 3 2 2" xfId="8455"/>
    <cellStyle name="Milliers 2 3 3 2 2 3 3 2 2 2" xfId="17095"/>
    <cellStyle name="Milliers 2 3 3 2 2 3 3 2 3" xfId="12775"/>
    <cellStyle name="Milliers 2 3 3 2 2 3 3 3" xfId="6295"/>
    <cellStyle name="Milliers 2 3 3 2 2 3 3 3 2" xfId="14935"/>
    <cellStyle name="Milliers 2 3 3 2 2 3 3 4" xfId="10615"/>
    <cellStyle name="Milliers 2 3 3 2 2 3 4" xfId="2695"/>
    <cellStyle name="Milliers 2 3 3 2 2 3 4 2" xfId="7015"/>
    <cellStyle name="Milliers 2 3 3 2 2 3 4 2 2" xfId="15655"/>
    <cellStyle name="Milliers 2 3 3 2 2 3 4 3" xfId="11335"/>
    <cellStyle name="Milliers 2 3 3 2 2 3 5" xfId="4855"/>
    <cellStyle name="Milliers 2 3 3 2 2 3 5 2" xfId="13495"/>
    <cellStyle name="Milliers 2 3 3 2 2 3 6" xfId="9175"/>
    <cellStyle name="Milliers 2 3 3 2 2 4" xfId="895"/>
    <cellStyle name="Milliers 2 3 3 2 2 4 2" xfId="3055"/>
    <cellStyle name="Milliers 2 3 3 2 2 4 2 2" xfId="7375"/>
    <cellStyle name="Milliers 2 3 3 2 2 4 2 2 2" xfId="16015"/>
    <cellStyle name="Milliers 2 3 3 2 2 4 2 3" xfId="11695"/>
    <cellStyle name="Milliers 2 3 3 2 2 4 3" xfId="5215"/>
    <cellStyle name="Milliers 2 3 3 2 2 4 3 2" xfId="13855"/>
    <cellStyle name="Milliers 2 3 3 2 2 4 4" xfId="9535"/>
    <cellStyle name="Milliers 2 3 3 2 2 5" xfId="1615"/>
    <cellStyle name="Milliers 2 3 3 2 2 5 2" xfId="3775"/>
    <cellStyle name="Milliers 2 3 3 2 2 5 2 2" xfId="8095"/>
    <cellStyle name="Milliers 2 3 3 2 2 5 2 2 2" xfId="16735"/>
    <cellStyle name="Milliers 2 3 3 2 2 5 2 3" xfId="12415"/>
    <cellStyle name="Milliers 2 3 3 2 2 5 3" xfId="5935"/>
    <cellStyle name="Milliers 2 3 3 2 2 5 3 2" xfId="14575"/>
    <cellStyle name="Milliers 2 3 3 2 2 5 4" xfId="10255"/>
    <cellStyle name="Milliers 2 3 3 2 2 6" xfId="2335"/>
    <cellStyle name="Milliers 2 3 3 2 2 6 2" xfId="6655"/>
    <cellStyle name="Milliers 2 3 3 2 2 6 2 2" xfId="15295"/>
    <cellStyle name="Milliers 2 3 3 2 2 6 3" xfId="10975"/>
    <cellStyle name="Milliers 2 3 3 2 2 7" xfId="4495"/>
    <cellStyle name="Milliers 2 3 3 2 2 7 2" xfId="13135"/>
    <cellStyle name="Milliers 2 3 3 2 2 8" xfId="8815"/>
    <cellStyle name="Milliers 2 3 3 2 3" xfId="265"/>
    <cellStyle name="Milliers 2 3 3 2 3 2" xfId="625"/>
    <cellStyle name="Milliers 2 3 3 2 3 2 2" xfId="1345"/>
    <cellStyle name="Milliers 2 3 3 2 3 2 2 2" xfId="3505"/>
    <cellStyle name="Milliers 2 3 3 2 3 2 2 2 2" xfId="7825"/>
    <cellStyle name="Milliers 2 3 3 2 3 2 2 2 2 2" xfId="16465"/>
    <cellStyle name="Milliers 2 3 3 2 3 2 2 2 3" xfId="12145"/>
    <cellStyle name="Milliers 2 3 3 2 3 2 2 3" xfId="5665"/>
    <cellStyle name="Milliers 2 3 3 2 3 2 2 3 2" xfId="14305"/>
    <cellStyle name="Milliers 2 3 3 2 3 2 2 4" xfId="9985"/>
    <cellStyle name="Milliers 2 3 3 2 3 2 3" xfId="2065"/>
    <cellStyle name="Milliers 2 3 3 2 3 2 3 2" xfId="4225"/>
    <cellStyle name="Milliers 2 3 3 2 3 2 3 2 2" xfId="8545"/>
    <cellStyle name="Milliers 2 3 3 2 3 2 3 2 2 2" xfId="17185"/>
    <cellStyle name="Milliers 2 3 3 2 3 2 3 2 3" xfId="12865"/>
    <cellStyle name="Milliers 2 3 3 2 3 2 3 3" xfId="6385"/>
    <cellStyle name="Milliers 2 3 3 2 3 2 3 3 2" xfId="15025"/>
    <cellStyle name="Milliers 2 3 3 2 3 2 3 4" xfId="10705"/>
    <cellStyle name="Milliers 2 3 3 2 3 2 4" xfId="2785"/>
    <cellStyle name="Milliers 2 3 3 2 3 2 4 2" xfId="7105"/>
    <cellStyle name="Milliers 2 3 3 2 3 2 4 2 2" xfId="15745"/>
    <cellStyle name="Milliers 2 3 3 2 3 2 4 3" xfId="11425"/>
    <cellStyle name="Milliers 2 3 3 2 3 2 5" xfId="4945"/>
    <cellStyle name="Milliers 2 3 3 2 3 2 5 2" xfId="13585"/>
    <cellStyle name="Milliers 2 3 3 2 3 2 6" xfId="9265"/>
    <cellStyle name="Milliers 2 3 3 2 3 3" xfId="985"/>
    <cellStyle name="Milliers 2 3 3 2 3 3 2" xfId="3145"/>
    <cellStyle name="Milliers 2 3 3 2 3 3 2 2" xfId="7465"/>
    <cellStyle name="Milliers 2 3 3 2 3 3 2 2 2" xfId="16105"/>
    <cellStyle name="Milliers 2 3 3 2 3 3 2 3" xfId="11785"/>
    <cellStyle name="Milliers 2 3 3 2 3 3 3" xfId="5305"/>
    <cellStyle name="Milliers 2 3 3 2 3 3 3 2" xfId="13945"/>
    <cellStyle name="Milliers 2 3 3 2 3 3 4" xfId="9625"/>
    <cellStyle name="Milliers 2 3 3 2 3 4" xfId="1705"/>
    <cellStyle name="Milliers 2 3 3 2 3 4 2" xfId="3865"/>
    <cellStyle name="Milliers 2 3 3 2 3 4 2 2" xfId="8185"/>
    <cellStyle name="Milliers 2 3 3 2 3 4 2 2 2" xfId="16825"/>
    <cellStyle name="Milliers 2 3 3 2 3 4 2 3" xfId="12505"/>
    <cellStyle name="Milliers 2 3 3 2 3 4 3" xfId="6025"/>
    <cellStyle name="Milliers 2 3 3 2 3 4 3 2" xfId="14665"/>
    <cellStyle name="Milliers 2 3 3 2 3 4 4" xfId="10345"/>
    <cellStyle name="Milliers 2 3 3 2 3 5" xfId="2425"/>
    <cellStyle name="Milliers 2 3 3 2 3 5 2" xfId="6745"/>
    <cellStyle name="Milliers 2 3 3 2 3 5 2 2" xfId="15385"/>
    <cellStyle name="Milliers 2 3 3 2 3 5 3" xfId="11065"/>
    <cellStyle name="Milliers 2 3 3 2 3 6" xfId="4585"/>
    <cellStyle name="Milliers 2 3 3 2 3 6 2" xfId="13225"/>
    <cellStyle name="Milliers 2 3 3 2 3 7" xfId="8905"/>
    <cellStyle name="Milliers 2 3 3 2 4" xfId="445"/>
    <cellStyle name="Milliers 2 3 3 2 4 2" xfId="1165"/>
    <cellStyle name="Milliers 2 3 3 2 4 2 2" xfId="3325"/>
    <cellStyle name="Milliers 2 3 3 2 4 2 2 2" xfId="7645"/>
    <cellStyle name="Milliers 2 3 3 2 4 2 2 2 2" xfId="16285"/>
    <cellStyle name="Milliers 2 3 3 2 4 2 2 3" xfId="11965"/>
    <cellStyle name="Milliers 2 3 3 2 4 2 3" xfId="5485"/>
    <cellStyle name="Milliers 2 3 3 2 4 2 3 2" xfId="14125"/>
    <cellStyle name="Milliers 2 3 3 2 4 2 4" xfId="9805"/>
    <cellStyle name="Milliers 2 3 3 2 4 3" xfId="1885"/>
    <cellStyle name="Milliers 2 3 3 2 4 3 2" xfId="4045"/>
    <cellStyle name="Milliers 2 3 3 2 4 3 2 2" xfId="8365"/>
    <cellStyle name="Milliers 2 3 3 2 4 3 2 2 2" xfId="17005"/>
    <cellStyle name="Milliers 2 3 3 2 4 3 2 3" xfId="12685"/>
    <cellStyle name="Milliers 2 3 3 2 4 3 3" xfId="6205"/>
    <cellStyle name="Milliers 2 3 3 2 4 3 3 2" xfId="14845"/>
    <cellStyle name="Milliers 2 3 3 2 4 3 4" xfId="10525"/>
    <cellStyle name="Milliers 2 3 3 2 4 4" xfId="2605"/>
    <cellStyle name="Milliers 2 3 3 2 4 4 2" xfId="6925"/>
    <cellStyle name="Milliers 2 3 3 2 4 4 2 2" xfId="15565"/>
    <cellStyle name="Milliers 2 3 3 2 4 4 3" xfId="11245"/>
    <cellStyle name="Milliers 2 3 3 2 4 5" xfId="4765"/>
    <cellStyle name="Milliers 2 3 3 2 4 5 2" xfId="13405"/>
    <cellStyle name="Milliers 2 3 3 2 4 6" xfId="9085"/>
    <cellStyle name="Milliers 2 3 3 2 5" xfId="805"/>
    <cellStyle name="Milliers 2 3 3 2 5 2" xfId="2965"/>
    <cellStyle name="Milliers 2 3 3 2 5 2 2" xfId="7285"/>
    <cellStyle name="Milliers 2 3 3 2 5 2 2 2" xfId="15925"/>
    <cellStyle name="Milliers 2 3 3 2 5 2 3" xfId="11605"/>
    <cellStyle name="Milliers 2 3 3 2 5 3" xfId="5125"/>
    <cellStyle name="Milliers 2 3 3 2 5 3 2" xfId="13765"/>
    <cellStyle name="Milliers 2 3 3 2 5 4" xfId="9445"/>
    <cellStyle name="Milliers 2 3 3 2 6" xfId="1525"/>
    <cellStyle name="Milliers 2 3 3 2 6 2" xfId="3685"/>
    <cellStyle name="Milliers 2 3 3 2 6 2 2" xfId="8005"/>
    <cellStyle name="Milliers 2 3 3 2 6 2 2 2" xfId="16645"/>
    <cellStyle name="Milliers 2 3 3 2 6 2 3" xfId="12325"/>
    <cellStyle name="Milliers 2 3 3 2 6 3" xfId="5845"/>
    <cellStyle name="Milliers 2 3 3 2 6 3 2" xfId="14485"/>
    <cellStyle name="Milliers 2 3 3 2 6 4" xfId="10165"/>
    <cellStyle name="Milliers 2 3 3 2 7" xfId="2245"/>
    <cellStyle name="Milliers 2 3 3 2 7 2" xfId="6565"/>
    <cellStyle name="Milliers 2 3 3 2 7 2 2" xfId="15205"/>
    <cellStyle name="Milliers 2 3 3 2 7 3" xfId="10885"/>
    <cellStyle name="Milliers 2 3 3 2 8" xfId="4405"/>
    <cellStyle name="Milliers 2 3 3 2 8 2" xfId="13045"/>
    <cellStyle name="Milliers 2 3 3 2 9" xfId="8725"/>
    <cellStyle name="Milliers 2 3 3 3" xfId="130"/>
    <cellStyle name="Milliers 2 3 3 3 2" xfId="310"/>
    <cellStyle name="Milliers 2 3 3 3 2 2" xfId="670"/>
    <cellStyle name="Milliers 2 3 3 3 2 2 2" xfId="1390"/>
    <cellStyle name="Milliers 2 3 3 3 2 2 2 2" xfId="3550"/>
    <cellStyle name="Milliers 2 3 3 3 2 2 2 2 2" xfId="7870"/>
    <cellStyle name="Milliers 2 3 3 3 2 2 2 2 2 2" xfId="16510"/>
    <cellStyle name="Milliers 2 3 3 3 2 2 2 2 3" xfId="12190"/>
    <cellStyle name="Milliers 2 3 3 3 2 2 2 3" xfId="5710"/>
    <cellStyle name="Milliers 2 3 3 3 2 2 2 3 2" xfId="14350"/>
    <cellStyle name="Milliers 2 3 3 3 2 2 2 4" xfId="10030"/>
    <cellStyle name="Milliers 2 3 3 3 2 2 3" xfId="2110"/>
    <cellStyle name="Milliers 2 3 3 3 2 2 3 2" xfId="4270"/>
    <cellStyle name="Milliers 2 3 3 3 2 2 3 2 2" xfId="8590"/>
    <cellStyle name="Milliers 2 3 3 3 2 2 3 2 2 2" xfId="17230"/>
    <cellStyle name="Milliers 2 3 3 3 2 2 3 2 3" xfId="12910"/>
    <cellStyle name="Milliers 2 3 3 3 2 2 3 3" xfId="6430"/>
    <cellStyle name="Milliers 2 3 3 3 2 2 3 3 2" xfId="15070"/>
    <cellStyle name="Milliers 2 3 3 3 2 2 3 4" xfId="10750"/>
    <cellStyle name="Milliers 2 3 3 3 2 2 4" xfId="2830"/>
    <cellStyle name="Milliers 2 3 3 3 2 2 4 2" xfId="7150"/>
    <cellStyle name="Milliers 2 3 3 3 2 2 4 2 2" xfId="15790"/>
    <cellStyle name="Milliers 2 3 3 3 2 2 4 3" xfId="11470"/>
    <cellStyle name="Milliers 2 3 3 3 2 2 5" xfId="4990"/>
    <cellStyle name="Milliers 2 3 3 3 2 2 5 2" xfId="13630"/>
    <cellStyle name="Milliers 2 3 3 3 2 2 6" xfId="9310"/>
    <cellStyle name="Milliers 2 3 3 3 2 3" xfId="1030"/>
    <cellStyle name="Milliers 2 3 3 3 2 3 2" xfId="3190"/>
    <cellStyle name="Milliers 2 3 3 3 2 3 2 2" xfId="7510"/>
    <cellStyle name="Milliers 2 3 3 3 2 3 2 2 2" xfId="16150"/>
    <cellStyle name="Milliers 2 3 3 3 2 3 2 3" xfId="11830"/>
    <cellStyle name="Milliers 2 3 3 3 2 3 3" xfId="5350"/>
    <cellStyle name="Milliers 2 3 3 3 2 3 3 2" xfId="13990"/>
    <cellStyle name="Milliers 2 3 3 3 2 3 4" xfId="9670"/>
    <cellStyle name="Milliers 2 3 3 3 2 4" xfId="1750"/>
    <cellStyle name="Milliers 2 3 3 3 2 4 2" xfId="3910"/>
    <cellStyle name="Milliers 2 3 3 3 2 4 2 2" xfId="8230"/>
    <cellStyle name="Milliers 2 3 3 3 2 4 2 2 2" xfId="16870"/>
    <cellStyle name="Milliers 2 3 3 3 2 4 2 3" xfId="12550"/>
    <cellStyle name="Milliers 2 3 3 3 2 4 3" xfId="6070"/>
    <cellStyle name="Milliers 2 3 3 3 2 4 3 2" xfId="14710"/>
    <cellStyle name="Milliers 2 3 3 3 2 4 4" xfId="10390"/>
    <cellStyle name="Milliers 2 3 3 3 2 5" xfId="2470"/>
    <cellStyle name="Milliers 2 3 3 3 2 5 2" xfId="6790"/>
    <cellStyle name="Milliers 2 3 3 3 2 5 2 2" xfId="15430"/>
    <cellStyle name="Milliers 2 3 3 3 2 5 3" xfId="11110"/>
    <cellStyle name="Milliers 2 3 3 3 2 6" xfId="4630"/>
    <cellStyle name="Milliers 2 3 3 3 2 6 2" xfId="13270"/>
    <cellStyle name="Milliers 2 3 3 3 2 7" xfId="8950"/>
    <cellStyle name="Milliers 2 3 3 3 3" xfId="490"/>
    <cellStyle name="Milliers 2 3 3 3 3 2" xfId="1210"/>
    <cellStyle name="Milliers 2 3 3 3 3 2 2" xfId="3370"/>
    <cellStyle name="Milliers 2 3 3 3 3 2 2 2" xfId="7690"/>
    <cellStyle name="Milliers 2 3 3 3 3 2 2 2 2" xfId="16330"/>
    <cellStyle name="Milliers 2 3 3 3 3 2 2 3" xfId="12010"/>
    <cellStyle name="Milliers 2 3 3 3 3 2 3" xfId="5530"/>
    <cellStyle name="Milliers 2 3 3 3 3 2 3 2" xfId="14170"/>
    <cellStyle name="Milliers 2 3 3 3 3 2 4" xfId="9850"/>
    <cellStyle name="Milliers 2 3 3 3 3 3" xfId="1930"/>
    <cellStyle name="Milliers 2 3 3 3 3 3 2" xfId="4090"/>
    <cellStyle name="Milliers 2 3 3 3 3 3 2 2" xfId="8410"/>
    <cellStyle name="Milliers 2 3 3 3 3 3 2 2 2" xfId="17050"/>
    <cellStyle name="Milliers 2 3 3 3 3 3 2 3" xfId="12730"/>
    <cellStyle name="Milliers 2 3 3 3 3 3 3" xfId="6250"/>
    <cellStyle name="Milliers 2 3 3 3 3 3 3 2" xfId="14890"/>
    <cellStyle name="Milliers 2 3 3 3 3 3 4" xfId="10570"/>
    <cellStyle name="Milliers 2 3 3 3 3 4" xfId="2650"/>
    <cellStyle name="Milliers 2 3 3 3 3 4 2" xfId="6970"/>
    <cellStyle name="Milliers 2 3 3 3 3 4 2 2" xfId="15610"/>
    <cellStyle name="Milliers 2 3 3 3 3 4 3" xfId="11290"/>
    <cellStyle name="Milliers 2 3 3 3 3 5" xfId="4810"/>
    <cellStyle name="Milliers 2 3 3 3 3 5 2" xfId="13450"/>
    <cellStyle name="Milliers 2 3 3 3 3 6" xfId="9130"/>
    <cellStyle name="Milliers 2 3 3 3 4" xfId="850"/>
    <cellStyle name="Milliers 2 3 3 3 4 2" xfId="3010"/>
    <cellStyle name="Milliers 2 3 3 3 4 2 2" xfId="7330"/>
    <cellStyle name="Milliers 2 3 3 3 4 2 2 2" xfId="15970"/>
    <cellStyle name="Milliers 2 3 3 3 4 2 3" xfId="11650"/>
    <cellStyle name="Milliers 2 3 3 3 4 3" xfId="5170"/>
    <cellStyle name="Milliers 2 3 3 3 4 3 2" xfId="13810"/>
    <cellStyle name="Milliers 2 3 3 3 4 4" xfId="9490"/>
    <cellStyle name="Milliers 2 3 3 3 5" xfId="1570"/>
    <cellStyle name="Milliers 2 3 3 3 5 2" xfId="3730"/>
    <cellStyle name="Milliers 2 3 3 3 5 2 2" xfId="8050"/>
    <cellStyle name="Milliers 2 3 3 3 5 2 2 2" xfId="16690"/>
    <cellStyle name="Milliers 2 3 3 3 5 2 3" xfId="12370"/>
    <cellStyle name="Milliers 2 3 3 3 5 3" xfId="5890"/>
    <cellStyle name="Milliers 2 3 3 3 5 3 2" xfId="14530"/>
    <cellStyle name="Milliers 2 3 3 3 5 4" xfId="10210"/>
    <cellStyle name="Milliers 2 3 3 3 6" xfId="2290"/>
    <cellStyle name="Milliers 2 3 3 3 6 2" xfId="6610"/>
    <cellStyle name="Milliers 2 3 3 3 6 2 2" xfId="15250"/>
    <cellStyle name="Milliers 2 3 3 3 6 3" xfId="10930"/>
    <cellStyle name="Milliers 2 3 3 3 7" xfId="4450"/>
    <cellStyle name="Milliers 2 3 3 3 7 2" xfId="13090"/>
    <cellStyle name="Milliers 2 3 3 3 8" xfId="8770"/>
    <cellStyle name="Milliers 2 3 3 4" xfId="220"/>
    <cellStyle name="Milliers 2 3 3 4 2" xfId="580"/>
    <cellStyle name="Milliers 2 3 3 4 2 2" xfId="1300"/>
    <cellStyle name="Milliers 2 3 3 4 2 2 2" xfId="3460"/>
    <cellStyle name="Milliers 2 3 3 4 2 2 2 2" xfId="7780"/>
    <cellStyle name="Milliers 2 3 3 4 2 2 2 2 2" xfId="16420"/>
    <cellStyle name="Milliers 2 3 3 4 2 2 2 3" xfId="12100"/>
    <cellStyle name="Milliers 2 3 3 4 2 2 3" xfId="5620"/>
    <cellStyle name="Milliers 2 3 3 4 2 2 3 2" xfId="14260"/>
    <cellStyle name="Milliers 2 3 3 4 2 2 4" xfId="9940"/>
    <cellStyle name="Milliers 2 3 3 4 2 3" xfId="2020"/>
    <cellStyle name="Milliers 2 3 3 4 2 3 2" xfId="4180"/>
    <cellStyle name="Milliers 2 3 3 4 2 3 2 2" xfId="8500"/>
    <cellStyle name="Milliers 2 3 3 4 2 3 2 2 2" xfId="17140"/>
    <cellStyle name="Milliers 2 3 3 4 2 3 2 3" xfId="12820"/>
    <cellStyle name="Milliers 2 3 3 4 2 3 3" xfId="6340"/>
    <cellStyle name="Milliers 2 3 3 4 2 3 3 2" xfId="14980"/>
    <cellStyle name="Milliers 2 3 3 4 2 3 4" xfId="10660"/>
    <cellStyle name="Milliers 2 3 3 4 2 4" xfId="2740"/>
    <cellStyle name="Milliers 2 3 3 4 2 4 2" xfId="7060"/>
    <cellStyle name="Milliers 2 3 3 4 2 4 2 2" xfId="15700"/>
    <cellStyle name="Milliers 2 3 3 4 2 4 3" xfId="11380"/>
    <cellStyle name="Milliers 2 3 3 4 2 5" xfId="4900"/>
    <cellStyle name="Milliers 2 3 3 4 2 5 2" xfId="13540"/>
    <cellStyle name="Milliers 2 3 3 4 2 6" xfId="9220"/>
    <cellStyle name="Milliers 2 3 3 4 3" xfId="940"/>
    <cellStyle name="Milliers 2 3 3 4 3 2" xfId="3100"/>
    <cellStyle name="Milliers 2 3 3 4 3 2 2" xfId="7420"/>
    <cellStyle name="Milliers 2 3 3 4 3 2 2 2" xfId="16060"/>
    <cellStyle name="Milliers 2 3 3 4 3 2 3" xfId="11740"/>
    <cellStyle name="Milliers 2 3 3 4 3 3" xfId="5260"/>
    <cellStyle name="Milliers 2 3 3 4 3 3 2" xfId="13900"/>
    <cellStyle name="Milliers 2 3 3 4 3 4" xfId="9580"/>
    <cellStyle name="Milliers 2 3 3 4 4" xfId="1660"/>
    <cellStyle name="Milliers 2 3 3 4 4 2" xfId="3820"/>
    <cellStyle name="Milliers 2 3 3 4 4 2 2" xfId="8140"/>
    <cellStyle name="Milliers 2 3 3 4 4 2 2 2" xfId="16780"/>
    <cellStyle name="Milliers 2 3 3 4 4 2 3" xfId="12460"/>
    <cellStyle name="Milliers 2 3 3 4 4 3" xfId="5980"/>
    <cellStyle name="Milliers 2 3 3 4 4 3 2" xfId="14620"/>
    <cellStyle name="Milliers 2 3 3 4 4 4" xfId="10300"/>
    <cellStyle name="Milliers 2 3 3 4 5" xfId="2380"/>
    <cellStyle name="Milliers 2 3 3 4 5 2" xfId="6700"/>
    <cellStyle name="Milliers 2 3 3 4 5 2 2" xfId="15340"/>
    <cellStyle name="Milliers 2 3 3 4 5 3" xfId="11020"/>
    <cellStyle name="Milliers 2 3 3 4 6" xfId="4540"/>
    <cellStyle name="Milliers 2 3 3 4 6 2" xfId="13180"/>
    <cellStyle name="Milliers 2 3 3 4 7" xfId="8860"/>
    <cellStyle name="Milliers 2 3 3 5" xfId="400"/>
    <cellStyle name="Milliers 2 3 3 5 2" xfId="1120"/>
    <cellStyle name="Milliers 2 3 3 5 2 2" xfId="3280"/>
    <cellStyle name="Milliers 2 3 3 5 2 2 2" xfId="7600"/>
    <cellStyle name="Milliers 2 3 3 5 2 2 2 2" xfId="16240"/>
    <cellStyle name="Milliers 2 3 3 5 2 2 3" xfId="11920"/>
    <cellStyle name="Milliers 2 3 3 5 2 3" xfId="5440"/>
    <cellStyle name="Milliers 2 3 3 5 2 3 2" xfId="14080"/>
    <cellStyle name="Milliers 2 3 3 5 2 4" xfId="9760"/>
    <cellStyle name="Milliers 2 3 3 5 3" xfId="1840"/>
    <cellStyle name="Milliers 2 3 3 5 3 2" xfId="4000"/>
    <cellStyle name="Milliers 2 3 3 5 3 2 2" xfId="8320"/>
    <cellStyle name="Milliers 2 3 3 5 3 2 2 2" xfId="16960"/>
    <cellStyle name="Milliers 2 3 3 5 3 2 3" xfId="12640"/>
    <cellStyle name="Milliers 2 3 3 5 3 3" xfId="6160"/>
    <cellStyle name="Milliers 2 3 3 5 3 3 2" xfId="14800"/>
    <cellStyle name="Milliers 2 3 3 5 3 4" xfId="10480"/>
    <cellStyle name="Milliers 2 3 3 5 4" xfId="2560"/>
    <cellStyle name="Milliers 2 3 3 5 4 2" xfId="6880"/>
    <cellStyle name="Milliers 2 3 3 5 4 2 2" xfId="15520"/>
    <cellStyle name="Milliers 2 3 3 5 4 3" xfId="11200"/>
    <cellStyle name="Milliers 2 3 3 5 5" xfId="4720"/>
    <cellStyle name="Milliers 2 3 3 5 5 2" xfId="13360"/>
    <cellStyle name="Milliers 2 3 3 5 6" xfId="9040"/>
    <cellStyle name="Milliers 2 3 3 6" xfId="760"/>
    <cellStyle name="Milliers 2 3 3 6 2" xfId="2920"/>
    <cellStyle name="Milliers 2 3 3 6 2 2" xfId="7240"/>
    <cellStyle name="Milliers 2 3 3 6 2 2 2" xfId="15880"/>
    <cellStyle name="Milliers 2 3 3 6 2 3" xfId="11560"/>
    <cellStyle name="Milliers 2 3 3 6 3" xfId="5080"/>
    <cellStyle name="Milliers 2 3 3 6 3 2" xfId="13720"/>
    <cellStyle name="Milliers 2 3 3 6 4" xfId="9400"/>
    <cellStyle name="Milliers 2 3 3 7" xfId="1480"/>
    <cellStyle name="Milliers 2 3 3 7 2" xfId="3640"/>
    <cellStyle name="Milliers 2 3 3 7 2 2" xfId="7960"/>
    <cellStyle name="Milliers 2 3 3 7 2 2 2" xfId="16600"/>
    <cellStyle name="Milliers 2 3 3 7 2 3" xfId="12280"/>
    <cellStyle name="Milliers 2 3 3 7 3" xfId="5800"/>
    <cellStyle name="Milliers 2 3 3 7 3 2" xfId="14440"/>
    <cellStyle name="Milliers 2 3 3 7 4" xfId="10120"/>
    <cellStyle name="Milliers 2 3 3 8" xfId="2200"/>
    <cellStyle name="Milliers 2 3 3 8 2" xfId="6520"/>
    <cellStyle name="Milliers 2 3 3 8 2 2" xfId="15160"/>
    <cellStyle name="Milliers 2 3 3 8 3" xfId="10840"/>
    <cellStyle name="Milliers 2 3 3 9" xfId="4360"/>
    <cellStyle name="Milliers 2 3 3 9 2" xfId="13000"/>
    <cellStyle name="Milliers 2 3 4" xfId="55"/>
    <cellStyle name="Milliers 2 3 4 2" xfId="145"/>
    <cellStyle name="Milliers 2 3 4 2 2" xfId="325"/>
    <cellStyle name="Milliers 2 3 4 2 2 2" xfId="685"/>
    <cellStyle name="Milliers 2 3 4 2 2 2 2" xfId="1405"/>
    <cellStyle name="Milliers 2 3 4 2 2 2 2 2" xfId="3565"/>
    <cellStyle name="Milliers 2 3 4 2 2 2 2 2 2" xfId="7885"/>
    <cellStyle name="Milliers 2 3 4 2 2 2 2 2 2 2" xfId="16525"/>
    <cellStyle name="Milliers 2 3 4 2 2 2 2 2 3" xfId="12205"/>
    <cellStyle name="Milliers 2 3 4 2 2 2 2 3" xfId="5725"/>
    <cellStyle name="Milliers 2 3 4 2 2 2 2 3 2" xfId="14365"/>
    <cellStyle name="Milliers 2 3 4 2 2 2 2 4" xfId="10045"/>
    <cellStyle name="Milliers 2 3 4 2 2 2 3" xfId="2125"/>
    <cellStyle name="Milliers 2 3 4 2 2 2 3 2" xfId="4285"/>
    <cellStyle name="Milliers 2 3 4 2 2 2 3 2 2" xfId="8605"/>
    <cellStyle name="Milliers 2 3 4 2 2 2 3 2 2 2" xfId="17245"/>
    <cellStyle name="Milliers 2 3 4 2 2 2 3 2 3" xfId="12925"/>
    <cellStyle name="Milliers 2 3 4 2 2 2 3 3" xfId="6445"/>
    <cellStyle name="Milliers 2 3 4 2 2 2 3 3 2" xfId="15085"/>
    <cellStyle name="Milliers 2 3 4 2 2 2 3 4" xfId="10765"/>
    <cellStyle name="Milliers 2 3 4 2 2 2 4" xfId="2845"/>
    <cellStyle name="Milliers 2 3 4 2 2 2 4 2" xfId="7165"/>
    <cellStyle name="Milliers 2 3 4 2 2 2 4 2 2" xfId="15805"/>
    <cellStyle name="Milliers 2 3 4 2 2 2 4 3" xfId="11485"/>
    <cellStyle name="Milliers 2 3 4 2 2 2 5" xfId="5005"/>
    <cellStyle name="Milliers 2 3 4 2 2 2 5 2" xfId="13645"/>
    <cellStyle name="Milliers 2 3 4 2 2 2 6" xfId="9325"/>
    <cellStyle name="Milliers 2 3 4 2 2 3" xfId="1045"/>
    <cellStyle name="Milliers 2 3 4 2 2 3 2" xfId="3205"/>
    <cellStyle name="Milliers 2 3 4 2 2 3 2 2" xfId="7525"/>
    <cellStyle name="Milliers 2 3 4 2 2 3 2 2 2" xfId="16165"/>
    <cellStyle name="Milliers 2 3 4 2 2 3 2 3" xfId="11845"/>
    <cellStyle name="Milliers 2 3 4 2 2 3 3" xfId="5365"/>
    <cellStyle name="Milliers 2 3 4 2 2 3 3 2" xfId="14005"/>
    <cellStyle name="Milliers 2 3 4 2 2 3 4" xfId="9685"/>
    <cellStyle name="Milliers 2 3 4 2 2 4" xfId="1765"/>
    <cellStyle name="Milliers 2 3 4 2 2 4 2" xfId="3925"/>
    <cellStyle name="Milliers 2 3 4 2 2 4 2 2" xfId="8245"/>
    <cellStyle name="Milliers 2 3 4 2 2 4 2 2 2" xfId="16885"/>
    <cellStyle name="Milliers 2 3 4 2 2 4 2 3" xfId="12565"/>
    <cellStyle name="Milliers 2 3 4 2 2 4 3" xfId="6085"/>
    <cellStyle name="Milliers 2 3 4 2 2 4 3 2" xfId="14725"/>
    <cellStyle name="Milliers 2 3 4 2 2 4 4" xfId="10405"/>
    <cellStyle name="Milliers 2 3 4 2 2 5" xfId="2485"/>
    <cellStyle name="Milliers 2 3 4 2 2 5 2" xfId="6805"/>
    <cellStyle name="Milliers 2 3 4 2 2 5 2 2" xfId="15445"/>
    <cellStyle name="Milliers 2 3 4 2 2 5 3" xfId="11125"/>
    <cellStyle name="Milliers 2 3 4 2 2 6" xfId="4645"/>
    <cellStyle name="Milliers 2 3 4 2 2 6 2" xfId="13285"/>
    <cellStyle name="Milliers 2 3 4 2 2 7" xfId="8965"/>
    <cellStyle name="Milliers 2 3 4 2 3" xfId="505"/>
    <cellStyle name="Milliers 2 3 4 2 3 2" xfId="1225"/>
    <cellStyle name="Milliers 2 3 4 2 3 2 2" xfId="3385"/>
    <cellStyle name="Milliers 2 3 4 2 3 2 2 2" xfId="7705"/>
    <cellStyle name="Milliers 2 3 4 2 3 2 2 2 2" xfId="16345"/>
    <cellStyle name="Milliers 2 3 4 2 3 2 2 3" xfId="12025"/>
    <cellStyle name="Milliers 2 3 4 2 3 2 3" xfId="5545"/>
    <cellStyle name="Milliers 2 3 4 2 3 2 3 2" xfId="14185"/>
    <cellStyle name="Milliers 2 3 4 2 3 2 4" xfId="9865"/>
    <cellStyle name="Milliers 2 3 4 2 3 3" xfId="1945"/>
    <cellStyle name="Milliers 2 3 4 2 3 3 2" xfId="4105"/>
    <cellStyle name="Milliers 2 3 4 2 3 3 2 2" xfId="8425"/>
    <cellStyle name="Milliers 2 3 4 2 3 3 2 2 2" xfId="17065"/>
    <cellStyle name="Milliers 2 3 4 2 3 3 2 3" xfId="12745"/>
    <cellStyle name="Milliers 2 3 4 2 3 3 3" xfId="6265"/>
    <cellStyle name="Milliers 2 3 4 2 3 3 3 2" xfId="14905"/>
    <cellStyle name="Milliers 2 3 4 2 3 3 4" xfId="10585"/>
    <cellStyle name="Milliers 2 3 4 2 3 4" xfId="2665"/>
    <cellStyle name="Milliers 2 3 4 2 3 4 2" xfId="6985"/>
    <cellStyle name="Milliers 2 3 4 2 3 4 2 2" xfId="15625"/>
    <cellStyle name="Milliers 2 3 4 2 3 4 3" xfId="11305"/>
    <cellStyle name="Milliers 2 3 4 2 3 5" xfId="4825"/>
    <cellStyle name="Milliers 2 3 4 2 3 5 2" xfId="13465"/>
    <cellStyle name="Milliers 2 3 4 2 3 6" xfId="9145"/>
    <cellStyle name="Milliers 2 3 4 2 4" xfId="865"/>
    <cellStyle name="Milliers 2 3 4 2 4 2" xfId="3025"/>
    <cellStyle name="Milliers 2 3 4 2 4 2 2" xfId="7345"/>
    <cellStyle name="Milliers 2 3 4 2 4 2 2 2" xfId="15985"/>
    <cellStyle name="Milliers 2 3 4 2 4 2 3" xfId="11665"/>
    <cellStyle name="Milliers 2 3 4 2 4 3" xfId="5185"/>
    <cellStyle name="Milliers 2 3 4 2 4 3 2" xfId="13825"/>
    <cellStyle name="Milliers 2 3 4 2 4 4" xfId="9505"/>
    <cellStyle name="Milliers 2 3 4 2 5" xfId="1585"/>
    <cellStyle name="Milliers 2 3 4 2 5 2" xfId="3745"/>
    <cellStyle name="Milliers 2 3 4 2 5 2 2" xfId="8065"/>
    <cellStyle name="Milliers 2 3 4 2 5 2 2 2" xfId="16705"/>
    <cellStyle name="Milliers 2 3 4 2 5 2 3" xfId="12385"/>
    <cellStyle name="Milliers 2 3 4 2 5 3" xfId="5905"/>
    <cellStyle name="Milliers 2 3 4 2 5 3 2" xfId="14545"/>
    <cellStyle name="Milliers 2 3 4 2 5 4" xfId="10225"/>
    <cellStyle name="Milliers 2 3 4 2 6" xfId="2305"/>
    <cellStyle name="Milliers 2 3 4 2 6 2" xfId="6625"/>
    <cellStyle name="Milliers 2 3 4 2 6 2 2" xfId="15265"/>
    <cellStyle name="Milliers 2 3 4 2 6 3" xfId="10945"/>
    <cellStyle name="Milliers 2 3 4 2 7" xfId="4465"/>
    <cellStyle name="Milliers 2 3 4 2 7 2" xfId="13105"/>
    <cellStyle name="Milliers 2 3 4 2 8" xfId="8785"/>
    <cellStyle name="Milliers 2 3 4 3" xfId="235"/>
    <cellStyle name="Milliers 2 3 4 3 2" xfId="595"/>
    <cellStyle name="Milliers 2 3 4 3 2 2" xfId="1315"/>
    <cellStyle name="Milliers 2 3 4 3 2 2 2" xfId="3475"/>
    <cellStyle name="Milliers 2 3 4 3 2 2 2 2" xfId="7795"/>
    <cellStyle name="Milliers 2 3 4 3 2 2 2 2 2" xfId="16435"/>
    <cellStyle name="Milliers 2 3 4 3 2 2 2 3" xfId="12115"/>
    <cellStyle name="Milliers 2 3 4 3 2 2 3" xfId="5635"/>
    <cellStyle name="Milliers 2 3 4 3 2 2 3 2" xfId="14275"/>
    <cellStyle name="Milliers 2 3 4 3 2 2 4" xfId="9955"/>
    <cellStyle name="Milliers 2 3 4 3 2 3" xfId="2035"/>
    <cellStyle name="Milliers 2 3 4 3 2 3 2" xfId="4195"/>
    <cellStyle name="Milliers 2 3 4 3 2 3 2 2" xfId="8515"/>
    <cellStyle name="Milliers 2 3 4 3 2 3 2 2 2" xfId="17155"/>
    <cellStyle name="Milliers 2 3 4 3 2 3 2 3" xfId="12835"/>
    <cellStyle name="Milliers 2 3 4 3 2 3 3" xfId="6355"/>
    <cellStyle name="Milliers 2 3 4 3 2 3 3 2" xfId="14995"/>
    <cellStyle name="Milliers 2 3 4 3 2 3 4" xfId="10675"/>
    <cellStyle name="Milliers 2 3 4 3 2 4" xfId="2755"/>
    <cellStyle name="Milliers 2 3 4 3 2 4 2" xfId="7075"/>
    <cellStyle name="Milliers 2 3 4 3 2 4 2 2" xfId="15715"/>
    <cellStyle name="Milliers 2 3 4 3 2 4 3" xfId="11395"/>
    <cellStyle name="Milliers 2 3 4 3 2 5" xfId="4915"/>
    <cellStyle name="Milliers 2 3 4 3 2 5 2" xfId="13555"/>
    <cellStyle name="Milliers 2 3 4 3 2 6" xfId="9235"/>
    <cellStyle name="Milliers 2 3 4 3 3" xfId="955"/>
    <cellStyle name="Milliers 2 3 4 3 3 2" xfId="3115"/>
    <cellStyle name="Milliers 2 3 4 3 3 2 2" xfId="7435"/>
    <cellStyle name="Milliers 2 3 4 3 3 2 2 2" xfId="16075"/>
    <cellStyle name="Milliers 2 3 4 3 3 2 3" xfId="11755"/>
    <cellStyle name="Milliers 2 3 4 3 3 3" xfId="5275"/>
    <cellStyle name="Milliers 2 3 4 3 3 3 2" xfId="13915"/>
    <cellStyle name="Milliers 2 3 4 3 3 4" xfId="9595"/>
    <cellStyle name="Milliers 2 3 4 3 4" xfId="1675"/>
    <cellStyle name="Milliers 2 3 4 3 4 2" xfId="3835"/>
    <cellStyle name="Milliers 2 3 4 3 4 2 2" xfId="8155"/>
    <cellStyle name="Milliers 2 3 4 3 4 2 2 2" xfId="16795"/>
    <cellStyle name="Milliers 2 3 4 3 4 2 3" xfId="12475"/>
    <cellStyle name="Milliers 2 3 4 3 4 3" xfId="5995"/>
    <cellStyle name="Milliers 2 3 4 3 4 3 2" xfId="14635"/>
    <cellStyle name="Milliers 2 3 4 3 4 4" xfId="10315"/>
    <cellStyle name="Milliers 2 3 4 3 5" xfId="2395"/>
    <cellStyle name="Milliers 2 3 4 3 5 2" xfId="6715"/>
    <cellStyle name="Milliers 2 3 4 3 5 2 2" xfId="15355"/>
    <cellStyle name="Milliers 2 3 4 3 5 3" xfId="11035"/>
    <cellStyle name="Milliers 2 3 4 3 6" xfId="4555"/>
    <cellStyle name="Milliers 2 3 4 3 6 2" xfId="13195"/>
    <cellStyle name="Milliers 2 3 4 3 7" xfId="8875"/>
    <cellStyle name="Milliers 2 3 4 4" xfId="415"/>
    <cellStyle name="Milliers 2 3 4 4 2" xfId="1135"/>
    <cellStyle name="Milliers 2 3 4 4 2 2" xfId="3295"/>
    <cellStyle name="Milliers 2 3 4 4 2 2 2" xfId="7615"/>
    <cellStyle name="Milliers 2 3 4 4 2 2 2 2" xfId="16255"/>
    <cellStyle name="Milliers 2 3 4 4 2 2 3" xfId="11935"/>
    <cellStyle name="Milliers 2 3 4 4 2 3" xfId="5455"/>
    <cellStyle name="Milliers 2 3 4 4 2 3 2" xfId="14095"/>
    <cellStyle name="Milliers 2 3 4 4 2 4" xfId="9775"/>
    <cellStyle name="Milliers 2 3 4 4 3" xfId="1855"/>
    <cellStyle name="Milliers 2 3 4 4 3 2" xfId="4015"/>
    <cellStyle name="Milliers 2 3 4 4 3 2 2" xfId="8335"/>
    <cellStyle name="Milliers 2 3 4 4 3 2 2 2" xfId="16975"/>
    <cellStyle name="Milliers 2 3 4 4 3 2 3" xfId="12655"/>
    <cellStyle name="Milliers 2 3 4 4 3 3" xfId="6175"/>
    <cellStyle name="Milliers 2 3 4 4 3 3 2" xfId="14815"/>
    <cellStyle name="Milliers 2 3 4 4 3 4" xfId="10495"/>
    <cellStyle name="Milliers 2 3 4 4 4" xfId="2575"/>
    <cellStyle name="Milliers 2 3 4 4 4 2" xfId="6895"/>
    <cellStyle name="Milliers 2 3 4 4 4 2 2" xfId="15535"/>
    <cellStyle name="Milliers 2 3 4 4 4 3" xfId="11215"/>
    <cellStyle name="Milliers 2 3 4 4 5" xfId="4735"/>
    <cellStyle name="Milliers 2 3 4 4 5 2" xfId="13375"/>
    <cellStyle name="Milliers 2 3 4 4 6" xfId="9055"/>
    <cellStyle name="Milliers 2 3 4 5" xfId="775"/>
    <cellStyle name="Milliers 2 3 4 5 2" xfId="2935"/>
    <cellStyle name="Milliers 2 3 4 5 2 2" xfId="7255"/>
    <cellStyle name="Milliers 2 3 4 5 2 2 2" xfId="15895"/>
    <cellStyle name="Milliers 2 3 4 5 2 3" xfId="11575"/>
    <cellStyle name="Milliers 2 3 4 5 3" xfId="5095"/>
    <cellStyle name="Milliers 2 3 4 5 3 2" xfId="13735"/>
    <cellStyle name="Milliers 2 3 4 5 4" xfId="9415"/>
    <cellStyle name="Milliers 2 3 4 6" xfId="1495"/>
    <cellStyle name="Milliers 2 3 4 6 2" xfId="3655"/>
    <cellStyle name="Milliers 2 3 4 6 2 2" xfId="7975"/>
    <cellStyle name="Milliers 2 3 4 6 2 2 2" xfId="16615"/>
    <cellStyle name="Milliers 2 3 4 6 2 3" xfId="12295"/>
    <cellStyle name="Milliers 2 3 4 6 3" xfId="5815"/>
    <cellStyle name="Milliers 2 3 4 6 3 2" xfId="14455"/>
    <cellStyle name="Milliers 2 3 4 6 4" xfId="10135"/>
    <cellStyle name="Milliers 2 3 4 7" xfId="2215"/>
    <cellStyle name="Milliers 2 3 4 7 2" xfId="6535"/>
    <cellStyle name="Milliers 2 3 4 7 2 2" xfId="15175"/>
    <cellStyle name="Milliers 2 3 4 7 3" xfId="10855"/>
    <cellStyle name="Milliers 2 3 4 8" xfId="4375"/>
    <cellStyle name="Milliers 2 3 4 8 2" xfId="13015"/>
    <cellStyle name="Milliers 2 3 4 9" xfId="8695"/>
    <cellStyle name="Milliers 2 3 5" xfId="100"/>
    <cellStyle name="Milliers 2 3 5 2" xfId="280"/>
    <cellStyle name="Milliers 2 3 5 2 2" xfId="640"/>
    <cellStyle name="Milliers 2 3 5 2 2 2" xfId="1360"/>
    <cellStyle name="Milliers 2 3 5 2 2 2 2" xfId="3520"/>
    <cellStyle name="Milliers 2 3 5 2 2 2 2 2" xfId="7840"/>
    <cellStyle name="Milliers 2 3 5 2 2 2 2 2 2" xfId="16480"/>
    <cellStyle name="Milliers 2 3 5 2 2 2 2 3" xfId="12160"/>
    <cellStyle name="Milliers 2 3 5 2 2 2 3" xfId="5680"/>
    <cellStyle name="Milliers 2 3 5 2 2 2 3 2" xfId="14320"/>
    <cellStyle name="Milliers 2 3 5 2 2 2 4" xfId="10000"/>
    <cellStyle name="Milliers 2 3 5 2 2 3" xfId="2080"/>
    <cellStyle name="Milliers 2 3 5 2 2 3 2" xfId="4240"/>
    <cellStyle name="Milliers 2 3 5 2 2 3 2 2" xfId="8560"/>
    <cellStyle name="Milliers 2 3 5 2 2 3 2 2 2" xfId="17200"/>
    <cellStyle name="Milliers 2 3 5 2 2 3 2 3" xfId="12880"/>
    <cellStyle name="Milliers 2 3 5 2 2 3 3" xfId="6400"/>
    <cellStyle name="Milliers 2 3 5 2 2 3 3 2" xfId="15040"/>
    <cellStyle name="Milliers 2 3 5 2 2 3 4" xfId="10720"/>
    <cellStyle name="Milliers 2 3 5 2 2 4" xfId="2800"/>
    <cellStyle name="Milliers 2 3 5 2 2 4 2" xfId="7120"/>
    <cellStyle name="Milliers 2 3 5 2 2 4 2 2" xfId="15760"/>
    <cellStyle name="Milliers 2 3 5 2 2 4 3" xfId="11440"/>
    <cellStyle name="Milliers 2 3 5 2 2 5" xfId="4960"/>
    <cellStyle name="Milliers 2 3 5 2 2 5 2" xfId="13600"/>
    <cellStyle name="Milliers 2 3 5 2 2 6" xfId="9280"/>
    <cellStyle name="Milliers 2 3 5 2 3" xfId="1000"/>
    <cellStyle name="Milliers 2 3 5 2 3 2" xfId="3160"/>
    <cellStyle name="Milliers 2 3 5 2 3 2 2" xfId="7480"/>
    <cellStyle name="Milliers 2 3 5 2 3 2 2 2" xfId="16120"/>
    <cellStyle name="Milliers 2 3 5 2 3 2 3" xfId="11800"/>
    <cellStyle name="Milliers 2 3 5 2 3 3" xfId="5320"/>
    <cellStyle name="Milliers 2 3 5 2 3 3 2" xfId="13960"/>
    <cellStyle name="Milliers 2 3 5 2 3 4" xfId="9640"/>
    <cellStyle name="Milliers 2 3 5 2 4" xfId="1720"/>
    <cellStyle name="Milliers 2 3 5 2 4 2" xfId="3880"/>
    <cellStyle name="Milliers 2 3 5 2 4 2 2" xfId="8200"/>
    <cellStyle name="Milliers 2 3 5 2 4 2 2 2" xfId="16840"/>
    <cellStyle name="Milliers 2 3 5 2 4 2 3" xfId="12520"/>
    <cellStyle name="Milliers 2 3 5 2 4 3" xfId="6040"/>
    <cellStyle name="Milliers 2 3 5 2 4 3 2" xfId="14680"/>
    <cellStyle name="Milliers 2 3 5 2 4 4" xfId="10360"/>
    <cellStyle name="Milliers 2 3 5 2 5" xfId="2440"/>
    <cellStyle name="Milliers 2 3 5 2 5 2" xfId="6760"/>
    <cellStyle name="Milliers 2 3 5 2 5 2 2" xfId="15400"/>
    <cellStyle name="Milliers 2 3 5 2 5 3" xfId="11080"/>
    <cellStyle name="Milliers 2 3 5 2 6" xfId="4600"/>
    <cellStyle name="Milliers 2 3 5 2 6 2" xfId="13240"/>
    <cellStyle name="Milliers 2 3 5 2 7" xfId="8920"/>
    <cellStyle name="Milliers 2 3 5 3" xfId="460"/>
    <cellStyle name="Milliers 2 3 5 3 2" xfId="1180"/>
    <cellStyle name="Milliers 2 3 5 3 2 2" xfId="3340"/>
    <cellStyle name="Milliers 2 3 5 3 2 2 2" xfId="7660"/>
    <cellStyle name="Milliers 2 3 5 3 2 2 2 2" xfId="16300"/>
    <cellStyle name="Milliers 2 3 5 3 2 2 3" xfId="11980"/>
    <cellStyle name="Milliers 2 3 5 3 2 3" xfId="5500"/>
    <cellStyle name="Milliers 2 3 5 3 2 3 2" xfId="14140"/>
    <cellStyle name="Milliers 2 3 5 3 2 4" xfId="9820"/>
    <cellStyle name="Milliers 2 3 5 3 3" xfId="1900"/>
    <cellStyle name="Milliers 2 3 5 3 3 2" xfId="4060"/>
    <cellStyle name="Milliers 2 3 5 3 3 2 2" xfId="8380"/>
    <cellStyle name="Milliers 2 3 5 3 3 2 2 2" xfId="17020"/>
    <cellStyle name="Milliers 2 3 5 3 3 2 3" xfId="12700"/>
    <cellStyle name="Milliers 2 3 5 3 3 3" xfId="6220"/>
    <cellStyle name="Milliers 2 3 5 3 3 3 2" xfId="14860"/>
    <cellStyle name="Milliers 2 3 5 3 3 4" xfId="10540"/>
    <cellStyle name="Milliers 2 3 5 3 4" xfId="2620"/>
    <cellStyle name="Milliers 2 3 5 3 4 2" xfId="6940"/>
    <cellStyle name="Milliers 2 3 5 3 4 2 2" xfId="15580"/>
    <cellStyle name="Milliers 2 3 5 3 4 3" xfId="11260"/>
    <cellStyle name="Milliers 2 3 5 3 5" xfId="4780"/>
    <cellStyle name="Milliers 2 3 5 3 5 2" xfId="13420"/>
    <cellStyle name="Milliers 2 3 5 3 6" xfId="9100"/>
    <cellStyle name="Milliers 2 3 5 4" xfId="820"/>
    <cellStyle name="Milliers 2 3 5 4 2" xfId="2980"/>
    <cellStyle name="Milliers 2 3 5 4 2 2" xfId="7300"/>
    <cellStyle name="Milliers 2 3 5 4 2 2 2" xfId="15940"/>
    <cellStyle name="Milliers 2 3 5 4 2 3" xfId="11620"/>
    <cellStyle name="Milliers 2 3 5 4 3" xfId="5140"/>
    <cellStyle name="Milliers 2 3 5 4 3 2" xfId="13780"/>
    <cellStyle name="Milliers 2 3 5 4 4" xfId="9460"/>
    <cellStyle name="Milliers 2 3 5 5" xfId="1540"/>
    <cellStyle name="Milliers 2 3 5 5 2" xfId="3700"/>
    <cellStyle name="Milliers 2 3 5 5 2 2" xfId="8020"/>
    <cellStyle name="Milliers 2 3 5 5 2 2 2" xfId="16660"/>
    <cellStyle name="Milliers 2 3 5 5 2 3" xfId="12340"/>
    <cellStyle name="Milliers 2 3 5 5 3" xfId="5860"/>
    <cellStyle name="Milliers 2 3 5 5 3 2" xfId="14500"/>
    <cellStyle name="Milliers 2 3 5 5 4" xfId="10180"/>
    <cellStyle name="Milliers 2 3 5 6" xfId="2260"/>
    <cellStyle name="Milliers 2 3 5 6 2" xfId="6580"/>
    <cellStyle name="Milliers 2 3 5 6 2 2" xfId="15220"/>
    <cellStyle name="Milliers 2 3 5 6 3" xfId="10900"/>
    <cellStyle name="Milliers 2 3 5 7" xfId="4420"/>
    <cellStyle name="Milliers 2 3 5 7 2" xfId="13060"/>
    <cellStyle name="Milliers 2 3 5 8" xfId="8740"/>
    <cellStyle name="Milliers 2 3 6" xfId="190"/>
    <cellStyle name="Milliers 2 3 6 2" xfId="550"/>
    <cellStyle name="Milliers 2 3 6 2 2" xfId="1270"/>
    <cellStyle name="Milliers 2 3 6 2 2 2" xfId="3430"/>
    <cellStyle name="Milliers 2 3 6 2 2 2 2" xfId="7750"/>
    <cellStyle name="Milliers 2 3 6 2 2 2 2 2" xfId="16390"/>
    <cellStyle name="Milliers 2 3 6 2 2 2 3" xfId="12070"/>
    <cellStyle name="Milliers 2 3 6 2 2 3" xfId="5590"/>
    <cellStyle name="Milliers 2 3 6 2 2 3 2" xfId="14230"/>
    <cellStyle name="Milliers 2 3 6 2 2 4" xfId="9910"/>
    <cellStyle name="Milliers 2 3 6 2 3" xfId="1990"/>
    <cellStyle name="Milliers 2 3 6 2 3 2" xfId="4150"/>
    <cellStyle name="Milliers 2 3 6 2 3 2 2" xfId="8470"/>
    <cellStyle name="Milliers 2 3 6 2 3 2 2 2" xfId="17110"/>
    <cellStyle name="Milliers 2 3 6 2 3 2 3" xfId="12790"/>
    <cellStyle name="Milliers 2 3 6 2 3 3" xfId="6310"/>
    <cellStyle name="Milliers 2 3 6 2 3 3 2" xfId="14950"/>
    <cellStyle name="Milliers 2 3 6 2 3 4" xfId="10630"/>
    <cellStyle name="Milliers 2 3 6 2 4" xfId="2710"/>
    <cellStyle name="Milliers 2 3 6 2 4 2" xfId="7030"/>
    <cellStyle name="Milliers 2 3 6 2 4 2 2" xfId="15670"/>
    <cellStyle name="Milliers 2 3 6 2 4 3" xfId="11350"/>
    <cellStyle name="Milliers 2 3 6 2 5" xfId="4870"/>
    <cellStyle name="Milliers 2 3 6 2 5 2" xfId="13510"/>
    <cellStyle name="Milliers 2 3 6 2 6" xfId="9190"/>
    <cellStyle name="Milliers 2 3 6 3" xfId="910"/>
    <cellStyle name="Milliers 2 3 6 3 2" xfId="3070"/>
    <cellStyle name="Milliers 2 3 6 3 2 2" xfId="7390"/>
    <cellStyle name="Milliers 2 3 6 3 2 2 2" xfId="16030"/>
    <cellStyle name="Milliers 2 3 6 3 2 3" xfId="11710"/>
    <cellStyle name="Milliers 2 3 6 3 3" xfId="5230"/>
    <cellStyle name="Milliers 2 3 6 3 3 2" xfId="13870"/>
    <cellStyle name="Milliers 2 3 6 3 4" xfId="9550"/>
    <cellStyle name="Milliers 2 3 6 4" xfId="1630"/>
    <cellStyle name="Milliers 2 3 6 4 2" xfId="3790"/>
    <cellStyle name="Milliers 2 3 6 4 2 2" xfId="8110"/>
    <cellStyle name="Milliers 2 3 6 4 2 2 2" xfId="16750"/>
    <cellStyle name="Milliers 2 3 6 4 2 3" xfId="12430"/>
    <cellStyle name="Milliers 2 3 6 4 3" xfId="5950"/>
    <cellStyle name="Milliers 2 3 6 4 3 2" xfId="14590"/>
    <cellStyle name="Milliers 2 3 6 4 4" xfId="10270"/>
    <cellStyle name="Milliers 2 3 6 5" xfId="2350"/>
    <cellStyle name="Milliers 2 3 6 5 2" xfId="6670"/>
    <cellStyle name="Milliers 2 3 6 5 2 2" xfId="15310"/>
    <cellStyle name="Milliers 2 3 6 5 3" xfId="10990"/>
    <cellStyle name="Milliers 2 3 6 6" xfId="4510"/>
    <cellStyle name="Milliers 2 3 6 6 2" xfId="13150"/>
    <cellStyle name="Milliers 2 3 6 7" xfId="8830"/>
    <cellStyle name="Milliers 2 3 7" xfId="370"/>
    <cellStyle name="Milliers 2 3 7 2" xfId="1090"/>
    <cellStyle name="Milliers 2 3 7 2 2" xfId="3250"/>
    <cellStyle name="Milliers 2 3 7 2 2 2" xfId="7570"/>
    <cellStyle name="Milliers 2 3 7 2 2 2 2" xfId="16210"/>
    <cellStyle name="Milliers 2 3 7 2 2 3" xfId="11890"/>
    <cellStyle name="Milliers 2 3 7 2 3" xfId="5410"/>
    <cellStyle name="Milliers 2 3 7 2 3 2" xfId="14050"/>
    <cellStyle name="Milliers 2 3 7 2 4" xfId="9730"/>
    <cellStyle name="Milliers 2 3 7 3" xfId="1810"/>
    <cellStyle name="Milliers 2 3 7 3 2" xfId="3970"/>
    <cellStyle name="Milliers 2 3 7 3 2 2" xfId="8290"/>
    <cellStyle name="Milliers 2 3 7 3 2 2 2" xfId="16930"/>
    <cellStyle name="Milliers 2 3 7 3 2 3" xfId="12610"/>
    <cellStyle name="Milliers 2 3 7 3 3" xfId="6130"/>
    <cellStyle name="Milliers 2 3 7 3 3 2" xfId="14770"/>
    <cellStyle name="Milliers 2 3 7 3 4" xfId="10450"/>
    <cellStyle name="Milliers 2 3 7 4" xfId="2530"/>
    <cellStyle name="Milliers 2 3 7 4 2" xfId="6850"/>
    <cellStyle name="Milliers 2 3 7 4 2 2" xfId="15490"/>
    <cellStyle name="Milliers 2 3 7 4 3" xfId="11170"/>
    <cellStyle name="Milliers 2 3 7 5" xfId="4690"/>
    <cellStyle name="Milliers 2 3 7 5 2" xfId="13330"/>
    <cellStyle name="Milliers 2 3 7 6" xfId="9010"/>
    <cellStyle name="Milliers 2 3 8" xfId="730"/>
    <cellStyle name="Milliers 2 3 8 2" xfId="2890"/>
    <cellStyle name="Milliers 2 3 8 2 2" xfId="7210"/>
    <cellStyle name="Milliers 2 3 8 2 2 2" xfId="15850"/>
    <cellStyle name="Milliers 2 3 8 2 3" xfId="11530"/>
    <cellStyle name="Milliers 2 3 8 3" xfId="5050"/>
    <cellStyle name="Milliers 2 3 8 3 2" xfId="13690"/>
    <cellStyle name="Milliers 2 3 8 4" xfId="9370"/>
    <cellStyle name="Milliers 2 3 9" xfId="1450"/>
    <cellStyle name="Milliers 2 3 9 2" xfId="3610"/>
    <cellStyle name="Milliers 2 3 9 2 2" xfId="7930"/>
    <cellStyle name="Milliers 2 3 9 2 2 2" xfId="16570"/>
    <cellStyle name="Milliers 2 3 9 2 3" xfId="12250"/>
    <cellStyle name="Milliers 2 3 9 3" xfId="5770"/>
    <cellStyle name="Milliers 2 3 9 3 2" xfId="14410"/>
    <cellStyle name="Milliers 2 3 9 4" xfId="10090"/>
    <cellStyle name="Milliers 2 4" xfId="16"/>
    <cellStyle name="Milliers 2 4 10" xfId="2176"/>
    <cellStyle name="Milliers 2 4 10 2" xfId="6496"/>
    <cellStyle name="Milliers 2 4 10 2 2" xfId="15136"/>
    <cellStyle name="Milliers 2 4 10 3" xfId="10816"/>
    <cellStyle name="Milliers 2 4 11" xfId="4336"/>
    <cellStyle name="Milliers 2 4 11 2" xfId="12976"/>
    <cellStyle name="Milliers 2 4 12" xfId="8656"/>
    <cellStyle name="Milliers 2 4 2" xfId="31"/>
    <cellStyle name="Milliers 2 4 2 10" xfId="8671"/>
    <cellStyle name="Milliers 2 4 2 2" xfId="76"/>
    <cellStyle name="Milliers 2 4 2 2 2" xfId="166"/>
    <cellStyle name="Milliers 2 4 2 2 2 2" xfId="346"/>
    <cellStyle name="Milliers 2 4 2 2 2 2 2" xfId="706"/>
    <cellStyle name="Milliers 2 4 2 2 2 2 2 2" xfId="1426"/>
    <cellStyle name="Milliers 2 4 2 2 2 2 2 2 2" xfId="3586"/>
    <cellStyle name="Milliers 2 4 2 2 2 2 2 2 2 2" xfId="7906"/>
    <cellStyle name="Milliers 2 4 2 2 2 2 2 2 2 2 2" xfId="16546"/>
    <cellStyle name="Milliers 2 4 2 2 2 2 2 2 2 3" xfId="12226"/>
    <cellStyle name="Milliers 2 4 2 2 2 2 2 2 3" xfId="5746"/>
    <cellStyle name="Milliers 2 4 2 2 2 2 2 2 3 2" xfId="14386"/>
    <cellStyle name="Milliers 2 4 2 2 2 2 2 2 4" xfId="10066"/>
    <cellStyle name="Milliers 2 4 2 2 2 2 2 3" xfId="2146"/>
    <cellStyle name="Milliers 2 4 2 2 2 2 2 3 2" xfId="4306"/>
    <cellStyle name="Milliers 2 4 2 2 2 2 2 3 2 2" xfId="8626"/>
    <cellStyle name="Milliers 2 4 2 2 2 2 2 3 2 2 2" xfId="17266"/>
    <cellStyle name="Milliers 2 4 2 2 2 2 2 3 2 3" xfId="12946"/>
    <cellStyle name="Milliers 2 4 2 2 2 2 2 3 3" xfId="6466"/>
    <cellStyle name="Milliers 2 4 2 2 2 2 2 3 3 2" xfId="15106"/>
    <cellStyle name="Milliers 2 4 2 2 2 2 2 3 4" xfId="10786"/>
    <cellStyle name="Milliers 2 4 2 2 2 2 2 4" xfId="2866"/>
    <cellStyle name="Milliers 2 4 2 2 2 2 2 4 2" xfId="7186"/>
    <cellStyle name="Milliers 2 4 2 2 2 2 2 4 2 2" xfId="15826"/>
    <cellStyle name="Milliers 2 4 2 2 2 2 2 4 3" xfId="11506"/>
    <cellStyle name="Milliers 2 4 2 2 2 2 2 5" xfId="5026"/>
    <cellStyle name="Milliers 2 4 2 2 2 2 2 5 2" xfId="13666"/>
    <cellStyle name="Milliers 2 4 2 2 2 2 2 6" xfId="9346"/>
    <cellStyle name="Milliers 2 4 2 2 2 2 3" xfId="1066"/>
    <cellStyle name="Milliers 2 4 2 2 2 2 3 2" xfId="3226"/>
    <cellStyle name="Milliers 2 4 2 2 2 2 3 2 2" xfId="7546"/>
    <cellStyle name="Milliers 2 4 2 2 2 2 3 2 2 2" xfId="16186"/>
    <cellStyle name="Milliers 2 4 2 2 2 2 3 2 3" xfId="11866"/>
    <cellStyle name="Milliers 2 4 2 2 2 2 3 3" xfId="5386"/>
    <cellStyle name="Milliers 2 4 2 2 2 2 3 3 2" xfId="14026"/>
    <cellStyle name="Milliers 2 4 2 2 2 2 3 4" xfId="9706"/>
    <cellStyle name="Milliers 2 4 2 2 2 2 4" xfId="1786"/>
    <cellStyle name="Milliers 2 4 2 2 2 2 4 2" xfId="3946"/>
    <cellStyle name="Milliers 2 4 2 2 2 2 4 2 2" xfId="8266"/>
    <cellStyle name="Milliers 2 4 2 2 2 2 4 2 2 2" xfId="16906"/>
    <cellStyle name="Milliers 2 4 2 2 2 2 4 2 3" xfId="12586"/>
    <cellStyle name="Milliers 2 4 2 2 2 2 4 3" xfId="6106"/>
    <cellStyle name="Milliers 2 4 2 2 2 2 4 3 2" xfId="14746"/>
    <cellStyle name="Milliers 2 4 2 2 2 2 4 4" xfId="10426"/>
    <cellStyle name="Milliers 2 4 2 2 2 2 5" xfId="2506"/>
    <cellStyle name="Milliers 2 4 2 2 2 2 5 2" xfId="6826"/>
    <cellStyle name="Milliers 2 4 2 2 2 2 5 2 2" xfId="15466"/>
    <cellStyle name="Milliers 2 4 2 2 2 2 5 3" xfId="11146"/>
    <cellStyle name="Milliers 2 4 2 2 2 2 6" xfId="4666"/>
    <cellStyle name="Milliers 2 4 2 2 2 2 6 2" xfId="13306"/>
    <cellStyle name="Milliers 2 4 2 2 2 2 7" xfId="8986"/>
    <cellStyle name="Milliers 2 4 2 2 2 3" xfId="526"/>
    <cellStyle name="Milliers 2 4 2 2 2 3 2" xfId="1246"/>
    <cellStyle name="Milliers 2 4 2 2 2 3 2 2" xfId="3406"/>
    <cellStyle name="Milliers 2 4 2 2 2 3 2 2 2" xfId="7726"/>
    <cellStyle name="Milliers 2 4 2 2 2 3 2 2 2 2" xfId="16366"/>
    <cellStyle name="Milliers 2 4 2 2 2 3 2 2 3" xfId="12046"/>
    <cellStyle name="Milliers 2 4 2 2 2 3 2 3" xfId="5566"/>
    <cellStyle name="Milliers 2 4 2 2 2 3 2 3 2" xfId="14206"/>
    <cellStyle name="Milliers 2 4 2 2 2 3 2 4" xfId="9886"/>
    <cellStyle name="Milliers 2 4 2 2 2 3 3" xfId="1966"/>
    <cellStyle name="Milliers 2 4 2 2 2 3 3 2" xfId="4126"/>
    <cellStyle name="Milliers 2 4 2 2 2 3 3 2 2" xfId="8446"/>
    <cellStyle name="Milliers 2 4 2 2 2 3 3 2 2 2" xfId="17086"/>
    <cellStyle name="Milliers 2 4 2 2 2 3 3 2 3" xfId="12766"/>
    <cellStyle name="Milliers 2 4 2 2 2 3 3 3" xfId="6286"/>
    <cellStyle name="Milliers 2 4 2 2 2 3 3 3 2" xfId="14926"/>
    <cellStyle name="Milliers 2 4 2 2 2 3 3 4" xfId="10606"/>
    <cellStyle name="Milliers 2 4 2 2 2 3 4" xfId="2686"/>
    <cellStyle name="Milliers 2 4 2 2 2 3 4 2" xfId="7006"/>
    <cellStyle name="Milliers 2 4 2 2 2 3 4 2 2" xfId="15646"/>
    <cellStyle name="Milliers 2 4 2 2 2 3 4 3" xfId="11326"/>
    <cellStyle name="Milliers 2 4 2 2 2 3 5" xfId="4846"/>
    <cellStyle name="Milliers 2 4 2 2 2 3 5 2" xfId="13486"/>
    <cellStyle name="Milliers 2 4 2 2 2 3 6" xfId="9166"/>
    <cellStyle name="Milliers 2 4 2 2 2 4" xfId="886"/>
    <cellStyle name="Milliers 2 4 2 2 2 4 2" xfId="3046"/>
    <cellStyle name="Milliers 2 4 2 2 2 4 2 2" xfId="7366"/>
    <cellStyle name="Milliers 2 4 2 2 2 4 2 2 2" xfId="16006"/>
    <cellStyle name="Milliers 2 4 2 2 2 4 2 3" xfId="11686"/>
    <cellStyle name="Milliers 2 4 2 2 2 4 3" xfId="5206"/>
    <cellStyle name="Milliers 2 4 2 2 2 4 3 2" xfId="13846"/>
    <cellStyle name="Milliers 2 4 2 2 2 4 4" xfId="9526"/>
    <cellStyle name="Milliers 2 4 2 2 2 5" xfId="1606"/>
    <cellStyle name="Milliers 2 4 2 2 2 5 2" xfId="3766"/>
    <cellStyle name="Milliers 2 4 2 2 2 5 2 2" xfId="8086"/>
    <cellStyle name="Milliers 2 4 2 2 2 5 2 2 2" xfId="16726"/>
    <cellStyle name="Milliers 2 4 2 2 2 5 2 3" xfId="12406"/>
    <cellStyle name="Milliers 2 4 2 2 2 5 3" xfId="5926"/>
    <cellStyle name="Milliers 2 4 2 2 2 5 3 2" xfId="14566"/>
    <cellStyle name="Milliers 2 4 2 2 2 5 4" xfId="10246"/>
    <cellStyle name="Milliers 2 4 2 2 2 6" xfId="2326"/>
    <cellStyle name="Milliers 2 4 2 2 2 6 2" xfId="6646"/>
    <cellStyle name="Milliers 2 4 2 2 2 6 2 2" xfId="15286"/>
    <cellStyle name="Milliers 2 4 2 2 2 6 3" xfId="10966"/>
    <cellStyle name="Milliers 2 4 2 2 2 7" xfId="4486"/>
    <cellStyle name="Milliers 2 4 2 2 2 7 2" xfId="13126"/>
    <cellStyle name="Milliers 2 4 2 2 2 8" xfId="8806"/>
    <cellStyle name="Milliers 2 4 2 2 3" xfId="256"/>
    <cellStyle name="Milliers 2 4 2 2 3 2" xfId="616"/>
    <cellStyle name="Milliers 2 4 2 2 3 2 2" xfId="1336"/>
    <cellStyle name="Milliers 2 4 2 2 3 2 2 2" xfId="3496"/>
    <cellStyle name="Milliers 2 4 2 2 3 2 2 2 2" xfId="7816"/>
    <cellStyle name="Milliers 2 4 2 2 3 2 2 2 2 2" xfId="16456"/>
    <cellStyle name="Milliers 2 4 2 2 3 2 2 2 3" xfId="12136"/>
    <cellStyle name="Milliers 2 4 2 2 3 2 2 3" xfId="5656"/>
    <cellStyle name="Milliers 2 4 2 2 3 2 2 3 2" xfId="14296"/>
    <cellStyle name="Milliers 2 4 2 2 3 2 2 4" xfId="9976"/>
    <cellStyle name="Milliers 2 4 2 2 3 2 3" xfId="2056"/>
    <cellStyle name="Milliers 2 4 2 2 3 2 3 2" xfId="4216"/>
    <cellStyle name="Milliers 2 4 2 2 3 2 3 2 2" xfId="8536"/>
    <cellStyle name="Milliers 2 4 2 2 3 2 3 2 2 2" xfId="17176"/>
    <cellStyle name="Milliers 2 4 2 2 3 2 3 2 3" xfId="12856"/>
    <cellStyle name="Milliers 2 4 2 2 3 2 3 3" xfId="6376"/>
    <cellStyle name="Milliers 2 4 2 2 3 2 3 3 2" xfId="15016"/>
    <cellStyle name="Milliers 2 4 2 2 3 2 3 4" xfId="10696"/>
    <cellStyle name="Milliers 2 4 2 2 3 2 4" xfId="2776"/>
    <cellStyle name="Milliers 2 4 2 2 3 2 4 2" xfId="7096"/>
    <cellStyle name="Milliers 2 4 2 2 3 2 4 2 2" xfId="15736"/>
    <cellStyle name="Milliers 2 4 2 2 3 2 4 3" xfId="11416"/>
    <cellStyle name="Milliers 2 4 2 2 3 2 5" xfId="4936"/>
    <cellStyle name="Milliers 2 4 2 2 3 2 5 2" xfId="13576"/>
    <cellStyle name="Milliers 2 4 2 2 3 2 6" xfId="9256"/>
    <cellStyle name="Milliers 2 4 2 2 3 3" xfId="976"/>
    <cellStyle name="Milliers 2 4 2 2 3 3 2" xfId="3136"/>
    <cellStyle name="Milliers 2 4 2 2 3 3 2 2" xfId="7456"/>
    <cellStyle name="Milliers 2 4 2 2 3 3 2 2 2" xfId="16096"/>
    <cellStyle name="Milliers 2 4 2 2 3 3 2 3" xfId="11776"/>
    <cellStyle name="Milliers 2 4 2 2 3 3 3" xfId="5296"/>
    <cellStyle name="Milliers 2 4 2 2 3 3 3 2" xfId="13936"/>
    <cellStyle name="Milliers 2 4 2 2 3 3 4" xfId="9616"/>
    <cellStyle name="Milliers 2 4 2 2 3 4" xfId="1696"/>
    <cellStyle name="Milliers 2 4 2 2 3 4 2" xfId="3856"/>
    <cellStyle name="Milliers 2 4 2 2 3 4 2 2" xfId="8176"/>
    <cellStyle name="Milliers 2 4 2 2 3 4 2 2 2" xfId="16816"/>
    <cellStyle name="Milliers 2 4 2 2 3 4 2 3" xfId="12496"/>
    <cellStyle name="Milliers 2 4 2 2 3 4 3" xfId="6016"/>
    <cellStyle name="Milliers 2 4 2 2 3 4 3 2" xfId="14656"/>
    <cellStyle name="Milliers 2 4 2 2 3 4 4" xfId="10336"/>
    <cellStyle name="Milliers 2 4 2 2 3 5" xfId="2416"/>
    <cellStyle name="Milliers 2 4 2 2 3 5 2" xfId="6736"/>
    <cellStyle name="Milliers 2 4 2 2 3 5 2 2" xfId="15376"/>
    <cellStyle name="Milliers 2 4 2 2 3 5 3" xfId="11056"/>
    <cellStyle name="Milliers 2 4 2 2 3 6" xfId="4576"/>
    <cellStyle name="Milliers 2 4 2 2 3 6 2" xfId="13216"/>
    <cellStyle name="Milliers 2 4 2 2 3 7" xfId="8896"/>
    <cellStyle name="Milliers 2 4 2 2 4" xfId="436"/>
    <cellStyle name="Milliers 2 4 2 2 4 2" xfId="1156"/>
    <cellStyle name="Milliers 2 4 2 2 4 2 2" xfId="3316"/>
    <cellStyle name="Milliers 2 4 2 2 4 2 2 2" xfId="7636"/>
    <cellStyle name="Milliers 2 4 2 2 4 2 2 2 2" xfId="16276"/>
    <cellStyle name="Milliers 2 4 2 2 4 2 2 3" xfId="11956"/>
    <cellStyle name="Milliers 2 4 2 2 4 2 3" xfId="5476"/>
    <cellStyle name="Milliers 2 4 2 2 4 2 3 2" xfId="14116"/>
    <cellStyle name="Milliers 2 4 2 2 4 2 4" xfId="9796"/>
    <cellStyle name="Milliers 2 4 2 2 4 3" xfId="1876"/>
    <cellStyle name="Milliers 2 4 2 2 4 3 2" xfId="4036"/>
    <cellStyle name="Milliers 2 4 2 2 4 3 2 2" xfId="8356"/>
    <cellStyle name="Milliers 2 4 2 2 4 3 2 2 2" xfId="16996"/>
    <cellStyle name="Milliers 2 4 2 2 4 3 2 3" xfId="12676"/>
    <cellStyle name="Milliers 2 4 2 2 4 3 3" xfId="6196"/>
    <cellStyle name="Milliers 2 4 2 2 4 3 3 2" xfId="14836"/>
    <cellStyle name="Milliers 2 4 2 2 4 3 4" xfId="10516"/>
    <cellStyle name="Milliers 2 4 2 2 4 4" xfId="2596"/>
    <cellStyle name="Milliers 2 4 2 2 4 4 2" xfId="6916"/>
    <cellStyle name="Milliers 2 4 2 2 4 4 2 2" xfId="15556"/>
    <cellStyle name="Milliers 2 4 2 2 4 4 3" xfId="11236"/>
    <cellStyle name="Milliers 2 4 2 2 4 5" xfId="4756"/>
    <cellStyle name="Milliers 2 4 2 2 4 5 2" xfId="13396"/>
    <cellStyle name="Milliers 2 4 2 2 4 6" xfId="9076"/>
    <cellStyle name="Milliers 2 4 2 2 5" xfId="796"/>
    <cellStyle name="Milliers 2 4 2 2 5 2" xfId="2956"/>
    <cellStyle name="Milliers 2 4 2 2 5 2 2" xfId="7276"/>
    <cellStyle name="Milliers 2 4 2 2 5 2 2 2" xfId="15916"/>
    <cellStyle name="Milliers 2 4 2 2 5 2 3" xfId="11596"/>
    <cellStyle name="Milliers 2 4 2 2 5 3" xfId="5116"/>
    <cellStyle name="Milliers 2 4 2 2 5 3 2" xfId="13756"/>
    <cellStyle name="Milliers 2 4 2 2 5 4" xfId="9436"/>
    <cellStyle name="Milliers 2 4 2 2 6" xfId="1516"/>
    <cellStyle name="Milliers 2 4 2 2 6 2" xfId="3676"/>
    <cellStyle name="Milliers 2 4 2 2 6 2 2" xfId="7996"/>
    <cellStyle name="Milliers 2 4 2 2 6 2 2 2" xfId="16636"/>
    <cellStyle name="Milliers 2 4 2 2 6 2 3" xfId="12316"/>
    <cellStyle name="Milliers 2 4 2 2 6 3" xfId="5836"/>
    <cellStyle name="Milliers 2 4 2 2 6 3 2" xfId="14476"/>
    <cellStyle name="Milliers 2 4 2 2 6 4" xfId="10156"/>
    <cellStyle name="Milliers 2 4 2 2 7" xfId="2236"/>
    <cellStyle name="Milliers 2 4 2 2 7 2" xfId="6556"/>
    <cellStyle name="Milliers 2 4 2 2 7 2 2" xfId="15196"/>
    <cellStyle name="Milliers 2 4 2 2 7 3" xfId="10876"/>
    <cellStyle name="Milliers 2 4 2 2 8" xfId="4396"/>
    <cellStyle name="Milliers 2 4 2 2 8 2" xfId="13036"/>
    <cellStyle name="Milliers 2 4 2 2 9" xfId="8716"/>
    <cellStyle name="Milliers 2 4 2 3" xfId="121"/>
    <cellStyle name="Milliers 2 4 2 3 2" xfId="301"/>
    <cellStyle name="Milliers 2 4 2 3 2 2" xfId="661"/>
    <cellStyle name="Milliers 2 4 2 3 2 2 2" xfId="1381"/>
    <cellStyle name="Milliers 2 4 2 3 2 2 2 2" xfId="3541"/>
    <cellStyle name="Milliers 2 4 2 3 2 2 2 2 2" xfId="7861"/>
    <cellStyle name="Milliers 2 4 2 3 2 2 2 2 2 2" xfId="16501"/>
    <cellStyle name="Milliers 2 4 2 3 2 2 2 2 3" xfId="12181"/>
    <cellStyle name="Milliers 2 4 2 3 2 2 2 3" xfId="5701"/>
    <cellStyle name="Milliers 2 4 2 3 2 2 2 3 2" xfId="14341"/>
    <cellStyle name="Milliers 2 4 2 3 2 2 2 4" xfId="10021"/>
    <cellStyle name="Milliers 2 4 2 3 2 2 3" xfId="2101"/>
    <cellStyle name="Milliers 2 4 2 3 2 2 3 2" xfId="4261"/>
    <cellStyle name="Milliers 2 4 2 3 2 2 3 2 2" xfId="8581"/>
    <cellStyle name="Milliers 2 4 2 3 2 2 3 2 2 2" xfId="17221"/>
    <cellStyle name="Milliers 2 4 2 3 2 2 3 2 3" xfId="12901"/>
    <cellStyle name="Milliers 2 4 2 3 2 2 3 3" xfId="6421"/>
    <cellStyle name="Milliers 2 4 2 3 2 2 3 3 2" xfId="15061"/>
    <cellStyle name="Milliers 2 4 2 3 2 2 3 4" xfId="10741"/>
    <cellStyle name="Milliers 2 4 2 3 2 2 4" xfId="2821"/>
    <cellStyle name="Milliers 2 4 2 3 2 2 4 2" xfId="7141"/>
    <cellStyle name="Milliers 2 4 2 3 2 2 4 2 2" xfId="15781"/>
    <cellStyle name="Milliers 2 4 2 3 2 2 4 3" xfId="11461"/>
    <cellStyle name="Milliers 2 4 2 3 2 2 5" xfId="4981"/>
    <cellStyle name="Milliers 2 4 2 3 2 2 5 2" xfId="13621"/>
    <cellStyle name="Milliers 2 4 2 3 2 2 6" xfId="9301"/>
    <cellStyle name="Milliers 2 4 2 3 2 3" xfId="1021"/>
    <cellStyle name="Milliers 2 4 2 3 2 3 2" xfId="3181"/>
    <cellStyle name="Milliers 2 4 2 3 2 3 2 2" xfId="7501"/>
    <cellStyle name="Milliers 2 4 2 3 2 3 2 2 2" xfId="16141"/>
    <cellStyle name="Milliers 2 4 2 3 2 3 2 3" xfId="11821"/>
    <cellStyle name="Milliers 2 4 2 3 2 3 3" xfId="5341"/>
    <cellStyle name="Milliers 2 4 2 3 2 3 3 2" xfId="13981"/>
    <cellStyle name="Milliers 2 4 2 3 2 3 4" xfId="9661"/>
    <cellStyle name="Milliers 2 4 2 3 2 4" xfId="1741"/>
    <cellStyle name="Milliers 2 4 2 3 2 4 2" xfId="3901"/>
    <cellStyle name="Milliers 2 4 2 3 2 4 2 2" xfId="8221"/>
    <cellStyle name="Milliers 2 4 2 3 2 4 2 2 2" xfId="16861"/>
    <cellStyle name="Milliers 2 4 2 3 2 4 2 3" xfId="12541"/>
    <cellStyle name="Milliers 2 4 2 3 2 4 3" xfId="6061"/>
    <cellStyle name="Milliers 2 4 2 3 2 4 3 2" xfId="14701"/>
    <cellStyle name="Milliers 2 4 2 3 2 4 4" xfId="10381"/>
    <cellStyle name="Milliers 2 4 2 3 2 5" xfId="2461"/>
    <cellStyle name="Milliers 2 4 2 3 2 5 2" xfId="6781"/>
    <cellStyle name="Milliers 2 4 2 3 2 5 2 2" xfId="15421"/>
    <cellStyle name="Milliers 2 4 2 3 2 5 3" xfId="11101"/>
    <cellStyle name="Milliers 2 4 2 3 2 6" xfId="4621"/>
    <cellStyle name="Milliers 2 4 2 3 2 6 2" xfId="13261"/>
    <cellStyle name="Milliers 2 4 2 3 2 7" xfId="8941"/>
    <cellStyle name="Milliers 2 4 2 3 3" xfId="481"/>
    <cellStyle name="Milliers 2 4 2 3 3 2" xfId="1201"/>
    <cellStyle name="Milliers 2 4 2 3 3 2 2" xfId="3361"/>
    <cellStyle name="Milliers 2 4 2 3 3 2 2 2" xfId="7681"/>
    <cellStyle name="Milliers 2 4 2 3 3 2 2 2 2" xfId="16321"/>
    <cellStyle name="Milliers 2 4 2 3 3 2 2 3" xfId="12001"/>
    <cellStyle name="Milliers 2 4 2 3 3 2 3" xfId="5521"/>
    <cellStyle name="Milliers 2 4 2 3 3 2 3 2" xfId="14161"/>
    <cellStyle name="Milliers 2 4 2 3 3 2 4" xfId="9841"/>
    <cellStyle name="Milliers 2 4 2 3 3 3" xfId="1921"/>
    <cellStyle name="Milliers 2 4 2 3 3 3 2" xfId="4081"/>
    <cellStyle name="Milliers 2 4 2 3 3 3 2 2" xfId="8401"/>
    <cellStyle name="Milliers 2 4 2 3 3 3 2 2 2" xfId="17041"/>
    <cellStyle name="Milliers 2 4 2 3 3 3 2 3" xfId="12721"/>
    <cellStyle name="Milliers 2 4 2 3 3 3 3" xfId="6241"/>
    <cellStyle name="Milliers 2 4 2 3 3 3 3 2" xfId="14881"/>
    <cellStyle name="Milliers 2 4 2 3 3 3 4" xfId="10561"/>
    <cellStyle name="Milliers 2 4 2 3 3 4" xfId="2641"/>
    <cellStyle name="Milliers 2 4 2 3 3 4 2" xfId="6961"/>
    <cellStyle name="Milliers 2 4 2 3 3 4 2 2" xfId="15601"/>
    <cellStyle name="Milliers 2 4 2 3 3 4 3" xfId="11281"/>
    <cellStyle name="Milliers 2 4 2 3 3 5" xfId="4801"/>
    <cellStyle name="Milliers 2 4 2 3 3 5 2" xfId="13441"/>
    <cellStyle name="Milliers 2 4 2 3 3 6" xfId="9121"/>
    <cellStyle name="Milliers 2 4 2 3 4" xfId="841"/>
    <cellStyle name="Milliers 2 4 2 3 4 2" xfId="3001"/>
    <cellStyle name="Milliers 2 4 2 3 4 2 2" xfId="7321"/>
    <cellStyle name="Milliers 2 4 2 3 4 2 2 2" xfId="15961"/>
    <cellStyle name="Milliers 2 4 2 3 4 2 3" xfId="11641"/>
    <cellStyle name="Milliers 2 4 2 3 4 3" xfId="5161"/>
    <cellStyle name="Milliers 2 4 2 3 4 3 2" xfId="13801"/>
    <cellStyle name="Milliers 2 4 2 3 4 4" xfId="9481"/>
    <cellStyle name="Milliers 2 4 2 3 5" xfId="1561"/>
    <cellStyle name="Milliers 2 4 2 3 5 2" xfId="3721"/>
    <cellStyle name="Milliers 2 4 2 3 5 2 2" xfId="8041"/>
    <cellStyle name="Milliers 2 4 2 3 5 2 2 2" xfId="16681"/>
    <cellStyle name="Milliers 2 4 2 3 5 2 3" xfId="12361"/>
    <cellStyle name="Milliers 2 4 2 3 5 3" xfId="5881"/>
    <cellStyle name="Milliers 2 4 2 3 5 3 2" xfId="14521"/>
    <cellStyle name="Milliers 2 4 2 3 5 4" xfId="10201"/>
    <cellStyle name="Milliers 2 4 2 3 6" xfId="2281"/>
    <cellStyle name="Milliers 2 4 2 3 6 2" xfId="6601"/>
    <cellStyle name="Milliers 2 4 2 3 6 2 2" xfId="15241"/>
    <cellStyle name="Milliers 2 4 2 3 6 3" xfId="10921"/>
    <cellStyle name="Milliers 2 4 2 3 7" xfId="4441"/>
    <cellStyle name="Milliers 2 4 2 3 7 2" xfId="13081"/>
    <cellStyle name="Milliers 2 4 2 3 8" xfId="8761"/>
    <cellStyle name="Milliers 2 4 2 4" xfId="211"/>
    <cellStyle name="Milliers 2 4 2 4 2" xfId="571"/>
    <cellStyle name="Milliers 2 4 2 4 2 2" xfId="1291"/>
    <cellStyle name="Milliers 2 4 2 4 2 2 2" xfId="3451"/>
    <cellStyle name="Milliers 2 4 2 4 2 2 2 2" xfId="7771"/>
    <cellStyle name="Milliers 2 4 2 4 2 2 2 2 2" xfId="16411"/>
    <cellStyle name="Milliers 2 4 2 4 2 2 2 3" xfId="12091"/>
    <cellStyle name="Milliers 2 4 2 4 2 2 3" xfId="5611"/>
    <cellStyle name="Milliers 2 4 2 4 2 2 3 2" xfId="14251"/>
    <cellStyle name="Milliers 2 4 2 4 2 2 4" xfId="9931"/>
    <cellStyle name="Milliers 2 4 2 4 2 3" xfId="2011"/>
    <cellStyle name="Milliers 2 4 2 4 2 3 2" xfId="4171"/>
    <cellStyle name="Milliers 2 4 2 4 2 3 2 2" xfId="8491"/>
    <cellStyle name="Milliers 2 4 2 4 2 3 2 2 2" xfId="17131"/>
    <cellStyle name="Milliers 2 4 2 4 2 3 2 3" xfId="12811"/>
    <cellStyle name="Milliers 2 4 2 4 2 3 3" xfId="6331"/>
    <cellStyle name="Milliers 2 4 2 4 2 3 3 2" xfId="14971"/>
    <cellStyle name="Milliers 2 4 2 4 2 3 4" xfId="10651"/>
    <cellStyle name="Milliers 2 4 2 4 2 4" xfId="2731"/>
    <cellStyle name="Milliers 2 4 2 4 2 4 2" xfId="7051"/>
    <cellStyle name="Milliers 2 4 2 4 2 4 2 2" xfId="15691"/>
    <cellStyle name="Milliers 2 4 2 4 2 4 3" xfId="11371"/>
    <cellStyle name="Milliers 2 4 2 4 2 5" xfId="4891"/>
    <cellStyle name="Milliers 2 4 2 4 2 5 2" xfId="13531"/>
    <cellStyle name="Milliers 2 4 2 4 2 6" xfId="9211"/>
    <cellStyle name="Milliers 2 4 2 4 3" xfId="931"/>
    <cellStyle name="Milliers 2 4 2 4 3 2" xfId="3091"/>
    <cellStyle name="Milliers 2 4 2 4 3 2 2" xfId="7411"/>
    <cellStyle name="Milliers 2 4 2 4 3 2 2 2" xfId="16051"/>
    <cellStyle name="Milliers 2 4 2 4 3 2 3" xfId="11731"/>
    <cellStyle name="Milliers 2 4 2 4 3 3" xfId="5251"/>
    <cellStyle name="Milliers 2 4 2 4 3 3 2" xfId="13891"/>
    <cellStyle name="Milliers 2 4 2 4 3 4" xfId="9571"/>
    <cellStyle name="Milliers 2 4 2 4 4" xfId="1651"/>
    <cellStyle name="Milliers 2 4 2 4 4 2" xfId="3811"/>
    <cellStyle name="Milliers 2 4 2 4 4 2 2" xfId="8131"/>
    <cellStyle name="Milliers 2 4 2 4 4 2 2 2" xfId="16771"/>
    <cellStyle name="Milliers 2 4 2 4 4 2 3" xfId="12451"/>
    <cellStyle name="Milliers 2 4 2 4 4 3" xfId="5971"/>
    <cellStyle name="Milliers 2 4 2 4 4 3 2" xfId="14611"/>
    <cellStyle name="Milliers 2 4 2 4 4 4" xfId="10291"/>
    <cellStyle name="Milliers 2 4 2 4 5" xfId="2371"/>
    <cellStyle name="Milliers 2 4 2 4 5 2" xfId="6691"/>
    <cellStyle name="Milliers 2 4 2 4 5 2 2" xfId="15331"/>
    <cellStyle name="Milliers 2 4 2 4 5 3" xfId="11011"/>
    <cellStyle name="Milliers 2 4 2 4 6" xfId="4531"/>
    <cellStyle name="Milliers 2 4 2 4 6 2" xfId="13171"/>
    <cellStyle name="Milliers 2 4 2 4 7" xfId="8851"/>
    <cellStyle name="Milliers 2 4 2 5" xfId="391"/>
    <cellStyle name="Milliers 2 4 2 5 2" xfId="1111"/>
    <cellStyle name="Milliers 2 4 2 5 2 2" xfId="3271"/>
    <cellStyle name="Milliers 2 4 2 5 2 2 2" xfId="7591"/>
    <cellStyle name="Milliers 2 4 2 5 2 2 2 2" xfId="16231"/>
    <cellStyle name="Milliers 2 4 2 5 2 2 3" xfId="11911"/>
    <cellStyle name="Milliers 2 4 2 5 2 3" xfId="5431"/>
    <cellStyle name="Milliers 2 4 2 5 2 3 2" xfId="14071"/>
    <cellStyle name="Milliers 2 4 2 5 2 4" xfId="9751"/>
    <cellStyle name="Milliers 2 4 2 5 3" xfId="1831"/>
    <cellStyle name="Milliers 2 4 2 5 3 2" xfId="3991"/>
    <cellStyle name="Milliers 2 4 2 5 3 2 2" xfId="8311"/>
    <cellStyle name="Milliers 2 4 2 5 3 2 2 2" xfId="16951"/>
    <cellStyle name="Milliers 2 4 2 5 3 2 3" xfId="12631"/>
    <cellStyle name="Milliers 2 4 2 5 3 3" xfId="6151"/>
    <cellStyle name="Milliers 2 4 2 5 3 3 2" xfId="14791"/>
    <cellStyle name="Milliers 2 4 2 5 3 4" xfId="10471"/>
    <cellStyle name="Milliers 2 4 2 5 4" xfId="2551"/>
    <cellStyle name="Milliers 2 4 2 5 4 2" xfId="6871"/>
    <cellStyle name="Milliers 2 4 2 5 4 2 2" xfId="15511"/>
    <cellStyle name="Milliers 2 4 2 5 4 3" xfId="11191"/>
    <cellStyle name="Milliers 2 4 2 5 5" xfId="4711"/>
    <cellStyle name="Milliers 2 4 2 5 5 2" xfId="13351"/>
    <cellStyle name="Milliers 2 4 2 5 6" xfId="9031"/>
    <cellStyle name="Milliers 2 4 2 6" xfId="751"/>
    <cellStyle name="Milliers 2 4 2 6 2" xfId="2911"/>
    <cellStyle name="Milliers 2 4 2 6 2 2" xfId="7231"/>
    <cellStyle name="Milliers 2 4 2 6 2 2 2" xfId="15871"/>
    <cellStyle name="Milliers 2 4 2 6 2 3" xfId="11551"/>
    <cellStyle name="Milliers 2 4 2 6 3" xfId="5071"/>
    <cellStyle name="Milliers 2 4 2 6 3 2" xfId="13711"/>
    <cellStyle name="Milliers 2 4 2 6 4" xfId="9391"/>
    <cellStyle name="Milliers 2 4 2 7" xfId="1471"/>
    <cellStyle name="Milliers 2 4 2 7 2" xfId="3631"/>
    <cellStyle name="Milliers 2 4 2 7 2 2" xfId="7951"/>
    <cellStyle name="Milliers 2 4 2 7 2 2 2" xfId="16591"/>
    <cellStyle name="Milliers 2 4 2 7 2 3" xfId="12271"/>
    <cellStyle name="Milliers 2 4 2 7 3" xfId="5791"/>
    <cellStyle name="Milliers 2 4 2 7 3 2" xfId="14431"/>
    <cellStyle name="Milliers 2 4 2 7 4" xfId="10111"/>
    <cellStyle name="Milliers 2 4 2 8" xfId="2191"/>
    <cellStyle name="Milliers 2 4 2 8 2" xfId="6511"/>
    <cellStyle name="Milliers 2 4 2 8 2 2" xfId="15151"/>
    <cellStyle name="Milliers 2 4 2 8 3" xfId="10831"/>
    <cellStyle name="Milliers 2 4 2 9" xfId="4351"/>
    <cellStyle name="Milliers 2 4 2 9 2" xfId="12991"/>
    <cellStyle name="Milliers 2 4 3" xfId="46"/>
    <cellStyle name="Milliers 2 4 3 10" xfId="8686"/>
    <cellStyle name="Milliers 2 4 3 2" xfId="91"/>
    <cellStyle name="Milliers 2 4 3 2 2" xfId="181"/>
    <cellStyle name="Milliers 2 4 3 2 2 2" xfId="361"/>
    <cellStyle name="Milliers 2 4 3 2 2 2 2" xfId="721"/>
    <cellStyle name="Milliers 2 4 3 2 2 2 2 2" xfId="1441"/>
    <cellStyle name="Milliers 2 4 3 2 2 2 2 2 2" xfId="3601"/>
    <cellStyle name="Milliers 2 4 3 2 2 2 2 2 2 2" xfId="7921"/>
    <cellStyle name="Milliers 2 4 3 2 2 2 2 2 2 2 2" xfId="16561"/>
    <cellStyle name="Milliers 2 4 3 2 2 2 2 2 2 3" xfId="12241"/>
    <cellStyle name="Milliers 2 4 3 2 2 2 2 2 3" xfId="5761"/>
    <cellStyle name="Milliers 2 4 3 2 2 2 2 2 3 2" xfId="14401"/>
    <cellStyle name="Milliers 2 4 3 2 2 2 2 2 4" xfId="10081"/>
    <cellStyle name="Milliers 2 4 3 2 2 2 2 3" xfId="2161"/>
    <cellStyle name="Milliers 2 4 3 2 2 2 2 3 2" xfId="4321"/>
    <cellStyle name="Milliers 2 4 3 2 2 2 2 3 2 2" xfId="8641"/>
    <cellStyle name="Milliers 2 4 3 2 2 2 2 3 2 2 2" xfId="17281"/>
    <cellStyle name="Milliers 2 4 3 2 2 2 2 3 2 3" xfId="12961"/>
    <cellStyle name="Milliers 2 4 3 2 2 2 2 3 3" xfId="6481"/>
    <cellStyle name="Milliers 2 4 3 2 2 2 2 3 3 2" xfId="15121"/>
    <cellStyle name="Milliers 2 4 3 2 2 2 2 3 4" xfId="10801"/>
    <cellStyle name="Milliers 2 4 3 2 2 2 2 4" xfId="2881"/>
    <cellStyle name="Milliers 2 4 3 2 2 2 2 4 2" xfId="7201"/>
    <cellStyle name="Milliers 2 4 3 2 2 2 2 4 2 2" xfId="15841"/>
    <cellStyle name="Milliers 2 4 3 2 2 2 2 4 3" xfId="11521"/>
    <cellStyle name="Milliers 2 4 3 2 2 2 2 5" xfId="5041"/>
    <cellStyle name="Milliers 2 4 3 2 2 2 2 5 2" xfId="13681"/>
    <cellStyle name="Milliers 2 4 3 2 2 2 2 6" xfId="9361"/>
    <cellStyle name="Milliers 2 4 3 2 2 2 3" xfId="1081"/>
    <cellStyle name="Milliers 2 4 3 2 2 2 3 2" xfId="3241"/>
    <cellStyle name="Milliers 2 4 3 2 2 2 3 2 2" xfId="7561"/>
    <cellStyle name="Milliers 2 4 3 2 2 2 3 2 2 2" xfId="16201"/>
    <cellStyle name="Milliers 2 4 3 2 2 2 3 2 3" xfId="11881"/>
    <cellStyle name="Milliers 2 4 3 2 2 2 3 3" xfId="5401"/>
    <cellStyle name="Milliers 2 4 3 2 2 2 3 3 2" xfId="14041"/>
    <cellStyle name="Milliers 2 4 3 2 2 2 3 4" xfId="9721"/>
    <cellStyle name="Milliers 2 4 3 2 2 2 4" xfId="1801"/>
    <cellStyle name="Milliers 2 4 3 2 2 2 4 2" xfId="3961"/>
    <cellStyle name="Milliers 2 4 3 2 2 2 4 2 2" xfId="8281"/>
    <cellStyle name="Milliers 2 4 3 2 2 2 4 2 2 2" xfId="16921"/>
    <cellStyle name="Milliers 2 4 3 2 2 2 4 2 3" xfId="12601"/>
    <cellStyle name="Milliers 2 4 3 2 2 2 4 3" xfId="6121"/>
    <cellStyle name="Milliers 2 4 3 2 2 2 4 3 2" xfId="14761"/>
    <cellStyle name="Milliers 2 4 3 2 2 2 4 4" xfId="10441"/>
    <cellStyle name="Milliers 2 4 3 2 2 2 5" xfId="2521"/>
    <cellStyle name="Milliers 2 4 3 2 2 2 5 2" xfId="6841"/>
    <cellStyle name="Milliers 2 4 3 2 2 2 5 2 2" xfId="15481"/>
    <cellStyle name="Milliers 2 4 3 2 2 2 5 3" xfId="11161"/>
    <cellStyle name="Milliers 2 4 3 2 2 2 6" xfId="4681"/>
    <cellStyle name="Milliers 2 4 3 2 2 2 6 2" xfId="13321"/>
    <cellStyle name="Milliers 2 4 3 2 2 2 7" xfId="9001"/>
    <cellStyle name="Milliers 2 4 3 2 2 3" xfId="541"/>
    <cellStyle name="Milliers 2 4 3 2 2 3 2" xfId="1261"/>
    <cellStyle name="Milliers 2 4 3 2 2 3 2 2" xfId="3421"/>
    <cellStyle name="Milliers 2 4 3 2 2 3 2 2 2" xfId="7741"/>
    <cellStyle name="Milliers 2 4 3 2 2 3 2 2 2 2" xfId="16381"/>
    <cellStyle name="Milliers 2 4 3 2 2 3 2 2 3" xfId="12061"/>
    <cellStyle name="Milliers 2 4 3 2 2 3 2 3" xfId="5581"/>
    <cellStyle name="Milliers 2 4 3 2 2 3 2 3 2" xfId="14221"/>
    <cellStyle name="Milliers 2 4 3 2 2 3 2 4" xfId="9901"/>
    <cellStyle name="Milliers 2 4 3 2 2 3 3" xfId="1981"/>
    <cellStyle name="Milliers 2 4 3 2 2 3 3 2" xfId="4141"/>
    <cellStyle name="Milliers 2 4 3 2 2 3 3 2 2" xfId="8461"/>
    <cellStyle name="Milliers 2 4 3 2 2 3 3 2 2 2" xfId="17101"/>
    <cellStyle name="Milliers 2 4 3 2 2 3 3 2 3" xfId="12781"/>
    <cellStyle name="Milliers 2 4 3 2 2 3 3 3" xfId="6301"/>
    <cellStyle name="Milliers 2 4 3 2 2 3 3 3 2" xfId="14941"/>
    <cellStyle name="Milliers 2 4 3 2 2 3 3 4" xfId="10621"/>
    <cellStyle name="Milliers 2 4 3 2 2 3 4" xfId="2701"/>
    <cellStyle name="Milliers 2 4 3 2 2 3 4 2" xfId="7021"/>
    <cellStyle name="Milliers 2 4 3 2 2 3 4 2 2" xfId="15661"/>
    <cellStyle name="Milliers 2 4 3 2 2 3 4 3" xfId="11341"/>
    <cellStyle name="Milliers 2 4 3 2 2 3 5" xfId="4861"/>
    <cellStyle name="Milliers 2 4 3 2 2 3 5 2" xfId="13501"/>
    <cellStyle name="Milliers 2 4 3 2 2 3 6" xfId="9181"/>
    <cellStyle name="Milliers 2 4 3 2 2 4" xfId="901"/>
    <cellStyle name="Milliers 2 4 3 2 2 4 2" xfId="3061"/>
    <cellStyle name="Milliers 2 4 3 2 2 4 2 2" xfId="7381"/>
    <cellStyle name="Milliers 2 4 3 2 2 4 2 2 2" xfId="16021"/>
    <cellStyle name="Milliers 2 4 3 2 2 4 2 3" xfId="11701"/>
    <cellStyle name="Milliers 2 4 3 2 2 4 3" xfId="5221"/>
    <cellStyle name="Milliers 2 4 3 2 2 4 3 2" xfId="13861"/>
    <cellStyle name="Milliers 2 4 3 2 2 4 4" xfId="9541"/>
    <cellStyle name="Milliers 2 4 3 2 2 5" xfId="1621"/>
    <cellStyle name="Milliers 2 4 3 2 2 5 2" xfId="3781"/>
    <cellStyle name="Milliers 2 4 3 2 2 5 2 2" xfId="8101"/>
    <cellStyle name="Milliers 2 4 3 2 2 5 2 2 2" xfId="16741"/>
    <cellStyle name="Milliers 2 4 3 2 2 5 2 3" xfId="12421"/>
    <cellStyle name="Milliers 2 4 3 2 2 5 3" xfId="5941"/>
    <cellStyle name="Milliers 2 4 3 2 2 5 3 2" xfId="14581"/>
    <cellStyle name="Milliers 2 4 3 2 2 5 4" xfId="10261"/>
    <cellStyle name="Milliers 2 4 3 2 2 6" xfId="2341"/>
    <cellStyle name="Milliers 2 4 3 2 2 6 2" xfId="6661"/>
    <cellStyle name="Milliers 2 4 3 2 2 6 2 2" xfId="15301"/>
    <cellStyle name="Milliers 2 4 3 2 2 6 3" xfId="10981"/>
    <cellStyle name="Milliers 2 4 3 2 2 7" xfId="4501"/>
    <cellStyle name="Milliers 2 4 3 2 2 7 2" xfId="13141"/>
    <cellStyle name="Milliers 2 4 3 2 2 8" xfId="8821"/>
    <cellStyle name="Milliers 2 4 3 2 3" xfId="271"/>
    <cellStyle name="Milliers 2 4 3 2 3 2" xfId="631"/>
    <cellStyle name="Milliers 2 4 3 2 3 2 2" xfId="1351"/>
    <cellStyle name="Milliers 2 4 3 2 3 2 2 2" xfId="3511"/>
    <cellStyle name="Milliers 2 4 3 2 3 2 2 2 2" xfId="7831"/>
    <cellStyle name="Milliers 2 4 3 2 3 2 2 2 2 2" xfId="16471"/>
    <cellStyle name="Milliers 2 4 3 2 3 2 2 2 3" xfId="12151"/>
    <cellStyle name="Milliers 2 4 3 2 3 2 2 3" xfId="5671"/>
    <cellStyle name="Milliers 2 4 3 2 3 2 2 3 2" xfId="14311"/>
    <cellStyle name="Milliers 2 4 3 2 3 2 2 4" xfId="9991"/>
    <cellStyle name="Milliers 2 4 3 2 3 2 3" xfId="2071"/>
    <cellStyle name="Milliers 2 4 3 2 3 2 3 2" xfId="4231"/>
    <cellStyle name="Milliers 2 4 3 2 3 2 3 2 2" xfId="8551"/>
    <cellStyle name="Milliers 2 4 3 2 3 2 3 2 2 2" xfId="17191"/>
    <cellStyle name="Milliers 2 4 3 2 3 2 3 2 3" xfId="12871"/>
    <cellStyle name="Milliers 2 4 3 2 3 2 3 3" xfId="6391"/>
    <cellStyle name="Milliers 2 4 3 2 3 2 3 3 2" xfId="15031"/>
    <cellStyle name="Milliers 2 4 3 2 3 2 3 4" xfId="10711"/>
    <cellStyle name="Milliers 2 4 3 2 3 2 4" xfId="2791"/>
    <cellStyle name="Milliers 2 4 3 2 3 2 4 2" xfId="7111"/>
    <cellStyle name="Milliers 2 4 3 2 3 2 4 2 2" xfId="15751"/>
    <cellStyle name="Milliers 2 4 3 2 3 2 4 3" xfId="11431"/>
    <cellStyle name="Milliers 2 4 3 2 3 2 5" xfId="4951"/>
    <cellStyle name="Milliers 2 4 3 2 3 2 5 2" xfId="13591"/>
    <cellStyle name="Milliers 2 4 3 2 3 2 6" xfId="9271"/>
    <cellStyle name="Milliers 2 4 3 2 3 3" xfId="991"/>
    <cellStyle name="Milliers 2 4 3 2 3 3 2" xfId="3151"/>
    <cellStyle name="Milliers 2 4 3 2 3 3 2 2" xfId="7471"/>
    <cellStyle name="Milliers 2 4 3 2 3 3 2 2 2" xfId="16111"/>
    <cellStyle name="Milliers 2 4 3 2 3 3 2 3" xfId="11791"/>
    <cellStyle name="Milliers 2 4 3 2 3 3 3" xfId="5311"/>
    <cellStyle name="Milliers 2 4 3 2 3 3 3 2" xfId="13951"/>
    <cellStyle name="Milliers 2 4 3 2 3 3 4" xfId="9631"/>
    <cellStyle name="Milliers 2 4 3 2 3 4" xfId="1711"/>
    <cellStyle name="Milliers 2 4 3 2 3 4 2" xfId="3871"/>
    <cellStyle name="Milliers 2 4 3 2 3 4 2 2" xfId="8191"/>
    <cellStyle name="Milliers 2 4 3 2 3 4 2 2 2" xfId="16831"/>
    <cellStyle name="Milliers 2 4 3 2 3 4 2 3" xfId="12511"/>
    <cellStyle name="Milliers 2 4 3 2 3 4 3" xfId="6031"/>
    <cellStyle name="Milliers 2 4 3 2 3 4 3 2" xfId="14671"/>
    <cellStyle name="Milliers 2 4 3 2 3 4 4" xfId="10351"/>
    <cellStyle name="Milliers 2 4 3 2 3 5" xfId="2431"/>
    <cellStyle name="Milliers 2 4 3 2 3 5 2" xfId="6751"/>
    <cellStyle name="Milliers 2 4 3 2 3 5 2 2" xfId="15391"/>
    <cellStyle name="Milliers 2 4 3 2 3 5 3" xfId="11071"/>
    <cellStyle name="Milliers 2 4 3 2 3 6" xfId="4591"/>
    <cellStyle name="Milliers 2 4 3 2 3 6 2" xfId="13231"/>
    <cellStyle name="Milliers 2 4 3 2 3 7" xfId="8911"/>
    <cellStyle name="Milliers 2 4 3 2 4" xfId="451"/>
    <cellStyle name="Milliers 2 4 3 2 4 2" xfId="1171"/>
    <cellStyle name="Milliers 2 4 3 2 4 2 2" xfId="3331"/>
    <cellStyle name="Milliers 2 4 3 2 4 2 2 2" xfId="7651"/>
    <cellStyle name="Milliers 2 4 3 2 4 2 2 2 2" xfId="16291"/>
    <cellStyle name="Milliers 2 4 3 2 4 2 2 3" xfId="11971"/>
    <cellStyle name="Milliers 2 4 3 2 4 2 3" xfId="5491"/>
    <cellStyle name="Milliers 2 4 3 2 4 2 3 2" xfId="14131"/>
    <cellStyle name="Milliers 2 4 3 2 4 2 4" xfId="9811"/>
    <cellStyle name="Milliers 2 4 3 2 4 3" xfId="1891"/>
    <cellStyle name="Milliers 2 4 3 2 4 3 2" xfId="4051"/>
    <cellStyle name="Milliers 2 4 3 2 4 3 2 2" xfId="8371"/>
    <cellStyle name="Milliers 2 4 3 2 4 3 2 2 2" xfId="17011"/>
    <cellStyle name="Milliers 2 4 3 2 4 3 2 3" xfId="12691"/>
    <cellStyle name="Milliers 2 4 3 2 4 3 3" xfId="6211"/>
    <cellStyle name="Milliers 2 4 3 2 4 3 3 2" xfId="14851"/>
    <cellStyle name="Milliers 2 4 3 2 4 3 4" xfId="10531"/>
    <cellStyle name="Milliers 2 4 3 2 4 4" xfId="2611"/>
    <cellStyle name="Milliers 2 4 3 2 4 4 2" xfId="6931"/>
    <cellStyle name="Milliers 2 4 3 2 4 4 2 2" xfId="15571"/>
    <cellStyle name="Milliers 2 4 3 2 4 4 3" xfId="11251"/>
    <cellStyle name="Milliers 2 4 3 2 4 5" xfId="4771"/>
    <cellStyle name="Milliers 2 4 3 2 4 5 2" xfId="13411"/>
    <cellStyle name="Milliers 2 4 3 2 4 6" xfId="9091"/>
    <cellStyle name="Milliers 2 4 3 2 5" xfId="811"/>
    <cellStyle name="Milliers 2 4 3 2 5 2" xfId="2971"/>
    <cellStyle name="Milliers 2 4 3 2 5 2 2" xfId="7291"/>
    <cellStyle name="Milliers 2 4 3 2 5 2 2 2" xfId="15931"/>
    <cellStyle name="Milliers 2 4 3 2 5 2 3" xfId="11611"/>
    <cellStyle name="Milliers 2 4 3 2 5 3" xfId="5131"/>
    <cellStyle name="Milliers 2 4 3 2 5 3 2" xfId="13771"/>
    <cellStyle name="Milliers 2 4 3 2 5 4" xfId="9451"/>
    <cellStyle name="Milliers 2 4 3 2 6" xfId="1531"/>
    <cellStyle name="Milliers 2 4 3 2 6 2" xfId="3691"/>
    <cellStyle name="Milliers 2 4 3 2 6 2 2" xfId="8011"/>
    <cellStyle name="Milliers 2 4 3 2 6 2 2 2" xfId="16651"/>
    <cellStyle name="Milliers 2 4 3 2 6 2 3" xfId="12331"/>
    <cellStyle name="Milliers 2 4 3 2 6 3" xfId="5851"/>
    <cellStyle name="Milliers 2 4 3 2 6 3 2" xfId="14491"/>
    <cellStyle name="Milliers 2 4 3 2 6 4" xfId="10171"/>
    <cellStyle name="Milliers 2 4 3 2 7" xfId="2251"/>
    <cellStyle name="Milliers 2 4 3 2 7 2" xfId="6571"/>
    <cellStyle name="Milliers 2 4 3 2 7 2 2" xfId="15211"/>
    <cellStyle name="Milliers 2 4 3 2 7 3" xfId="10891"/>
    <cellStyle name="Milliers 2 4 3 2 8" xfId="4411"/>
    <cellStyle name="Milliers 2 4 3 2 8 2" xfId="13051"/>
    <cellStyle name="Milliers 2 4 3 2 9" xfId="8731"/>
    <cellStyle name="Milliers 2 4 3 3" xfId="136"/>
    <cellStyle name="Milliers 2 4 3 3 2" xfId="316"/>
    <cellStyle name="Milliers 2 4 3 3 2 2" xfId="676"/>
    <cellStyle name="Milliers 2 4 3 3 2 2 2" xfId="1396"/>
    <cellStyle name="Milliers 2 4 3 3 2 2 2 2" xfId="3556"/>
    <cellStyle name="Milliers 2 4 3 3 2 2 2 2 2" xfId="7876"/>
    <cellStyle name="Milliers 2 4 3 3 2 2 2 2 2 2" xfId="16516"/>
    <cellStyle name="Milliers 2 4 3 3 2 2 2 2 3" xfId="12196"/>
    <cellStyle name="Milliers 2 4 3 3 2 2 2 3" xfId="5716"/>
    <cellStyle name="Milliers 2 4 3 3 2 2 2 3 2" xfId="14356"/>
    <cellStyle name="Milliers 2 4 3 3 2 2 2 4" xfId="10036"/>
    <cellStyle name="Milliers 2 4 3 3 2 2 3" xfId="2116"/>
    <cellStyle name="Milliers 2 4 3 3 2 2 3 2" xfId="4276"/>
    <cellStyle name="Milliers 2 4 3 3 2 2 3 2 2" xfId="8596"/>
    <cellStyle name="Milliers 2 4 3 3 2 2 3 2 2 2" xfId="17236"/>
    <cellStyle name="Milliers 2 4 3 3 2 2 3 2 3" xfId="12916"/>
    <cellStyle name="Milliers 2 4 3 3 2 2 3 3" xfId="6436"/>
    <cellStyle name="Milliers 2 4 3 3 2 2 3 3 2" xfId="15076"/>
    <cellStyle name="Milliers 2 4 3 3 2 2 3 4" xfId="10756"/>
    <cellStyle name="Milliers 2 4 3 3 2 2 4" xfId="2836"/>
    <cellStyle name="Milliers 2 4 3 3 2 2 4 2" xfId="7156"/>
    <cellStyle name="Milliers 2 4 3 3 2 2 4 2 2" xfId="15796"/>
    <cellStyle name="Milliers 2 4 3 3 2 2 4 3" xfId="11476"/>
    <cellStyle name="Milliers 2 4 3 3 2 2 5" xfId="4996"/>
    <cellStyle name="Milliers 2 4 3 3 2 2 5 2" xfId="13636"/>
    <cellStyle name="Milliers 2 4 3 3 2 2 6" xfId="9316"/>
    <cellStyle name="Milliers 2 4 3 3 2 3" xfId="1036"/>
    <cellStyle name="Milliers 2 4 3 3 2 3 2" xfId="3196"/>
    <cellStyle name="Milliers 2 4 3 3 2 3 2 2" xfId="7516"/>
    <cellStyle name="Milliers 2 4 3 3 2 3 2 2 2" xfId="16156"/>
    <cellStyle name="Milliers 2 4 3 3 2 3 2 3" xfId="11836"/>
    <cellStyle name="Milliers 2 4 3 3 2 3 3" xfId="5356"/>
    <cellStyle name="Milliers 2 4 3 3 2 3 3 2" xfId="13996"/>
    <cellStyle name="Milliers 2 4 3 3 2 3 4" xfId="9676"/>
    <cellStyle name="Milliers 2 4 3 3 2 4" xfId="1756"/>
    <cellStyle name="Milliers 2 4 3 3 2 4 2" xfId="3916"/>
    <cellStyle name="Milliers 2 4 3 3 2 4 2 2" xfId="8236"/>
    <cellStyle name="Milliers 2 4 3 3 2 4 2 2 2" xfId="16876"/>
    <cellStyle name="Milliers 2 4 3 3 2 4 2 3" xfId="12556"/>
    <cellStyle name="Milliers 2 4 3 3 2 4 3" xfId="6076"/>
    <cellStyle name="Milliers 2 4 3 3 2 4 3 2" xfId="14716"/>
    <cellStyle name="Milliers 2 4 3 3 2 4 4" xfId="10396"/>
    <cellStyle name="Milliers 2 4 3 3 2 5" xfId="2476"/>
    <cellStyle name="Milliers 2 4 3 3 2 5 2" xfId="6796"/>
    <cellStyle name="Milliers 2 4 3 3 2 5 2 2" xfId="15436"/>
    <cellStyle name="Milliers 2 4 3 3 2 5 3" xfId="11116"/>
    <cellStyle name="Milliers 2 4 3 3 2 6" xfId="4636"/>
    <cellStyle name="Milliers 2 4 3 3 2 6 2" xfId="13276"/>
    <cellStyle name="Milliers 2 4 3 3 2 7" xfId="8956"/>
    <cellStyle name="Milliers 2 4 3 3 3" xfId="496"/>
    <cellStyle name="Milliers 2 4 3 3 3 2" xfId="1216"/>
    <cellStyle name="Milliers 2 4 3 3 3 2 2" xfId="3376"/>
    <cellStyle name="Milliers 2 4 3 3 3 2 2 2" xfId="7696"/>
    <cellStyle name="Milliers 2 4 3 3 3 2 2 2 2" xfId="16336"/>
    <cellStyle name="Milliers 2 4 3 3 3 2 2 3" xfId="12016"/>
    <cellStyle name="Milliers 2 4 3 3 3 2 3" xfId="5536"/>
    <cellStyle name="Milliers 2 4 3 3 3 2 3 2" xfId="14176"/>
    <cellStyle name="Milliers 2 4 3 3 3 2 4" xfId="9856"/>
    <cellStyle name="Milliers 2 4 3 3 3 3" xfId="1936"/>
    <cellStyle name="Milliers 2 4 3 3 3 3 2" xfId="4096"/>
    <cellStyle name="Milliers 2 4 3 3 3 3 2 2" xfId="8416"/>
    <cellStyle name="Milliers 2 4 3 3 3 3 2 2 2" xfId="17056"/>
    <cellStyle name="Milliers 2 4 3 3 3 3 2 3" xfId="12736"/>
    <cellStyle name="Milliers 2 4 3 3 3 3 3" xfId="6256"/>
    <cellStyle name="Milliers 2 4 3 3 3 3 3 2" xfId="14896"/>
    <cellStyle name="Milliers 2 4 3 3 3 3 4" xfId="10576"/>
    <cellStyle name="Milliers 2 4 3 3 3 4" xfId="2656"/>
    <cellStyle name="Milliers 2 4 3 3 3 4 2" xfId="6976"/>
    <cellStyle name="Milliers 2 4 3 3 3 4 2 2" xfId="15616"/>
    <cellStyle name="Milliers 2 4 3 3 3 4 3" xfId="11296"/>
    <cellStyle name="Milliers 2 4 3 3 3 5" xfId="4816"/>
    <cellStyle name="Milliers 2 4 3 3 3 5 2" xfId="13456"/>
    <cellStyle name="Milliers 2 4 3 3 3 6" xfId="9136"/>
    <cellStyle name="Milliers 2 4 3 3 4" xfId="856"/>
    <cellStyle name="Milliers 2 4 3 3 4 2" xfId="3016"/>
    <cellStyle name="Milliers 2 4 3 3 4 2 2" xfId="7336"/>
    <cellStyle name="Milliers 2 4 3 3 4 2 2 2" xfId="15976"/>
    <cellStyle name="Milliers 2 4 3 3 4 2 3" xfId="11656"/>
    <cellStyle name="Milliers 2 4 3 3 4 3" xfId="5176"/>
    <cellStyle name="Milliers 2 4 3 3 4 3 2" xfId="13816"/>
    <cellStyle name="Milliers 2 4 3 3 4 4" xfId="9496"/>
    <cellStyle name="Milliers 2 4 3 3 5" xfId="1576"/>
    <cellStyle name="Milliers 2 4 3 3 5 2" xfId="3736"/>
    <cellStyle name="Milliers 2 4 3 3 5 2 2" xfId="8056"/>
    <cellStyle name="Milliers 2 4 3 3 5 2 2 2" xfId="16696"/>
    <cellStyle name="Milliers 2 4 3 3 5 2 3" xfId="12376"/>
    <cellStyle name="Milliers 2 4 3 3 5 3" xfId="5896"/>
    <cellStyle name="Milliers 2 4 3 3 5 3 2" xfId="14536"/>
    <cellStyle name="Milliers 2 4 3 3 5 4" xfId="10216"/>
    <cellStyle name="Milliers 2 4 3 3 6" xfId="2296"/>
    <cellStyle name="Milliers 2 4 3 3 6 2" xfId="6616"/>
    <cellStyle name="Milliers 2 4 3 3 6 2 2" xfId="15256"/>
    <cellStyle name="Milliers 2 4 3 3 6 3" xfId="10936"/>
    <cellStyle name="Milliers 2 4 3 3 7" xfId="4456"/>
    <cellStyle name="Milliers 2 4 3 3 7 2" xfId="13096"/>
    <cellStyle name="Milliers 2 4 3 3 8" xfId="8776"/>
    <cellStyle name="Milliers 2 4 3 4" xfId="226"/>
    <cellStyle name="Milliers 2 4 3 4 2" xfId="586"/>
    <cellStyle name="Milliers 2 4 3 4 2 2" xfId="1306"/>
    <cellStyle name="Milliers 2 4 3 4 2 2 2" xfId="3466"/>
    <cellStyle name="Milliers 2 4 3 4 2 2 2 2" xfId="7786"/>
    <cellStyle name="Milliers 2 4 3 4 2 2 2 2 2" xfId="16426"/>
    <cellStyle name="Milliers 2 4 3 4 2 2 2 3" xfId="12106"/>
    <cellStyle name="Milliers 2 4 3 4 2 2 3" xfId="5626"/>
    <cellStyle name="Milliers 2 4 3 4 2 2 3 2" xfId="14266"/>
    <cellStyle name="Milliers 2 4 3 4 2 2 4" xfId="9946"/>
    <cellStyle name="Milliers 2 4 3 4 2 3" xfId="2026"/>
    <cellStyle name="Milliers 2 4 3 4 2 3 2" xfId="4186"/>
    <cellStyle name="Milliers 2 4 3 4 2 3 2 2" xfId="8506"/>
    <cellStyle name="Milliers 2 4 3 4 2 3 2 2 2" xfId="17146"/>
    <cellStyle name="Milliers 2 4 3 4 2 3 2 3" xfId="12826"/>
    <cellStyle name="Milliers 2 4 3 4 2 3 3" xfId="6346"/>
    <cellStyle name="Milliers 2 4 3 4 2 3 3 2" xfId="14986"/>
    <cellStyle name="Milliers 2 4 3 4 2 3 4" xfId="10666"/>
    <cellStyle name="Milliers 2 4 3 4 2 4" xfId="2746"/>
    <cellStyle name="Milliers 2 4 3 4 2 4 2" xfId="7066"/>
    <cellStyle name="Milliers 2 4 3 4 2 4 2 2" xfId="15706"/>
    <cellStyle name="Milliers 2 4 3 4 2 4 3" xfId="11386"/>
    <cellStyle name="Milliers 2 4 3 4 2 5" xfId="4906"/>
    <cellStyle name="Milliers 2 4 3 4 2 5 2" xfId="13546"/>
    <cellStyle name="Milliers 2 4 3 4 2 6" xfId="9226"/>
    <cellStyle name="Milliers 2 4 3 4 3" xfId="946"/>
    <cellStyle name="Milliers 2 4 3 4 3 2" xfId="3106"/>
    <cellStyle name="Milliers 2 4 3 4 3 2 2" xfId="7426"/>
    <cellStyle name="Milliers 2 4 3 4 3 2 2 2" xfId="16066"/>
    <cellStyle name="Milliers 2 4 3 4 3 2 3" xfId="11746"/>
    <cellStyle name="Milliers 2 4 3 4 3 3" xfId="5266"/>
    <cellStyle name="Milliers 2 4 3 4 3 3 2" xfId="13906"/>
    <cellStyle name="Milliers 2 4 3 4 3 4" xfId="9586"/>
    <cellStyle name="Milliers 2 4 3 4 4" xfId="1666"/>
    <cellStyle name="Milliers 2 4 3 4 4 2" xfId="3826"/>
    <cellStyle name="Milliers 2 4 3 4 4 2 2" xfId="8146"/>
    <cellStyle name="Milliers 2 4 3 4 4 2 2 2" xfId="16786"/>
    <cellStyle name="Milliers 2 4 3 4 4 2 3" xfId="12466"/>
    <cellStyle name="Milliers 2 4 3 4 4 3" xfId="5986"/>
    <cellStyle name="Milliers 2 4 3 4 4 3 2" xfId="14626"/>
    <cellStyle name="Milliers 2 4 3 4 4 4" xfId="10306"/>
    <cellStyle name="Milliers 2 4 3 4 5" xfId="2386"/>
    <cellStyle name="Milliers 2 4 3 4 5 2" xfId="6706"/>
    <cellStyle name="Milliers 2 4 3 4 5 2 2" xfId="15346"/>
    <cellStyle name="Milliers 2 4 3 4 5 3" xfId="11026"/>
    <cellStyle name="Milliers 2 4 3 4 6" xfId="4546"/>
    <cellStyle name="Milliers 2 4 3 4 6 2" xfId="13186"/>
    <cellStyle name="Milliers 2 4 3 4 7" xfId="8866"/>
    <cellStyle name="Milliers 2 4 3 5" xfId="406"/>
    <cellStyle name="Milliers 2 4 3 5 2" xfId="1126"/>
    <cellStyle name="Milliers 2 4 3 5 2 2" xfId="3286"/>
    <cellStyle name="Milliers 2 4 3 5 2 2 2" xfId="7606"/>
    <cellStyle name="Milliers 2 4 3 5 2 2 2 2" xfId="16246"/>
    <cellStyle name="Milliers 2 4 3 5 2 2 3" xfId="11926"/>
    <cellStyle name="Milliers 2 4 3 5 2 3" xfId="5446"/>
    <cellStyle name="Milliers 2 4 3 5 2 3 2" xfId="14086"/>
    <cellStyle name="Milliers 2 4 3 5 2 4" xfId="9766"/>
    <cellStyle name="Milliers 2 4 3 5 3" xfId="1846"/>
    <cellStyle name="Milliers 2 4 3 5 3 2" xfId="4006"/>
    <cellStyle name="Milliers 2 4 3 5 3 2 2" xfId="8326"/>
    <cellStyle name="Milliers 2 4 3 5 3 2 2 2" xfId="16966"/>
    <cellStyle name="Milliers 2 4 3 5 3 2 3" xfId="12646"/>
    <cellStyle name="Milliers 2 4 3 5 3 3" xfId="6166"/>
    <cellStyle name="Milliers 2 4 3 5 3 3 2" xfId="14806"/>
    <cellStyle name="Milliers 2 4 3 5 3 4" xfId="10486"/>
    <cellStyle name="Milliers 2 4 3 5 4" xfId="2566"/>
    <cellStyle name="Milliers 2 4 3 5 4 2" xfId="6886"/>
    <cellStyle name="Milliers 2 4 3 5 4 2 2" xfId="15526"/>
    <cellStyle name="Milliers 2 4 3 5 4 3" xfId="11206"/>
    <cellStyle name="Milliers 2 4 3 5 5" xfId="4726"/>
    <cellStyle name="Milliers 2 4 3 5 5 2" xfId="13366"/>
    <cellStyle name="Milliers 2 4 3 5 6" xfId="9046"/>
    <cellStyle name="Milliers 2 4 3 6" xfId="766"/>
    <cellStyle name="Milliers 2 4 3 6 2" xfId="2926"/>
    <cellStyle name="Milliers 2 4 3 6 2 2" xfId="7246"/>
    <cellStyle name="Milliers 2 4 3 6 2 2 2" xfId="15886"/>
    <cellStyle name="Milliers 2 4 3 6 2 3" xfId="11566"/>
    <cellStyle name="Milliers 2 4 3 6 3" xfId="5086"/>
    <cellStyle name="Milliers 2 4 3 6 3 2" xfId="13726"/>
    <cellStyle name="Milliers 2 4 3 6 4" xfId="9406"/>
    <cellStyle name="Milliers 2 4 3 7" xfId="1486"/>
    <cellStyle name="Milliers 2 4 3 7 2" xfId="3646"/>
    <cellStyle name="Milliers 2 4 3 7 2 2" xfId="7966"/>
    <cellStyle name="Milliers 2 4 3 7 2 2 2" xfId="16606"/>
    <cellStyle name="Milliers 2 4 3 7 2 3" xfId="12286"/>
    <cellStyle name="Milliers 2 4 3 7 3" xfId="5806"/>
    <cellStyle name="Milliers 2 4 3 7 3 2" xfId="14446"/>
    <cellStyle name="Milliers 2 4 3 7 4" xfId="10126"/>
    <cellStyle name="Milliers 2 4 3 8" xfId="2206"/>
    <cellStyle name="Milliers 2 4 3 8 2" xfId="6526"/>
    <cellStyle name="Milliers 2 4 3 8 2 2" xfId="15166"/>
    <cellStyle name="Milliers 2 4 3 8 3" xfId="10846"/>
    <cellStyle name="Milliers 2 4 3 9" xfId="4366"/>
    <cellStyle name="Milliers 2 4 3 9 2" xfId="13006"/>
    <cellStyle name="Milliers 2 4 4" xfId="61"/>
    <cellStyle name="Milliers 2 4 4 2" xfId="151"/>
    <cellStyle name="Milliers 2 4 4 2 2" xfId="331"/>
    <cellStyle name="Milliers 2 4 4 2 2 2" xfId="691"/>
    <cellStyle name="Milliers 2 4 4 2 2 2 2" xfId="1411"/>
    <cellStyle name="Milliers 2 4 4 2 2 2 2 2" xfId="3571"/>
    <cellStyle name="Milliers 2 4 4 2 2 2 2 2 2" xfId="7891"/>
    <cellStyle name="Milliers 2 4 4 2 2 2 2 2 2 2" xfId="16531"/>
    <cellStyle name="Milliers 2 4 4 2 2 2 2 2 3" xfId="12211"/>
    <cellStyle name="Milliers 2 4 4 2 2 2 2 3" xfId="5731"/>
    <cellStyle name="Milliers 2 4 4 2 2 2 2 3 2" xfId="14371"/>
    <cellStyle name="Milliers 2 4 4 2 2 2 2 4" xfId="10051"/>
    <cellStyle name="Milliers 2 4 4 2 2 2 3" xfId="2131"/>
    <cellStyle name="Milliers 2 4 4 2 2 2 3 2" xfId="4291"/>
    <cellStyle name="Milliers 2 4 4 2 2 2 3 2 2" xfId="8611"/>
    <cellStyle name="Milliers 2 4 4 2 2 2 3 2 2 2" xfId="17251"/>
    <cellStyle name="Milliers 2 4 4 2 2 2 3 2 3" xfId="12931"/>
    <cellStyle name="Milliers 2 4 4 2 2 2 3 3" xfId="6451"/>
    <cellStyle name="Milliers 2 4 4 2 2 2 3 3 2" xfId="15091"/>
    <cellStyle name="Milliers 2 4 4 2 2 2 3 4" xfId="10771"/>
    <cellStyle name="Milliers 2 4 4 2 2 2 4" xfId="2851"/>
    <cellStyle name="Milliers 2 4 4 2 2 2 4 2" xfId="7171"/>
    <cellStyle name="Milliers 2 4 4 2 2 2 4 2 2" xfId="15811"/>
    <cellStyle name="Milliers 2 4 4 2 2 2 4 3" xfId="11491"/>
    <cellStyle name="Milliers 2 4 4 2 2 2 5" xfId="5011"/>
    <cellStyle name="Milliers 2 4 4 2 2 2 5 2" xfId="13651"/>
    <cellStyle name="Milliers 2 4 4 2 2 2 6" xfId="9331"/>
    <cellStyle name="Milliers 2 4 4 2 2 3" xfId="1051"/>
    <cellStyle name="Milliers 2 4 4 2 2 3 2" xfId="3211"/>
    <cellStyle name="Milliers 2 4 4 2 2 3 2 2" xfId="7531"/>
    <cellStyle name="Milliers 2 4 4 2 2 3 2 2 2" xfId="16171"/>
    <cellStyle name="Milliers 2 4 4 2 2 3 2 3" xfId="11851"/>
    <cellStyle name="Milliers 2 4 4 2 2 3 3" xfId="5371"/>
    <cellStyle name="Milliers 2 4 4 2 2 3 3 2" xfId="14011"/>
    <cellStyle name="Milliers 2 4 4 2 2 3 4" xfId="9691"/>
    <cellStyle name="Milliers 2 4 4 2 2 4" xfId="1771"/>
    <cellStyle name="Milliers 2 4 4 2 2 4 2" xfId="3931"/>
    <cellStyle name="Milliers 2 4 4 2 2 4 2 2" xfId="8251"/>
    <cellStyle name="Milliers 2 4 4 2 2 4 2 2 2" xfId="16891"/>
    <cellStyle name="Milliers 2 4 4 2 2 4 2 3" xfId="12571"/>
    <cellStyle name="Milliers 2 4 4 2 2 4 3" xfId="6091"/>
    <cellStyle name="Milliers 2 4 4 2 2 4 3 2" xfId="14731"/>
    <cellStyle name="Milliers 2 4 4 2 2 4 4" xfId="10411"/>
    <cellStyle name="Milliers 2 4 4 2 2 5" xfId="2491"/>
    <cellStyle name="Milliers 2 4 4 2 2 5 2" xfId="6811"/>
    <cellStyle name="Milliers 2 4 4 2 2 5 2 2" xfId="15451"/>
    <cellStyle name="Milliers 2 4 4 2 2 5 3" xfId="11131"/>
    <cellStyle name="Milliers 2 4 4 2 2 6" xfId="4651"/>
    <cellStyle name="Milliers 2 4 4 2 2 6 2" xfId="13291"/>
    <cellStyle name="Milliers 2 4 4 2 2 7" xfId="8971"/>
    <cellStyle name="Milliers 2 4 4 2 3" xfId="511"/>
    <cellStyle name="Milliers 2 4 4 2 3 2" xfId="1231"/>
    <cellStyle name="Milliers 2 4 4 2 3 2 2" xfId="3391"/>
    <cellStyle name="Milliers 2 4 4 2 3 2 2 2" xfId="7711"/>
    <cellStyle name="Milliers 2 4 4 2 3 2 2 2 2" xfId="16351"/>
    <cellStyle name="Milliers 2 4 4 2 3 2 2 3" xfId="12031"/>
    <cellStyle name="Milliers 2 4 4 2 3 2 3" xfId="5551"/>
    <cellStyle name="Milliers 2 4 4 2 3 2 3 2" xfId="14191"/>
    <cellStyle name="Milliers 2 4 4 2 3 2 4" xfId="9871"/>
    <cellStyle name="Milliers 2 4 4 2 3 3" xfId="1951"/>
    <cellStyle name="Milliers 2 4 4 2 3 3 2" xfId="4111"/>
    <cellStyle name="Milliers 2 4 4 2 3 3 2 2" xfId="8431"/>
    <cellStyle name="Milliers 2 4 4 2 3 3 2 2 2" xfId="17071"/>
    <cellStyle name="Milliers 2 4 4 2 3 3 2 3" xfId="12751"/>
    <cellStyle name="Milliers 2 4 4 2 3 3 3" xfId="6271"/>
    <cellStyle name="Milliers 2 4 4 2 3 3 3 2" xfId="14911"/>
    <cellStyle name="Milliers 2 4 4 2 3 3 4" xfId="10591"/>
    <cellStyle name="Milliers 2 4 4 2 3 4" xfId="2671"/>
    <cellStyle name="Milliers 2 4 4 2 3 4 2" xfId="6991"/>
    <cellStyle name="Milliers 2 4 4 2 3 4 2 2" xfId="15631"/>
    <cellStyle name="Milliers 2 4 4 2 3 4 3" xfId="11311"/>
    <cellStyle name="Milliers 2 4 4 2 3 5" xfId="4831"/>
    <cellStyle name="Milliers 2 4 4 2 3 5 2" xfId="13471"/>
    <cellStyle name="Milliers 2 4 4 2 3 6" xfId="9151"/>
    <cellStyle name="Milliers 2 4 4 2 4" xfId="871"/>
    <cellStyle name="Milliers 2 4 4 2 4 2" xfId="3031"/>
    <cellStyle name="Milliers 2 4 4 2 4 2 2" xfId="7351"/>
    <cellStyle name="Milliers 2 4 4 2 4 2 2 2" xfId="15991"/>
    <cellStyle name="Milliers 2 4 4 2 4 2 3" xfId="11671"/>
    <cellStyle name="Milliers 2 4 4 2 4 3" xfId="5191"/>
    <cellStyle name="Milliers 2 4 4 2 4 3 2" xfId="13831"/>
    <cellStyle name="Milliers 2 4 4 2 4 4" xfId="9511"/>
    <cellStyle name="Milliers 2 4 4 2 5" xfId="1591"/>
    <cellStyle name="Milliers 2 4 4 2 5 2" xfId="3751"/>
    <cellStyle name="Milliers 2 4 4 2 5 2 2" xfId="8071"/>
    <cellStyle name="Milliers 2 4 4 2 5 2 2 2" xfId="16711"/>
    <cellStyle name="Milliers 2 4 4 2 5 2 3" xfId="12391"/>
    <cellStyle name="Milliers 2 4 4 2 5 3" xfId="5911"/>
    <cellStyle name="Milliers 2 4 4 2 5 3 2" xfId="14551"/>
    <cellStyle name="Milliers 2 4 4 2 5 4" xfId="10231"/>
    <cellStyle name="Milliers 2 4 4 2 6" xfId="2311"/>
    <cellStyle name="Milliers 2 4 4 2 6 2" xfId="6631"/>
    <cellStyle name="Milliers 2 4 4 2 6 2 2" xfId="15271"/>
    <cellStyle name="Milliers 2 4 4 2 6 3" xfId="10951"/>
    <cellStyle name="Milliers 2 4 4 2 7" xfId="4471"/>
    <cellStyle name="Milliers 2 4 4 2 7 2" xfId="13111"/>
    <cellStyle name="Milliers 2 4 4 2 8" xfId="8791"/>
    <cellStyle name="Milliers 2 4 4 3" xfId="241"/>
    <cellStyle name="Milliers 2 4 4 3 2" xfId="601"/>
    <cellStyle name="Milliers 2 4 4 3 2 2" xfId="1321"/>
    <cellStyle name="Milliers 2 4 4 3 2 2 2" xfId="3481"/>
    <cellStyle name="Milliers 2 4 4 3 2 2 2 2" xfId="7801"/>
    <cellStyle name="Milliers 2 4 4 3 2 2 2 2 2" xfId="16441"/>
    <cellStyle name="Milliers 2 4 4 3 2 2 2 3" xfId="12121"/>
    <cellStyle name="Milliers 2 4 4 3 2 2 3" xfId="5641"/>
    <cellStyle name="Milliers 2 4 4 3 2 2 3 2" xfId="14281"/>
    <cellStyle name="Milliers 2 4 4 3 2 2 4" xfId="9961"/>
    <cellStyle name="Milliers 2 4 4 3 2 3" xfId="2041"/>
    <cellStyle name="Milliers 2 4 4 3 2 3 2" xfId="4201"/>
    <cellStyle name="Milliers 2 4 4 3 2 3 2 2" xfId="8521"/>
    <cellStyle name="Milliers 2 4 4 3 2 3 2 2 2" xfId="17161"/>
    <cellStyle name="Milliers 2 4 4 3 2 3 2 3" xfId="12841"/>
    <cellStyle name="Milliers 2 4 4 3 2 3 3" xfId="6361"/>
    <cellStyle name="Milliers 2 4 4 3 2 3 3 2" xfId="15001"/>
    <cellStyle name="Milliers 2 4 4 3 2 3 4" xfId="10681"/>
    <cellStyle name="Milliers 2 4 4 3 2 4" xfId="2761"/>
    <cellStyle name="Milliers 2 4 4 3 2 4 2" xfId="7081"/>
    <cellStyle name="Milliers 2 4 4 3 2 4 2 2" xfId="15721"/>
    <cellStyle name="Milliers 2 4 4 3 2 4 3" xfId="11401"/>
    <cellStyle name="Milliers 2 4 4 3 2 5" xfId="4921"/>
    <cellStyle name="Milliers 2 4 4 3 2 5 2" xfId="13561"/>
    <cellStyle name="Milliers 2 4 4 3 2 6" xfId="9241"/>
    <cellStyle name="Milliers 2 4 4 3 3" xfId="961"/>
    <cellStyle name="Milliers 2 4 4 3 3 2" xfId="3121"/>
    <cellStyle name="Milliers 2 4 4 3 3 2 2" xfId="7441"/>
    <cellStyle name="Milliers 2 4 4 3 3 2 2 2" xfId="16081"/>
    <cellStyle name="Milliers 2 4 4 3 3 2 3" xfId="11761"/>
    <cellStyle name="Milliers 2 4 4 3 3 3" xfId="5281"/>
    <cellStyle name="Milliers 2 4 4 3 3 3 2" xfId="13921"/>
    <cellStyle name="Milliers 2 4 4 3 3 4" xfId="9601"/>
    <cellStyle name="Milliers 2 4 4 3 4" xfId="1681"/>
    <cellStyle name="Milliers 2 4 4 3 4 2" xfId="3841"/>
    <cellStyle name="Milliers 2 4 4 3 4 2 2" xfId="8161"/>
    <cellStyle name="Milliers 2 4 4 3 4 2 2 2" xfId="16801"/>
    <cellStyle name="Milliers 2 4 4 3 4 2 3" xfId="12481"/>
    <cellStyle name="Milliers 2 4 4 3 4 3" xfId="6001"/>
    <cellStyle name="Milliers 2 4 4 3 4 3 2" xfId="14641"/>
    <cellStyle name="Milliers 2 4 4 3 4 4" xfId="10321"/>
    <cellStyle name="Milliers 2 4 4 3 5" xfId="2401"/>
    <cellStyle name="Milliers 2 4 4 3 5 2" xfId="6721"/>
    <cellStyle name="Milliers 2 4 4 3 5 2 2" xfId="15361"/>
    <cellStyle name="Milliers 2 4 4 3 5 3" xfId="11041"/>
    <cellStyle name="Milliers 2 4 4 3 6" xfId="4561"/>
    <cellStyle name="Milliers 2 4 4 3 6 2" xfId="13201"/>
    <cellStyle name="Milliers 2 4 4 3 7" xfId="8881"/>
    <cellStyle name="Milliers 2 4 4 4" xfId="421"/>
    <cellStyle name="Milliers 2 4 4 4 2" xfId="1141"/>
    <cellStyle name="Milliers 2 4 4 4 2 2" xfId="3301"/>
    <cellStyle name="Milliers 2 4 4 4 2 2 2" xfId="7621"/>
    <cellStyle name="Milliers 2 4 4 4 2 2 2 2" xfId="16261"/>
    <cellStyle name="Milliers 2 4 4 4 2 2 3" xfId="11941"/>
    <cellStyle name="Milliers 2 4 4 4 2 3" xfId="5461"/>
    <cellStyle name="Milliers 2 4 4 4 2 3 2" xfId="14101"/>
    <cellStyle name="Milliers 2 4 4 4 2 4" xfId="9781"/>
    <cellStyle name="Milliers 2 4 4 4 3" xfId="1861"/>
    <cellStyle name="Milliers 2 4 4 4 3 2" xfId="4021"/>
    <cellStyle name="Milliers 2 4 4 4 3 2 2" xfId="8341"/>
    <cellStyle name="Milliers 2 4 4 4 3 2 2 2" xfId="16981"/>
    <cellStyle name="Milliers 2 4 4 4 3 2 3" xfId="12661"/>
    <cellStyle name="Milliers 2 4 4 4 3 3" xfId="6181"/>
    <cellStyle name="Milliers 2 4 4 4 3 3 2" xfId="14821"/>
    <cellStyle name="Milliers 2 4 4 4 3 4" xfId="10501"/>
    <cellStyle name="Milliers 2 4 4 4 4" xfId="2581"/>
    <cellStyle name="Milliers 2 4 4 4 4 2" xfId="6901"/>
    <cellStyle name="Milliers 2 4 4 4 4 2 2" xfId="15541"/>
    <cellStyle name="Milliers 2 4 4 4 4 3" xfId="11221"/>
    <cellStyle name="Milliers 2 4 4 4 5" xfId="4741"/>
    <cellStyle name="Milliers 2 4 4 4 5 2" xfId="13381"/>
    <cellStyle name="Milliers 2 4 4 4 6" xfId="9061"/>
    <cellStyle name="Milliers 2 4 4 5" xfId="781"/>
    <cellStyle name="Milliers 2 4 4 5 2" xfId="2941"/>
    <cellStyle name="Milliers 2 4 4 5 2 2" xfId="7261"/>
    <cellStyle name="Milliers 2 4 4 5 2 2 2" xfId="15901"/>
    <cellStyle name="Milliers 2 4 4 5 2 3" xfId="11581"/>
    <cellStyle name="Milliers 2 4 4 5 3" xfId="5101"/>
    <cellStyle name="Milliers 2 4 4 5 3 2" xfId="13741"/>
    <cellStyle name="Milliers 2 4 4 5 4" xfId="9421"/>
    <cellStyle name="Milliers 2 4 4 6" xfId="1501"/>
    <cellStyle name="Milliers 2 4 4 6 2" xfId="3661"/>
    <cellStyle name="Milliers 2 4 4 6 2 2" xfId="7981"/>
    <cellStyle name="Milliers 2 4 4 6 2 2 2" xfId="16621"/>
    <cellStyle name="Milliers 2 4 4 6 2 3" xfId="12301"/>
    <cellStyle name="Milliers 2 4 4 6 3" xfId="5821"/>
    <cellStyle name="Milliers 2 4 4 6 3 2" xfId="14461"/>
    <cellStyle name="Milliers 2 4 4 6 4" xfId="10141"/>
    <cellStyle name="Milliers 2 4 4 7" xfId="2221"/>
    <cellStyle name="Milliers 2 4 4 7 2" xfId="6541"/>
    <cellStyle name="Milliers 2 4 4 7 2 2" xfId="15181"/>
    <cellStyle name="Milliers 2 4 4 7 3" xfId="10861"/>
    <cellStyle name="Milliers 2 4 4 8" xfId="4381"/>
    <cellStyle name="Milliers 2 4 4 8 2" xfId="13021"/>
    <cellStyle name="Milliers 2 4 4 9" xfId="8701"/>
    <cellStyle name="Milliers 2 4 5" xfId="106"/>
    <cellStyle name="Milliers 2 4 5 2" xfId="286"/>
    <cellStyle name="Milliers 2 4 5 2 2" xfId="646"/>
    <cellStyle name="Milliers 2 4 5 2 2 2" xfId="1366"/>
    <cellStyle name="Milliers 2 4 5 2 2 2 2" xfId="3526"/>
    <cellStyle name="Milliers 2 4 5 2 2 2 2 2" xfId="7846"/>
    <cellStyle name="Milliers 2 4 5 2 2 2 2 2 2" xfId="16486"/>
    <cellStyle name="Milliers 2 4 5 2 2 2 2 3" xfId="12166"/>
    <cellStyle name="Milliers 2 4 5 2 2 2 3" xfId="5686"/>
    <cellStyle name="Milliers 2 4 5 2 2 2 3 2" xfId="14326"/>
    <cellStyle name="Milliers 2 4 5 2 2 2 4" xfId="10006"/>
    <cellStyle name="Milliers 2 4 5 2 2 3" xfId="2086"/>
    <cellStyle name="Milliers 2 4 5 2 2 3 2" xfId="4246"/>
    <cellStyle name="Milliers 2 4 5 2 2 3 2 2" xfId="8566"/>
    <cellStyle name="Milliers 2 4 5 2 2 3 2 2 2" xfId="17206"/>
    <cellStyle name="Milliers 2 4 5 2 2 3 2 3" xfId="12886"/>
    <cellStyle name="Milliers 2 4 5 2 2 3 3" xfId="6406"/>
    <cellStyle name="Milliers 2 4 5 2 2 3 3 2" xfId="15046"/>
    <cellStyle name="Milliers 2 4 5 2 2 3 4" xfId="10726"/>
    <cellStyle name="Milliers 2 4 5 2 2 4" xfId="2806"/>
    <cellStyle name="Milliers 2 4 5 2 2 4 2" xfId="7126"/>
    <cellStyle name="Milliers 2 4 5 2 2 4 2 2" xfId="15766"/>
    <cellStyle name="Milliers 2 4 5 2 2 4 3" xfId="11446"/>
    <cellStyle name="Milliers 2 4 5 2 2 5" xfId="4966"/>
    <cellStyle name="Milliers 2 4 5 2 2 5 2" xfId="13606"/>
    <cellStyle name="Milliers 2 4 5 2 2 6" xfId="9286"/>
    <cellStyle name="Milliers 2 4 5 2 3" xfId="1006"/>
    <cellStyle name="Milliers 2 4 5 2 3 2" xfId="3166"/>
    <cellStyle name="Milliers 2 4 5 2 3 2 2" xfId="7486"/>
    <cellStyle name="Milliers 2 4 5 2 3 2 2 2" xfId="16126"/>
    <cellStyle name="Milliers 2 4 5 2 3 2 3" xfId="11806"/>
    <cellStyle name="Milliers 2 4 5 2 3 3" xfId="5326"/>
    <cellStyle name="Milliers 2 4 5 2 3 3 2" xfId="13966"/>
    <cellStyle name="Milliers 2 4 5 2 3 4" xfId="9646"/>
    <cellStyle name="Milliers 2 4 5 2 4" xfId="1726"/>
    <cellStyle name="Milliers 2 4 5 2 4 2" xfId="3886"/>
    <cellStyle name="Milliers 2 4 5 2 4 2 2" xfId="8206"/>
    <cellStyle name="Milliers 2 4 5 2 4 2 2 2" xfId="16846"/>
    <cellStyle name="Milliers 2 4 5 2 4 2 3" xfId="12526"/>
    <cellStyle name="Milliers 2 4 5 2 4 3" xfId="6046"/>
    <cellStyle name="Milliers 2 4 5 2 4 3 2" xfId="14686"/>
    <cellStyle name="Milliers 2 4 5 2 4 4" xfId="10366"/>
    <cellStyle name="Milliers 2 4 5 2 5" xfId="2446"/>
    <cellStyle name="Milliers 2 4 5 2 5 2" xfId="6766"/>
    <cellStyle name="Milliers 2 4 5 2 5 2 2" xfId="15406"/>
    <cellStyle name="Milliers 2 4 5 2 5 3" xfId="11086"/>
    <cellStyle name="Milliers 2 4 5 2 6" xfId="4606"/>
    <cellStyle name="Milliers 2 4 5 2 6 2" xfId="13246"/>
    <cellStyle name="Milliers 2 4 5 2 7" xfId="8926"/>
    <cellStyle name="Milliers 2 4 5 3" xfId="466"/>
    <cellStyle name="Milliers 2 4 5 3 2" xfId="1186"/>
    <cellStyle name="Milliers 2 4 5 3 2 2" xfId="3346"/>
    <cellStyle name="Milliers 2 4 5 3 2 2 2" xfId="7666"/>
    <cellStyle name="Milliers 2 4 5 3 2 2 2 2" xfId="16306"/>
    <cellStyle name="Milliers 2 4 5 3 2 2 3" xfId="11986"/>
    <cellStyle name="Milliers 2 4 5 3 2 3" xfId="5506"/>
    <cellStyle name="Milliers 2 4 5 3 2 3 2" xfId="14146"/>
    <cellStyle name="Milliers 2 4 5 3 2 4" xfId="9826"/>
    <cellStyle name="Milliers 2 4 5 3 3" xfId="1906"/>
    <cellStyle name="Milliers 2 4 5 3 3 2" xfId="4066"/>
    <cellStyle name="Milliers 2 4 5 3 3 2 2" xfId="8386"/>
    <cellStyle name="Milliers 2 4 5 3 3 2 2 2" xfId="17026"/>
    <cellStyle name="Milliers 2 4 5 3 3 2 3" xfId="12706"/>
    <cellStyle name="Milliers 2 4 5 3 3 3" xfId="6226"/>
    <cellStyle name="Milliers 2 4 5 3 3 3 2" xfId="14866"/>
    <cellStyle name="Milliers 2 4 5 3 3 4" xfId="10546"/>
    <cellStyle name="Milliers 2 4 5 3 4" xfId="2626"/>
    <cellStyle name="Milliers 2 4 5 3 4 2" xfId="6946"/>
    <cellStyle name="Milliers 2 4 5 3 4 2 2" xfId="15586"/>
    <cellStyle name="Milliers 2 4 5 3 4 3" xfId="11266"/>
    <cellStyle name="Milliers 2 4 5 3 5" xfId="4786"/>
    <cellStyle name="Milliers 2 4 5 3 5 2" xfId="13426"/>
    <cellStyle name="Milliers 2 4 5 3 6" xfId="9106"/>
    <cellStyle name="Milliers 2 4 5 4" xfId="826"/>
    <cellStyle name="Milliers 2 4 5 4 2" xfId="2986"/>
    <cellStyle name="Milliers 2 4 5 4 2 2" xfId="7306"/>
    <cellStyle name="Milliers 2 4 5 4 2 2 2" xfId="15946"/>
    <cellStyle name="Milliers 2 4 5 4 2 3" xfId="11626"/>
    <cellStyle name="Milliers 2 4 5 4 3" xfId="5146"/>
    <cellStyle name="Milliers 2 4 5 4 3 2" xfId="13786"/>
    <cellStyle name="Milliers 2 4 5 4 4" xfId="9466"/>
    <cellStyle name="Milliers 2 4 5 5" xfId="1546"/>
    <cellStyle name="Milliers 2 4 5 5 2" xfId="3706"/>
    <cellStyle name="Milliers 2 4 5 5 2 2" xfId="8026"/>
    <cellStyle name="Milliers 2 4 5 5 2 2 2" xfId="16666"/>
    <cellStyle name="Milliers 2 4 5 5 2 3" xfId="12346"/>
    <cellStyle name="Milliers 2 4 5 5 3" xfId="5866"/>
    <cellStyle name="Milliers 2 4 5 5 3 2" xfId="14506"/>
    <cellStyle name="Milliers 2 4 5 5 4" xfId="10186"/>
    <cellStyle name="Milliers 2 4 5 6" xfId="2266"/>
    <cellStyle name="Milliers 2 4 5 6 2" xfId="6586"/>
    <cellStyle name="Milliers 2 4 5 6 2 2" xfId="15226"/>
    <cellStyle name="Milliers 2 4 5 6 3" xfId="10906"/>
    <cellStyle name="Milliers 2 4 5 7" xfId="4426"/>
    <cellStyle name="Milliers 2 4 5 7 2" xfId="13066"/>
    <cellStyle name="Milliers 2 4 5 8" xfId="8746"/>
    <cellStyle name="Milliers 2 4 6" xfId="196"/>
    <cellStyle name="Milliers 2 4 6 2" xfId="556"/>
    <cellStyle name="Milliers 2 4 6 2 2" xfId="1276"/>
    <cellStyle name="Milliers 2 4 6 2 2 2" xfId="3436"/>
    <cellStyle name="Milliers 2 4 6 2 2 2 2" xfId="7756"/>
    <cellStyle name="Milliers 2 4 6 2 2 2 2 2" xfId="16396"/>
    <cellStyle name="Milliers 2 4 6 2 2 2 3" xfId="12076"/>
    <cellStyle name="Milliers 2 4 6 2 2 3" xfId="5596"/>
    <cellStyle name="Milliers 2 4 6 2 2 3 2" xfId="14236"/>
    <cellStyle name="Milliers 2 4 6 2 2 4" xfId="9916"/>
    <cellStyle name="Milliers 2 4 6 2 3" xfId="1996"/>
    <cellStyle name="Milliers 2 4 6 2 3 2" xfId="4156"/>
    <cellStyle name="Milliers 2 4 6 2 3 2 2" xfId="8476"/>
    <cellStyle name="Milliers 2 4 6 2 3 2 2 2" xfId="17116"/>
    <cellStyle name="Milliers 2 4 6 2 3 2 3" xfId="12796"/>
    <cellStyle name="Milliers 2 4 6 2 3 3" xfId="6316"/>
    <cellStyle name="Milliers 2 4 6 2 3 3 2" xfId="14956"/>
    <cellStyle name="Milliers 2 4 6 2 3 4" xfId="10636"/>
    <cellStyle name="Milliers 2 4 6 2 4" xfId="2716"/>
    <cellStyle name="Milliers 2 4 6 2 4 2" xfId="7036"/>
    <cellStyle name="Milliers 2 4 6 2 4 2 2" xfId="15676"/>
    <cellStyle name="Milliers 2 4 6 2 4 3" xfId="11356"/>
    <cellStyle name="Milliers 2 4 6 2 5" xfId="4876"/>
    <cellStyle name="Milliers 2 4 6 2 5 2" xfId="13516"/>
    <cellStyle name="Milliers 2 4 6 2 6" xfId="9196"/>
    <cellStyle name="Milliers 2 4 6 3" xfId="916"/>
    <cellStyle name="Milliers 2 4 6 3 2" xfId="3076"/>
    <cellStyle name="Milliers 2 4 6 3 2 2" xfId="7396"/>
    <cellStyle name="Milliers 2 4 6 3 2 2 2" xfId="16036"/>
    <cellStyle name="Milliers 2 4 6 3 2 3" xfId="11716"/>
    <cellStyle name="Milliers 2 4 6 3 3" xfId="5236"/>
    <cellStyle name="Milliers 2 4 6 3 3 2" xfId="13876"/>
    <cellStyle name="Milliers 2 4 6 3 4" xfId="9556"/>
    <cellStyle name="Milliers 2 4 6 4" xfId="1636"/>
    <cellStyle name="Milliers 2 4 6 4 2" xfId="3796"/>
    <cellStyle name="Milliers 2 4 6 4 2 2" xfId="8116"/>
    <cellStyle name="Milliers 2 4 6 4 2 2 2" xfId="16756"/>
    <cellStyle name="Milliers 2 4 6 4 2 3" xfId="12436"/>
    <cellStyle name="Milliers 2 4 6 4 3" xfId="5956"/>
    <cellStyle name="Milliers 2 4 6 4 3 2" xfId="14596"/>
    <cellStyle name="Milliers 2 4 6 4 4" xfId="10276"/>
    <cellStyle name="Milliers 2 4 6 5" xfId="2356"/>
    <cellStyle name="Milliers 2 4 6 5 2" xfId="6676"/>
    <cellStyle name="Milliers 2 4 6 5 2 2" xfId="15316"/>
    <cellStyle name="Milliers 2 4 6 5 3" xfId="10996"/>
    <cellStyle name="Milliers 2 4 6 6" xfId="4516"/>
    <cellStyle name="Milliers 2 4 6 6 2" xfId="13156"/>
    <cellStyle name="Milliers 2 4 6 7" xfId="8836"/>
    <cellStyle name="Milliers 2 4 7" xfId="376"/>
    <cellStyle name="Milliers 2 4 7 2" xfId="1096"/>
    <cellStyle name="Milliers 2 4 7 2 2" xfId="3256"/>
    <cellStyle name="Milliers 2 4 7 2 2 2" xfId="7576"/>
    <cellStyle name="Milliers 2 4 7 2 2 2 2" xfId="16216"/>
    <cellStyle name="Milliers 2 4 7 2 2 3" xfId="11896"/>
    <cellStyle name="Milliers 2 4 7 2 3" xfId="5416"/>
    <cellStyle name="Milliers 2 4 7 2 3 2" xfId="14056"/>
    <cellStyle name="Milliers 2 4 7 2 4" xfId="9736"/>
    <cellStyle name="Milliers 2 4 7 3" xfId="1816"/>
    <cellStyle name="Milliers 2 4 7 3 2" xfId="3976"/>
    <cellStyle name="Milliers 2 4 7 3 2 2" xfId="8296"/>
    <cellStyle name="Milliers 2 4 7 3 2 2 2" xfId="16936"/>
    <cellStyle name="Milliers 2 4 7 3 2 3" xfId="12616"/>
    <cellStyle name="Milliers 2 4 7 3 3" xfId="6136"/>
    <cellStyle name="Milliers 2 4 7 3 3 2" xfId="14776"/>
    <cellStyle name="Milliers 2 4 7 3 4" xfId="10456"/>
    <cellStyle name="Milliers 2 4 7 4" xfId="2536"/>
    <cellStyle name="Milliers 2 4 7 4 2" xfId="6856"/>
    <cellStyle name="Milliers 2 4 7 4 2 2" xfId="15496"/>
    <cellStyle name="Milliers 2 4 7 4 3" xfId="11176"/>
    <cellStyle name="Milliers 2 4 7 5" xfId="4696"/>
    <cellStyle name="Milliers 2 4 7 5 2" xfId="13336"/>
    <cellStyle name="Milliers 2 4 7 6" xfId="9016"/>
    <cellStyle name="Milliers 2 4 8" xfId="736"/>
    <cellStyle name="Milliers 2 4 8 2" xfId="2896"/>
    <cellStyle name="Milliers 2 4 8 2 2" xfId="7216"/>
    <cellStyle name="Milliers 2 4 8 2 2 2" xfId="15856"/>
    <cellStyle name="Milliers 2 4 8 2 3" xfId="11536"/>
    <cellStyle name="Milliers 2 4 8 3" xfId="5056"/>
    <cellStyle name="Milliers 2 4 8 3 2" xfId="13696"/>
    <cellStyle name="Milliers 2 4 8 4" xfId="9376"/>
    <cellStyle name="Milliers 2 4 9" xfId="1456"/>
    <cellStyle name="Milliers 2 4 9 2" xfId="3616"/>
    <cellStyle name="Milliers 2 4 9 2 2" xfId="7936"/>
    <cellStyle name="Milliers 2 4 9 2 2 2" xfId="16576"/>
    <cellStyle name="Milliers 2 4 9 2 3" xfId="12256"/>
    <cellStyle name="Milliers 2 4 9 3" xfId="5776"/>
    <cellStyle name="Milliers 2 4 9 3 2" xfId="14416"/>
    <cellStyle name="Milliers 2 4 9 4" xfId="10096"/>
    <cellStyle name="Milliers 2 5" xfId="19"/>
    <cellStyle name="Milliers 2 5 10" xfId="8659"/>
    <cellStyle name="Milliers 2 5 2" xfId="64"/>
    <cellStyle name="Milliers 2 5 2 2" xfId="154"/>
    <cellStyle name="Milliers 2 5 2 2 2" xfId="334"/>
    <cellStyle name="Milliers 2 5 2 2 2 2" xfId="694"/>
    <cellStyle name="Milliers 2 5 2 2 2 2 2" xfId="1414"/>
    <cellStyle name="Milliers 2 5 2 2 2 2 2 2" xfId="3574"/>
    <cellStyle name="Milliers 2 5 2 2 2 2 2 2 2" xfId="7894"/>
    <cellStyle name="Milliers 2 5 2 2 2 2 2 2 2 2" xfId="16534"/>
    <cellStyle name="Milliers 2 5 2 2 2 2 2 2 3" xfId="12214"/>
    <cellStyle name="Milliers 2 5 2 2 2 2 2 3" xfId="5734"/>
    <cellStyle name="Milliers 2 5 2 2 2 2 2 3 2" xfId="14374"/>
    <cellStyle name="Milliers 2 5 2 2 2 2 2 4" xfId="10054"/>
    <cellStyle name="Milliers 2 5 2 2 2 2 3" xfId="2134"/>
    <cellStyle name="Milliers 2 5 2 2 2 2 3 2" xfId="4294"/>
    <cellStyle name="Milliers 2 5 2 2 2 2 3 2 2" xfId="8614"/>
    <cellStyle name="Milliers 2 5 2 2 2 2 3 2 2 2" xfId="17254"/>
    <cellStyle name="Milliers 2 5 2 2 2 2 3 2 3" xfId="12934"/>
    <cellStyle name="Milliers 2 5 2 2 2 2 3 3" xfId="6454"/>
    <cellStyle name="Milliers 2 5 2 2 2 2 3 3 2" xfId="15094"/>
    <cellStyle name="Milliers 2 5 2 2 2 2 3 4" xfId="10774"/>
    <cellStyle name="Milliers 2 5 2 2 2 2 4" xfId="2854"/>
    <cellStyle name="Milliers 2 5 2 2 2 2 4 2" xfId="7174"/>
    <cellStyle name="Milliers 2 5 2 2 2 2 4 2 2" xfId="15814"/>
    <cellStyle name="Milliers 2 5 2 2 2 2 4 3" xfId="11494"/>
    <cellStyle name="Milliers 2 5 2 2 2 2 5" xfId="5014"/>
    <cellStyle name="Milliers 2 5 2 2 2 2 5 2" xfId="13654"/>
    <cellStyle name="Milliers 2 5 2 2 2 2 6" xfId="9334"/>
    <cellStyle name="Milliers 2 5 2 2 2 3" xfId="1054"/>
    <cellStyle name="Milliers 2 5 2 2 2 3 2" xfId="3214"/>
    <cellStyle name="Milliers 2 5 2 2 2 3 2 2" xfId="7534"/>
    <cellStyle name="Milliers 2 5 2 2 2 3 2 2 2" xfId="16174"/>
    <cellStyle name="Milliers 2 5 2 2 2 3 2 3" xfId="11854"/>
    <cellStyle name="Milliers 2 5 2 2 2 3 3" xfId="5374"/>
    <cellStyle name="Milliers 2 5 2 2 2 3 3 2" xfId="14014"/>
    <cellStyle name="Milliers 2 5 2 2 2 3 4" xfId="9694"/>
    <cellStyle name="Milliers 2 5 2 2 2 4" xfId="1774"/>
    <cellStyle name="Milliers 2 5 2 2 2 4 2" xfId="3934"/>
    <cellStyle name="Milliers 2 5 2 2 2 4 2 2" xfId="8254"/>
    <cellStyle name="Milliers 2 5 2 2 2 4 2 2 2" xfId="16894"/>
    <cellStyle name="Milliers 2 5 2 2 2 4 2 3" xfId="12574"/>
    <cellStyle name="Milliers 2 5 2 2 2 4 3" xfId="6094"/>
    <cellStyle name="Milliers 2 5 2 2 2 4 3 2" xfId="14734"/>
    <cellStyle name="Milliers 2 5 2 2 2 4 4" xfId="10414"/>
    <cellStyle name="Milliers 2 5 2 2 2 5" xfId="2494"/>
    <cellStyle name="Milliers 2 5 2 2 2 5 2" xfId="6814"/>
    <cellStyle name="Milliers 2 5 2 2 2 5 2 2" xfId="15454"/>
    <cellStyle name="Milliers 2 5 2 2 2 5 3" xfId="11134"/>
    <cellStyle name="Milliers 2 5 2 2 2 6" xfId="4654"/>
    <cellStyle name="Milliers 2 5 2 2 2 6 2" xfId="13294"/>
    <cellStyle name="Milliers 2 5 2 2 2 7" xfId="8974"/>
    <cellStyle name="Milliers 2 5 2 2 3" xfId="514"/>
    <cellStyle name="Milliers 2 5 2 2 3 2" xfId="1234"/>
    <cellStyle name="Milliers 2 5 2 2 3 2 2" xfId="3394"/>
    <cellStyle name="Milliers 2 5 2 2 3 2 2 2" xfId="7714"/>
    <cellStyle name="Milliers 2 5 2 2 3 2 2 2 2" xfId="16354"/>
    <cellStyle name="Milliers 2 5 2 2 3 2 2 3" xfId="12034"/>
    <cellStyle name="Milliers 2 5 2 2 3 2 3" xfId="5554"/>
    <cellStyle name="Milliers 2 5 2 2 3 2 3 2" xfId="14194"/>
    <cellStyle name="Milliers 2 5 2 2 3 2 4" xfId="9874"/>
    <cellStyle name="Milliers 2 5 2 2 3 3" xfId="1954"/>
    <cellStyle name="Milliers 2 5 2 2 3 3 2" xfId="4114"/>
    <cellStyle name="Milliers 2 5 2 2 3 3 2 2" xfId="8434"/>
    <cellStyle name="Milliers 2 5 2 2 3 3 2 2 2" xfId="17074"/>
    <cellStyle name="Milliers 2 5 2 2 3 3 2 3" xfId="12754"/>
    <cellStyle name="Milliers 2 5 2 2 3 3 3" xfId="6274"/>
    <cellStyle name="Milliers 2 5 2 2 3 3 3 2" xfId="14914"/>
    <cellStyle name="Milliers 2 5 2 2 3 3 4" xfId="10594"/>
    <cellStyle name="Milliers 2 5 2 2 3 4" xfId="2674"/>
    <cellStyle name="Milliers 2 5 2 2 3 4 2" xfId="6994"/>
    <cellStyle name="Milliers 2 5 2 2 3 4 2 2" xfId="15634"/>
    <cellStyle name="Milliers 2 5 2 2 3 4 3" xfId="11314"/>
    <cellStyle name="Milliers 2 5 2 2 3 5" xfId="4834"/>
    <cellStyle name="Milliers 2 5 2 2 3 5 2" xfId="13474"/>
    <cellStyle name="Milliers 2 5 2 2 3 6" xfId="9154"/>
    <cellStyle name="Milliers 2 5 2 2 4" xfId="874"/>
    <cellStyle name="Milliers 2 5 2 2 4 2" xfId="3034"/>
    <cellStyle name="Milliers 2 5 2 2 4 2 2" xfId="7354"/>
    <cellStyle name="Milliers 2 5 2 2 4 2 2 2" xfId="15994"/>
    <cellStyle name="Milliers 2 5 2 2 4 2 3" xfId="11674"/>
    <cellStyle name="Milliers 2 5 2 2 4 3" xfId="5194"/>
    <cellStyle name="Milliers 2 5 2 2 4 3 2" xfId="13834"/>
    <cellStyle name="Milliers 2 5 2 2 4 4" xfId="9514"/>
    <cellStyle name="Milliers 2 5 2 2 5" xfId="1594"/>
    <cellStyle name="Milliers 2 5 2 2 5 2" xfId="3754"/>
    <cellStyle name="Milliers 2 5 2 2 5 2 2" xfId="8074"/>
    <cellStyle name="Milliers 2 5 2 2 5 2 2 2" xfId="16714"/>
    <cellStyle name="Milliers 2 5 2 2 5 2 3" xfId="12394"/>
    <cellStyle name="Milliers 2 5 2 2 5 3" xfId="5914"/>
    <cellStyle name="Milliers 2 5 2 2 5 3 2" xfId="14554"/>
    <cellStyle name="Milliers 2 5 2 2 5 4" xfId="10234"/>
    <cellStyle name="Milliers 2 5 2 2 6" xfId="2314"/>
    <cellStyle name="Milliers 2 5 2 2 6 2" xfId="6634"/>
    <cellStyle name="Milliers 2 5 2 2 6 2 2" xfId="15274"/>
    <cellStyle name="Milliers 2 5 2 2 6 3" xfId="10954"/>
    <cellStyle name="Milliers 2 5 2 2 7" xfId="4474"/>
    <cellStyle name="Milliers 2 5 2 2 7 2" xfId="13114"/>
    <cellStyle name="Milliers 2 5 2 2 8" xfId="8794"/>
    <cellStyle name="Milliers 2 5 2 3" xfId="244"/>
    <cellStyle name="Milliers 2 5 2 3 2" xfId="604"/>
    <cellStyle name="Milliers 2 5 2 3 2 2" xfId="1324"/>
    <cellStyle name="Milliers 2 5 2 3 2 2 2" xfId="3484"/>
    <cellStyle name="Milliers 2 5 2 3 2 2 2 2" xfId="7804"/>
    <cellStyle name="Milliers 2 5 2 3 2 2 2 2 2" xfId="16444"/>
    <cellStyle name="Milliers 2 5 2 3 2 2 2 3" xfId="12124"/>
    <cellStyle name="Milliers 2 5 2 3 2 2 3" xfId="5644"/>
    <cellStyle name="Milliers 2 5 2 3 2 2 3 2" xfId="14284"/>
    <cellStyle name="Milliers 2 5 2 3 2 2 4" xfId="9964"/>
    <cellStyle name="Milliers 2 5 2 3 2 3" xfId="2044"/>
    <cellStyle name="Milliers 2 5 2 3 2 3 2" xfId="4204"/>
    <cellStyle name="Milliers 2 5 2 3 2 3 2 2" xfId="8524"/>
    <cellStyle name="Milliers 2 5 2 3 2 3 2 2 2" xfId="17164"/>
    <cellStyle name="Milliers 2 5 2 3 2 3 2 3" xfId="12844"/>
    <cellStyle name="Milliers 2 5 2 3 2 3 3" xfId="6364"/>
    <cellStyle name="Milliers 2 5 2 3 2 3 3 2" xfId="15004"/>
    <cellStyle name="Milliers 2 5 2 3 2 3 4" xfId="10684"/>
    <cellStyle name="Milliers 2 5 2 3 2 4" xfId="2764"/>
    <cellStyle name="Milliers 2 5 2 3 2 4 2" xfId="7084"/>
    <cellStyle name="Milliers 2 5 2 3 2 4 2 2" xfId="15724"/>
    <cellStyle name="Milliers 2 5 2 3 2 4 3" xfId="11404"/>
    <cellStyle name="Milliers 2 5 2 3 2 5" xfId="4924"/>
    <cellStyle name="Milliers 2 5 2 3 2 5 2" xfId="13564"/>
    <cellStyle name="Milliers 2 5 2 3 2 6" xfId="9244"/>
    <cellStyle name="Milliers 2 5 2 3 3" xfId="964"/>
    <cellStyle name="Milliers 2 5 2 3 3 2" xfId="3124"/>
    <cellStyle name="Milliers 2 5 2 3 3 2 2" xfId="7444"/>
    <cellStyle name="Milliers 2 5 2 3 3 2 2 2" xfId="16084"/>
    <cellStyle name="Milliers 2 5 2 3 3 2 3" xfId="11764"/>
    <cellStyle name="Milliers 2 5 2 3 3 3" xfId="5284"/>
    <cellStyle name="Milliers 2 5 2 3 3 3 2" xfId="13924"/>
    <cellStyle name="Milliers 2 5 2 3 3 4" xfId="9604"/>
    <cellStyle name="Milliers 2 5 2 3 4" xfId="1684"/>
    <cellStyle name="Milliers 2 5 2 3 4 2" xfId="3844"/>
    <cellStyle name="Milliers 2 5 2 3 4 2 2" xfId="8164"/>
    <cellStyle name="Milliers 2 5 2 3 4 2 2 2" xfId="16804"/>
    <cellStyle name="Milliers 2 5 2 3 4 2 3" xfId="12484"/>
    <cellStyle name="Milliers 2 5 2 3 4 3" xfId="6004"/>
    <cellStyle name="Milliers 2 5 2 3 4 3 2" xfId="14644"/>
    <cellStyle name="Milliers 2 5 2 3 4 4" xfId="10324"/>
    <cellStyle name="Milliers 2 5 2 3 5" xfId="2404"/>
    <cellStyle name="Milliers 2 5 2 3 5 2" xfId="6724"/>
    <cellStyle name="Milliers 2 5 2 3 5 2 2" xfId="15364"/>
    <cellStyle name="Milliers 2 5 2 3 5 3" xfId="11044"/>
    <cellStyle name="Milliers 2 5 2 3 6" xfId="4564"/>
    <cellStyle name="Milliers 2 5 2 3 6 2" xfId="13204"/>
    <cellStyle name="Milliers 2 5 2 3 7" xfId="8884"/>
    <cellStyle name="Milliers 2 5 2 4" xfId="424"/>
    <cellStyle name="Milliers 2 5 2 4 2" xfId="1144"/>
    <cellStyle name="Milliers 2 5 2 4 2 2" xfId="3304"/>
    <cellStyle name="Milliers 2 5 2 4 2 2 2" xfId="7624"/>
    <cellStyle name="Milliers 2 5 2 4 2 2 2 2" xfId="16264"/>
    <cellStyle name="Milliers 2 5 2 4 2 2 3" xfId="11944"/>
    <cellStyle name="Milliers 2 5 2 4 2 3" xfId="5464"/>
    <cellStyle name="Milliers 2 5 2 4 2 3 2" xfId="14104"/>
    <cellStyle name="Milliers 2 5 2 4 2 4" xfId="9784"/>
    <cellStyle name="Milliers 2 5 2 4 3" xfId="1864"/>
    <cellStyle name="Milliers 2 5 2 4 3 2" xfId="4024"/>
    <cellStyle name="Milliers 2 5 2 4 3 2 2" xfId="8344"/>
    <cellStyle name="Milliers 2 5 2 4 3 2 2 2" xfId="16984"/>
    <cellStyle name="Milliers 2 5 2 4 3 2 3" xfId="12664"/>
    <cellStyle name="Milliers 2 5 2 4 3 3" xfId="6184"/>
    <cellStyle name="Milliers 2 5 2 4 3 3 2" xfId="14824"/>
    <cellStyle name="Milliers 2 5 2 4 3 4" xfId="10504"/>
    <cellStyle name="Milliers 2 5 2 4 4" xfId="2584"/>
    <cellStyle name="Milliers 2 5 2 4 4 2" xfId="6904"/>
    <cellStyle name="Milliers 2 5 2 4 4 2 2" xfId="15544"/>
    <cellStyle name="Milliers 2 5 2 4 4 3" xfId="11224"/>
    <cellStyle name="Milliers 2 5 2 4 5" xfId="4744"/>
    <cellStyle name="Milliers 2 5 2 4 5 2" xfId="13384"/>
    <cellStyle name="Milliers 2 5 2 4 6" xfId="9064"/>
    <cellStyle name="Milliers 2 5 2 5" xfId="784"/>
    <cellStyle name="Milliers 2 5 2 5 2" xfId="2944"/>
    <cellStyle name="Milliers 2 5 2 5 2 2" xfId="7264"/>
    <cellStyle name="Milliers 2 5 2 5 2 2 2" xfId="15904"/>
    <cellStyle name="Milliers 2 5 2 5 2 3" xfId="11584"/>
    <cellStyle name="Milliers 2 5 2 5 3" xfId="5104"/>
    <cellStyle name="Milliers 2 5 2 5 3 2" xfId="13744"/>
    <cellStyle name="Milliers 2 5 2 5 4" xfId="9424"/>
    <cellStyle name="Milliers 2 5 2 6" xfId="1504"/>
    <cellStyle name="Milliers 2 5 2 6 2" xfId="3664"/>
    <cellStyle name="Milliers 2 5 2 6 2 2" xfId="7984"/>
    <cellStyle name="Milliers 2 5 2 6 2 2 2" xfId="16624"/>
    <cellStyle name="Milliers 2 5 2 6 2 3" xfId="12304"/>
    <cellStyle name="Milliers 2 5 2 6 3" xfId="5824"/>
    <cellStyle name="Milliers 2 5 2 6 3 2" xfId="14464"/>
    <cellStyle name="Milliers 2 5 2 6 4" xfId="10144"/>
    <cellStyle name="Milliers 2 5 2 7" xfId="2224"/>
    <cellStyle name="Milliers 2 5 2 7 2" xfId="6544"/>
    <cellStyle name="Milliers 2 5 2 7 2 2" xfId="15184"/>
    <cellStyle name="Milliers 2 5 2 7 3" xfId="10864"/>
    <cellStyle name="Milliers 2 5 2 8" xfId="4384"/>
    <cellStyle name="Milliers 2 5 2 8 2" xfId="13024"/>
    <cellStyle name="Milliers 2 5 2 9" xfId="8704"/>
    <cellStyle name="Milliers 2 5 3" xfId="109"/>
    <cellStyle name="Milliers 2 5 3 2" xfId="289"/>
    <cellStyle name="Milliers 2 5 3 2 2" xfId="649"/>
    <cellStyle name="Milliers 2 5 3 2 2 2" xfId="1369"/>
    <cellStyle name="Milliers 2 5 3 2 2 2 2" xfId="3529"/>
    <cellStyle name="Milliers 2 5 3 2 2 2 2 2" xfId="7849"/>
    <cellStyle name="Milliers 2 5 3 2 2 2 2 2 2" xfId="16489"/>
    <cellStyle name="Milliers 2 5 3 2 2 2 2 3" xfId="12169"/>
    <cellStyle name="Milliers 2 5 3 2 2 2 3" xfId="5689"/>
    <cellStyle name="Milliers 2 5 3 2 2 2 3 2" xfId="14329"/>
    <cellStyle name="Milliers 2 5 3 2 2 2 4" xfId="10009"/>
    <cellStyle name="Milliers 2 5 3 2 2 3" xfId="2089"/>
    <cellStyle name="Milliers 2 5 3 2 2 3 2" xfId="4249"/>
    <cellStyle name="Milliers 2 5 3 2 2 3 2 2" xfId="8569"/>
    <cellStyle name="Milliers 2 5 3 2 2 3 2 2 2" xfId="17209"/>
    <cellStyle name="Milliers 2 5 3 2 2 3 2 3" xfId="12889"/>
    <cellStyle name="Milliers 2 5 3 2 2 3 3" xfId="6409"/>
    <cellStyle name="Milliers 2 5 3 2 2 3 3 2" xfId="15049"/>
    <cellStyle name="Milliers 2 5 3 2 2 3 4" xfId="10729"/>
    <cellStyle name="Milliers 2 5 3 2 2 4" xfId="2809"/>
    <cellStyle name="Milliers 2 5 3 2 2 4 2" xfId="7129"/>
    <cellStyle name="Milliers 2 5 3 2 2 4 2 2" xfId="15769"/>
    <cellStyle name="Milliers 2 5 3 2 2 4 3" xfId="11449"/>
    <cellStyle name="Milliers 2 5 3 2 2 5" xfId="4969"/>
    <cellStyle name="Milliers 2 5 3 2 2 5 2" xfId="13609"/>
    <cellStyle name="Milliers 2 5 3 2 2 6" xfId="9289"/>
    <cellStyle name="Milliers 2 5 3 2 3" xfId="1009"/>
    <cellStyle name="Milliers 2 5 3 2 3 2" xfId="3169"/>
    <cellStyle name="Milliers 2 5 3 2 3 2 2" xfId="7489"/>
    <cellStyle name="Milliers 2 5 3 2 3 2 2 2" xfId="16129"/>
    <cellStyle name="Milliers 2 5 3 2 3 2 3" xfId="11809"/>
    <cellStyle name="Milliers 2 5 3 2 3 3" xfId="5329"/>
    <cellStyle name="Milliers 2 5 3 2 3 3 2" xfId="13969"/>
    <cellStyle name="Milliers 2 5 3 2 3 4" xfId="9649"/>
    <cellStyle name="Milliers 2 5 3 2 4" xfId="1729"/>
    <cellStyle name="Milliers 2 5 3 2 4 2" xfId="3889"/>
    <cellStyle name="Milliers 2 5 3 2 4 2 2" xfId="8209"/>
    <cellStyle name="Milliers 2 5 3 2 4 2 2 2" xfId="16849"/>
    <cellStyle name="Milliers 2 5 3 2 4 2 3" xfId="12529"/>
    <cellStyle name="Milliers 2 5 3 2 4 3" xfId="6049"/>
    <cellStyle name="Milliers 2 5 3 2 4 3 2" xfId="14689"/>
    <cellStyle name="Milliers 2 5 3 2 4 4" xfId="10369"/>
    <cellStyle name="Milliers 2 5 3 2 5" xfId="2449"/>
    <cellStyle name="Milliers 2 5 3 2 5 2" xfId="6769"/>
    <cellStyle name="Milliers 2 5 3 2 5 2 2" xfId="15409"/>
    <cellStyle name="Milliers 2 5 3 2 5 3" xfId="11089"/>
    <cellStyle name="Milliers 2 5 3 2 6" xfId="4609"/>
    <cellStyle name="Milliers 2 5 3 2 6 2" xfId="13249"/>
    <cellStyle name="Milliers 2 5 3 2 7" xfId="8929"/>
    <cellStyle name="Milliers 2 5 3 3" xfId="469"/>
    <cellStyle name="Milliers 2 5 3 3 2" xfId="1189"/>
    <cellStyle name="Milliers 2 5 3 3 2 2" xfId="3349"/>
    <cellStyle name="Milliers 2 5 3 3 2 2 2" xfId="7669"/>
    <cellStyle name="Milliers 2 5 3 3 2 2 2 2" xfId="16309"/>
    <cellStyle name="Milliers 2 5 3 3 2 2 3" xfId="11989"/>
    <cellStyle name="Milliers 2 5 3 3 2 3" xfId="5509"/>
    <cellStyle name="Milliers 2 5 3 3 2 3 2" xfId="14149"/>
    <cellStyle name="Milliers 2 5 3 3 2 4" xfId="9829"/>
    <cellStyle name="Milliers 2 5 3 3 3" xfId="1909"/>
    <cellStyle name="Milliers 2 5 3 3 3 2" xfId="4069"/>
    <cellStyle name="Milliers 2 5 3 3 3 2 2" xfId="8389"/>
    <cellStyle name="Milliers 2 5 3 3 3 2 2 2" xfId="17029"/>
    <cellStyle name="Milliers 2 5 3 3 3 2 3" xfId="12709"/>
    <cellStyle name="Milliers 2 5 3 3 3 3" xfId="6229"/>
    <cellStyle name="Milliers 2 5 3 3 3 3 2" xfId="14869"/>
    <cellStyle name="Milliers 2 5 3 3 3 4" xfId="10549"/>
    <cellStyle name="Milliers 2 5 3 3 4" xfId="2629"/>
    <cellStyle name="Milliers 2 5 3 3 4 2" xfId="6949"/>
    <cellStyle name="Milliers 2 5 3 3 4 2 2" xfId="15589"/>
    <cellStyle name="Milliers 2 5 3 3 4 3" xfId="11269"/>
    <cellStyle name="Milliers 2 5 3 3 5" xfId="4789"/>
    <cellStyle name="Milliers 2 5 3 3 5 2" xfId="13429"/>
    <cellStyle name="Milliers 2 5 3 3 6" xfId="9109"/>
    <cellStyle name="Milliers 2 5 3 4" xfId="829"/>
    <cellStyle name="Milliers 2 5 3 4 2" xfId="2989"/>
    <cellStyle name="Milliers 2 5 3 4 2 2" xfId="7309"/>
    <cellStyle name="Milliers 2 5 3 4 2 2 2" xfId="15949"/>
    <cellStyle name="Milliers 2 5 3 4 2 3" xfId="11629"/>
    <cellStyle name="Milliers 2 5 3 4 3" xfId="5149"/>
    <cellStyle name="Milliers 2 5 3 4 3 2" xfId="13789"/>
    <cellStyle name="Milliers 2 5 3 4 4" xfId="9469"/>
    <cellStyle name="Milliers 2 5 3 5" xfId="1549"/>
    <cellStyle name="Milliers 2 5 3 5 2" xfId="3709"/>
    <cellStyle name="Milliers 2 5 3 5 2 2" xfId="8029"/>
    <cellStyle name="Milliers 2 5 3 5 2 2 2" xfId="16669"/>
    <cellStyle name="Milliers 2 5 3 5 2 3" xfId="12349"/>
    <cellStyle name="Milliers 2 5 3 5 3" xfId="5869"/>
    <cellStyle name="Milliers 2 5 3 5 3 2" xfId="14509"/>
    <cellStyle name="Milliers 2 5 3 5 4" xfId="10189"/>
    <cellStyle name="Milliers 2 5 3 6" xfId="2269"/>
    <cellStyle name="Milliers 2 5 3 6 2" xfId="6589"/>
    <cellStyle name="Milliers 2 5 3 6 2 2" xfId="15229"/>
    <cellStyle name="Milliers 2 5 3 6 3" xfId="10909"/>
    <cellStyle name="Milliers 2 5 3 7" xfId="4429"/>
    <cellStyle name="Milliers 2 5 3 7 2" xfId="13069"/>
    <cellStyle name="Milliers 2 5 3 8" xfId="8749"/>
    <cellStyle name="Milliers 2 5 4" xfId="199"/>
    <cellStyle name="Milliers 2 5 4 2" xfId="559"/>
    <cellStyle name="Milliers 2 5 4 2 2" xfId="1279"/>
    <cellStyle name="Milliers 2 5 4 2 2 2" xfId="3439"/>
    <cellStyle name="Milliers 2 5 4 2 2 2 2" xfId="7759"/>
    <cellStyle name="Milliers 2 5 4 2 2 2 2 2" xfId="16399"/>
    <cellStyle name="Milliers 2 5 4 2 2 2 3" xfId="12079"/>
    <cellStyle name="Milliers 2 5 4 2 2 3" xfId="5599"/>
    <cellStyle name="Milliers 2 5 4 2 2 3 2" xfId="14239"/>
    <cellStyle name="Milliers 2 5 4 2 2 4" xfId="9919"/>
    <cellStyle name="Milliers 2 5 4 2 3" xfId="1999"/>
    <cellStyle name="Milliers 2 5 4 2 3 2" xfId="4159"/>
    <cellStyle name="Milliers 2 5 4 2 3 2 2" xfId="8479"/>
    <cellStyle name="Milliers 2 5 4 2 3 2 2 2" xfId="17119"/>
    <cellStyle name="Milliers 2 5 4 2 3 2 3" xfId="12799"/>
    <cellStyle name="Milliers 2 5 4 2 3 3" xfId="6319"/>
    <cellStyle name="Milliers 2 5 4 2 3 3 2" xfId="14959"/>
    <cellStyle name="Milliers 2 5 4 2 3 4" xfId="10639"/>
    <cellStyle name="Milliers 2 5 4 2 4" xfId="2719"/>
    <cellStyle name="Milliers 2 5 4 2 4 2" xfId="7039"/>
    <cellStyle name="Milliers 2 5 4 2 4 2 2" xfId="15679"/>
    <cellStyle name="Milliers 2 5 4 2 4 3" xfId="11359"/>
    <cellStyle name="Milliers 2 5 4 2 5" xfId="4879"/>
    <cellStyle name="Milliers 2 5 4 2 5 2" xfId="13519"/>
    <cellStyle name="Milliers 2 5 4 2 6" xfId="9199"/>
    <cellStyle name="Milliers 2 5 4 3" xfId="919"/>
    <cellStyle name="Milliers 2 5 4 3 2" xfId="3079"/>
    <cellStyle name="Milliers 2 5 4 3 2 2" xfId="7399"/>
    <cellStyle name="Milliers 2 5 4 3 2 2 2" xfId="16039"/>
    <cellStyle name="Milliers 2 5 4 3 2 3" xfId="11719"/>
    <cellStyle name="Milliers 2 5 4 3 3" xfId="5239"/>
    <cellStyle name="Milliers 2 5 4 3 3 2" xfId="13879"/>
    <cellStyle name="Milliers 2 5 4 3 4" xfId="9559"/>
    <cellStyle name="Milliers 2 5 4 4" xfId="1639"/>
    <cellStyle name="Milliers 2 5 4 4 2" xfId="3799"/>
    <cellStyle name="Milliers 2 5 4 4 2 2" xfId="8119"/>
    <cellStyle name="Milliers 2 5 4 4 2 2 2" xfId="16759"/>
    <cellStyle name="Milliers 2 5 4 4 2 3" xfId="12439"/>
    <cellStyle name="Milliers 2 5 4 4 3" xfId="5959"/>
    <cellStyle name="Milliers 2 5 4 4 3 2" xfId="14599"/>
    <cellStyle name="Milliers 2 5 4 4 4" xfId="10279"/>
    <cellStyle name="Milliers 2 5 4 5" xfId="2359"/>
    <cellStyle name="Milliers 2 5 4 5 2" xfId="6679"/>
    <cellStyle name="Milliers 2 5 4 5 2 2" xfId="15319"/>
    <cellStyle name="Milliers 2 5 4 5 3" xfId="10999"/>
    <cellStyle name="Milliers 2 5 4 6" xfId="4519"/>
    <cellStyle name="Milliers 2 5 4 6 2" xfId="13159"/>
    <cellStyle name="Milliers 2 5 4 7" xfId="8839"/>
    <cellStyle name="Milliers 2 5 5" xfId="379"/>
    <cellStyle name="Milliers 2 5 5 2" xfId="1099"/>
    <cellStyle name="Milliers 2 5 5 2 2" xfId="3259"/>
    <cellStyle name="Milliers 2 5 5 2 2 2" xfId="7579"/>
    <cellStyle name="Milliers 2 5 5 2 2 2 2" xfId="16219"/>
    <cellStyle name="Milliers 2 5 5 2 2 3" xfId="11899"/>
    <cellStyle name="Milliers 2 5 5 2 3" xfId="5419"/>
    <cellStyle name="Milliers 2 5 5 2 3 2" xfId="14059"/>
    <cellStyle name="Milliers 2 5 5 2 4" xfId="9739"/>
    <cellStyle name="Milliers 2 5 5 3" xfId="1819"/>
    <cellStyle name="Milliers 2 5 5 3 2" xfId="3979"/>
    <cellStyle name="Milliers 2 5 5 3 2 2" xfId="8299"/>
    <cellStyle name="Milliers 2 5 5 3 2 2 2" xfId="16939"/>
    <cellStyle name="Milliers 2 5 5 3 2 3" xfId="12619"/>
    <cellStyle name="Milliers 2 5 5 3 3" xfId="6139"/>
    <cellStyle name="Milliers 2 5 5 3 3 2" xfId="14779"/>
    <cellStyle name="Milliers 2 5 5 3 4" xfId="10459"/>
    <cellStyle name="Milliers 2 5 5 4" xfId="2539"/>
    <cellStyle name="Milliers 2 5 5 4 2" xfId="6859"/>
    <cellStyle name="Milliers 2 5 5 4 2 2" xfId="15499"/>
    <cellStyle name="Milliers 2 5 5 4 3" xfId="11179"/>
    <cellStyle name="Milliers 2 5 5 5" xfId="4699"/>
    <cellStyle name="Milliers 2 5 5 5 2" xfId="13339"/>
    <cellStyle name="Milliers 2 5 5 6" xfId="9019"/>
    <cellStyle name="Milliers 2 5 6" xfId="739"/>
    <cellStyle name="Milliers 2 5 6 2" xfId="2899"/>
    <cellStyle name="Milliers 2 5 6 2 2" xfId="7219"/>
    <cellStyle name="Milliers 2 5 6 2 2 2" xfId="15859"/>
    <cellStyle name="Milliers 2 5 6 2 3" xfId="11539"/>
    <cellStyle name="Milliers 2 5 6 3" xfId="5059"/>
    <cellStyle name="Milliers 2 5 6 3 2" xfId="13699"/>
    <cellStyle name="Milliers 2 5 6 4" xfId="9379"/>
    <cellStyle name="Milliers 2 5 7" xfId="1459"/>
    <cellStyle name="Milliers 2 5 7 2" xfId="3619"/>
    <cellStyle name="Milliers 2 5 7 2 2" xfId="7939"/>
    <cellStyle name="Milliers 2 5 7 2 2 2" xfId="16579"/>
    <cellStyle name="Milliers 2 5 7 2 3" xfId="12259"/>
    <cellStyle name="Milliers 2 5 7 3" xfId="5779"/>
    <cellStyle name="Milliers 2 5 7 3 2" xfId="14419"/>
    <cellStyle name="Milliers 2 5 7 4" xfId="10099"/>
    <cellStyle name="Milliers 2 5 8" xfId="2179"/>
    <cellStyle name="Milliers 2 5 8 2" xfId="6499"/>
    <cellStyle name="Milliers 2 5 8 2 2" xfId="15139"/>
    <cellStyle name="Milliers 2 5 8 3" xfId="10819"/>
    <cellStyle name="Milliers 2 5 9" xfId="4339"/>
    <cellStyle name="Milliers 2 5 9 2" xfId="12979"/>
    <cellStyle name="Milliers 2 6" xfId="34"/>
    <cellStyle name="Milliers 2 6 10" xfId="8674"/>
    <cellStyle name="Milliers 2 6 2" xfId="79"/>
    <cellStyle name="Milliers 2 6 2 2" xfId="169"/>
    <cellStyle name="Milliers 2 6 2 2 2" xfId="349"/>
    <cellStyle name="Milliers 2 6 2 2 2 2" xfId="709"/>
    <cellStyle name="Milliers 2 6 2 2 2 2 2" xfId="1429"/>
    <cellStyle name="Milliers 2 6 2 2 2 2 2 2" xfId="3589"/>
    <cellStyle name="Milliers 2 6 2 2 2 2 2 2 2" xfId="7909"/>
    <cellStyle name="Milliers 2 6 2 2 2 2 2 2 2 2" xfId="16549"/>
    <cellStyle name="Milliers 2 6 2 2 2 2 2 2 3" xfId="12229"/>
    <cellStyle name="Milliers 2 6 2 2 2 2 2 3" xfId="5749"/>
    <cellStyle name="Milliers 2 6 2 2 2 2 2 3 2" xfId="14389"/>
    <cellStyle name="Milliers 2 6 2 2 2 2 2 4" xfId="10069"/>
    <cellStyle name="Milliers 2 6 2 2 2 2 3" xfId="2149"/>
    <cellStyle name="Milliers 2 6 2 2 2 2 3 2" xfId="4309"/>
    <cellStyle name="Milliers 2 6 2 2 2 2 3 2 2" xfId="8629"/>
    <cellStyle name="Milliers 2 6 2 2 2 2 3 2 2 2" xfId="17269"/>
    <cellStyle name="Milliers 2 6 2 2 2 2 3 2 3" xfId="12949"/>
    <cellStyle name="Milliers 2 6 2 2 2 2 3 3" xfId="6469"/>
    <cellStyle name="Milliers 2 6 2 2 2 2 3 3 2" xfId="15109"/>
    <cellStyle name="Milliers 2 6 2 2 2 2 3 4" xfId="10789"/>
    <cellStyle name="Milliers 2 6 2 2 2 2 4" xfId="2869"/>
    <cellStyle name="Milliers 2 6 2 2 2 2 4 2" xfId="7189"/>
    <cellStyle name="Milliers 2 6 2 2 2 2 4 2 2" xfId="15829"/>
    <cellStyle name="Milliers 2 6 2 2 2 2 4 3" xfId="11509"/>
    <cellStyle name="Milliers 2 6 2 2 2 2 5" xfId="5029"/>
    <cellStyle name="Milliers 2 6 2 2 2 2 5 2" xfId="13669"/>
    <cellStyle name="Milliers 2 6 2 2 2 2 6" xfId="9349"/>
    <cellStyle name="Milliers 2 6 2 2 2 3" xfId="1069"/>
    <cellStyle name="Milliers 2 6 2 2 2 3 2" xfId="3229"/>
    <cellStyle name="Milliers 2 6 2 2 2 3 2 2" xfId="7549"/>
    <cellStyle name="Milliers 2 6 2 2 2 3 2 2 2" xfId="16189"/>
    <cellStyle name="Milliers 2 6 2 2 2 3 2 3" xfId="11869"/>
    <cellStyle name="Milliers 2 6 2 2 2 3 3" xfId="5389"/>
    <cellStyle name="Milliers 2 6 2 2 2 3 3 2" xfId="14029"/>
    <cellStyle name="Milliers 2 6 2 2 2 3 4" xfId="9709"/>
    <cellStyle name="Milliers 2 6 2 2 2 4" xfId="1789"/>
    <cellStyle name="Milliers 2 6 2 2 2 4 2" xfId="3949"/>
    <cellStyle name="Milliers 2 6 2 2 2 4 2 2" xfId="8269"/>
    <cellStyle name="Milliers 2 6 2 2 2 4 2 2 2" xfId="16909"/>
    <cellStyle name="Milliers 2 6 2 2 2 4 2 3" xfId="12589"/>
    <cellStyle name="Milliers 2 6 2 2 2 4 3" xfId="6109"/>
    <cellStyle name="Milliers 2 6 2 2 2 4 3 2" xfId="14749"/>
    <cellStyle name="Milliers 2 6 2 2 2 4 4" xfId="10429"/>
    <cellStyle name="Milliers 2 6 2 2 2 5" xfId="2509"/>
    <cellStyle name="Milliers 2 6 2 2 2 5 2" xfId="6829"/>
    <cellStyle name="Milliers 2 6 2 2 2 5 2 2" xfId="15469"/>
    <cellStyle name="Milliers 2 6 2 2 2 5 3" xfId="11149"/>
    <cellStyle name="Milliers 2 6 2 2 2 6" xfId="4669"/>
    <cellStyle name="Milliers 2 6 2 2 2 6 2" xfId="13309"/>
    <cellStyle name="Milliers 2 6 2 2 2 7" xfId="8989"/>
    <cellStyle name="Milliers 2 6 2 2 3" xfId="529"/>
    <cellStyle name="Milliers 2 6 2 2 3 2" xfId="1249"/>
    <cellStyle name="Milliers 2 6 2 2 3 2 2" xfId="3409"/>
    <cellStyle name="Milliers 2 6 2 2 3 2 2 2" xfId="7729"/>
    <cellStyle name="Milliers 2 6 2 2 3 2 2 2 2" xfId="16369"/>
    <cellStyle name="Milliers 2 6 2 2 3 2 2 3" xfId="12049"/>
    <cellStyle name="Milliers 2 6 2 2 3 2 3" xfId="5569"/>
    <cellStyle name="Milliers 2 6 2 2 3 2 3 2" xfId="14209"/>
    <cellStyle name="Milliers 2 6 2 2 3 2 4" xfId="9889"/>
    <cellStyle name="Milliers 2 6 2 2 3 3" xfId="1969"/>
    <cellStyle name="Milliers 2 6 2 2 3 3 2" xfId="4129"/>
    <cellStyle name="Milliers 2 6 2 2 3 3 2 2" xfId="8449"/>
    <cellStyle name="Milliers 2 6 2 2 3 3 2 2 2" xfId="17089"/>
    <cellStyle name="Milliers 2 6 2 2 3 3 2 3" xfId="12769"/>
    <cellStyle name="Milliers 2 6 2 2 3 3 3" xfId="6289"/>
    <cellStyle name="Milliers 2 6 2 2 3 3 3 2" xfId="14929"/>
    <cellStyle name="Milliers 2 6 2 2 3 3 4" xfId="10609"/>
    <cellStyle name="Milliers 2 6 2 2 3 4" xfId="2689"/>
    <cellStyle name="Milliers 2 6 2 2 3 4 2" xfId="7009"/>
    <cellStyle name="Milliers 2 6 2 2 3 4 2 2" xfId="15649"/>
    <cellStyle name="Milliers 2 6 2 2 3 4 3" xfId="11329"/>
    <cellStyle name="Milliers 2 6 2 2 3 5" xfId="4849"/>
    <cellStyle name="Milliers 2 6 2 2 3 5 2" xfId="13489"/>
    <cellStyle name="Milliers 2 6 2 2 3 6" xfId="9169"/>
    <cellStyle name="Milliers 2 6 2 2 4" xfId="889"/>
    <cellStyle name="Milliers 2 6 2 2 4 2" xfId="3049"/>
    <cellStyle name="Milliers 2 6 2 2 4 2 2" xfId="7369"/>
    <cellStyle name="Milliers 2 6 2 2 4 2 2 2" xfId="16009"/>
    <cellStyle name="Milliers 2 6 2 2 4 2 3" xfId="11689"/>
    <cellStyle name="Milliers 2 6 2 2 4 3" xfId="5209"/>
    <cellStyle name="Milliers 2 6 2 2 4 3 2" xfId="13849"/>
    <cellStyle name="Milliers 2 6 2 2 4 4" xfId="9529"/>
    <cellStyle name="Milliers 2 6 2 2 5" xfId="1609"/>
    <cellStyle name="Milliers 2 6 2 2 5 2" xfId="3769"/>
    <cellStyle name="Milliers 2 6 2 2 5 2 2" xfId="8089"/>
    <cellStyle name="Milliers 2 6 2 2 5 2 2 2" xfId="16729"/>
    <cellStyle name="Milliers 2 6 2 2 5 2 3" xfId="12409"/>
    <cellStyle name="Milliers 2 6 2 2 5 3" xfId="5929"/>
    <cellStyle name="Milliers 2 6 2 2 5 3 2" xfId="14569"/>
    <cellStyle name="Milliers 2 6 2 2 5 4" xfId="10249"/>
    <cellStyle name="Milliers 2 6 2 2 6" xfId="2329"/>
    <cellStyle name="Milliers 2 6 2 2 6 2" xfId="6649"/>
    <cellStyle name="Milliers 2 6 2 2 6 2 2" xfId="15289"/>
    <cellStyle name="Milliers 2 6 2 2 6 3" xfId="10969"/>
    <cellStyle name="Milliers 2 6 2 2 7" xfId="4489"/>
    <cellStyle name="Milliers 2 6 2 2 7 2" xfId="13129"/>
    <cellStyle name="Milliers 2 6 2 2 8" xfId="8809"/>
    <cellStyle name="Milliers 2 6 2 3" xfId="259"/>
    <cellStyle name="Milliers 2 6 2 3 2" xfId="619"/>
    <cellStyle name="Milliers 2 6 2 3 2 2" xfId="1339"/>
    <cellStyle name="Milliers 2 6 2 3 2 2 2" xfId="3499"/>
    <cellStyle name="Milliers 2 6 2 3 2 2 2 2" xfId="7819"/>
    <cellStyle name="Milliers 2 6 2 3 2 2 2 2 2" xfId="16459"/>
    <cellStyle name="Milliers 2 6 2 3 2 2 2 3" xfId="12139"/>
    <cellStyle name="Milliers 2 6 2 3 2 2 3" xfId="5659"/>
    <cellStyle name="Milliers 2 6 2 3 2 2 3 2" xfId="14299"/>
    <cellStyle name="Milliers 2 6 2 3 2 2 4" xfId="9979"/>
    <cellStyle name="Milliers 2 6 2 3 2 3" xfId="2059"/>
    <cellStyle name="Milliers 2 6 2 3 2 3 2" xfId="4219"/>
    <cellStyle name="Milliers 2 6 2 3 2 3 2 2" xfId="8539"/>
    <cellStyle name="Milliers 2 6 2 3 2 3 2 2 2" xfId="17179"/>
    <cellStyle name="Milliers 2 6 2 3 2 3 2 3" xfId="12859"/>
    <cellStyle name="Milliers 2 6 2 3 2 3 3" xfId="6379"/>
    <cellStyle name="Milliers 2 6 2 3 2 3 3 2" xfId="15019"/>
    <cellStyle name="Milliers 2 6 2 3 2 3 4" xfId="10699"/>
    <cellStyle name="Milliers 2 6 2 3 2 4" xfId="2779"/>
    <cellStyle name="Milliers 2 6 2 3 2 4 2" xfId="7099"/>
    <cellStyle name="Milliers 2 6 2 3 2 4 2 2" xfId="15739"/>
    <cellStyle name="Milliers 2 6 2 3 2 4 3" xfId="11419"/>
    <cellStyle name="Milliers 2 6 2 3 2 5" xfId="4939"/>
    <cellStyle name="Milliers 2 6 2 3 2 5 2" xfId="13579"/>
    <cellStyle name="Milliers 2 6 2 3 2 6" xfId="9259"/>
    <cellStyle name="Milliers 2 6 2 3 3" xfId="979"/>
    <cellStyle name="Milliers 2 6 2 3 3 2" xfId="3139"/>
    <cellStyle name="Milliers 2 6 2 3 3 2 2" xfId="7459"/>
    <cellStyle name="Milliers 2 6 2 3 3 2 2 2" xfId="16099"/>
    <cellStyle name="Milliers 2 6 2 3 3 2 3" xfId="11779"/>
    <cellStyle name="Milliers 2 6 2 3 3 3" xfId="5299"/>
    <cellStyle name="Milliers 2 6 2 3 3 3 2" xfId="13939"/>
    <cellStyle name="Milliers 2 6 2 3 3 4" xfId="9619"/>
    <cellStyle name="Milliers 2 6 2 3 4" xfId="1699"/>
    <cellStyle name="Milliers 2 6 2 3 4 2" xfId="3859"/>
    <cellStyle name="Milliers 2 6 2 3 4 2 2" xfId="8179"/>
    <cellStyle name="Milliers 2 6 2 3 4 2 2 2" xfId="16819"/>
    <cellStyle name="Milliers 2 6 2 3 4 2 3" xfId="12499"/>
    <cellStyle name="Milliers 2 6 2 3 4 3" xfId="6019"/>
    <cellStyle name="Milliers 2 6 2 3 4 3 2" xfId="14659"/>
    <cellStyle name="Milliers 2 6 2 3 4 4" xfId="10339"/>
    <cellStyle name="Milliers 2 6 2 3 5" xfId="2419"/>
    <cellStyle name="Milliers 2 6 2 3 5 2" xfId="6739"/>
    <cellStyle name="Milliers 2 6 2 3 5 2 2" xfId="15379"/>
    <cellStyle name="Milliers 2 6 2 3 5 3" xfId="11059"/>
    <cellStyle name="Milliers 2 6 2 3 6" xfId="4579"/>
    <cellStyle name="Milliers 2 6 2 3 6 2" xfId="13219"/>
    <cellStyle name="Milliers 2 6 2 3 7" xfId="8899"/>
    <cellStyle name="Milliers 2 6 2 4" xfId="439"/>
    <cellStyle name="Milliers 2 6 2 4 2" xfId="1159"/>
    <cellStyle name="Milliers 2 6 2 4 2 2" xfId="3319"/>
    <cellStyle name="Milliers 2 6 2 4 2 2 2" xfId="7639"/>
    <cellStyle name="Milliers 2 6 2 4 2 2 2 2" xfId="16279"/>
    <cellStyle name="Milliers 2 6 2 4 2 2 3" xfId="11959"/>
    <cellStyle name="Milliers 2 6 2 4 2 3" xfId="5479"/>
    <cellStyle name="Milliers 2 6 2 4 2 3 2" xfId="14119"/>
    <cellStyle name="Milliers 2 6 2 4 2 4" xfId="9799"/>
    <cellStyle name="Milliers 2 6 2 4 3" xfId="1879"/>
    <cellStyle name="Milliers 2 6 2 4 3 2" xfId="4039"/>
    <cellStyle name="Milliers 2 6 2 4 3 2 2" xfId="8359"/>
    <cellStyle name="Milliers 2 6 2 4 3 2 2 2" xfId="16999"/>
    <cellStyle name="Milliers 2 6 2 4 3 2 3" xfId="12679"/>
    <cellStyle name="Milliers 2 6 2 4 3 3" xfId="6199"/>
    <cellStyle name="Milliers 2 6 2 4 3 3 2" xfId="14839"/>
    <cellStyle name="Milliers 2 6 2 4 3 4" xfId="10519"/>
    <cellStyle name="Milliers 2 6 2 4 4" xfId="2599"/>
    <cellStyle name="Milliers 2 6 2 4 4 2" xfId="6919"/>
    <cellStyle name="Milliers 2 6 2 4 4 2 2" xfId="15559"/>
    <cellStyle name="Milliers 2 6 2 4 4 3" xfId="11239"/>
    <cellStyle name="Milliers 2 6 2 4 5" xfId="4759"/>
    <cellStyle name="Milliers 2 6 2 4 5 2" xfId="13399"/>
    <cellStyle name="Milliers 2 6 2 4 6" xfId="9079"/>
    <cellStyle name="Milliers 2 6 2 5" xfId="799"/>
    <cellStyle name="Milliers 2 6 2 5 2" xfId="2959"/>
    <cellStyle name="Milliers 2 6 2 5 2 2" xfId="7279"/>
    <cellStyle name="Milliers 2 6 2 5 2 2 2" xfId="15919"/>
    <cellStyle name="Milliers 2 6 2 5 2 3" xfId="11599"/>
    <cellStyle name="Milliers 2 6 2 5 3" xfId="5119"/>
    <cellStyle name="Milliers 2 6 2 5 3 2" xfId="13759"/>
    <cellStyle name="Milliers 2 6 2 5 4" xfId="9439"/>
    <cellStyle name="Milliers 2 6 2 6" xfId="1519"/>
    <cellStyle name="Milliers 2 6 2 6 2" xfId="3679"/>
    <cellStyle name="Milliers 2 6 2 6 2 2" xfId="7999"/>
    <cellStyle name="Milliers 2 6 2 6 2 2 2" xfId="16639"/>
    <cellStyle name="Milliers 2 6 2 6 2 3" xfId="12319"/>
    <cellStyle name="Milliers 2 6 2 6 3" xfId="5839"/>
    <cellStyle name="Milliers 2 6 2 6 3 2" xfId="14479"/>
    <cellStyle name="Milliers 2 6 2 6 4" xfId="10159"/>
    <cellStyle name="Milliers 2 6 2 7" xfId="2239"/>
    <cellStyle name="Milliers 2 6 2 7 2" xfId="6559"/>
    <cellStyle name="Milliers 2 6 2 7 2 2" xfId="15199"/>
    <cellStyle name="Milliers 2 6 2 7 3" xfId="10879"/>
    <cellStyle name="Milliers 2 6 2 8" xfId="4399"/>
    <cellStyle name="Milliers 2 6 2 8 2" xfId="13039"/>
    <cellStyle name="Milliers 2 6 2 9" xfId="8719"/>
    <cellStyle name="Milliers 2 6 3" xfId="124"/>
    <cellStyle name="Milliers 2 6 3 2" xfId="304"/>
    <cellStyle name="Milliers 2 6 3 2 2" xfId="664"/>
    <cellStyle name="Milliers 2 6 3 2 2 2" xfId="1384"/>
    <cellStyle name="Milliers 2 6 3 2 2 2 2" xfId="3544"/>
    <cellStyle name="Milliers 2 6 3 2 2 2 2 2" xfId="7864"/>
    <cellStyle name="Milliers 2 6 3 2 2 2 2 2 2" xfId="16504"/>
    <cellStyle name="Milliers 2 6 3 2 2 2 2 3" xfId="12184"/>
    <cellStyle name="Milliers 2 6 3 2 2 2 3" xfId="5704"/>
    <cellStyle name="Milliers 2 6 3 2 2 2 3 2" xfId="14344"/>
    <cellStyle name="Milliers 2 6 3 2 2 2 4" xfId="10024"/>
    <cellStyle name="Milliers 2 6 3 2 2 3" xfId="2104"/>
    <cellStyle name="Milliers 2 6 3 2 2 3 2" xfId="4264"/>
    <cellStyle name="Milliers 2 6 3 2 2 3 2 2" xfId="8584"/>
    <cellStyle name="Milliers 2 6 3 2 2 3 2 2 2" xfId="17224"/>
    <cellStyle name="Milliers 2 6 3 2 2 3 2 3" xfId="12904"/>
    <cellStyle name="Milliers 2 6 3 2 2 3 3" xfId="6424"/>
    <cellStyle name="Milliers 2 6 3 2 2 3 3 2" xfId="15064"/>
    <cellStyle name="Milliers 2 6 3 2 2 3 4" xfId="10744"/>
    <cellStyle name="Milliers 2 6 3 2 2 4" xfId="2824"/>
    <cellStyle name="Milliers 2 6 3 2 2 4 2" xfId="7144"/>
    <cellStyle name="Milliers 2 6 3 2 2 4 2 2" xfId="15784"/>
    <cellStyle name="Milliers 2 6 3 2 2 4 3" xfId="11464"/>
    <cellStyle name="Milliers 2 6 3 2 2 5" xfId="4984"/>
    <cellStyle name="Milliers 2 6 3 2 2 5 2" xfId="13624"/>
    <cellStyle name="Milliers 2 6 3 2 2 6" xfId="9304"/>
    <cellStyle name="Milliers 2 6 3 2 3" xfId="1024"/>
    <cellStyle name="Milliers 2 6 3 2 3 2" xfId="3184"/>
    <cellStyle name="Milliers 2 6 3 2 3 2 2" xfId="7504"/>
    <cellStyle name="Milliers 2 6 3 2 3 2 2 2" xfId="16144"/>
    <cellStyle name="Milliers 2 6 3 2 3 2 3" xfId="11824"/>
    <cellStyle name="Milliers 2 6 3 2 3 3" xfId="5344"/>
    <cellStyle name="Milliers 2 6 3 2 3 3 2" xfId="13984"/>
    <cellStyle name="Milliers 2 6 3 2 3 4" xfId="9664"/>
    <cellStyle name="Milliers 2 6 3 2 4" xfId="1744"/>
    <cellStyle name="Milliers 2 6 3 2 4 2" xfId="3904"/>
    <cellStyle name="Milliers 2 6 3 2 4 2 2" xfId="8224"/>
    <cellStyle name="Milliers 2 6 3 2 4 2 2 2" xfId="16864"/>
    <cellStyle name="Milliers 2 6 3 2 4 2 3" xfId="12544"/>
    <cellStyle name="Milliers 2 6 3 2 4 3" xfId="6064"/>
    <cellStyle name="Milliers 2 6 3 2 4 3 2" xfId="14704"/>
    <cellStyle name="Milliers 2 6 3 2 4 4" xfId="10384"/>
    <cellStyle name="Milliers 2 6 3 2 5" xfId="2464"/>
    <cellStyle name="Milliers 2 6 3 2 5 2" xfId="6784"/>
    <cellStyle name="Milliers 2 6 3 2 5 2 2" xfId="15424"/>
    <cellStyle name="Milliers 2 6 3 2 5 3" xfId="11104"/>
    <cellStyle name="Milliers 2 6 3 2 6" xfId="4624"/>
    <cellStyle name="Milliers 2 6 3 2 6 2" xfId="13264"/>
    <cellStyle name="Milliers 2 6 3 2 7" xfId="8944"/>
    <cellStyle name="Milliers 2 6 3 3" xfId="484"/>
    <cellStyle name="Milliers 2 6 3 3 2" xfId="1204"/>
    <cellStyle name="Milliers 2 6 3 3 2 2" xfId="3364"/>
    <cellStyle name="Milliers 2 6 3 3 2 2 2" xfId="7684"/>
    <cellStyle name="Milliers 2 6 3 3 2 2 2 2" xfId="16324"/>
    <cellStyle name="Milliers 2 6 3 3 2 2 3" xfId="12004"/>
    <cellStyle name="Milliers 2 6 3 3 2 3" xfId="5524"/>
    <cellStyle name="Milliers 2 6 3 3 2 3 2" xfId="14164"/>
    <cellStyle name="Milliers 2 6 3 3 2 4" xfId="9844"/>
    <cellStyle name="Milliers 2 6 3 3 3" xfId="1924"/>
    <cellStyle name="Milliers 2 6 3 3 3 2" xfId="4084"/>
    <cellStyle name="Milliers 2 6 3 3 3 2 2" xfId="8404"/>
    <cellStyle name="Milliers 2 6 3 3 3 2 2 2" xfId="17044"/>
    <cellStyle name="Milliers 2 6 3 3 3 2 3" xfId="12724"/>
    <cellStyle name="Milliers 2 6 3 3 3 3" xfId="6244"/>
    <cellStyle name="Milliers 2 6 3 3 3 3 2" xfId="14884"/>
    <cellStyle name="Milliers 2 6 3 3 3 4" xfId="10564"/>
    <cellStyle name="Milliers 2 6 3 3 4" xfId="2644"/>
    <cellStyle name="Milliers 2 6 3 3 4 2" xfId="6964"/>
    <cellStyle name="Milliers 2 6 3 3 4 2 2" xfId="15604"/>
    <cellStyle name="Milliers 2 6 3 3 4 3" xfId="11284"/>
    <cellStyle name="Milliers 2 6 3 3 5" xfId="4804"/>
    <cellStyle name="Milliers 2 6 3 3 5 2" xfId="13444"/>
    <cellStyle name="Milliers 2 6 3 3 6" xfId="9124"/>
    <cellStyle name="Milliers 2 6 3 4" xfId="844"/>
    <cellStyle name="Milliers 2 6 3 4 2" xfId="3004"/>
    <cellStyle name="Milliers 2 6 3 4 2 2" xfId="7324"/>
    <cellStyle name="Milliers 2 6 3 4 2 2 2" xfId="15964"/>
    <cellStyle name="Milliers 2 6 3 4 2 3" xfId="11644"/>
    <cellStyle name="Milliers 2 6 3 4 3" xfId="5164"/>
    <cellStyle name="Milliers 2 6 3 4 3 2" xfId="13804"/>
    <cellStyle name="Milliers 2 6 3 4 4" xfId="9484"/>
    <cellStyle name="Milliers 2 6 3 5" xfId="1564"/>
    <cellStyle name="Milliers 2 6 3 5 2" xfId="3724"/>
    <cellStyle name="Milliers 2 6 3 5 2 2" xfId="8044"/>
    <cellStyle name="Milliers 2 6 3 5 2 2 2" xfId="16684"/>
    <cellStyle name="Milliers 2 6 3 5 2 3" xfId="12364"/>
    <cellStyle name="Milliers 2 6 3 5 3" xfId="5884"/>
    <cellStyle name="Milliers 2 6 3 5 3 2" xfId="14524"/>
    <cellStyle name="Milliers 2 6 3 5 4" xfId="10204"/>
    <cellStyle name="Milliers 2 6 3 6" xfId="2284"/>
    <cellStyle name="Milliers 2 6 3 6 2" xfId="6604"/>
    <cellStyle name="Milliers 2 6 3 6 2 2" xfId="15244"/>
    <cellStyle name="Milliers 2 6 3 6 3" xfId="10924"/>
    <cellStyle name="Milliers 2 6 3 7" xfId="4444"/>
    <cellStyle name="Milliers 2 6 3 7 2" xfId="13084"/>
    <cellStyle name="Milliers 2 6 3 8" xfId="8764"/>
    <cellStyle name="Milliers 2 6 4" xfId="214"/>
    <cellStyle name="Milliers 2 6 4 2" xfId="574"/>
    <cellStyle name="Milliers 2 6 4 2 2" xfId="1294"/>
    <cellStyle name="Milliers 2 6 4 2 2 2" xfId="3454"/>
    <cellStyle name="Milliers 2 6 4 2 2 2 2" xfId="7774"/>
    <cellStyle name="Milliers 2 6 4 2 2 2 2 2" xfId="16414"/>
    <cellStyle name="Milliers 2 6 4 2 2 2 3" xfId="12094"/>
    <cellStyle name="Milliers 2 6 4 2 2 3" xfId="5614"/>
    <cellStyle name="Milliers 2 6 4 2 2 3 2" xfId="14254"/>
    <cellStyle name="Milliers 2 6 4 2 2 4" xfId="9934"/>
    <cellStyle name="Milliers 2 6 4 2 3" xfId="2014"/>
    <cellStyle name="Milliers 2 6 4 2 3 2" xfId="4174"/>
    <cellStyle name="Milliers 2 6 4 2 3 2 2" xfId="8494"/>
    <cellStyle name="Milliers 2 6 4 2 3 2 2 2" xfId="17134"/>
    <cellStyle name="Milliers 2 6 4 2 3 2 3" xfId="12814"/>
    <cellStyle name="Milliers 2 6 4 2 3 3" xfId="6334"/>
    <cellStyle name="Milliers 2 6 4 2 3 3 2" xfId="14974"/>
    <cellStyle name="Milliers 2 6 4 2 3 4" xfId="10654"/>
    <cellStyle name="Milliers 2 6 4 2 4" xfId="2734"/>
    <cellStyle name="Milliers 2 6 4 2 4 2" xfId="7054"/>
    <cellStyle name="Milliers 2 6 4 2 4 2 2" xfId="15694"/>
    <cellStyle name="Milliers 2 6 4 2 4 3" xfId="11374"/>
    <cellStyle name="Milliers 2 6 4 2 5" xfId="4894"/>
    <cellStyle name="Milliers 2 6 4 2 5 2" xfId="13534"/>
    <cellStyle name="Milliers 2 6 4 2 6" xfId="9214"/>
    <cellStyle name="Milliers 2 6 4 3" xfId="934"/>
    <cellStyle name="Milliers 2 6 4 3 2" xfId="3094"/>
    <cellStyle name="Milliers 2 6 4 3 2 2" xfId="7414"/>
    <cellStyle name="Milliers 2 6 4 3 2 2 2" xfId="16054"/>
    <cellStyle name="Milliers 2 6 4 3 2 3" xfId="11734"/>
    <cellStyle name="Milliers 2 6 4 3 3" xfId="5254"/>
    <cellStyle name="Milliers 2 6 4 3 3 2" xfId="13894"/>
    <cellStyle name="Milliers 2 6 4 3 4" xfId="9574"/>
    <cellStyle name="Milliers 2 6 4 4" xfId="1654"/>
    <cellStyle name="Milliers 2 6 4 4 2" xfId="3814"/>
    <cellStyle name="Milliers 2 6 4 4 2 2" xfId="8134"/>
    <cellStyle name="Milliers 2 6 4 4 2 2 2" xfId="16774"/>
    <cellStyle name="Milliers 2 6 4 4 2 3" xfId="12454"/>
    <cellStyle name="Milliers 2 6 4 4 3" xfId="5974"/>
    <cellStyle name="Milliers 2 6 4 4 3 2" xfId="14614"/>
    <cellStyle name="Milliers 2 6 4 4 4" xfId="10294"/>
    <cellStyle name="Milliers 2 6 4 5" xfId="2374"/>
    <cellStyle name="Milliers 2 6 4 5 2" xfId="6694"/>
    <cellStyle name="Milliers 2 6 4 5 2 2" xfId="15334"/>
    <cellStyle name="Milliers 2 6 4 5 3" xfId="11014"/>
    <cellStyle name="Milliers 2 6 4 6" xfId="4534"/>
    <cellStyle name="Milliers 2 6 4 6 2" xfId="13174"/>
    <cellStyle name="Milliers 2 6 4 7" xfId="8854"/>
    <cellStyle name="Milliers 2 6 5" xfId="394"/>
    <cellStyle name="Milliers 2 6 5 2" xfId="1114"/>
    <cellStyle name="Milliers 2 6 5 2 2" xfId="3274"/>
    <cellStyle name="Milliers 2 6 5 2 2 2" xfId="7594"/>
    <cellStyle name="Milliers 2 6 5 2 2 2 2" xfId="16234"/>
    <cellStyle name="Milliers 2 6 5 2 2 3" xfId="11914"/>
    <cellStyle name="Milliers 2 6 5 2 3" xfId="5434"/>
    <cellStyle name="Milliers 2 6 5 2 3 2" xfId="14074"/>
    <cellStyle name="Milliers 2 6 5 2 4" xfId="9754"/>
    <cellStyle name="Milliers 2 6 5 3" xfId="1834"/>
    <cellStyle name="Milliers 2 6 5 3 2" xfId="3994"/>
    <cellStyle name="Milliers 2 6 5 3 2 2" xfId="8314"/>
    <cellStyle name="Milliers 2 6 5 3 2 2 2" xfId="16954"/>
    <cellStyle name="Milliers 2 6 5 3 2 3" xfId="12634"/>
    <cellStyle name="Milliers 2 6 5 3 3" xfId="6154"/>
    <cellStyle name="Milliers 2 6 5 3 3 2" xfId="14794"/>
    <cellStyle name="Milliers 2 6 5 3 4" xfId="10474"/>
    <cellStyle name="Milliers 2 6 5 4" xfId="2554"/>
    <cellStyle name="Milliers 2 6 5 4 2" xfId="6874"/>
    <cellStyle name="Milliers 2 6 5 4 2 2" xfId="15514"/>
    <cellStyle name="Milliers 2 6 5 4 3" xfId="11194"/>
    <cellStyle name="Milliers 2 6 5 5" xfId="4714"/>
    <cellStyle name="Milliers 2 6 5 5 2" xfId="13354"/>
    <cellStyle name="Milliers 2 6 5 6" xfId="9034"/>
    <cellStyle name="Milliers 2 6 6" xfId="754"/>
    <cellStyle name="Milliers 2 6 6 2" xfId="2914"/>
    <cellStyle name="Milliers 2 6 6 2 2" xfId="7234"/>
    <cellStyle name="Milliers 2 6 6 2 2 2" xfId="15874"/>
    <cellStyle name="Milliers 2 6 6 2 3" xfId="11554"/>
    <cellStyle name="Milliers 2 6 6 3" xfId="5074"/>
    <cellStyle name="Milliers 2 6 6 3 2" xfId="13714"/>
    <cellStyle name="Milliers 2 6 6 4" xfId="9394"/>
    <cellStyle name="Milliers 2 6 7" xfId="1474"/>
    <cellStyle name="Milliers 2 6 7 2" xfId="3634"/>
    <cellStyle name="Milliers 2 6 7 2 2" xfId="7954"/>
    <cellStyle name="Milliers 2 6 7 2 2 2" xfId="16594"/>
    <cellStyle name="Milliers 2 6 7 2 3" xfId="12274"/>
    <cellStyle name="Milliers 2 6 7 3" xfId="5794"/>
    <cellStyle name="Milliers 2 6 7 3 2" xfId="14434"/>
    <cellStyle name="Milliers 2 6 7 4" xfId="10114"/>
    <cellStyle name="Milliers 2 6 8" xfId="2194"/>
    <cellStyle name="Milliers 2 6 8 2" xfId="6514"/>
    <cellStyle name="Milliers 2 6 8 2 2" xfId="15154"/>
    <cellStyle name="Milliers 2 6 8 3" xfId="10834"/>
    <cellStyle name="Milliers 2 6 9" xfId="4354"/>
    <cellStyle name="Milliers 2 6 9 2" xfId="12994"/>
    <cellStyle name="Milliers 2 7" xfId="49"/>
    <cellStyle name="Milliers 2 7 2" xfId="139"/>
    <cellStyle name="Milliers 2 7 2 2" xfId="319"/>
    <cellStyle name="Milliers 2 7 2 2 2" xfId="679"/>
    <cellStyle name="Milliers 2 7 2 2 2 2" xfId="1399"/>
    <cellStyle name="Milliers 2 7 2 2 2 2 2" xfId="3559"/>
    <cellStyle name="Milliers 2 7 2 2 2 2 2 2" xfId="7879"/>
    <cellStyle name="Milliers 2 7 2 2 2 2 2 2 2" xfId="16519"/>
    <cellStyle name="Milliers 2 7 2 2 2 2 2 3" xfId="12199"/>
    <cellStyle name="Milliers 2 7 2 2 2 2 3" xfId="5719"/>
    <cellStyle name="Milliers 2 7 2 2 2 2 3 2" xfId="14359"/>
    <cellStyle name="Milliers 2 7 2 2 2 2 4" xfId="10039"/>
    <cellStyle name="Milliers 2 7 2 2 2 3" xfId="2119"/>
    <cellStyle name="Milliers 2 7 2 2 2 3 2" xfId="4279"/>
    <cellStyle name="Milliers 2 7 2 2 2 3 2 2" xfId="8599"/>
    <cellStyle name="Milliers 2 7 2 2 2 3 2 2 2" xfId="17239"/>
    <cellStyle name="Milliers 2 7 2 2 2 3 2 3" xfId="12919"/>
    <cellStyle name="Milliers 2 7 2 2 2 3 3" xfId="6439"/>
    <cellStyle name="Milliers 2 7 2 2 2 3 3 2" xfId="15079"/>
    <cellStyle name="Milliers 2 7 2 2 2 3 4" xfId="10759"/>
    <cellStyle name="Milliers 2 7 2 2 2 4" xfId="2839"/>
    <cellStyle name="Milliers 2 7 2 2 2 4 2" xfId="7159"/>
    <cellStyle name="Milliers 2 7 2 2 2 4 2 2" xfId="15799"/>
    <cellStyle name="Milliers 2 7 2 2 2 4 3" xfId="11479"/>
    <cellStyle name="Milliers 2 7 2 2 2 5" xfId="4999"/>
    <cellStyle name="Milliers 2 7 2 2 2 5 2" xfId="13639"/>
    <cellStyle name="Milliers 2 7 2 2 2 6" xfId="9319"/>
    <cellStyle name="Milliers 2 7 2 2 3" xfId="1039"/>
    <cellStyle name="Milliers 2 7 2 2 3 2" xfId="3199"/>
    <cellStyle name="Milliers 2 7 2 2 3 2 2" xfId="7519"/>
    <cellStyle name="Milliers 2 7 2 2 3 2 2 2" xfId="16159"/>
    <cellStyle name="Milliers 2 7 2 2 3 2 3" xfId="11839"/>
    <cellStyle name="Milliers 2 7 2 2 3 3" xfId="5359"/>
    <cellStyle name="Milliers 2 7 2 2 3 3 2" xfId="13999"/>
    <cellStyle name="Milliers 2 7 2 2 3 4" xfId="9679"/>
    <cellStyle name="Milliers 2 7 2 2 4" xfId="1759"/>
    <cellStyle name="Milliers 2 7 2 2 4 2" xfId="3919"/>
    <cellStyle name="Milliers 2 7 2 2 4 2 2" xfId="8239"/>
    <cellStyle name="Milliers 2 7 2 2 4 2 2 2" xfId="16879"/>
    <cellStyle name="Milliers 2 7 2 2 4 2 3" xfId="12559"/>
    <cellStyle name="Milliers 2 7 2 2 4 3" xfId="6079"/>
    <cellStyle name="Milliers 2 7 2 2 4 3 2" xfId="14719"/>
    <cellStyle name="Milliers 2 7 2 2 4 4" xfId="10399"/>
    <cellStyle name="Milliers 2 7 2 2 5" xfId="2479"/>
    <cellStyle name="Milliers 2 7 2 2 5 2" xfId="6799"/>
    <cellStyle name="Milliers 2 7 2 2 5 2 2" xfId="15439"/>
    <cellStyle name="Milliers 2 7 2 2 5 3" xfId="11119"/>
    <cellStyle name="Milliers 2 7 2 2 6" xfId="4639"/>
    <cellStyle name="Milliers 2 7 2 2 6 2" xfId="13279"/>
    <cellStyle name="Milliers 2 7 2 2 7" xfId="8959"/>
    <cellStyle name="Milliers 2 7 2 3" xfId="499"/>
    <cellStyle name="Milliers 2 7 2 3 2" xfId="1219"/>
    <cellStyle name="Milliers 2 7 2 3 2 2" xfId="3379"/>
    <cellStyle name="Milliers 2 7 2 3 2 2 2" xfId="7699"/>
    <cellStyle name="Milliers 2 7 2 3 2 2 2 2" xfId="16339"/>
    <cellStyle name="Milliers 2 7 2 3 2 2 3" xfId="12019"/>
    <cellStyle name="Milliers 2 7 2 3 2 3" xfId="5539"/>
    <cellStyle name="Milliers 2 7 2 3 2 3 2" xfId="14179"/>
    <cellStyle name="Milliers 2 7 2 3 2 4" xfId="9859"/>
    <cellStyle name="Milliers 2 7 2 3 3" xfId="1939"/>
    <cellStyle name="Milliers 2 7 2 3 3 2" xfId="4099"/>
    <cellStyle name="Milliers 2 7 2 3 3 2 2" xfId="8419"/>
    <cellStyle name="Milliers 2 7 2 3 3 2 2 2" xfId="17059"/>
    <cellStyle name="Milliers 2 7 2 3 3 2 3" xfId="12739"/>
    <cellStyle name="Milliers 2 7 2 3 3 3" xfId="6259"/>
    <cellStyle name="Milliers 2 7 2 3 3 3 2" xfId="14899"/>
    <cellStyle name="Milliers 2 7 2 3 3 4" xfId="10579"/>
    <cellStyle name="Milliers 2 7 2 3 4" xfId="2659"/>
    <cellStyle name="Milliers 2 7 2 3 4 2" xfId="6979"/>
    <cellStyle name="Milliers 2 7 2 3 4 2 2" xfId="15619"/>
    <cellStyle name="Milliers 2 7 2 3 4 3" xfId="11299"/>
    <cellStyle name="Milliers 2 7 2 3 5" xfId="4819"/>
    <cellStyle name="Milliers 2 7 2 3 5 2" xfId="13459"/>
    <cellStyle name="Milliers 2 7 2 3 6" xfId="9139"/>
    <cellStyle name="Milliers 2 7 2 4" xfId="859"/>
    <cellStyle name="Milliers 2 7 2 4 2" xfId="3019"/>
    <cellStyle name="Milliers 2 7 2 4 2 2" xfId="7339"/>
    <cellStyle name="Milliers 2 7 2 4 2 2 2" xfId="15979"/>
    <cellStyle name="Milliers 2 7 2 4 2 3" xfId="11659"/>
    <cellStyle name="Milliers 2 7 2 4 3" xfId="5179"/>
    <cellStyle name="Milliers 2 7 2 4 3 2" xfId="13819"/>
    <cellStyle name="Milliers 2 7 2 4 4" xfId="9499"/>
    <cellStyle name="Milliers 2 7 2 5" xfId="1579"/>
    <cellStyle name="Milliers 2 7 2 5 2" xfId="3739"/>
    <cellStyle name="Milliers 2 7 2 5 2 2" xfId="8059"/>
    <cellStyle name="Milliers 2 7 2 5 2 2 2" xfId="16699"/>
    <cellStyle name="Milliers 2 7 2 5 2 3" xfId="12379"/>
    <cellStyle name="Milliers 2 7 2 5 3" xfId="5899"/>
    <cellStyle name="Milliers 2 7 2 5 3 2" xfId="14539"/>
    <cellStyle name="Milliers 2 7 2 5 4" xfId="10219"/>
    <cellStyle name="Milliers 2 7 2 6" xfId="2299"/>
    <cellStyle name="Milliers 2 7 2 6 2" xfId="6619"/>
    <cellStyle name="Milliers 2 7 2 6 2 2" xfId="15259"/>
    <cellStyle name="Milliers 2 7 2 6 3" xfId="10939"/>
    <cellStyle name="Milliers 2 7 2 7" xfId="4459"/>
    <cellStyle name="Milliers 2 7 2 7 2" xfId="13099"/>
    <cellStyle name="Milliers 2 7 2 8" xfId="8779"/>
    <cellStyle name="Milliers 2 7 3" xfId="229"/>
    <cellStyle name="Milliers 2 7 3 2" xfId="589"/>
    <cellStyle name="Milliers 2 7 3 2 2" xfId="1309"/>
    <cellStyle name="Milliers 2 7 3 2 2 2" xfId="3469"/>
    <cellStyle name="Milliers 2 7 3 2 2 2 2" xfId="7789"/>
    <cellStyle name="Milliers 2 7 3 2 2 2 2 2" xfId="16429"/>
    <cellStyle name="Milliers 2 7 3 2 2 2 3" xfId="12109"/>
    <cellStyle name="Milliers 2 7 3 2 2 3" xfId="5629"/>
    <cellStyle name="Milliers 2 7 3 2 2 3 2" xfId="14269"/>
    <cellStyle name="Milliers 2 7 3 2 2 4" xfId="9949"/>
    <cellStyle name="Milliers 2 7 3 2 3" xfId="2029"/>
    <cellStyle name="Milliers 2 7 3 2 3 2" xfId="4189"/>
    <cellStyle name="Milliers 2 7 3 2 3 2 2" xfId="8509"/>
    <cellStyle name="Milliers 2 7 3 2 3 2 2 2" xfId="17149"/>
    <cellStyle name="Milliers 2 7 3 2 3 2 3" xfId="12829"/>
    <cellStyle name="Milliers 2 7 3 2 3 3" xfId="6349"/>
    <cellStyle name="Milliers 2 7 3 2 3 3 2" xfId="14989"/>
    <cellStyle name="Milliers 2 7 3 2 3 4" xfId="10669"/>
    <cellStyle name="Milliers 2 7 3 2 4" xfId="2749"/>
    <cellStyle name="Milliers 2 7 3 2 4 2" xfId="7069"/>
    <cellStyle name="Milliers 2 7 3 2 4 2 2" xfId="15709"/>
    <cellStyle name="Milliers 2 7 3 2 4 3" xfId="11389"/>
    <cellStyle name="Milliers 2 7 3 2 5" xfId="4909"/>
    <cellStyle name="Milliers 2 7 3 2 5 2" xfId="13549"/>
    <cellStyle name="Milliers 2 7 3 2 6" xfId="9229"/>
    <cellStyle name="Milliers 2 7 3 3" xfId="949"/>
    <cellStyle name="Milliers 2 7 3 3 2" xfId="3109"/>
    <cellStyle name="Milliers 2 7 3 3 2 2" xfId="7429"/>
    <cellStyle name="Milliers 2 7 3 3 2 2 2" xfId="16069"/>
    <cellStyle name="Milliers 2 7 3 3 2 3" xfId="11749"/>
    <cellStyle name="Milliers 2 7 3 3 3" xfId="5269"/>
    <cellStyle name="Milliers 2 7 3 3 3 2" xfId="13909"/>
    <cellStyle name="Milliers 2 7 3 3 4" xfId="9589"/>
    <cellStyle name="Milliers 2 7 3 4" xfId="1669"/>
    <cellStyle name="Milliers 2 7 3 4 2" xfId="3829"/>
    <cellStyle name="Milliers 2 7 3 4 2 2" xfId="8149"/>
    <cellStyle name="Milliers 2 7 3 4 2 2 2" xfId="16789"/>
    <cellStyle name="Milliers 2 7 3 4 2 3" xfId="12469"/>
    <cellStyle name="Milliers 2 7 3 4 3" xfId="5989"/>
    <cellStyle name="Milliers 2 7 3 4 3 2" xfId="14629"/>
    <cellStyle name="Milliers 2 7 3 4 4" xfId="10309"/>
    <cellStyle name="Milliers 2 7 3 5" xfId="2389"/>
    <cellStyle name="Milliers 2 7 3 5 2" xfId="6709"/>
    <cellStyle name="Milliers 2 7 3 5 2 2" xfId="15349"/>
    <cellStyle name="Milliers 2 7 3 5 3" xfId="11029"/>
    <cellStyle name="Milliers 2 7 3 6" xfId="4549"/>
    <cellStyle name="Milliers 2 7 3 6 2" xfId="13189"/>
    <cellStyle name="Milliers 2 7 3 7" xfId="8869"/>
    <cellStyle name="Milliers 2 7 4" xfId="409"/>
    <cellStyle name="Milliers 2 7 4 2" xfId="1129"/>
    <cellStyle name="Milliers 2 7 4 2 2" xfId="3289"/>
    <cellStyle name="Milliers 2 7 4 2 2 2" xfId="7609"/>
    <cellStyle name="Milliers 2 7 4 2 2 2 2" xfId="16249"/>
    <cellStyle name="Milliers 2 7 4 2 2 3" xfId="11929"/>
    <cellStyle name="Milliers 2 7 4 2 3" xfId="5449"/>
    <cellStyle name="Milliers 2 7 4 2 3 2" xfId="14089"/>
    <cellStyle name="Milliers 2 7 4 2 4" xfId="9769"/>
    <cellStyle name="Milliers 2 7 4 3" xfId="1849"/>
    <cellStyle name="Milliers 2 7 4 3 2" xfId="4009"/>
    <cellStyle name="Milliers 2 7 4 3 2 2" xfId="8329"/>
    <cellStyle name="Milliers 2 7 4 3 2 2 2" xfId="16969"/>
    <cellStyle name="Milliers 2 7 4 3 2 3" xfId="12649"/>
    <cellStyle name="Milliers 2 7 4 3 3" xfId="6169"/>
    <cellStyle name="Milliers 2 7 4 3 3 2" xfId="14809"/>
    <cellStyle name="Milliers 2 7 4 3 4" xfId="10489"/>
    <cellStyle name="Milliers 2 7 4 4" xfId="2569"/>
    <cellStyle name="Milliers 2 7 4 4 2" xfId="6889"/>
    <cellStyle name="Milliers 2 7 4 4 2 2" xfId="15529"/>
    <cellStyle name="Milliers 2 7 4 4 3" xfId="11209"/>
    <cellStyle name="Milliers 2 7 4 5" xfId="4729"/>
    <cellStyle name="Milliers 2 7 4 5 2" xfId="13369"/>
    <cellStyle name="Milliers 2 7 4 6" xfId="9049"/>
    <cellStyle name="Milliers 2 7 5" xfId="769"/>
    <cellStyle name="Milliers 2 7 5 2" xfId="2929"/>
    <cellStyle name="Milliers 2 7 5 2 2" xfId="7249"/>
    <cellStyle name="Milliers 2 7 5 2 2 2" xfId="15889"/>
    <cellStyle name="Milliers 2 7 5 2 3" xfId="11569"/>
    <cellStyle name="Milliers 2 7 5 3" xfId="5089"/>
    <cellStyle name="Milliers 2 7 5 3 2" xfId="13729"/>
    <cellStyle name="Milliers 2 7 5 4" xfId="9409"/>
    <cellStyle name="Milliers 2 7 6" xfId="1489"/>
    <cellStyle name="Milliers 2 7 6 2" xfId="3649"/>
    <cellStyle name="Milliers 2 7 6 2 2" xfId="7969"/>
    <cellStyle name="Milliers 2 7 6 2 2 2" xfId="16609"/>
    <cellStyle name="Milliers 2 7 6 2 3" xfId="12289"/>
    <cellStyle name="Milliers 2 7 6 3" xfId="5809"/>
    <cellStyle name="Milliers 2 7 6 3 2" xfId="14449"/>
    <cellStyle name="Milliers 2 7 6 4" xfId="10129"/>
    <cellStyle name="Milliers 2 7 7" xfId="2209"/>
    <cellStyle name="Milliers 2 7 7 2" xfId="6529"/>
    <cellStyle name="Milliers 2 7 7 2 2" xfId="15169"/>
    <cellStyle name="Milliers 2 7 7 3" xfId="10849"/>
    <cellStyle name="Milliers 2 7 8" xfId="4369"/>
    <cellStyle name="Milliers 2 7 8 2" xfId="13009"/>
    <cellStyle name="Milliers 2 7 9" xfId="8689"/>
    <cellStyle name="Milliers 2 8" xfId="94"/>
    <cellStyle name="Milliers 2 8 2" xfId="274"/>
    <cellStyle name="Milliers 2 8 2 2" xfId="634"/>
    <cellStyle name="Milliers 2 8 2 2 2" xfId="1354"/>
    <cellStyle name="Milliers 2 8 2 2 2 2" xfId="3514"/>
    <cellStyle name="Milliers 2 8 2 2 2 2 2" xfId="7834"/>
    <cellStyle name="Milliers 2 8 2 2 2 2 2 2" xfId="16474"/>
    <cellStyle name="Milliers 2 8 2 2 2 2 3" xfId="12154"/>
    <cellStyle name="Milliers 2 8 2 2 2 3" xfId="5674"/>
    <cellStyle name="Milliers 2 8 2 2 2 3 2" xfId="14314"/>
    <cellStyle name="Milliers 2 8 2 2 2 4" xfId="9994"/>
    <cellStyle name="Milliers 2 8 2 2 3" xfId="2074"/>
    <cellStyle name="Milliers 2 8 2 2 3 2" xfId="4234"/>
    <cellStyle name="Milliers 2 8 2 2 3 2 2" xfId="8554"/>
    <cellStyle name="Milliers 2 8 2 2 3 2 2 2" xfId="17194"/>
    <cellStyle name="Milliers 2 8 2 2 3 2 3" xfId="12874"/>
    <cellStyle name="Milliers 2 8 2 2 3 3" xfId="6394"/>
    <cellStyle name="Milliers 2 8 2 2 3 3 2" xfId="15034"/>
    <cellStyle name="Milliers 2 8 2 2 3 4" xfId="10714"/>
    <cellStyle name="Milliers 2 8 2 2 4" xfId="2794"/>
    <cellStyle name="Milliers 2 8 2 2 4 2" xfId="7114"/>
    <cellStyle name="Milliers 2 8 2 2 4 2 2" xfId="15754"/>
    <cellStyle name="Milliers 2 8 2 2 4 3" xfId="11434"/>
    <cellStyle name="Milliers 2 8 2 2 5" xfId="4954"/>
    <cellStyle name="Milliers 2 8 2 2 5 2" xfId="13594"/>
    <cellStyle name="Milliers 2 8 2 2 6" xfId="9274"/>
    <cellStyle name="Milliers 2 8 2 3" xfId="994"/>
    <cellStyle name="Milliers 2 8 2 3 2" xfId="3154"/>
    <cellStyle name="Milliers 2 8 2 3 2 2" xfId="7474"/>
    <cellStyle name="Milliers 2 8 2 3 2 2 2" xfId="16114"/>
    <cellStyle name="Milliers 2 8 2 3 2 3" xfId="11794"/>
    <cellStyle name="Milliers 2 8 2 3 3" xfId="5314"/>
    <cellStyle name="Milliers 2 8 2 3 3 2" xfId="13954"/>
    <cellStyle name="Milliers 2 8 2 3 4" xfId="9634"/>
    <cellStyle name="Milliers 2 8 2 4" xfId="1714"/>
    <cellStyle name="Milliers 2 8 2 4 2" xfId="3874"/>
    <cellStyle name="Milliers 2 8 2 4 2 2" xfId="8194"/>
    <cellStyle name="Milliers 2 8 2 4 2 2 2" xfId="16834"/>
    <cellStyle name="Milliers 2 8 2 4 2 3" xfId="12514"/>
    <cellStyle name="Milliers 2 8 2 4 3" xfId="6034"/>
    <cellStyle name="Milliers 2 8 2 4 3 2" xfId="14674"/>
    <cellStyle name="Milliers 2 8 2 4 4" xfId="10354"/>
    <cellStyle name="Milliers 2 8 2 5" xfId="2434"/>
    <cellStyle name="Milliers 2 8 2 5 2" xfId="6754"/>
    <cellStyle name="Milliers 2 8 2 5 2 2" xfId="15394"/>
    <cellStyle name="Milliers 2 8 2 5 3" xfId="11074"/>
    <cellStyle name="Milliers 2 8 2 6" xfId="4594"/>
    <cellStyle name="Milliers 2 8 2 6 2" xfId="13234"/>
    <cellStyle name="Milliers 2 8 2 7" xfId="8914"/>
    <cellStyle name="Milliers 2 8 3" xfId="454"/>
    <cellStyle name="Milliers 2 8 3 2" xfId="1174"/>
    <cellStyle name="Milliers 2 8 3 2 2" xfId="3334"/>
    <cellStyle name="Milliers 2 8 3 2 2 2" xfId="7654"/>
    <cellStyle name="Milliers 2 8 3 2 2 2 2" xfId="16294"/>
    <cellStyle name="Milliers 2 8 3 2 2 3" xfId="11974"/>
    <cellStyle name="Milliers 2 8 3 2 3" xfId="5494"/>
    <cellStyle name="Milliers 2 8 3 2 3 2" xfId="14134"/>
    <cellStyle name="Milliers 2 8 3 2 4" xfId="9814"/>
    <cellStyle name="Milliers 2 8 3 3" xfId="1894"/>
    <cellStyle name="Milliers 2 8 3 3 2" xfId="4054"/>
    <cellStyle name="Milliers 2 8 3 3 2 2" xfId="8374"/>
    <cellStyle name="Milliers 2 8 3 3 2 2 2" xfId="17014"/>
    <cellStyle name="Milliers 2 8 3 3 2 3" xfId="12694"/>
    <cellStyle name="Milliers 2 8 3 3 3" xfId="6214"/>
    <cellStyle name="Milliers 2 8 3 3 3 2" xfId="14854"/>
    <cellStyle name="Milliers 2 8 3 3 4" xfId="10534"/>
    <cellStyle name="Milliers 2 8 3 4" xfId="2614"/>
    <cellStyle name="Milliers 2 8 3 4 2" xfId="6934"/>
    <cellStyle name="Milliers 2 8 3 4 2 2" xfId="15574"/>
    <cellStyle name="Milliers 2 8 3 4 3" xfId="11254"/>
    <cellStyle name="Milliers 2 8 3 5" xfId="4774"/>
    <cellStyle name="Milliers 2 8 3 5 2" xfId="13414"/>
    <cellStyle name="Milliers 2 8 3 6" xfId="9094"/>
    <cellStyle name="Milliers 2 8 4" xfId="814"/>
    <cellStyle name="Milliers 2 8 4 2" xfId="2974"/>
    <cellStyle name="Milliers 2 8 4 2 2" xfId="7294"/>
    <cellStyle name="Milliers 2 8 4 2 2 2" xfId="15934"/>
    <cellStyle name="Milliers 2 8 4 2 3" xfId="11614"/>
    <cellStyle name="Milliers 2 8 4 3" xfId="5134"/>
    <cellStyle name="Milliers 2 8 4 3 2" xfId="13774"/>
    <cellStyle name="Milliers 2 8 4 4" xfId="9454"/>
    <cellStyle name="Milliers 2 8 5" xfId="1534"/>
    <cellStyle name="Milliers 2 8 5 2" xfId="3694"/>
    <cellStyle name="Milliers 2 8 5 2 2" xfId="8014"/>
    <cellStyle name="Milliers 2 8 5 2 2 2" xfId="16654"/>
    <cellStyle name="Milliers 2 8 5 2 3" xfId="12334"/>
    <cellStyle name="Milliers 2 8 5 3" xfId="5854"/>
    <cellStyle name="Milliers 2 8 5 3 2" xfId="14494"/>
    <cellStyle name="Milliers 2 8 5 4" xfId="10174"/>
    <cellStyle name="Milliers 2 8 6" xfId="2254"/>
    <cellStyle name="Milliers 2 8 6 2" xfId="6574"/>
    <cellStyle name="Milliers 2 8 6 2 2" xfId="15214"/>
    <cellStyle name="Milliers 2 8 6 3" xfId="10894"/>
    <cellStyle name="Milliers 2 8 7" xfId="4414"/>
    <cellStyle name="Milliers 2 8 7 2" xfId="13054"/>
    <cellStyle name="Milliers 2 8 8" xfId="8734"/>
    <cellStyle name="Milliers 2 9" xfId="184"/>
    <cellStyle name="Milliers 2 9 2" xfId="544"/>
    <cellStyle name="Milliers 2 9 2 2" xfId="1264"/>
    <cellStyle name="Milliers 2 9 2 2 2" xfId="3424"/>
    <cellStyle name="Milliers 2 9 2 2 2 2" xfId="7744"/>
    <cellStyle name="Milliers 2 9 2 2 2 2 2" xfId="16384"/>
    <cellStyle name="Milliers 2 9 2 2 2 3" xfId="12064"/>
    <cellStyle name="Milliers 2 9 2 2 3" xfId="5584"/>
    <cellStyle name="Milliers 2 9 2 2 3 2" xfId="14224"/>
    <cellStyle name="Milliers 2 9 2 2 4" xfId="9904"/>
    <cellStyle name="Milliers 2 9 2 3" xfId="1984"/>
    <cellStyle name="Milliers 2 9 2 3 2" xfId="4144"/>
    <cellStyle name="Milliers 2 9 2 3 2 2" xfId="8464"/>
    <cellStyle name="Milliers 2 9 2 3 2 2 2" xfId="17104"/>
    <cellStyle name="Milliers 2 9 2 3 2 3" xfId="12784"/>
    <cellStyle name="Milliers 2 9 2 3 3" xfId="6304"/>
    <cellStyle name="Milliers 2 9 2 3 3 2" xfId="14944"/>
    <cellStyle name="Milliers 2 9 2 3 4" xfId="10624"/>
    <cellStyle name="Milliers 2 9 2 4" xfId="2704"/>
    <cellStyle name="Milliers 2 9 2 4 2" xfId="7024"/>
    <cellStyle name="Milliers 2 9 2 4 2 2" xfId="15664"/>
    <cellStyle name="Milliers 2 9 2 4 3" xfId="11344"/>
    <cellStyle name="Milliers 2 9 2 5" xfId="4864"/>
    <cellStyle name="Milliers 2 9 2 5 2" xfId="13504"/>
    <cellStyle name="Milliers 2 9 2 6" xfId="9184"/>
    <cellStyle name="Milliers 2 9 3" xfId="904"/>
    <cellStyle name="Milliers 2 9 3 2" xfId="3064"/>
    <cellStyle name="Milliers 2 9 3 2 2" xfId="7384"/>
    <cellStyle name="Milliers 2 9 3 2 2 2" xfId="16024"/>
    <cellStyle name="Milliers 2 9 3 2 3" xfId="11704"/>
    <cellStyle name="Milliers 2 9 3 3" xfId="5224"/>
    <cellStyle name="Milliers 2 9 3 3 2" xfId="13864"/>
    <cellStyle name="Milliers 2 9 3 4" xfId="9544"/>
    <cellStyle name="Milliers 2 9 4" xfId="1624"/>
    <cellStyle name="Milliers 2 9 4 2" xfId="3784"/>
    <cellStyle name="Milliers 2 9 4 2 2" xfId="8104"/>
    <cellStyle name="Milliers 2 9 4 2 2 2" xfId="16744"/>
    <cellStyle name="Milliers 2 9 4 2 3" xfId="12424"/>
    <cellStyle name="Milliers 2 9 4 3" xfId="5944"/>
    <cellStyle name="Milliers 2 9 4 3 2" xfId="14584"/>
    <cellStyle name="Milliers 2 9 4 4" xfId="10264"/>
    <cellStyle name="Milliers 2 9 5" xfId="2344"/>
    <cellStyle name="Milliers 2 9 5 2" xfId="6664"/>
    <cellStyle name="Milliers 2 9 5 2 2" xfId="15304"/>
    <cellStyle name="Milliers 2 9 5 3" xfId="10984"/>
    <cellStyle name="Milliers 2 9 6" xfId="4504"/>
    <cellStyle name="Milliers 2 9 6 2" xfId="13144"/>
    <cellStyle name="Milliers 2 9 7" xfId="8824"/>
    <cellStyle name="Milliers 3" xfId="4"/>
    <cellStyle name="Milliers 3 10" xfId="365"/>
    <cellStyle name="Milliers 3 10 2" xfId="1085"/>
    <cellStyle name="Milliers 3 10 2 2" xfId="3245"/>
    <cellStyle name="Milliers 3 10 2 2 2" xfId="7565"/>
    <cellStyle name="Milliers 3 10 2 2 2 2" xfId="16205"/>
    <cellStyle name="Milliers 3 10 2 2 3" xfId="11885"/>
    <cellStyle name="Milliers 3 10 2 3" xfId="5405"/>
    <cellStyle name="Milliers 3 10 2 3 2" xfId="14045"/>
    <cellStyle name="Milliers 3 10 2 4" xfId="9725"/>
    <cellStyle name="Milliers 3 10 3" xfId="1805"/>
    <cellStyle name="Milliers 3 10 3 2" xfId="3965"/>
    <cellStyle name="Milliers 3 10 3 2 2" xfId="8285"/>
    <cellStyle name="Milliers 3 10 3 2 2 2" xfId="16925"/>
    <cellStyle name="Milliers 3 10 3 2 3" xfId="12605"/>
    <cellStyle name="Milliers 3 10 3 3" xfId="6125"/>
    <cellStyle name="Milliers 3 10 3 3 2" xfId="14765"/>
    <cellStyle name="Milliers 3 10 3 4" xfId="10445"/>
    <cellStyle name="Milliers 3 10 4" xfId="2525"/>
    <cellStyle name="Milliers 3 10 4 2" xfId="6845"/>
    <cellStyle name="Milliers 3 10 4 2 2" xfId="15485"/>
    <cellStyle name="Milliers 3 10 4 3" xfId="11165"/>
    <cellStyle name="Milliers 3 10 5" xfId="4685"/>
    <cellStyle name="Milliers 3 10 5 2" xfId="13325"/>
    <cellStyle name="Milliers 3 10 6" xfId="9005"/>
    <cellStyle name="Milliers 3 11" xfId="725"/>
    <cellStyle name="Milliers 3 11 2" xfId="2885"/>
    <cellStyle name="Milliers 3 11 2 2" xfId="7205"/>
    <cellStyle name="Milliers 3 11 2 2 2" xfId="15845"/>
    <cellStyle name="Milliers 3 11 2 3" xfId="11525"/>
    <cellStyle name="Milliers 3 11 3" xfId="5045"/>
    <cellStyle name="Milliers 3 11 3 2" xfId="13685"/>
    <cellStyle name="Milliers 3 11 4" xfId="9365"/>
    <cellStyle name="Milliers 3 12" xfId="1445"/>
    <cellStyle name="Milliers 3 12 2" xfId="3605"/>
    <cellStyle name="Milliers 3 12 2 2" xfId="7925"/>
    <cellStyle name="Milliers 3 12 2 2 2" xfId="16565"/>
    <cellStyle name="Milliers 3 12 2 3" xfId="12245"/>
    <cellStyle name="Milliers 3 12 3" xfId="5765"/>
    <cellStyle name="Milliers 3 12 3 2" xfId="14405"/>
    <cellStyle name="Milliers 3 12 4" xfId="10085"/>
    <cellStyle name="Milliers 3 13" xfId="2165"/>
    <cellStyle name="Milliers 3 13 2" xfId="6485"/>
    <cellStyle name="Milliers 3 13 2 2" xfId="15125"/>
    <cellStyle name="Milliers 3 13 3" xfId="10805"/>
    <cellStyle name="Milliers 3 14" xfId="4325"/>
    <cellStyle name="Milliers 3 14 2" xfId="12965"/>
    <cellStyle name="Milliers 3 15" xfId="8645"/>
    <cellStyle name="Milliers 3 2" xfId="8"/>
    <cellStyle name="Milliers 3 2 10" xfId="1448"/>
    <cellStyle name="Milliers 3 2 10 2" xfId="3608"/>
    <cellStyle name="Milliers 3 2 10 2 2" xfId="7928"/>
    <cellStyle name="Milliers 3 2 10 2 2 2" xfId="16568"/>
    <cellStyle name="Milliers 3 2 10 2 3" xfId="12248"/>
    <cellStyle name="Milliers 3 2 10 3" xfId="5768"/>
    <cellStyle name="Milliers 3 2 10 3 2" xfId="14408"/>
    <cellStyle name="Milliers 3 2 10 4" xfId="10088"/>
    <cellStyle name="Milliers 3 2 11" xfId="2168"/>
    <cellStyle name="Milliers 3 2 11 2" xfId="6488"/>
    <cellStyle name="Milliers 3 2 11 2 2" xfId="15128"/>
    <cellStyle name="Milliers 3 2 11 3" xfId="10808"/>
    <cellStyle name="Milliers 3 2 12" xfId="4328"/>
    <cellStyle name="Milliers 3 2 12 2" xfId="12968"/>
    <cellStyle name="Milliers 3 2 13" xfId="8648"/>
    <cellStyle name="Milliers 3 2 2" xfId="14"/>
    <cellStyle name="Milliers 3 2 2 10" xfId="2174"/>
    <cellStyle name="Milliers 3 2 2 10 2" xfId="6494"/>
    <cellStyle name="Milliers 3 2 2 10 2 2" xfId="15134"/>
    <cellStyle name="Milliers 3 2 2 10 3" xfId="10814"/>
    <cellStyle name="Milliers 3 2 2 11" xfId="4334"/>
    <cellStyle name="Milliers 3 2 2 11 2" xfId="12974"/>
    <cellStyle name="Milliers 3 2 2 12" xfId="8654"/>
    <cellStyle name="Milliers 3 2 2 2" xfId="29"/>
    <cellStyle name="Milliers 3 2 2 2 10" xfId="8669"/>
    <cellStyle name="Milliers 3 2 2 2 2" xfId="74"/>
    <cellStyle name="Milliers 3 2 2 2 2 2" xfId="164"/>
    <cellStyle name="Milliers 3 2 2 2 2 2 2" xfId="344"/>
    <cellStyle name="Milliers 3 2 2 2 2 2 2 2" xfId="704"/>
    <cellStyle name="Milliers 3 2 2 2 2 2 2 2 2" xfId="1424"/>
    <cellStyle name="Milliers 3 2 2 2 2 2 2 2 2 2" xfId="3584"/>
    <cellStyle name="Milliers 3 2 2 2 2 2 2 2 2 2 2" xfId="7904"/>
    <cellStyle name="Milliers 3 2 2 2 2 2 2 2 2 2 2 2" xfId="16544"/>
    <cellStyle name="Milliers 3 2 2 2 2 2 2 2 2 2 3" xfId="12224"/>
    <cellStyle name="Milliers 3 2 2 2 2 2 2 2 2 3" xfId="5744"/>
    <cellStyle name="Milliers 3 2 2 2 2 2 2 2 2 3 2" xfId="14384"/>
    <cellStyle name="Milliers 3 2 2 2 2 2 2 2 2 4" xfId="10064"/>
    <cellStyle name="Milliers 3 2 2 2 2 2 2 2 3" xfId="2144"/>
    <cellStyle name="Milliers 3 2 2 2 2 2 2 2 3 2" xfId="4304"/>
    <cellStyle name="Milliers 3 2 2 2 2 2 2 2 3 2 2" xfId="8624"/>
    <cellStyle name="Milliers 3 2 2 2 2 2 2 2 3 2 2 2" xfId="17264"/>
    <cellStyle name="Milliers 3 2 2 2 2 2 2 2 3 2 3" xfId="12944"/>
    <cellStyle name="Milliers 3 2 2 2 2 2 2 2 3 3" xfId="6464"/>
    <cellStyle name="Milliers 3 2 2 2 2 2 2 2 3 3 2" xfId="15104"/>
    <cellStyle name="Milliers 3 2 2 2 2 2 2 2 3 4" xfId="10784"/>
    <cellStyle name="Milliers 3 2 2 2 2 2 2 2 4" xfId="2864"/>
    <cellStyle name="Milliers 3 2 2 2 2 2 2 2 4 2" xfId="7184"/>
    <cellStyle name="Milliers 3 2 2 2 2 2 2 2 4 2 2" xfId="15824"/>
    <cellStyle name="Milliers 3 2 2 2 2 2 2 2 4 3" xfId="11504"/>
    <cellStyle name="Milliers 3 2 2 2 2 2 2 2 5" xfId="5024"/>
    <cellStyle name="Milliers 3 2 2 2 2 2 2 2 5 2" xfId="13664"/>
    <cellStyle name="Milliers 3 2 2 2 2 2 2 2 6" xfId="9344"/>
    <cellStyle name="Milliers 3 2 2 2 2 2 2 3" xfId="1064"/>
    <cellStyle name="Milliers 3 2 2 2 2 2 2 3 2" xfId="3224"/>
    <cellStyle name="Milliers 3 2 2 2 2 2 2 3 2 2" xfId="7544"/>
    <cellStyle name="Milliers 3 2 2 2 2 2 2 3 2 2 2" xfId="16184"/>
    <cellStyle name="Milliers 3 2 2 2 2 2 2 3 2 3" xfId="11864"/>
    <cellStyle name="Milliers 3 2 2 2 2 2 2 3 3" xfId="5384"/>
    <cellStyle name="Milliers 3 2 2 2 2 2 2 3 3 2" xfId="14024"/>
    <cellStyle name="Milliers 3 2 2 2 2 2 2 3 4" xfId="9704"/>
    <cellStyle name="Milliers 3 2 2 2 2 2 2 4" xfId="1784"/>
    <cellStyle name="Milliers 3 2 2 2 2 2 2 4 2" xfId="3944"/>
    <cellStyle name="Milliers 3 2 2 2 2 2 2 4 2 2" xfId="8264"/>
    <cellStyle name="Milliers 3 2 2 2 2 2 2 4 2 2 2" xfId="16904"/>
    <cellStyle name="Milliers 3 2 2 2 2 2 2 4 2 3" xfId="12584"/>
    <cellStyle name="Milliers 3 2 2 2 2 2 2 4 3" xfId="6104"/>
    <cellStyle name="Milliers 3 2 2 2 2 2 2 4 3 2" xfId="14744"/>
    <cellStyle name="Milliers 3 2 2 2 2 2 2 4 4" xfId="10424"/>
    <cellStyle name="Milliers 3 2 2 2 2 2 2 5" xfId="2504"/>
    <cellStyle name="Milliers 3 2 2 2 2 2 2 5 2" xfId="6824"/>
    <cellStyle name="Milliers 3 2 2 2 2 2 2 5 2 2" xfId="15464"/>
    <cellStyle name="Milliers 3 2 2 2 2 2 2 5 3" xfId="11144"/>
    <cellStyle name="Milliers 3 2 2 2 2 2 2 6" xfId="4664"/>
    <cellStyle name="Milliers 3 2 2 2 2 2 2 6 2" xfId="13304"/>
    <cellStyle name="Milliers 3 2 2 2 2 2 2 7" xfId="8984"/>
    <cellStyle name="Milliers 3 2 2 2 2 2 3" xfId="524"/>
    <cellStyle name="Milliers 3 2 2 2 2 2 3 2" xfId="1244"/>
    <cellStyle name="Milliers 3 2 2 2 2 2 3 2 2" xfId="3404"/>
    <cellStyle name="Milliers 3 2 2 2 2 2 3 2 2 2" xfId="7724"/>
    <cellStyle name="Milliers 3 2 2 2 2 2 3 2 2 2 2" xfId="16364"/>
    <cellStyle name="Milliers 3 2 2 2 2 2 3 2 2 3" xfId="12044"/>
    <cellStyle name="Milliers 3 2 2 2 2 2 3 2 3" xfId="5564"/>
    <cellStyle name="Milliers 3 2 2 2 2 2 3 2 3 2" xfId="14204"/>
    <cellStyle name="Milliers 3 2 2 2 2 2 3 2 4" xfId="9884"/>
    <cellStyle name="Milliers 3 2 2 2 2 2 3 3" xfId="1964"/>
    <cellStyle name="Milliers 3 2 2 2 2 2 3 3 2" xfId="4124"/>
    <cellStyle name="Milliers 3 2 2 2 2 2 3 3 2 2" xfId="8444"/>
    <cellStyle name="Milliers 3 2 2 2 2 2 3 3 2 2 2" xfId="17084"/>
    <cellStyle name="Milliers 3 2 2 2 2 2 3 3 2 3" xfId="12764"/>
    <cellStyle name="Milliers 3 2 2 2 2 2 3 3 3" xfId="6284"/>
    <cellStyle name="Milliers 3 2 2 2 2 2 3 3 3 2" xfId="14924"/>
    <cellStyle name="Milliers 3 2 2 2 2 2 3 3 4" xfId="10604"/>
    <cellStyle name="Milliers 3 2 2 2 2 2 3 4" xfId="2684"/>
    <cellStyle name="Milliers 3 2 2 2 2 2 3 4 2" xfId="7004"/>
    <cellStyle name="Milliers 3 2 2 2 2 2 3 4 2 2" xfId="15644"/>
    <cellStyle name="Milliers 3 2 2 2 2 2 3 4 3" xfId="11324"/>
    <cellStyle name="Milliers 3 2 2 2 2 2 3 5" xfId="4844"/>
    <cellStyle name="Milliers 3 2 2 2 2 2 3 5 2" xfId="13484"/>
    <cellStyle name="Milliers 3 2 2 2 2 2 3 6" xfId="9164"/>
    <cellStyle name="Milliers 3 2 2 2 2 2 4" xfId="884"/>
    <cellStyle name="Milliers 3 2 2 2 2 2 4 2" xfId="3044"/>
    <cellStyle name="Milliers 3 2 2 2 2 2 4 2 2" xfId="7364"/>
    <cellStyle name="Milliers 3 2 2 2 2 2 4 2 2 2" xfId="16004"/>
    <cellStyle name="Milliers 3 2 2 2 2 2 4 2 3" xfId="11684"/>
    <cellStyle name="Milliers 3 2 2 2 2 2 4 3" xfId="5204"/>
    <cellStyle name="Milliers 3 2 2 2 2 2 4 3 2" xfId="13844"/>
    <cellStyle name="Milliers 3 2 2 2 2 2 4 4" xfId="9524"/>
    <cellStyle name="Milliers 3 2 2 2 2 2 5" xfId="1604"/>
    <cellStyle name="Milliers 3 2 2 2 2 2 5 2" xfId="3764"/>
    <cellStyle name="Milliers 3 2 2 2 2 2 5 2 2" xfId="8084"/>
    <cellStyle name="Milliers 3 2 2 2 2 2 5 2 2 2" xfId="16724"/>
    <cellStyle name="Milliers 3 2 2 2 2 2 5 2 3" xfId="12404"/>
    <cellStyle name="Milliers 3 2 2 2 2 2 5 3" xfId="5924"/>
    <cellStyle name="Milliers 3 2 2 2 2 2 5 3 2" xfId="14564"/>
    <cellStyle name="Milliers 3 2 2 2 2 2 5 4" xfId="10244"/>
    <cellStyle name="Milliers 3 2 2 2 2 2 6" xfId="2324"/>
    <cellStyle name="Milliers 3 2 2 2 2 2 6 2" xfId="6644"/>
    <cellStyle name="Milliers 3 2 2 2 2 2 6 2 2" xfId="15284"/>
    <cellStyle name="Milliers 3 2 2 2 2 2 6 3" xfId="10964"/>
    <cellStyle name="Milliers 3 2 2 2 2 2 7" xfId="4484"/>
    <cellStyle name="Milliers 3 2 2 2 2 2 7 2" xfId="13124"/>
    <cellStyle name="Milliers 3 2 2 2 2 2 8" xfId="8804"/>
    <cellStyle name="Milliers 3 2 2 2 2 3" xfId="254"/>
    <cellStyle name="Milliers 3 2 2 2 2 3 2" xfId="614"/>
    <cellStyle name="Milliers 3 2 2 2 2 3 2 2" xfId="1334"/>
    <cellStyle name="Milliers 3 2 2 2 2 3 2 2 2" xfId="3494"/>
    <cellStyle name="Milliers 3 2 2 2 2 3 2 2 2 2" xfId="7814"/>
    <cellStyle name="Milliers 3 2 2 2 2 3 2 2 2 2 2" xfId="16454"/>
    <cellStyle name="Milliers 3 2 2 2 2 3 2 2 2 3" xfId="12134"/>
    <cellStyle name="Milliers 3 2 2 2 2 3 2 2 3" xfId="5654"/>
    <cellStyle name="Milliers 3 2 2 2 2 3 2 2 3 2" xfId="14294"/>
    <cellStyle name="Milliers 3 2 2 2 2 3 2 2 4" xfId="9974"/>
    <cellStyle name="Milliers 3 2 2 2 2 3 2 3" xfId="2054"/>
    <cellStyle name="Milliers 3 2 2 2 2 3 2 3 2" xfId="4214"/>
    <cellStyle name="Milliers 3 2 2 2 2 3 2 3 2 2" xfId="8534"/>
    <cellStyle name="Milliers 3 2 2 2 2 3 2 3 2 2 2" xfId="17174"/>
    <cellStyle name="Milliers 3 2 2 2 2 3 2 3 2 3" xfId="12854"/>
    <cellStyle name="Milliers 3 2 2 2 2 3 2 3 3" xfId="6374"/>
    <cellStyle name="Milliers 3 2 2 2 2 3 2 3 3 2" xfId="15014"/>
    <cellStyle name="Milliers 3 2 2 2 2 3 2 3 4" xfId="10694"/>
    <cellStyle name="Milliers 3 2 2 2 2 3 2 4" xfId="2774"/>
    <cellStyle name="Milliers 3 2 2 2 2 3 2 4 2" xfId="7094"/>
    <cellStyle name="Milliers 3 2 2 2 2 3 2 4 2 2" xfId="15734"/>
    <cellStyle name="Milliers 3 2 2 2 2 3 2 4 3" xfId="11414"/>
    <cellStyle name="Milliers 3 2 2 2 2 3 2 5" xfId="4934"/>
    <cellStyle name="Milliers 3 2 2 2 2 3 2 5 2" xfId="13574"/>
    <cellStyle name="Milliers 3 2 2 2 2 3 2 6" xfId="9254"/>
    <cellStyle name="Milliers 3 2 2 2 2 3 3" xfId="974"/>
    <cellStyle name="Milliers 3 2 2 2 2 3 3 2" xfId="3134"/>
    <cellStyle name="Milliers 3 2 2 2 2 3 3 2 2" xfId="7454"/>
    <cellStyle name="Milliers 3 2 2 2 2 3 3 2 2 2" xfId="16094"/>
    <cellStyle name="Milliers 3 2 2 2 2 3 3 2 3" xfId="11774"/>
    <cellStyle name="Milliers 3 2 2 2 2 3 3 3" xfId="5294"/>
    <cellStyle name="Milliers 3 2 2 2 2 3 3 3 2" xfId="13934"/>
    <cellStyle name="Milliers 3 2 2 2 2 3 3 4" xfId="9614"/>
    <cellStyle name="Milliers 3 2 2 2 2 3 4" xfId="1694"/>
    <cellStyle name="Milliers 3 2 2 2 2 3 4 2" xfId="3854"/>
    <cellStyle name="Milliers 3 2 2 2 2 3 4 2 2" xfId="8174"/>
    <cellStyle name="Milliers 3 2 2 2 2 3 4 2 2 2" xfId="16814"/>
    <cellStyle name="Milliers 3 2 2 2 2 3 4 2 3" xfId="12494"/>
    <cellStyle name="Milliers 3 2 2 2 2 3 4 3" xfId="6014"/>
    <cellStyle name="Milliers 3 2 2 2 2 3 4 3 2" xfId="14654"/>
    <cellStyle name="Milliers 3 2 2 2 2 3 4 4" xfId="10334"/>
    <cellStyle name="Milliers 3 2 2 2 2 3 5" xfId="2414"/>
    <cellStyle name="Milliers 3 2 2 2 2 3 5 2" xfId="6734"/>
    <cellStyle name="Milliers 3 2 2 2 2 3 5 2 2" xfId="15374"/>
    <cellStyle name="Milliers 3 2 2 2 2 3 5 3" xfId="11054"/>
    <cellStyle name="Milliers 3 2 2 2 2 3 6" xfId="4574"/>
    <cellStyle name="Milliers 3 2 2 2 2 3 6 2" xfId="13214"/>
    <cellStyle name="Milliers 3 2 2 2 2 3 7" xfId="8894"/>
    <cellStyle name="Milliers 3 2 2 2 2 4" xfId="434"/>
    <cellStyle name="Milliers 3 2 2 2 2 4 2" xfId="1154"/>
    <cellStyle name="Milliers 3 2 2 2 2 4 2 2" xfId="3314"/>
    <cellStyle name="Milliers 3 2 2 2 2 4 2 2 2" xfId="7634"/>
    <cellStyle name="Milliers 3 2 2 2 2 4 2 2 2 2" xfId="16274"/>
    <cellStyle name="Milliers 3 2 2 2 2 4 2 2 3" xfId="11954"/>
    <cellStyle name="Milliers 3 2 2 2 2 4 2 3" xfId="5474"/>
    <cellStyle name="Milliers 3 2 2 2 2 4 2 3 2" xfId="14114"/>
    <cellStyle name="Milliers 3 2 2 2 2 4 2 4" xfId="9794"/>
    <cellStyle name="Milliers 3 2 2 2 2 4 3" xfId="1874"/>
    <cellStyle name="Milliers 3 2 2 2 2 4 3 2" xfId="4034"/>
    <cellStyle name="Milliers 3 2 2 2 2 4 3 2 2" xfId="8354"/>
    <cellStyle name="Milliers 3 2 2 2 2 4 3 2 2 2" xfId="16994"/>
    <cellStyle name="Milliers 3 2 2 2 2 4 3 2 3" xfId="12674"/>
    <cellStyle name="Milliers 3 2 2 2 2 4 3 3" xfId="6194"/>
    <cellStyle name="Milliers 3 2 2 2 2 4 3 3 2" xfId="14834"/>
    <cellStyle name="Milliers 3 2 2 2 2 4 3 4" xfId="10514"/>
    <cellStyle name="Milliers 3 2 2 2 2 4 4" xfId="2594"/>
    <cellStyle name="Milliers 3 2 2 2 2 4 4 2" xfId="6914"/>
    <cellStyle name="Milliers 3 2 2 2 2 4 4 2 2" xfId="15554"/>
    <cellStyle name="Milliers 3 2 2 2 2 4 4 3" xfId="11234"/>
    <cellStyle name="Milliers 3 2 2 2 2 4 5" xfId="4754"/>
    <cellStyle name="Milliers 3 2 2 2 2 4 5 2" xfId="13394"/>
    <cellStyle name="Milliers 3 2 2 2 2 4 6" xfId="9074"/>
    <cellStyle name="Milliers 3 2 2 2 2 5" xfId="794"/>
    <cellStyle name="Milliers 3 2 2 2 2 5 2" xfId="2954"/>
    <cellStyle name="Milliers 3 2 2 2 2 5 2 2" xfId="7274"/>
    <cellStyle name="Milliers 3 2 2 2 2 5 2 2 2" xfId="15914"/>
    <cellStyle name="Milliers 3 2 2 2 2 5 2 3" xfId="11594"/>
    <cellStyle name="Milliers 3 2 2 2 2 5 3" xfId="5114"/>
    <cellStyle name="Milliers 3 2 2 2 2 5 3 2" xfId="13754"/>
    <cellStyle name="Milliers 3 2 2 2 2 5 4" xfId="9434"/>
    <cellStyle name="Milliers 3 2 2 2 2 6" xfId="1514"/>
    <cellStyle name="Milliers 3 2 2 2 2 6 2" xfId="3674"/>
    <cellStyle name="Milliers 3 2 2 2 2 6 2 2" xfId="7994"/>
    <cellStyle name="Milliers 3 2 2 2 2 6 2 2 2" xfId="16634"/>
    <cellStyle name="Milliers 3 2 2 2 2 6 2 3" xfId="12314"/>
    <cellStyle name="Milliers 3 2 2 2 2 6 3" xfId="5834"/>
    <cellStyle name="Milliers 3 2 2 2 2 6 3 2" xfId="14474"/>
    <cellStyle name="Milliers 3 2 2 2 2 6 4" xfId="10154"/>
    <cellStyle name="Milliers 3 2 2 2 2 7" xfId="2234"/>
    <cellStyle name="Milliers 3 2 2 2 2 7 2" xfId="6554"/>
    <cellStyle name="Milliers 3 2 2 2 2 7 2 2" xfId="15194"/>
    <cellStyle name="Milliers 3 2 2 2 2 7 3" xfId="10874"/>
    <cellStyle name="Milliers 3 2 2 2 2 8" xfId="4394"/>
    <cellStyle name="Milliers 3 2 2 2 2 8 2" xfId="13034"/>
    <cellStyle name="Milliers 3 2 2 2 2 9" xfId="8714"/>
    <cellStyle name="Milliers 3 2 2 2 3" xfId="119"/>
    <cellStyle name="Milliers 3 2 2 2 3 2" xfId="299"/>
    <cellStyle name="Milliers 3 2 2 2 3 2 2" xfId="659"/>
    <cellStyle name="Milliers 3 2 2 2 3 2 2 2" xfId="1379"/>
    <cellStyle name="Milliers 3 2 2 2 3 2 2 2 2" xfId="3539"/>
    <cellStyle name="Milliers 3 2 2 2 3 2 2 2 2 2" xfId="7859"/>
    <cellStyle name="Milliers 3 2 2 2 3 2 2 2 2 2 2" xfId="16499"/>
    <cellStyle name="Milliers 3 2 2 2 3 2 2 2 2 3" xfId="12179"/>
    <cellStyle name="Milliers 3 2 2 2 3 2 2 2 3" xfId="5699"/>
    <cellStyle name="Milliers 3 2 2 2 3 2 2 2 3 2" xfId="14339"/>
    <cellStyle name="Milliers 3 2 2 2 3 2 2 2 4" xfId="10019"/>
    <cellStyle name="Milliers 3 2 2 2 3 2 2 3" xfId="2099"/>
    <cellStyle name="Milliers 3 2 2 2 3 2 2 3 2" xfId="4259"/>
    <cellStyle name="Milliers 3 2 2 2 3 2 2 3 2 2" xfId="8579"/>
    <cellStyle name="Milliers 3 2 2 2 3 2 2 3 2 2 2" xfId="17219"/>
    <cellStyle name="Milliers 3 2 2 2 3 2 2 3 2 3" xfId="12899"/>
    <cellStyle name="Milliers 3 2 2 2 3 2 2 3 3" xfId="6419"/>
    <cellStyle name="Milliers 3 2 2 2 3 2 2 3 3 2" xfId="15059"/>
    <cellStyle name="Milliers 3 2 2 2 3 2 2 3 4" xfId="10739"/>
    <cellStyle name="Milliers 3 2 2 2 3 2 2 4" xfId="2819"/>
    <cellStyle name="Milliers 3 2 2 2 3 2 2 4 2" xfId="7139"/>
    <cellStyle name="Milliers 3 2 2 2 3 2 2 4 2 2" xfId="15779"/>
    <cellStyle name="Milliers 3 2 2 2 3 2 2 4 3" xfId="11459"/>
    <cellStyle name="Milliers 3 2 2 2 3 2 2 5" xfId="4979"/>
    <cellStyle name="Milliers 3 2 2 2 3 2 2 5 2" xfId="13619"/>
    <cellStyle name="Milliers 3 2 2 2 3 2 2 6" xfId="9299"/>
    <cellStyle name="Milliers 3 2 2 2 3 2 3" xfId="1019"/>
    <cellStyle name="Milliers 3 2 2 2 3 2 3 2" xfId="3179"/>
    <cellStyle name="Milliers 3 2 2 2 3 2 3 2 2" xfId="7499"/>
    <cellStyle name="Milliers 3 2 2 2 3 2 3 2 2 2" xfId="16139"/>
    <cellStyle name="Milliers 3 2 2 2 3 2 3 2 3" xfId="11819"/>
    <cellStyle name="Milliers 3 2 2 2 3 2 3 3" xfId="5339"/>
    <cellStyle name="Milliers 3 2 2 2 3 2 3 3 2" xfId="13979"/>
    <cellStyle name="Milliers 3 2 2 2 3 2 3 4" xfId="9659"/>
    <cellStyle name="Milliers 3 2 2 2 3 2 4" xfId="1739"/>
    <cellStyle name="Milliers 3 2 2 2 3 2 4 2" xfId="3899"/>
    <cellStyle name="Milliers 3 2 2 2 3 2 4 2 2" xfId="8219"/>
    <cellStyle name="Milliers 3 2 2 2 3 2 4 2 2 2" xfId="16859"/>
    <cellStyle name="Milliers 3 2 2 2 3 2 4 2 3" xfId="12539"/>
    <cellStyle name="Milliers 3 2 2 2 3 2 4 3" xfId="6059"/>
    <cellStyle name="Milliers 3 2 2 2 3 2 4 3 2" xfId="14699"/>
    <cellStyle name="Milliers 3 2 2 2 3 2 4 4" xfId="10379"/>
    <cellStyle name="Milliers 3 2 2 2 3 2 5" xfId="2459"/>
    <cellStyle name="Milliers 3 2 2 2 3 2 5 2" xfId="6779"/>
    <cellStyle name="Milliers 3 2 2 2 3 2 5 2 2" xfId="15419"/>
    <cellStyle name="Milliers 3 2 2 2 3 2 5 3" xfId="11099"/>
    <cellStyle name="Milliers 3 2 2 2 3 2 6" xfId="4619"/>
    <cellStyle name="Milliers 3 2 2 2 3 2 6 2" xfId="13259"/>
    <cellStyle name="Milliers 3 2 2 2 3 2 7" xfId="8939"/>
    <cellStyle name="Milliers 3 2 2 2 3 3" xfId="479"/>
    <cellStyle name="Milliers 3 2 2 2 3 3 2" xfId="1199"/>
    <cellStyle name="Milliers 3 2 2 2 3 3 2 2" xfId="3359"/>
    <cellStyle name="Milliers 3 2 2 2 3 3 2 2 2" xfId="7679"/>
    <cellStyle name="Milliers 3 2 2 2 3 3 2 2 2 2" xfId="16319"/>
    <cellStyle name="Milliers 3 2 2 2 3 3 2 2 3" xfId="11999"/>
    <cellStyle name="Milliers 3 2 2 2 3 3 2 3" xfId="5519"/>
    <cellStyle name="Milliers 3 2 2 2 3 3 2 3 2" xfId="14159"/>
    <cellStyle name="Milliers 3 2 2 2 3 3 2 4" xfId="9839"/>
    <cellStyle name="Milliers 3 2 2 2 3 3 3" xfId="1919"/>
    <cellStyle name="Milliers 3 2 2 2 3 3 3 2" xfId="4079"/>
    <cellStyle name="Milliers 3 2 2 2 3 3 3 2 2" xfId="8399"/>
    <cellStyle name="Milliers 3 2 2 2 3 3 3 2 2 2" xfId="17039"/>
    <cellStyle name="Milliers 3 2 2 2 3 3 3 2 3" xfId="12719"/>
    <cellStyle name="Milliers 3 2 2 2 3 3 3 3" xfId="6239"/>
    <cellStyle name="Milliers 3 2 2 2 3 3 3 3 2" xfId="14879"/>
    <cellStyle name="Milliers 3 2 2 2 3 3 3 4" xfId="10559"/>
    <cellStyle name="Milliers 3 2 2 2 3 3 4" xfId="2639"/>
    <cellStyle name="Milliers 3 2 2 2 3 3 4 2" xfId="6959"/>
    <cellStyle name="Milliers 3 2 2 2 3 3 4 2 2" xfId="15599"/>
    <cellStyle name="Milliers 3 2 2 2 3 3 4 3" xfId="11279"/>
    <cellStyle name="Milliers 3 2 2 2 3 3 5" xfId="4799"/>
    <cellStyle name="Milliers 3 2 2 2 3 3 5 2" xfId="13439"/>
    <cellStyle name="Milliers 3 2 2 2 3 3 6" xfId="9119"/>
    <cellStyle name="Milliers 3 2 2 2 3 4" xfId="839"/>
    <cellStyle name="Milliers 3 2 2 2 3 4 2" xfId="2999"/>
    <cellStyle name="Milliers 3 2 2 2 3 4 2 2" xfId="7319"/>
    <cellStyle name="Milliers 3 2 2 2 3 4 2 2 2" xfId="15959"/>
    <cellStyle name="Milliers 3 2 2 2 3 4 2 3" xfId="11639"/>
    <cellStyle name="Milliers 3 2 2 2 3 4 3" xfId="5159"/>
    <cellStyle name="Milliers 3 2 2 2 3 4 3 2" xfId="13799"/>
    <cellStyle name="Milliers 3 2 2 2 3 4 4" xfId="9479"/>
    <cellStyle name="Milliers 3 2 2 2 3 5" xfId="1559"/>
    <cellStyle name="Milliers 3 2 2 2 3 5 2" xfId="3719"/>
    <cellStyle name="Milliers 3 2 2 2 3 5 2 2" xfId="8039"/>
    <cellStyle name="Milliers 3 2 2 2 3 5 2 2 2" xfId="16679"/>
    <cellStyle name="Milliers 3 2 2 2 3 5 2 3" xfId="12359"/>
    <cellStyle name="Milliers 3 2 2 2 3 5 3" xfId="5879"/>
    <cellStyle name="Milliers 3 2 2 2 3 5 3 2" xfId="14519"/>
    <cellStyle name="Milliers 3 2 2 2 3 5 4" xfId="10199"/>
    <cellStyle name="Milliers 3 2 2 2 3 6" xfId="2279"/>
    <cellStyle name="Milliers 3 2 2 2 3 6 2" xfId="6599"/>
    <cellStyle name="Milliers 3 2 2 2 3 6 2 2" xfId="15239"/>
    <cellStyle name="Milliers 3 2 2 2 3 6 3" xfId="10919"/>
    <cellStyle name="Milliers 3 2 2 2 3 7" xfId="4439"/>
    <cellStyle name="Milliers 3 2 2 2 3 7 2" xfId="13079"/>
    <cellStyle name="Milliers 3 2 2 2 3 8" xfId="8759"/>
    <cellStyle name="Milliers 3 2 2 2 4" xfId="209"/>
    <cellStyle name="Milliers 3 2 2 2 4 2" xfId="569"/>
    <cellStyle name="Milliers 3 2 2 2 4 2 2" xfId="1289"/>
    <cellStyle name="Milliers 3 2 2 2 4 2 2 2" xfId="3449"/>
    <cellStyle name="Milliers 3 2 2 2 4 2 2 2 2" xfId="7769"/>
    <cellStyle name="Milliers 3 2 2 2 4 2 2 2 2 2" xfId="16409"/>
    <cellStyle name="Milliers 3 2 2 2 4 2 2 2 3" xfId="12089"/>
    <cellStyle name="Milliers 3 2 2 2 4 2 2 3" xfId="5609"/>
    <cellStyle name="Milliers 3 2 2 2 4 2 2 3 2" xfId="14249"/>
    <cellStyle name="Milliers 3 2 2 2 4 2 2 4" xfId="9929"/>
    <cellStyle name="Milliers 3 2 2 2 4 2 3" xfId="2009"/>
    <cellStyle name="Milliers 3 2 2 2 4 2 3 2" xfId="4169"/>
    <cellStyle name="Milliers 3 2 2 2 4 2 3 2 2" xfId="8489"/>
    <cellStyle name="Milliers 3 2 2 2 4 2 3 2 2 2" xfId="17129"/>
    <cellStyle name="Milliers 3 2 2 2 4 2 3 2 3" xfId="12809"/>
    <cellStyle name="Milliers 3 2 2 2 4 2 3 3" xfId="6329"/>
    <cellStyle name="Milliers 3 2 2 2 4 2 3 3 2" xfId="14969"/>
    <cellStyle name="Milliers 3 2 2 2 4 2 3 4" xfId="10649"/>
    <cellStyle name="Milliers 3 2 2 2 4 2 4" xfId="2729"/>
    <cellStyle name="Milliers 3 2 2 2 4 2 4 2" xfId="7049"/>
    <cellStyle name="Milliers 3 2 2 2 4 2 4 2 2" xfId="15689"/>
    <cellStyle name="Milliers 3 2 2 2 4 2 4 3" xfId="11369"/>
    <cellStyle name="Milliers 3 2 2 2 4 2 5" xfId="4889"/>
    <cellStyle name="Milliers 3 2 2 2 4 2 5 2" xfId="13529"/>
    <cellStyle name="Milliers 3 2 2 2 4 2 6" xfId="9209"/>
    <cellStyle name="Milliers 3 2 2 2 4 3" xfId="929"/>
    <cellStyle name="Milliers 3 2 2 2 4 3 2" xfId="3089"/>
    <cellStyle name="Milliers 3 2 2 2 4 3 2 2" xfId="7409"/>
    <cellStyle name="Milliers 3 2 2 2 4 3 2 2 2" xfId="16049"/>
    <cellStyle name="Milliers 3 2 2 2 4 3 2 3" xfId="11729"/>
    <cellStyle name="Milliers 3 2 2 2 4 3 3" xfId="5249"/>
    <cellStyle name="Milliers 3 2 2 2 4 3 3 2" xfId="13889"/>
    <cellStyle name="Milliers 3 2 2 2 4 3 4" xfId="9569"/>
    <cellStyle name="Milliers 3 2 2 2 4 4" xfId="1649"/>
    <cellStyle name="Milliers 3 2 2 2 4 4 2" xfId="3809"/>
    <cellStyle name="Milliers 3 2 2 2 4 4 2 2" xfId="8129"/>
    <cellStyle name="Milliers 3 2 2 2 4 4 2 2 2" xfId="16769"/>
    <cellStyle name="Milliers 3 2 2 2 4 4 2 3" xfId="12449"/>
    <cellStyle name="Milliers 3 2 2 2 4 4 3" xfId="5969"/>
    <cellStyle name="Milliers 3 2 2 2 4 4 3 2" xfId="14609"/>
    <cellStyle name="Milliers 3 2 2 2 4 4 4" xfId="10289"/>
    <cellStyle name="Milliers 3 2 2 2 4 5" xfId="2369"/>
    <cellStyle name="Milliers 3 2 2 2 4 5 2" xfId="6689"/>
    <cellStyle name="Milliers 3 2 2 2 4 5 2 2" xfId="15329"/>
    <cellStyle name="Milliers 3 2 2 2 4 5 3" xfId="11009"/>
    <cellStyle name="Milliers 3 2 2 2 4 6" xfId="4529"/>
    <cellStyle name="Milliers 3 2 2 2 4 6 2" xfId="13169"/>
    <cellStyle name="Milliers 3 2 2 2 4 7" xfId="8849"/>
    <cellStyle name="Milliers 3 2 2 2 5" xfId="389"/>
    <cellStyle name="Milliers 3 2 2 2 5 2" xfId="1109"/>
    <cellStyle name="Milliers 3 2 2 2 5 2 2" xfId="3269"/>
    <cellStyle name="Milliers 3 2 2 2 5 2 2 2" xfId="7589"/>
    <cellStyle name="Milliers 3 2 2 2 5 2 2 2 2" xfId="16229"/>
    <cellStyle name="Milliers 3 2 2 2 5 2 2 3" xfId="11909"/>
    <cellStyle name="Milliers 3 2 2 2 5 2 3" xfId="5429"/>
    <cellStyle name="Milliers 3 2 2 2 5 2 3 2" xfId="14069"/>
    <cellStyle name="Milliers 3 2 2 2 5 2 4" xfId="9749"/>
    <cellStyle name="Milliers 3 2 2 2 5 3" xfId="1829"/>
    <cellStyle name="Milliers 3 2 2 2 5 3 2" xfId="3989"/>
    <cellStyle name="Milliers 3 2 2 2 5 3 2 2" xfId="8309"/>
    <cellStyle name="Milliers 3 2 2 2 5 3 2 2 2" xfId="16949"/>
    <cellStyle name="Milliers 3 2 2 2 5 3 2 3" xfId="12629"/>
    <cellStyle name="Milliers 3 2 2 2 5 3 3" xfId="6149"/>
    <cellStyle name="Milliers 3 2 2 2 5 3 3 2" xfId="14789"/>
    <cellStyle name="Milliers 3 2 2 2 5 3 4" xfId="10469"/>
    <cellStyle name="Milliers 3 2 2 2 5 4" xfId="2549"/>
    <cellStyle name="Milliers 3 2 2 2 5 4 2" xfId="6869"/>
    <cellStyle name="Milliers 3 2 2 2 5 4 2 2" xfId="15509"/>
    <cellStyle name="Milliers 3 2 2 2 5 4 3" xfId="11189"/>
    <cellStyle name="Milliers 3 2 2 2 5 5" xfId="4709"/>
    <cellStyle name="Milliers 3 2 2 2 5 5 2" xfId="13349"/>
    <cellStyle name="Milliers 3 2 2 2 5 6" xfId="9029"/>
    <cellStyle name="Milliers 3 2 2 2 6" xfId="749"/>
    <cellStyle name="Milliers 3 2 2 2 6 2" xfId="2909"/>
    <cellStyle name="Milliers 3 2 2 2 6 2 2" xfId="7229"/>
    <cellStyle name="Milliers 3 2 2 2 6 2 2 2" xfId="15869"/>
    <cellStyle name="Milliers 3 2 2 2 6 2 3" xfId="11549"/>
    <cellStyle name="Milliers 3 2 2 2 6 3" xfId="5069"/>
    <cellStyle name="Milliers 3 2 2 2 6 3 2" xfId="13709"/>
    <cellStyle name="Milliers 3 2 2 2 6 4" xfId="9389"/>
    <cellStyle name="Milliers 3 2 2 2 7" xfId="1469"/>
    <cellStyle name="Milliers 3 2 2 2 7 2" xfId="3629"/>
    <cellStyle name="Milliers 3 2 2 2 7 2 2" xfId="7949"/>
    <cellStyle name="Milliers 3 2 2 2 7 2 2 2" xfId="16589"/>
    <cellStyle name="Milliers 3 2 2 2 7 2 3" xfId="12269"/>
    <cellStyle name="Milliers 3 2 2 2 7 3" xfId="5789"/>
    <cellStyle name="Milliers 3 2 2 2 7 3 2" xfId="14429"/>
    <cellStyle name="Milliers 3 2 2 2 7 4" xfId="10109"/>
    <cellStyle name="Milliers 3 2 2 2 8" xfId="2189"/>
    <cellStyle name="Milliers 3 2 2 2 8 2" xfId="6509"/>
    <cellStyle name="Milliers 3 2 2 2 8 2 2" xfId="15149"/>
    <cellStyle name="Milliers 3 2 2 2 8 3" xfId="10829"/>
    <cellStyle name="Milliers 3 2 2 2 9" xfId="4349"/>
    <cellStyle name="Milliers 3 2 2 2 9 2" xfId="12989"/>
    <cellStyle name="Milliers 3 2 2 3" xfId="44"/>
    <cellStyle name="Milliers 3 2 2 3 10" xfId="8684"/>
    <cellStyle name="Milliers 3 2 2 3 2" xfId="89"/>
    <cellStyle name="Milliers 3 2 2 3 2 2" xfId="179"/>
    <cellStyle name="Milliers 3 2 2 3 2 2 2" xfId="359"/>
    <cellStyle name="Milliers 3 2 2 3 2 2 2 2" xfId="719"/>
    <cellStyle name="Milliers 3 2 2 3 2 2 2 2 2" xfId="1439"/>
    <cellStyle name="Milliers 3 2 2 3 2 2 2 2 2 2" xfId="3599"/>
    <cellStyle name="Milliers 3 2 2 3 2 2 2 2 2 2 2" xfId="7919"/>
    <cellStyle name="Milliers 3 2 2 3 2 2 2 2 2 2 2 2" xfId="16559"/>
    <cellStyle name="Milliers 3 2 2 3 2 2 2 2 2 2 3" xfId="12239"/>
    <cellStyle name="Milliers 3 2 2 3 2 2 2 2 2 3" xfId="5759"/>
    <cellStyle name="Milliers 3 2 2 3 2 2 2 2 2 3 2" xfId="14399"/>
    <cellStyle name="Milliers 3 2 2 3 2 2 2 2 2 4" xfId="10079"/>
    <cellStyle name="Milliers 3 2 2 3 2 2 2 2 3" xfId="2159"/>
    <cellStyle name="Milliers 3 2 2 3 2 2 2 2 3 2" xfId="4319"/>
    <cellStyle name="Milliers 3 2 2 3 2 2 2 2 3 2 2" xfId="8639"/>
    <cellStyle name="Milliers 3 2 2 3 2 2 2 2 3 2 2 2" xfId="17279"/>
    <cellStyle name="Milliers 3 2 2 3 2 2 2 2 3 2 3" xfId="12959"/>
    <cellStyle name="Milliers 3 2 2 3 2 2 2 2 3 3" xfId="6479"/>
    <cellStyle name="Milliers 3 2 2 3 2 2 2 2 3 3 2" xfId="15119"/>
    <cellStyle name="Milliers 3 2 2 3 2 2 2 2 3 4" xfId="10799"/>
    <cellStyle name="Milliers 3 2 2 3 2 2 2 2 4" xfId="2879"/>
    <cellStyle name="Milliers 3 2 2 3 2 2 2 2 4 2" xfId="7199"/>
    <cellStyle name="Milliers 3 2 2 3 2 2 2 2 4 2 2" xfId="15839"/>
    <cellStyle name="Milliers 3 2 2 3 2 2 2 2 4 3" xfId="11519"/>
    <cellStyle name="Milliers 3 2 2 3 2 2 2 2 5" xfId="5039"/>
    <cellStyle name="Milliers 3 2 2 3 2 2 2 2 5 2" xfId="13679"/>
    <cellStyle name="Milliers 3 2 2 3 2 2 2 2 6" xfId="9359"/>
    <cellStyle name="Milliers 3 2 2 3 2 2 2 3" xfId="1079"/>
    <cellStyle name="Milliers 3 2 2 3 2 2 2 3 2" xfId="3239"/>
    <cellStyle name="Milliers 3 2 2 3 2 2 2 3 2 2" xfId="7559"/>
    <cellStyle name="Milliers 3 2 2 3 2 2 2 3 2 2 2" xfId="16199"/>
    <cellStyle name="Milliers 3 2 2 3 2 2 2 3 2 3" xfId="11879"/>
    <cellStyle name="Milliers 3 2 2 3 2 2 2 3 3" xfId="5399"/>
    <cellStyle name="Milliers 3 2 2 3 2 2 2 3 3 2" xfId="14039"/>
    <cellStyle name="Milliers 3 2 2 3 2 2 2 3 4" xfId="9719"/>
    <cellStyle name="Milliers 3 2 2 3 2 2 2 4" xfId="1799"/>
    <cellStyle name="Milliers 3 2 2 3 2 2 2 4 2" xfId="3959"/>
    <cellStyle name="Milliers 3 2 2 3 2 2 2 4 2 2" xfId="8279"/>
    <cellStyle name="Milliers 3 2 2 3 2 2 2 4 2 2 2" xfId="16919"/>
    <cellStyle name="Milliers 3 2 2 3 2 2 2 4 2 3" xfId="12599"/>
    <cellStyle name="Milliers 3 2 2 3 2 2 2 4 3" xfId="6119"/>
    <cellStyle name="Milliers 3 2 2 3 2 2 2 4 3 2" xfId="14759"/>
    <cellStyle name="Milliers 3 2 2 3 2 2 2 4 4" xfId="10439"/>
    <cellStyle name="Milliers 3 2 2 3 2 2 2 5" xfId="2519"/>
    <cellStyle name="Milliers 3 2 2 3 2 2 2 5 2" xfId="6839"/>
    <cellStyle name="Milliers 3 2 2 3 2 2 2 5 2 2" xfId="15479"/>
    <cellStyle name="Milliers 3 2 2 3 2 2 2 5 3" xfId="11159"/>
    <cellStyle name="Milliers 3 2 2 3 2 2 2 6" xfId="4679"/>
    <cellStyle name="Milliers 3 2 2 3 2 2 2 6 2" xfId="13319"/>
    <cellStyle name="Milliers 3 2 2 3 2 2 2 7" xfId="8999"/>
    <cellStyle name="Milliers 3 2 2 3 2 2 3" xfId="539"/>
    <cellStyle name="Milliers 3 2 2 3 2 2 3 2" xfId="1259"/>
    <cellStyle name="Milliers 3 2 2 3 2 2 3 2 2" xfId="3419"/>
    <cellStyle name="Milliers 3 2 2 3 2 2 3 2 2 2" xfId="7739"/>
    <cellStyle name="Milliers 3 2 2 3 2 2 3 2 2 2 2" xfId="16379"/>
    <cellStyle name="Milliers 3 2 2 3 2 2 3 2 2 3" xfId="12059"/>
    <cellStyle name="Milliers 3 2 2 3 2 2 3 2 3" xfId="5579"/>
    <cellStyle name="Milliers 3 2 2 3 2 2 3 2 3 2" xfId="14219"/>
    <cellStyle name="Milliers 3 2 2 3 2 2 3 2 4" xfId="9899"/>
    <cellStyle name="Milliers 3 2 2 3 2 2 3 3" xfId="1979"/>
    <cellStyle name="Milliers 3 2 2 3 2 2 3 3 2" xfId="4139"/>
    <cellStyle name="Milliers 3 2 2 3 2 2 3 3 2 2" xfId="8459"/>
    <cellStyle name="Milliers 3 2 2 3 2 2 3 3 2 2 2" xfId="17099"/>
    <cellStyle name="Milliers 3 2 2 3 2 2 3 3 2 3" xfId="12779"/>
    <cellStyle name="Milliers 3 2 2 3 2 2 3 3 3" xfId="6299"/>
    <cellStyle name="Milliers 3 2 2 3 2 2 3 3 3 2" xfId="14939"/>
    <cellStyle name="Milliers 3 2 2 3 2 2 3 3 4" xfId="10619"/>
    <cellStyle name="Milliers 3 2 2 3 2 2 3 4" xfId="2699"/>
    <cellStyle name="Milliers 3 2 2 3 2 2 3 4 2" xfId="7019"/>
    <cellStyle name="Milliers 3 2 2 3 2 2 3 4 2 2" xfId="15659"/>
    <cellStyle name="Milliers 3 2 2 3 2 2 3 4 3" xfId="11339"/>
    <cellStyle name="Milliers 3 2 2 3 2 2 3 5" xfId="4859"/>
    <cellStyle name="Milliers 3 2 2 3 2 2 3 5 2" xfId="13499"/>
    <cellStyle name="Milliers 3 2 2 3 2 2 3 6" xfId="9179"/>
    <cellStyle name="Milliers 3 2 2 3 2 2 4" xfId="899"/>
    <cellStyle name="Milliers 3 2 2 3 2 2 4 2" xfId="3059"/>
    <cellStyle name="Milliers 3 2 2 3 2 2 4 2 2" xfId="7379"/>
    <cellStyle name="Milliers 3 2 2 3 2 2 4 2 2 2" xfId="16019"/>
    <cellStyle name="Milliers 3 2 2 3 2 2 4 2 3" xfId="11699"/>
    <cellStyle name="Milliers 3 2 2 3 2 2 4 3" xfId="5219"/>
    <cellStyle name="Milliers 3 2 2 3 2 2 4 3 2" xfId="13859"/>
    <cellStyle name="Milliers 3 2 2 3 2 2 4 4" xfId="9539"/>
    <cellStyle name="Milliers 3 2 2 3 2 2 5" xfId="1619"/>
    <cellStyle name="Milliers 3 2 2 3 2 2 5 2" xfId="3779"/>
    <cellStyle name="Milliers 3 2 2 3 2 2 5 2 2" xfId="8099"/>
    <cellStyle name="Milliers 3 2 2 3 2 2 5 2 2 2" xfId="16739"/>
    <cellStyle name="Milliers 3 2 2 3 2 2 5 2 3" xfId="12419"/>
    <cellStyle name="Milliers 3 2 2 3 2 2 5 3" xfId="5939"/>
    <cellStyle name="Milliers 3 2 2 3 2 2 5 3 2" xfId="14579"/>
    <cellStyle name="Milliers 3 2 2 3 2 2 5 4" xfId="10259"/>
    <cellStyle name="Milliers 3 2 2 3 2 2 6" xfId="2339"/>
    <cellStyle name="Milliers 3 2 2 3 2 2 6 2" xfId="6659"/>
    <cellStyle name="Milliers 3 2 2 3 2 2 6 2 2" xfId="15299"/>
    <cellStyle name="Milliers 3 2 2 3 2 2 6 3" xfId="10979"/>
    <cellStyle name="Milliers 3 2 2 3 2 2 7" xfId="4499"/>
    <cellStyle name="Milliers 3 2 2 3 2 2 7 2" xfId="13139"/>
    <cellStyle name="Milliers 3 2 2 3 2 2 8" xfId="8819"/>
    <cellStyle name="Milliers 3 2 2 3 2 3" xfId="269"/>
    <cellStyle name="Milliers 3 2 2 3 2 3 2" xfId="629"/>
    <cellStyle name="Milliers 3 2 2 3 2 3 2 2" xfId="1349"/>
    <cellStyle name="Milliers 3 2 2 3 2 3 2 2 2" xfId="3509"/>
    <cellStyle name="Milliers 3 2 2 3 2 3 2 2 2 2" xfId="7829"/>
    <cellStyle name="Milliers 3 2 2 3 2 3 2 2 2 2 2" xfId="16469"/>
    <cellStyle name="Milliers 3 2 2 3 2 3 2 2 2 3" xfId="12149"/>
    <cellStyle name="Milliers 3 2 2 3 2 3 2 2 3" xfId="5669"/>
    <cellStyle name="Milliers 3 2 2 3 2 3 2 2 3 2" xfId="14309"/>
    <cellStyle name="Milliers 3 2 2 3 2 3 2 2 4" xfId="9989"/>
    <cellStyle name="Milliers 3 2 2 3 2 3 2 3" xfId="2069"/>
    <cellStyle name="Milliers 3 2 2 3 2 3 2 3 2" xfId="4229"/>
    <cellStyle name="Milliers 3 2 2 3 2 3 2 3 2 2" xfId="8549"/>
    <cellStyle name="Milliers 3 2 2 3 2 3 2 3 2 2 2" xfId="17189"/>
    <cellStyle name="Milliers 3 2 2 3 2 3 2 3 2 3" xfId="12869"/>
    <cellStyle name="Milliers 3 2 2 3 2 3 2 3 3" xfId="6389"/>
    <cellStyle name="Milliers 3 2 2 3 2 3 2 3 3 2" xfId="15029"/>
    <cellStyle name="Milliers 3 2 2 3 2 3 2 3 4" xfId="10709"/>
    <cellStyle name="Milliers 3 2 2 3 2 3 2 4" xfId="2789"/>
    <cellStyle name="Milliers 3 2 2 3 2 3 2 4 2" xfId="7109"/>
    <cellStyle name="Milliers 3 2 2 3 2 3 2 4 2 2" xfId="15749"/>
    <cellStyle name="Milliers 3 2 2 3 2 3 2 4 3" xfId="11429"/>
    <cellStyle name="Milliers 3 2 2 3 2 3 2 5" xfId="4949"/>
    <cellStyle name="Milliers 3 2 2 3 2 3 2 5 2" xfId="13589"/>
    <cellStyle name="Milliers 3 2 2 3 2 3 2 6" xfId="9269"/>
    <cellStyle name="Milliers 3 2 2 3 2 3 3" xfId="989"/>
    <cellStyle name="Milliers 3 2 2 3 2 3 3 2" xfId="3149"/>
    <cellStyle name="Milliers 3 2 2 3 2 3 3 2 2" xfId="7469"/>
    <cellStyle name="Milliers 3 2 2 3 2 3 3 2 2 2" xfId="16109"/>
    <cellStyle name="Milliers 3 2 2 3 2 3 3 2 3" xfId="11789"/>
    <cellStyle name="Milliers 3 2 2 3 2 3 3 3" xfId="5309"/>
    <cellStyle name="Milliers 3 2 2 3 2 3 3 3 2" xfId="13949"/>
    <cellStyle name="Milliers 3 2 2 3 2 3 3 4" xfId="9629"/>
    <cellStyle name="Milliers 3 2 2 3 2 3 4" xfId="1709"/>
    <cellStyle name="Milliers 3 2 2 3 2 3 4 2" xfId="3869"/>
    <cellStyle name="Milliers 3 2 2 3 2 3 4 2 2" xfId="8189"/>
    <cellStyle name="Milliers 3 2 2 3 2 3 4 2 2 2" xfId="16829"/>
    <cellStyle name="Milliers 3 2 2 3 2 3 4 2 3" xfId="12509"/>
    <cellStyle name="Milliers 3 2 2 3 2 3 4 3" xfId="6029"/>
    <cellStyle name="Milliers 3 2 2 3 2 3 4 3 2" xfId="14669"/>
    <cellStyle name="Milliers 3 2 2 3 2 3 4 4" xfId="10349"/>
    <cellStyle name="Milliers 3 2 2 3 2 3 5" xfId="2429"/>
    <cellStyle name="Milliers 3 2 2 3 2 3 5 2" xfId="6749"/>
    <cellStyle name="Milliers 3 2 2 3 2 3 5 2 2" xfId="15389"/>
    <cellStyle name="Milliers 3 2 2 3 2 3 5 3" xfId="11069"/>
    <cellStyle name="Milliers 3 2 2 3 2 3 6" xfId="4589"/>
    <cellStyle name="Milliers 3 2 2 3 2 3 6 2" xfId="13229"/>
    <cellStyle name="Milliers 3 2 2 3 2 3 7" xfId="8909"/>
    <cellStyle name="Milliers 3 2 2 3 2 4" xfId="449"/>
    <cellStyle name="Milliers 3 2 2 3 2 4 2" xfId="1169"/>
    <cellStyle name="Milliers 3 2 2 3 2 4 2 2" xfId="3329"/>
    <cellStyle name="Milliers 3 2 2 3 2 4 2 2 2" xfId="7649"/>
    <cellStyle name="Milliers 3 2 2 3 2 4 2 2 2 2" xfId="16289"/>
    <cellStyle name="Milliers 3 2 2 3 2 4 2 2 3" xfId="11969"/>
    <cellStyle name="Milliers 3 2 2 3 2 4 2 3" xfId="5489"/>
    <cellStyle name="Milliers 3 2 2 3 2 4 2 3 2" xfId="14129"/>
    <cellStyle name="Milliers 3 2 2 3 2 4 2 4" xfId="9809"/>
    <cellStyle name="Milliers 3 2 2 3 2 4 3" xfId="1889"/>
    <cellStyle name="Milliers 3 2 2 3 2 4 3 2" xfId="4049"/>
    <cellStyle name="Milliers 3 2 2 3 2 4 3 2 2" xfId="8369"/>
    <cellStyle name="Milliers 3 2 2 3 2 4 3 2 2 2" xfId="17009"/>
    <cellStyle name="Milliers 3 2 2 3 2 4 3 2 3" xfId="12689"/>
    <cellStyle name="Milliers 3 2 2 3 2 4 3 3" xfId="6209"/>
    <cellStyle name="Milliers 3 2 2 3 2 4 3 3 2" xfId="14849"/>
    <cellStyle name="Milliers 3 2 2 3 2 4 3 4" xfId="10529"/>
    <cellStyle name="Milliers 3 2 2 3 2 4 4" xfId="2609"/>
    <cellStyle name="Milliers 3 2 2 3 2 4 4 2" xfId="6929"/>
    <cellStyle name="Milliers 3 2 2 3 2 4 4 2 2" xfId="15569"/>
    <cellStyle name="Milliers 3 2 2 3 2 4 4 3" xfId="11249"/>
    <cellStyle name="Milliers 3 2 2 3 2 4 5" xfId="4769"/>
    <cellStyle name="Milliers 3 2 2 3 2 4 5 2" xfId="13409"/>
    <cellStyle name="Milliers 3 2 2 3 2 4 6" xfId="9089"/>
    <cellStyle name="Milliers 3 2 2 3 2 5" xfId="809"/>
    <cellStyle name="Milliers 3 2 2 3 2 5 2" xfId="2969"/>
    <cellStyle name="Milliers 3 2 2 3 2 5 2 2" xfId="7289"/>
    <cellStyle name="Milliers 3 2 2 3 2 5 2 2 2" xfId="15929"/>
    <cellStyle name="Milliers 3 2 2 3 2 5 2 3" xfId="11609"/>
    <cellStyle name="Milliers 3 2 2 3 2 5 3" xfId="5129"/>
    <cellStyle name="Milliers 3 2 2 3 2 5 3 2" xfId="13769"/>
    <cellStyle name="Milliers 3 2 2 3 2 5 4" xfId="9449"/>
    <cellStyle name="Milliers 3 2 2 3 2 6" xfId="1529"/>
    <cellStyle name="Milliers 3 2 2 3 2 6 2" xfId="3689"/>
    <cellStyle name="Milliers 3 2 2 3 2 6 2 2" xfId="8009"/>
    <cellStyle name="Milliers 3 2 2 3 2 6 2 2 2" xfId="16649"/>
    <cellStyle name="Milliers 3 2 2 3 2 6 2 3" xfId="12329"/>
    <cellStyle name="Milliers 3 2 2 3 2 6 3" xfId="5849"/>
    <cellStyle name="Milliers 3 2 2 3 2 6 3 2" xfId="14489"/>
    <cellStyle name="Milliers 3 2 2 3 2 6 4" xfId="10169"/>
    <cellStyle name="Milliers 3 2 2 3 2 7" xfId="2249"/>
    <cellStyle name="Milliers 3 2 2 3 2 7 2" xfId="6569"/>
    <cellStyle name="Milliers 3 2 2 3 2 7 2 2" xfId="15209"/>
    <cellStyle name="Milliers 3 2 2 3 2 7 3" xfId="10889"/>
    <cellStyle name="Milliers 3 2 2 3 2 8" xfId="4409"/>
    <cellStyle name="Milliers 3 2 2 3 2 8 2" xfId="13049"/>
    <cellStyle name="Milliers 3 2 2 3 2 9" xfId="8729"/>
    <cellStyle name="Milliers 3 2 2 3 3" xfId="134"/>
    <cellStyle name="Milliers 3 2 2 3 3 2" xfId="314"/>
    <cellStyle name="Milliers 3 2 2 3 3 2 2" xfId="674"/>
    <cellStyle name="Milliers 3 2 2 3 3 2 2 2" xfId="1394"/>
    <cellStyle name="Milliers 3 2 2 3 3 2 2 2 2" xfId="3554"/>
    <cellStyle name="Milliers 3 2 2 3 3 2 2 2 2 2" xfId="7874"/>
    <cellStyle name="Milliers 3 2 2 3 3 2 2 2 2 2 2" xfId="16514"/>
    <cellStyle name="Milliers 3 2 2 3 3 2 2 2 2 3" xfId="12194"/>
    <cellStyle name="Milliers 3 2 2 3 3 2 2 2 3" xfId="5714"/>
    <cellStyle name="Milliers 3 2 2 3 3 2 2 2 3 2" xfId="14354"/>
    <cellStyle name="Milliers 3 2 2 3 3 2 2 2 4" xfId="10034"/>
    <cellStyle name="Milliers 3 2 2 3 3 2 2 3" xfId="2114"/>
    <cellStyle name="Milliers 3 2 2 3 3 2 2 3 2" xfId="4274"/>
    <cellStyle name="Milliers 3 2 2 3 3 2 2 3 2 2" xfId="8594"/>
    <cellStyle name="Milliers 3 2 2 3 3 2 2 3 2 2 2" xfId="17234"/>
    <cellStyle name="Milliers 3 2 2 3 3 2 2 3 2 3" xfId="12914"/>
    <cellStyle name="Milliers 3 2 2 3 3 2 2 3 3" xfId="6434"/>
    <cellStyle name="Milliers 3 2 2 3 3 2 2 3 3 2" xfId="15074"/>
    <cellStyle name="Milliers 3 2 2 3 3 2 2 3 4" xfId="10754"/>
    <cellStyle name="Milliers 3 2 2 3 3 2 2 4" xfId="2834"/>
    <cellStyle name="Milliers 3 2 2 3 3 2 2 4 2" xfId="7154"/>
    <cellStyle name="Milliers 3 2 2 3 3 2 2 4 2 2" xfId="15794"/>
    <cellStyle name="Milliers 3 2 2 3 3 2 2 4 3" xfId="11474"/>
    <cellStyle name="Milliers 3 2 2 3 3 2 2 5" xfId="4994"/>
    <cellStyle name="Milliers 3 2 2 3 3 2 2 5 2" xfId="13634"/>
    <cellStyle name="Milliers 3 2 2 3 3 2 2 6" xfId="9314"/>
    <cellStyle name="Milliers 3 2 2 3 3 2 3" xfId="1034"/>
    <cellStyle name="Milliers 3 2 2 3 3 2 3 2" xfId="3194"/>
    <cellStyle name="Milliers 3 2 2 3 3 2 3 2 2" xfId="7514"/>
    <cellStyle name="Milliers 3 2 2 3 3 2 3 2 2 2" xfId="16154"/>
    <cellStyle name="Milliers 3 2 2 3 3 2 3 2 3" xfId="11834"/>
    <cellStyle name="Milliers 3 2 2 3 3 2 3 3" xfId="5354"/>
    <cellStyle name="Milliers 3 2 2 3 3 2 3 3 2" xfId="13994"/>
    <cellStyle name="Milliers 3 2 2 3 3 2 3 4" xfId="9674"/>
    <cellStyle name="Milliers 3 2 2 3 3 2 4" xfId="1754"/>
    <cellStyle name="Milliers 3 2 2 3 3 2 4 2" xfId="3914"/>
    <cellStyle name="Milliers 3 2 2 3 3 2 4 2 2" xfId="8234"/>
    <cellStyle name="Milliers 3 2 2 3 3 2 4 2 2 2" xfId="16874"/>
    <cellStyle name="Milliers 3 2 2 3 3 2 4 2 3" xfId="12554"/>
    <cellStyle name="Milliers 3 2 2 3 3 2 4 3" xfId="6074"/>
    <cellStyle name="Milliers 3 2 2 3 3 2 4 3 2" xfId="14714"/>
    <cellStyle name="Milliers 3 2 2 3 3 2 4 4" xfId="10394"/>
    <cellStyle name="Milliers 3 2 2 3 3 2 5" xfId="2474"/>
    <cellStyle name="Milliers 3 2 2 3 3 2 5 2" xfId="6794"/>
    <cellStyle name="Milliers 3 2 2 3 3 2 5 2 2" xfId="15434"/>
    <cellStyle name="Milliers 3 2 2 3 3 2 5 3" xfId="11114"/>
    <cellStyle name="Milliers 3 2 2 3 3 2 6" xfId="4634"/>
    <cellStyle name="Milliers 3 2 2 3 3 2 6 2" xfId="13274"/>
    <cellStyle name="Milliers 3 2 2 3 3 2 7" xfId="8954"/>
    <cellStyle name="Milliers 3 2 2 3 3 3" xfId="494"/>
    <cellStyle name="Milliers 3 2 2 3 3 3 2" xfId="1214"/>
    <cellStyle name="Milliers 3 2 2 3 3 3 2 2" xfId="3374"/>
    <cellStyle name="Milliers 3 2 2 3 3 3 2 2 2" xfId="7694"/>
    <cellStyle name="Milliers 3 2 2 3 3 3 2 2 2 2" xfId="16334"/>
    <cellStyle name="Milliers 3 2 2 3 3 3 2 2 3" xfId="12014"/>
    <cellStyle name="Milliers 3 2 2 3 3 3 2 3" xfId="5534"/>
    <cellStyle name="Milliers 3 2 2 3 3 3 2 3 2" xfId="14174"/>
    <cellStyle name="Milliers 3 2 2 3 3 3 2 4" xfId="9854"/>
    <cellStyle name="Milliers 3 2 2 3 3 3 3" xfId="1934"/>
    <cellStyle name="Milliers 3 2 2 3 3 3 3 2" xfId="4094"/>
    <cellStyle name="Milliers 3 2 2 3 3 3 3 2 2" xfId="8414"/>
    <cellStyle name="Milliers 3 2 2 3 3 3 3 2 2 2" xfId="17054"/>
    <cellStyle name="Milliers 3 2 2 3 3 3 3 2 3" xfId="12734"/>
    <cellStyle name="Milliers 3 2 2 3 3 3 3 3" xfId="6254"/>
    <cellStyle name="Milliers 3 2 2 3 3 3 3 3 2" xfId="14894"/>
    <cellStyle name="Milliers 3 2 2 3 3 3 3 4" xfId="10574"/>
    <cellStyle name="Milliers 3 2 2 3 3 3 4" xfId="2654"/>
    <cellStyle name="Milliers 3 2 2 3 3 3 4 2" xfId="6974"/>
    <cellStyle name="Milliers 3 2 2 3 3 3 4 2 2" xfId="15614"/>
    <cellStyle name="Milliers 3 2 2 3 3 3 4 3" xfId="11294"/>
    <cellStyle name="Milliers 3 2 2 3 3 3 5" xfId="4814"/>
    <cellStyle name="Milliers 3 2 2 3 3 3 5 2" xfId="13454"/>
    <cellStyle name="Milliers 3 2 2 3 3 3 6" xfId="9134"/>
    <cellStyle name="Milliers 3 2 2 3 3 4" xfId="854"/>
    <cellStyle name="Milliers 3 2 2 3 3 4 2" xfId="3014"/>
    <cellStyle name="Milliers 3 2 2 3 3 4 2 2" xfId="7334"/>
    <cellStyle name="Milliers 3 2 2 3 3 4 2 2 2" xfId="15974"/>
    <cellStyle name="Milliers 3 2 2 3 3 4 2 3" xfId="11654"/>
    <cellStyle name="Milliers 3 2 2 3 3 4 3" xfId="5174"/>
    <cellStyle name="Milliers 3 2 2 3 3 4 3 2" xfId="13814"/>
    <cellStyle name="Milliers 3 2 2 3 3 4 4" xfId="9494"/>
    <cellStyle name="Milliers 3 2 2 3 3 5" xfId="1574"/>
    <cellStyle name="Milliers 3 2 2 3 3 5 2" xfId="3734"/>
    <cellStyle name="Milliers 3 2 2 3 3 5 2 2" xfId="8054"/>
    <cellStyle name="Milliers 3 2 2 3 3 5 2 2 2" xfId="16694"/>
    <cellStyle name="Milliers 3 2 2 3 3 5 2 3" xfId="12374"/>
    <cellStyle name="Milliers 3 2 2 3 3 5 3" xfId="5894"/>
    <cellStyle name="Milliers 3 2 2 3 3 5 3 2" xfId="14534"/>
    <cellStyle name="Milliers 3 2 2 3 3 5 4" xfId="10214"/>
    <cellStyle name="Milliers 3 2 2 3 3 6" xfId="2294"/>
    <cellStyle name="Milliers 3 2 2 3 3 6 2" xfId="6614"/>
    <cellStyle name="Milliers 3 2 2 3 3 6 2 2" xfId="15254"/>
    <cellStyle name="Milliers 3 2 2 3 3 6 3" xfId="10934"/>
    <cellStyle name="Milliers 3 2 2 3 3 7" xfId="4454"/>
    <cellStyle name="Milliers 3 2 2 3 3 7 2" xfId="13094"/>
    <cellStyle name="Milliers 3 2 2 3 3 8" xfId="8774"/>
    <cellStyle name="Milliers 3 2 2 3 4" xfId="224"/>
    <cellStyle name="Milliers 3 2 2 3 4 2" xfId="584"/>
    <cellStyle name="Milliers 3 2 2 3 4 2 2" xfId="1304"/>
    <cellStyle name="Milliers 3 2 2 3 4 2 2 2" xfId="3464"/>
    <cellStyle name="Milliers 3 2 2 3 4 2 2 2 2" xfId="7784"/>
    <cellStyle name="Milliers 3 2 2 3 4 2 2 2 2 2" xfId="16424"/>
    <cellStyle name="Milliers 3 2 2 3 4 2 2 2 3" xfId="12104"/>
    <cellStyle name="Milliers 3 2 2 3 4 2 2 3" xfId="5624"/>
    <cellStyle name="Milliers 3 2 2 3 4 2 2 3 2" xfId="14264"/>
    <cellStyle name="Milliers 3 2 2 3 4 2 2 4" xfId="9944"/>
    <cellStyle name="Milliers 3 2 2 3 4 2 3" xfId="2024"/>
    <cellStyle name="Milliers 3 2 2 3 4 2 3 2" xfId="4184"/>
    <cellStyle name="Milliers 3 2 2 3 4 2 3 2 2" xfId="8504"/>
    <cellStyle name="Milliers 3 2 2 3 4 2 3 2 2 2" xfId="17144"/>
    <cellStyle name="Milliers 3 2 2 3 4 2 3 2 3" xfId="12824"/>
    <cellStyle name="Milliers 3 2 2 3 4 2 3 3" xfId="6344"/>
    <cellStyle name="Milliers 3 2 2 3 4 2 3 3 2" xfId="14984"/>
    <cellStyle name="Milliers 3 2 2 3 4 2 3 4" xfId="10664"/>
    <cellStyle name="Milliers 3 2 2 3 4 2 4" xfId="2744"/>
    <cellStyle name="Milliers 3 2 2 3 4 2 4 2" xfId="7064"/>
    <cellStyle name="Milliers 3 2 2 3 4 2 4 2 2" xfId="15704"/>
    <cellStyle name="Milliers 3 2 2 3 4 2 4 3" xfId="11384"/>
    <cellStyle name="Milliers 3 2 2 3 4 2 5" xfId="4904"/>
    <cellStyle name="Milliers 3 2 2 3 4 2 5 2" xfId="13544"/>
    <cellStyle name="Milliers 3 2 2 3 4 2 6" xfId="9224"/>
    <cellStyle name="Milliers 3 2 2 3 4 3" xfId="944"/>
    <cellStyle name="Milliers 3 2 2 3 4 3 2" xfId="3104"/>
    <cellStyle name="Milliers 3 2 2 3 4 3 2 2" xfId="7424"/>
    <cellStyle name="Milliers 3 2 2 3 4 3 2 2 2" xfId="16064"/>
    <cellStyle name="Milliers 3 2 2 3 4 3 2 3" xfId="11744"/>
    <cellStyle name="Milliers 3 2 2 3 4 3 3" xfId="5264"/>
    <cellStyle name="Milliers 3 2 2 3 4 3 3 2" xfId="13904"/>
    <cellStyle name="Milliers 3 2 2 3 4 3 4" xfId="9584"/>
    <cellStyle name="Milliers 3 2 2 3 4 4" xfId="1664"/>
    <cellStyle name="Milliers 3 2 2 3 4 4 2" xfId="3824"/>
    <cellStyle name="Milliers 3 2 2 3 4 4 2 2" xfId="8144"/>
    <cellStyle name="Milliers 3 2 2 3 4 4 2 2 2" xfId="16784"/>
    <cellStyle name="Milliers 3 2 2 3 4 4 2 3" xfId="12464"/>
    <cellStyle name="Milliers 3 2 2 3 4 4 3" xfId="5984"/>
    <cellStyle name="Milliers 3 2 2 3 4 4 3 2" xfId="14624"/>
    <cellStyle name="Milliers 3 2 2 3 4 4 4" xfId="10304"/>
    <cellStyle name="Milliers 3 2 2 3 4 5" xfId="2384"/>
    <cellStyle name="Milliers 3 2 2 3 4 5 2" xfId="6704"/>
    <cellStyle name="Milliers 3 2 2 3 4 5 2 2" xfId="15344"/>
    <cellStyle name="Milliers 3 2 2 3 4 5 3" xfId="11024"/>
    <cellStyle name="Milliers 3 2 2 3 4 6" xfId="4544"/>
    <cellStyle name="Milliers 3 2 2 3 4 6 2" xfId="13184"/>
    <cellStyle name="Milliers 3 2 2 3 4 7" xfId="8864"/>
    <cellStyle name="Milliers 3 2 2 3 5" xfId="404"/>
    <cellStyle name="Milliers 3 2 2 3 5 2" xfId="1124"/>
    <cellStyle name="Milliers 3 2 2 3 5 2 2" xfId="3284"/>
    <cellStyle name="Milliers 3 2 2 3 5 2 2 2" xfId="7604"/>
    <cellStyle name="Milliers 3 2 2 3 5 2 2 2 2" xfId="16244"/>
    <cellStyle name="Milliers 3 2 2 3 5 2 2 3" xfId="11924"/>
    <cellStyle name="Milliers 3 2 2 3 5 2 3" xfId="5444"/>
    <cellStyle name="Milliers 3 2 2 3 5 2 3 2" xfId="14084"/>
    <cellStyle name="Milliers 3 2 2 3 5 2 4" xfId="9764"/>
    <cellStyle name="Milliers 3 2 2 3 5 3" xfId="1844"/>
    <cellStyle name="Milliers 3 2 2 3 5 3 2" xfId="4004"/>
    <cellStyle name="Milliers 3 2 2 3 5 3 2 2" xfId="8324"/>
    <cellStyle name="Milliers 3 2 2 3 5 3 2 2 2" xfId="16964"/>
    <cellStyle name="Milliers 3 2 2 3 5 3 2 3" xfId="12644"/>
    <cellStyle name="Milliers 3 2 2 3 5 3 3" xfId="6164"/>
    <cellStyle name="Milliers 3 2 2 3 5 3 3 2" xfId="14804"/>
    <cellStyle name="Milliers 3 2 2 3 5 3 4" xfId="10484"/>
    <cellStyle name="Milliers 3 2 2 3 5 4" xfId="2564"/>
    <cellStyle name="Milliers 3 2 2 3 5 4 2" xfId="6884"/>
    <cellStyle name="Milliers 3 2 2 3 5 4 2 2" xfId="15524"/>
    <cellStyle name="Milliers 3 2 2 3 5 4 3" xfId="11204"/>
    <cellStyle name="Milliers 3 2 2 3 5 5" xfId="4724"/>
    <cellStyle name="Milliers 3 2 2 3 5 5 2" xfId="13364"/>
    <cellStyle name="Milliers 3 2 2 3 5 6" xfId="9044"/>
    <cellStyle name="Milliers 3 2 2 3 6" xfId="764"/>
    <cellStyle name="Milliers 3 2 2 3 6 2" xfId="2924"/>
    <cellStyle name="Milliers 3 2 2 3 6 2 2" xfId="7244"/>
    <cellStyle name="Milliers 3 2 2 3 6 2 2 2" xfId="15884"/>
    <cellStyle name="Milliers 3 2 2 3 6 2 3" xfId="11564"/>
    <cellStyle name="Milliers 3 2 2 3 6 3" xfId="5084"/>
    <cellStyle name="Milliers 3 2 2 3 6 3 2" xfId="13724"/>
    <cellStyle name="Milliers 3 2 2 3 6 4" xfId="9404"/>
    <cellStyle name="Milliers 3 2 2 3 7" xfId="1484"/>
    <cellStyle name="Milliers 3 2 2 3 7 2" xfId="3644"/>
    <cellStyle name="Milliers 3 2 2 3 7 2 2" xfId="7964"/>
    <cellStyle name="Milliers 3 2 2 3 7 2 2 2" xfId="16604"/>
    <cellStyle name="Milliers 3 2 2 3 7 2 3" xfId="12284"/>
    <cellStyle name="Milliers 3 2 2 3 7 3" xfId="5804"/>
    <cellStyle name="Milliers 3 2 2 3 7 3 2" xfId="14444"/>
    <cellStyle name="Milliers 3 2 2 3 7 4" xfId="10124"/>
    <cellStyle name="Milliers 3 2 2 3 8" xfId="2204"/>
    <cellStyle name="Milliers 3 2 2 3 8 2" xfId="6524"/>
    <cellStyle name="Milliers 3 2 2 3 8 2 2" xfId="15164"/>
    <cellStyle name="Milliers 3 2 2 3 8 3" xfId="10844"/>
    <cellStyle name="Milliers 3 2 2 3 9" xfId="4364"/>
    <cellStyle name="Milliers 3 2 2 3 9 2" xfId="13004"/>
    <cellStyle name="Milliers 3 2 2 4" xfId="59"/>
    <cellStyle name="Milliers 3 2 2 4 2" xfId="149"/>
    <cellStyle name="Milliers 3 2 2 4 2 2" xfId="329"/>
    <cellStyle name="Milliers 3 2 2 4 2 2 2" xfId="689"/>
    <cellStyle name="Milliers 3 2 2 4 2 2 2 2" xfId="1409"/>
    <cellStyle name="Milliers 3 2 2 4 2 2 2 2 2" xfId="3569"/>
    <cellStyle name="Milliers 3 2 2 4 2 2 2 2 2 2" xfId="7889"/>
    <cellStyle name="Milliers 3 2 2 4 2 2 2 2 2 2 2" xfId="16529"/>
    <cellStyle name="Milliers 3 2 2 4 2 2 2 2 2 3" xfId="12209"/>
    <cellStyle name="Milliers 3 2 2 4 2 2 2 2 3" xfId="5729"/>
    <cellStyle name="Milliers 3 2 2 4 2 2 2 2 3 2" xfId="14369"/>
    <cellStyle name="Milliers 3 2 2 4 2 2 2 2 4" xfId="10049"/>
    <cellStyle name="Milliers 3 2 2 4 2 2 2 3" xfId="2129"/>
    <cellStyle name="Milliers 3 2 2 4 2 2 2 3 2" xfId="4289"/>
    <cellStyle name="Milliers 3 2 2 4 2 2 2 3 2 2" xfId="8609"/>
    <cellStyle name="Milliers 3 2 2 4 2 2 2 3 2 2 2" xfId="17249"/>
    <cellStyle name="Milliers 3 2 2 4 2 2 2 3 2 3" xfId="12929"/>
    <cellStyle name="Milliers 3 2 2 4 2 2 2 3 3" xfId="6449"/>
    <cellStyle name="Milliers 3 2 2 4 2 2 2 3 3 2" xfId="15089"/>
    <cellStyle name="Milliers 3 2 2 4 2 2 2 3 4" xfId="10769"/>
    <cellStyle name="Milliers 3 2 2 4 2 2 2 4" xfId="2849"/>
    <cellStyle name="Milliers 3 2 2 4 2 2 2 4 2" xfId="7169"/>
    <cellStyle name="Milliers 3 2 2 4 2 2 2 4 2 2" xfId="15809"/>
    <cellStyle name="Milliers 3 2 2 4 2 2 2 4 3" xfId="11489"/>
    <cellStyle name="Milliers 3 2 2 4 2 2 2 5" xfId="5009"/>
    <cellStyle name="Milliers 3 2 2 4 2 2 2 5 2" xfId="13649"/>
    <cellStyle name="Milliers 3 2 2 4 2 2 2 6" xfId="9329"/>
    <cellStyle name="Milliers 3 2 2 4 2 2 3" xfId="1049"/>
    <cellStyle name="Milliers 3 2 2 4 2 2 3 2" xfId="3209"/>
    <cellStyle name="Milliers 3 2 2 4 2 2 3 2 2" xfId="7529"/>
    <cellStyle name="Milliers 3 2 2 4 2 2 3 2 2 2" xfId="16169"/>
    <cellStyle name="Milliers 3 2 2 4 2 2 3 2 3" xfId="11849"/>
    <cellStyle name="Milliers 3 2 2 4 2 2 3 3" xfId="5369"/>
    <cellStyle name="Milliers 3 2 2 4 2 2 3 3 2" xfId="14009"/>
    <cellStyle name="Milliers 3 2 2 4 2 2 3 4" xfId="9689"/>
    <cellStyle name="Milliers 3 2 2 4 2 2 4" xfId="1769"/>
    <cellStyle name="Milliers 3 2 2 4 2 2 4 2" xfId="3929"/>
    <cellStyle name="Milliers 3 2 2 4 2 2 4 2 2" xfId="8249"/>
    <cellStyle name="Milliers 3 2 2 4 2 2 4 2 2 2" xfId="16889"/>
    <cellStyle name="Milliers 3 2 2 4 2 2 4 2 3" xfId="12569"/>
    <cellStyle name="Milliers 3 2 2 4 2 2 4 3" xfId="6089"/>
    <cellStyle name="Milliers 3 2 2 4 2 2 4 3 2" xfId="14729"/>
    <cellStyle name="Milliers 3 2 2 4 2 2 4 4" xfId="10409"/>
    <cellStyle name="Milliers 3 2 2 4 2 2 5" xfId="2489"/>
    <cellStyle name="Milliers 3 2 2 4 2 2 5 2" xfId="6809"/>
    <cellStyle name="Milliers 3 2 2 4 2 2 5 2 2" xfId="15449"/>
    <cellStyle name="Milliers 3 2 2 4 2 2 5 3" xfId="11129"/>
    <cellStyle name="Milliers 3 2 2 4 2 2 6" xfId="4649"/>
    <cellStyle name="Milliers 3 2 2 4 2 2 6 2" xfId="13289"/>
    <cellStyle name="Milliers 3 2 2 4 2 2 7" xfId="8969"/>
    <cellStyle name="Milliers 3 2 2 4 2 3" xfId="509"/>
    <cellStyle name="Milliers 3 2 2 4 2 3 2" xfId="1229"/>
    <cellStyle name="Milliers 3 2 2 4 2 3 2 2" xfId="3389"/>
    <cellStyle name="Milliers 3 2 2 4 2 3 2 2 2" xfId="7709"/>
    <cellStyle name="Milliers 3 2 2 4 2 3 2 2 2 2" xfId="16349"/>
    <cellStyle name="Milliers 3 2 2 4 2 3 2 2 3" xfId="12029"/>
    <cellStyle name="Milliers 3 2 2 4 2 3 2 3" xfId="5549"/>
    <cellStyle name="Milliers 3 2 2 4 2 3 2 3 2" xfId="14189"/>
    <cellStyle name="Milliers 3 2 2 4 2 3 2 4" xfId="9869"/>
    <cellStyle name="Milliers 3 2 2 4 2 3 3" xfId="1949"/>
    <cellStyle name="Milliers 3 2 2 4 2 3 3 2" xfId="4109"/>
    <cellStyle name="Milliers 3 2 2 4 2 3 3 2 2" xfId="8429"/>
    <cellStyle name="Milliers 3 2 2 4 2 3 3 2 2 2" xfId="17069"/>
    <cellStyle name="Milliers 3 2 2 4 2 3 3 2 3" xfId="12749"/>
    <cellStyle name="Milliers 3 2 2 4 2 3 3 3" xfId="6269"/>
    <cellStyle name="Milliers 3 2 2 4 2 3 3 3 2" xfId="14909"/>
    <cellStyle name="Milliers 3 2 2 4 2 3 3 4" xfId="10589"/>
    <cellStyle name="Milliers 3 2 2 4 2 3 4" xfId="2669"/>
    <cellStyle name="Milliers 3 2 2 4 2 3 4 2" xfId="6989"/>
    <cellStyle name="Milliers 3 2 2 4 2 3 4 2 2" xfId="15629"/>
    <cellStyle name="Milliers 3 2 2 4 2 3 4 3" xfId="11309"/>
    <cellStyle name="Milliers 3 2 2 4 2 3 5" xfId="4829"/>
    <cellStyle name="Milliers 3 2 2 4 2 3 5 2" xfId="13469"/>
    <cellStyle name="Milliers 3 2 2 4 2 3 6" xfId="9149"/>
    <cellStyle name="Milliers 3 2 2 4 2 4" xfId="869"/>
    <cellStyle name="Milliers 3 2 2 4 2 4 2" xfId="3029"/>
    <cellStyle name="Milliers 3 2 2 4 2 4 2 2" xfId="7349"/>
    <cellStyle name="Milliers 3 2 2 4 2 4 2 2 2" xfId="15989"/>
    <cellStyle name="Milliers 3 2 2 4 2 4 2 3" xfId="11669"/>
    <cellStyle name="Milliers 3 2 2 4 2 4 3" xfId="5189"/>
    <cellStyle name="Milliers 3 2 2 4 2 4 3 2" xfId="13829"/>
    <cellStyle name="Milliers 3 2 2 4 2 4 4" xfId="9509"/>
    <cellStyle name="Milliers 3 2 2 4 2 5" xfId="1589"/>
    <cellStyle name="Milliers 3 2 2 4 2 5 2" xfId="3749"/>
    <cellStyle name="Milliers 3 2 2 4 2 5 2 2" xfId="8069"/>
    <cellStyle name="Milliers 3 2 2 4 2 5 2 2 2" xfId="16709"/>
    <cellStyle name="Milliers 3 2 2 4 2 5 2 3" xfId="12389"/>
    <cellStyle name="Milliers 3 2 2 4 2 5 3" xfId="5909"/>
    <cellStyle name="Milliers 3 2 2 4 2 5 3 2" xfId="14549"/>
    <cellStyle name="Milliers 3 2 2 4 2 5 4" xfId="10229"/>
    <cellStyle name="Milliers 3 2 2 4 2 6" xfId="2309"/>
    <cellStyle name="Milliers 3 2 2 4 2 6 2" xfId="6629"/>
    <cellStyle name="Milliers 3 2 2 4 2 6 2 2" xfId="15269"/>
    <cellStyle name="Milliers 3 2 2 4 2 6 3" xfId="10949"/>
    <cellStyle name="Milliers 3 2 2 4 2 7" xfId="4469"/>
    <cellStyle name="Milliers 3 2 2 4 2 7 2" xfId="13109"/>
    <cellStyle name="Milliers 3 2 2 4 2 8" xfId="8789"/>
    <cellStyle name="Milliers 3 2 2 4 3" xfId="239"/>
    <cellStyle name="Milliers 3 2 2 4 3 2" xfId="599"/>
    <cellStyle name="Milliers 3 2 2 4 3 2 2" xfId="1319"/>
    <cellStyle name="Milliers 3 2 2 4 3 2 2 2" xfId="3479"/>
    <cellStyle name="Milliers 3 2 2 4 3 2 2 2 2" xfId="7799"/>
    <cellStyle name="Milliers 3 2 2 4 3 2 2 2 2 2" xfId="16439"/>
    <cellStyle name="Milliers 3 2 2 4 3 2 2 2 3" xfId="12119"/>
    <cellStyle name="Milliers 3 2 2 4 3 2 2 3" xfId="5639"/>
    <cellStyle name="Milliers 3 2 2 4 3 2 2 3 2" xfId="14279"/>
    <cellStyle name="Milliers 3 2 2 4 3 2 2 4" xfId="9959"/>
    <cellStyle name="Milliers 3 2 2 4 3 2 3" xfId="2039"/>
    <cellStyle name="Milliers 3 2 2 4 3 2 3 2" xfId="4199"/>
    <cellStyle name="Milliers 3 2 2 4 3 2 3 2 2" xfId="8519"/>
    <cellStyle name="Milliers 3 2 2 4 3 2 3 2 2 2" xfId="17159"/>
    <cellStyle name="Milliers 3 2 2 4 3 2 3 2 3" xfId="12839"/>
    <cellStyle name="Milliers 3 2 2 4 3 2 3 3" xfId="6359"/>
    <cellStyle name="Milliers 3 2 2 4 3 2 3 3 2" xfId="14999"/>
    <cellStyle name="Milliers 3 2 2 4 3 2 3 4" xfId="10679"/>
    <cellStyle name="Milliers 3 2 2 4 3 2 4" xfId="2759"/>
    <cellStyle name="Milliers 3 2 2 4 3 2 4 2" xfId="7079"/>
    <cellStyle name="Milliers 3 2 2 4 3 2 4 2 2" xfId="15719"/>
    <cellStyle name="Milliers 3 2 2 4 3 2 4 3" xfId="11399"/>
    <cellStyle name="Milliers 3 2 2 4 3 2 5" xfId="4919"/>
    <cellStyle name="Milliers 3 2 2 4 3 2 5 2" xfId="13559"/>
    <cellStyle name="Milliers 3 2 2 4 3 2 6" xfId="9239"/>
    <cellStyle name="Milliers 3 2 2 4 3 3" xfId="959"/>
    <cellStyle name="Milliers 3 2 2 4 3 3 2" xfId="3119"/>
    <cellStyle name="Milliers 3 2 2 4 3 3 2 2" xfId="7439"/>
    <cellStyle name="Milliers 3 2 2 4 3 3 2 2 2" xfId="16079"/>
    <cellStyle name="Milliers 3 2 2 4 3 3 2 3" xfId="11759"/>
    <cellStyle name="Milliers 3 2 2 4 3 3 3" xfId="5279"/>
    <cellStyle name="Milliers 3 2 2 4 3 3 3 2" xfId="13919"/>
    <cellStyle name="Milliers 3 2 2 4 3 3 4" xfId="9599"/>
    <cellStyle name="Milliers 3 2 2 4 3 4" xfId="1679"/>
    <cellStyle name="Milliers 3 2 2 4 3 4 2" xfId="3839"/>
    <cellStyle name="Milliers 3 2 2 4 3 4 2 2" xfId="8159"/>
    <cellStyle name="Milliers 3 2 2 4 3 4 2 2 2" xfId="16799"/>
    <cellStyle name="Milliers 3 2 2 4 3 4 2 3" xfId="12479"/>
    <cellStyle name="Milliers 3 2 2 4 3 4 3" xfId="5999"/>
    <cellStyle name="Milliers 3 2 2 4 3 4 3 2" xfId="14639"/>
    <cellStyle name="Milliers 3 2 2 4 3 4 4" xfId="10319"/>
    <cellStyle name="Milliers 3 2 2 4 3 5" xfId="2399"/>
    <cellStyle name="Milliers 3 2 2 4 3 5 2" xfId="6719"/>
    <cellStyle name="Milliers 3 2 2 4 3 5 2 2" xfId="15359"/>
    <cellStyle name="Milliers 3 2 2 4 3 5 3" xfId="11039"/>
    <cellStyle name="Milliers 3 2 2 4 3 6" xfId="4559"/>
    <cellStyle name="Milliers 3 2 2 4 3 6 2" xfId="13199"/>
    <cellStyle name="Milliers 3 2 2 4 3 7" xfId="8879"/>
    <cellStyle name="Milliers 3 2 2 4 4" xfId="419"/>
    <cellStyle name="Milliers 3 2 2 4 4 2" xfId="1139"/>
    <cellStyle name="Milliers 3 2 2 4 4 2 2" xfId="3299"/>
    <cellStyle name="Milliers 3 2 2 4 4 2 2 2" xfId="7619"/>
    <cellStyle name="Milliers 3 2 2 4 4 2 2 2 2" xfId="16259"/>
    <cellStyle name="Milliers 3 2 2 4 4 2 2 3" xfId="11939"/>
    <cellStyle name="Milliers 3 2 2 4 4 2 3" xfId="5459"/>
    <cellStyle name="Milliers 3 2 2 4 4 2 3 2" xfId="14099"/>
    <cellStyle name="Milliers 3 2 2 4 4 2 4" xfId="9779"/>
    <cellStyle name="Milliers 3 2 2 4 4 3" xfId="1859"/>
    <cellStyle name="Milliers 3 2 2 4 4 3 2" xfId="4019"/>
    <cellStyle name="Milliers 3 2 2 4 4 3 2 2" xfId="8339"/>
    <cellStyle name="Milliers 3 2 2 4 4 3 2 2 2" xfId="16979"/>
    <cellStyle name="Milliers 3 2 2 4 4 3 2 3" xfId="12659"/>
    <cellStyle name="Milliers 3 2 2 4 4 3 3" xfId="6179"/>
    <cellStyle name="Milliers 3 2 2 4 4 3 3 2" xfId="14819"/>
    <cellStyle name="Milliers 3 2 2 4 4 3 4" xfId="10499"/>
    <cellStyle name="Milliers 3 2 2 4 4 4" xfId="2579"/>
    <cellStyle name="Milliers 3 2 2 4 4 4 2" xfId="6899"/>
    <cellStyle name="Milliers 3 2 2 4 4 4 2 2" xfId="15539"/>
    <cellStyle name="Milliers 3 2 2 4 4 4 3" xfId="11219"/>
    <cellStyle name="Milliers 3 2 2 4 4 5" xfId="4739"/>
    <cellStyle name="Milliers 3 2 2 4 4 5 2" xfId="13379"/>
    <cellStyle name="Milliers 3 2 2 4 4 6" xfId="9059"/>
    <cellStyle name="Milliers 3 2 2 4 5" xfId="779"/>
    <cellStyle name="Milliers 3 2 2 4 5 2" xfId="2939"/>
    <cellStyle name="Milliers 3 2 2 4 5 2 2" xfId="7259"/>
    <cellStyle name="Milliers 3 2 2 4 5 2 2 2" xfId="15899"/>
    <cellStyle name="Milliers 3 2 2 4 5 2 3" xfId="11579"/>
    <cellStyle name="Milliers 3 2 2 4 5 3" xfId="5099"/>
    <cellStyle name="Milliers 3 2 2 4 5 3 2" xfId="13739"/>
    <cellStyle name="Milliers 3 2 2 4 5 4" xfId="9419"/>
    <cellStyle name="Milliers 3 2 2 4 6" xfId="1499"/>
    <cellStyle name="Milliers 3 2 2 4 6 2" xfId="3659"/>
    <cellStyle name="Milliers 3 2 2 4 6 2 2" xfId="7979"/>
    <cellStyle name="Milliers 3 2 2 4 6 2 2 2" xfId="16619"/>
    <cellStyle name="Milliers 3 2 2 4 6 2 3" xfId="12299"/>
    <cellStyle name="Milliers 3 2 2 4 6 3" xfId="5819"/>
    <cellStyle name="Milliers 3 2 2 4 6 3 2" xfId="14459"/>
    <cellStyle name="Milliers 3 2 2 4 6 4" xfId="10139"/>
    <cellStyle name="Milliers 3 2 2 4 7" xfId="2219"/>
    <cellStyle name="Milliers 3 2 2 4 7 2" xfId="6539"/>
    <cellStyle name="Milliers 3 2 2 4 7 2 2" xfId="15179"/>
    <cellStyle name="Milliers 3 2 2 4 7 3" xfId="10859"/>
    <cellStyle name="Milliers 3 2 2 4 8" xfId="4379"/>
    <cellStyle name="Milliers 3 2 2 4 8 2" xfId="13019"/>
    <cellStyle name="Milliers 3 2 2 4 9" xfId="8699"/>
    <cellStyle name="Milliers 3 2 2 5" xfId="104"/>
    <cellStyle name="Milliers 3 2 2 5 2" xfId="284"/>
    <cellStyle name="Milliers 3 2 2 5 2 2" xfId="644"/>
    <cellStyle name="Milliers 3 2 2 5 2 2 2" xfId="1364"/>
    <cellStyle name="Milliers 3 2 2 5 2 2 2 2" xfId="3524"/>
    <cellStyle name="Milliers 3 2 2 5 2 2 2 2 2" xfId="7844"/>
    <cellStyle name="Milliers 3 2 2 5 2 2 2 2 2 2" xfId="16484"/>
    <cellStyle name="Milliers 3 2 2 5 2 2 2 2 3" xfId="12164"/>
    <cellStyle name="Milliers 3 2 2 5 2 2 2 3" xfId="5684"/>
    <cellStyle name="Milliers 3 2 2 5 2 2 2 3 2" xfId="14324"/>
    <cellStyle name="Milliers 3 2 2 5 2 2 2 4" xfId="10004"/>
    <cellStyle name="Milliers 3 2 2 5 2 2 3" xfId="2084"/>
    <cellStyle name="Milliers 3 2 2 5 2 2 3 2" xfId="4244"/>
    <cellStyle name="Milliers 3 2 2 5 2 2 3 2 2" xfId="8564"/>
    <cellStyle name="Milliers 3 2 2 5 2 2 3 2 2 2" xfId="17204"/>
    <cellStyle name="Milliers 3 2 2 5 2 2 3 2 3" xfId="12884"/>
    <cellStyle name="Milliers 3 2 2 5 2 2 3 3" xfId="6404"/>
    <cellStyle name="Milliers 3 2 2 5 2 2 3 3 2" xfId="15044"/>
    <cellStyle name="Milliers 3 2 2 5 2 2 3 4" xfId="10724"/>
    <cellStyle name="Milliers 3 2 2 5 2 2 4" xfId="2804"/>
    <cellStyle name="Milliers 3 2 2 5 2 2 4 2" xfId="7124"/>
    <cellStyle name="Milliers 3 2 2 5 2 2 4 2 2" xfId="15764"/>
    <cellStyle name="Milliers 3 2 2 5 2 2 4 3" xfId="11444"/>
    <cellStyle name="Milliers 3 2 2 5 2 2 5" xfId="4964"/>
    <cellStyle name="Milliers 3 2 2 5 2 2 5 2" xfId="13604"/>
    <cellStyle name="Milliers 3 2 2 5 2 2 6" xfId="9284"/>
    <cellStyle name="Milliers 3 2 2 5 2 3" xfId="1004"/>
    <cellStyle name="Milliers 3 2 2 5 2 3 2" xfId="3164"/>
    <cellStyle name="Milliers 3 2 2 5 2 3 2 2" xfId="7484"/>
    <cellStyle name="Milliers 3 2 2 5 2 3 2 2 2" xfId="16124"/>
    <cellStyle name="Milliers 3 2 2 5 2 3 2 3" xfId="11804"/>
    <cellStyle name="Milliers 3 2 2 5 2 3 3" xfId="5324"/>
    <cellStyle name="Milliers 3 2 2 5 2 3 3 2" xfId="13964"/>
    <cellStyle name="Milliers 3 2 2 5 2 3 4" xfId="9644"/>
    <cellStyle name="Milliers 3 2 2 5 2 4" xfId="1724"/>
    <cellStyle name="Milliers 3 2 2 5 2 4 2" xfId="3884"/>
    <cellStyle name="Milliers 3 2 2 5 2 4 2 2" xfId="8204"/>
    <cellStyle name="Milliers 3 2 2 5 2 4 2 2 2" xfId="16844"/>
    <cellStyle name="Milliers 3 2 2 5 2 4 2 3" xfId="12524"/>
    <cellStyle name="Milliers 3 2 2 5 2 4 3" xfId="6044"/>
    <cellStyle name="Milliers 3 2 2 5 2 4 3 2" xfId="14684"/>
    <cellStyle name="Milliers 3 2 2 5 2 4 4" xfId="10364"/>
    <cellStyle name="Milliers 3 2 2 5 2 5" xfId="2444"/>
    <cellStyle name="Milliers 3 2 2 5 2 5 2" xfId="6764"/>
    <cellStyle name="Milliers 3 2 2 5 2 5 2 2" xfId="15404"/>
    <cellStyle name="Milliers 3 2 2 5 2 5 3" xfId="11084"/>
    <cellStyle name="Milliers 3 2 2 5 2 6" xfId="4604"/>
    <cellStyle name="Milliers 3 2 2 5 2 6 2" xfId="13244"/>
    <cellStyle name="Milliers 3 2 2 5 2 7" xfId="8924"/>
    <cellStyle name="Milliers 3 2 2 5 3" xfId="464"/>
    <cellStyle name="Milliers 3 2 2 5 3 2" xfId="1184"/>
    <cellStyle name="Milliers 3 2 2 5 3 2 2" xfId="3344"/>
    <cellStyle name="Milliers 3 2 2 5 3 2 2 2" xfId="7664"/>
    <cellStyle name="Milliers 3 2 2 5 3 2 2 2 2" xfId="16304"/>
    <cellStyle name="Milliers 3 2 2 5 3 2 2 3" xfId="11984"/>
    <cellStyle name="Milliers 3 2 2 5 3 2 3" xfId="5504"/>
    <cellStyle name="Milliers 3 2 2 5 3 2 3 2" xfId="14144"/>
    <cellStyle name="Milliers 3 2 2 5 3 2 4" xfId="9824"/>
    <cellStyle name="Milliers 3 2 2 5 3 3" xfId="1904"/>
    <cellStyle name="Milliers 3 2 2 5 3 3 2" xfId="4064"/>
    <cellStyle name="Milliers 3 2 2 5 3 3 2 2" xfId="8384"/>
    <cellStyle name="Milliers 3 2 2 5 3 3 2 2 2" xfId="17024"/>
    <cellStyle name="Milliers 3 2 2 5 3 3 2 3" xfId="12704"/>
    <cellStyle name="Milliers 3 2 2 5 3 3 3" xfId="6224"/>
    <cellStyle name="Milliers 3 2 2 5 3 3 3 2" xfId="14864"/>
    <cellStyle name="Milliers 3 2 2 5 3 3 4" xfId="10544"/>
    <cellStyle name="Milliers 3 2 2 5 3 4" xfId="2624"/>
    <cellStyle name="Milliers 3 2 2 5 3 4 2" xfId="6944"/>
    <cellStyle name="Milliers 3 2 2 5 3 4 2 2" xfId="15584"/>
    <cellStyle name="Milliers 3 2 2 5 3 4 3" xfId="11264"/>
    <cellStyle name="Milliers 3 2 2 5 3 5" xfId="4784"/>
    <cellStyle name="Milliers 3 2 2 5 3 5 2" xfId="13424"/>
    <cellStyle name="Milliers 3 2 2 5 3 6" xfId="9104"/>
    <cellStyle name="Milliers 3 2 2 5 4" xfId="824"/>
    <cellStyle name="Milliers 3 2 2 5 4 2" xfId="2984"/>
    <cellStyle name="Milliers 3 2 2 5 4 2 2" xfId="7304"/>
    <cellStyle name="Milliers 3 2 2 5 4 2 2 2" xfId="15944"/>
    <cellStyle name="Milliers 3 2 2 5 4 2 3" xfId="11624"/>
    <cellStyle name="Milliers 3 2 2 5 4 3" xfId="5144"/>
    <cellStyle name="Milliers 3 2 2 5 4 3 2" xfId="13784"/>
    <cellStyle name="Milliers 3 2 2 5 4 4" xfId="9464"/>
    <cellStyle name="Milliers 3 2 2 5 5" xfId="1544"/>
    <cellStyle name="Milliers 3 2 2 5 5 2" xfId="3704"/>
    <cellStyle name="Milliers 3 2 2 5 5 2 2" xfId="8024"/>
    <cellStyle name="Milliers 3 2 2 5 5 2 2 2" xfId="16664"/>
    <cellStyle name="Milliers 3 2 2 5 5 2 3" xfId="12344"/>
    <cellStyle name="Milliers 3 2 2 5 5 3" xfId="5864"/>
    <cellStyle name="Milliers 3 2 2 5 5 3 2" xfId="14504"/>
    <cellStyle name="Milliers 3 2 2 5 5 4" xfId="10184"/>
    <cellStyle name="Milliers 3 2 2 5 6" xfId="2264"/>
    <cellStyle name="Milliers 3 2 2 5 6 2" xfId="6584"/>
    <cellStyle name="Milliers 3 2 2 5 6 2 2" xfId="15224"/>
    <cellStyle name="Milliers 3 2 2 5 6 3" xfId="10904"/>
    <cellStyle name="Milliers 3 2 2 5 7" xfId="4424"/>
    <cellStyle name="Milliers 3 2 2 5 7 2" xfId="13064"/>
    <cellStyle name="Milliers 3 2 2 5 8" xfId="8744"/>
    <cellStyle name="Milliers 3 2 2 6" xfId="194"/>
    <cellStyle name="Milliers 3 2 2 6 2" xfId="554"/>
    <cellStyle name="Milliers 3 2 2 6 2 2" xfId="1274"/>
    <cellStyle name="Milliers 3 2 2 6 2 2 2" xfId="3434"/>
    <cellStyle name="Milliers 3 2 2 6 2 2 2 2" xfId="7754"/>
    <cellStyle name="Milliers 3 2 2 6 2 2 2 2 2" xfId="16394"/>
    <cellStyle name="Milliers 3 2 2 6 2 2 2 3" xfId="12074"/>
    <cellStyle name="Milliers 3 2 2 6 2 2 3" xfId="5594"/>
    <cellStyle name="Milliers 3 2 2 6 2 2 3 2" xfId="14234"/>
    <cellStyle name="Milliers 3 2 2 6 2 2 4" xfId="9914"/>
    <cellStyle name="Milliers 3 2 2 6 2 3" xfId="1994"/>
    <cellStyle name="Milliers 3 2 2 6 2 3 2" xfId="4154"/>
    <cellStyle name="Milliers 3 2 2 6 2 3 2 2" xfId="8474"/>
    <cellStyle name="Milliers 3 2 2 6 2 3 2 2 2" xfId="17114"/>
    <cellStyle name="Milliers 3 2 2 6 2 3 2 3" xfId="12794"/>
    <cellStyle name="Milliers 3 2 2 6 2 3 3" xfId="6314"/>
    <cellStyle name="Milliers 3 2 2 6 2 3 3 2" xfId="14954"/>
    <cellStyle name="Milliers 3 2 2 6 2 3 4" xfId="10634"/>
    <cellStyle name="Milliers 3 2 2 6 2 4" xfId="2714"/>
    <cellStyle name="Milliers 3 2 2 6 2 4 2" xfId="7034"/>
    <cellStyle name="Milliers 3 2 2 6 2 4 2 2" xfId="15674"/>
    <cellStyle name="Milliers 3 2 2 6 2 4 3" xfId="11354"/>
    <cellStyle name="Milliers 3 2 2 6 2 5" xfId="4874"/>
    <cellStyle name="Milliers 3 2 2 6 2 5 2" xfId="13514"/>
    <cellStyle name="Milliers 3 2 2 6 2 6" xfId="9194"/>
    <cellStyle name="Milliers 3 2 2 6 3" xfId="914"/>
    <cellStyle name="Milliers 3 2 2 6 3 2" xfId="3074"/>
    <cellStyle name="Milliers 3 2 2 6 3 2 2" xfId="7394"/>
    <cellStyle name="Milliers 3 2 2 6 3 2 2 2" xfId="16034"/>
    <cellStyle name="Milliers 3 2 2 6 3 2 3" xfId="11714"/>
    <cellStyle name="Milliers 3 2 2 6 3 3" xfId="5234"/>
    <cellStyle name="Milliers 3 2 2 6 3 3 2" xfId="13874"/>
    <cellStyle name="Milliers 3 2 2 6 3 4" xfId="9554"/>
    <cellStyle name="Milliers 3 2 2 6 4" xfId="1634"/>
    <cellStyle name="Milliers 3 2 2 6 4 2" xfId="3794"/>
    <cellStyle name="Milliers 3 2 2 6 4 2 2" xfId="8114"/>
    <cellStyle name="Milliers 3 2 2 6 4 2 2 2" xfId="16754"/>
    <cellStyle name="Milliers 3 2 2 6 4 2 3" xfId="12434"/>
    <cellStyle name="Milliers 3 2 2 6 4 3" xfId="5954"/>
    <cellStyle name="Milliers 3 2 2 6 4 3 2" xfId="14594"/>
    <cellStyle name="Milliers 3 2 2 6 4 4" xfId="10274"/>
    <cellStyle name="Milliers 3 2 2 6 5" xfId="2354"/>
    <cellStyle name="Milliers 3 2 2 6 5 2" xfId="6674"/>
    <cellStyle name="Milliers 3 2 2 6 5 2 2" xfId="15314"/>
    <cellStyle name="Milliers 3 2 2 6 5 3" xfId="10994"/>
    <cellStyle name="Milliers 3 2 2 6 6" xfId="4514"/>
    <cellStyle name="Milliers 3 2 2 6 6 2" xfId="13154"/>
    <cellStyle name="Milliers 3 2 2 6 7" xfId="8834"/>
    <cellStyle name="Milliers 3 2 2 7" xfId="374"/>
    <cellStyle name="Milliers 3 2 2 7 2" xfId="1094"/>
    <cellStyle name="Milliers 3 2 2 7 2 2" xfId="3254"/>
    <cellStyle name="Milliers 3 2 2 7 2 2 2" xfId="7574"/>
    <cellStyle name="Milliers 3 2 2 7 2 2 2 2" xfId="16214"/>
    <cellStyle name="Milliers 3 2 2 7 2 2 3" xfId="11894"/>
    <cellStyle name="Milliers 3 2 2 7 2 3" xfId="5414"/>
    <cellStyle name="Milliers 3 2 2 7 2 3 2" xfId="14054"/>
    <cellStyle name="Milliers 3 2 2 7 2 4" xfId="9734"/>
    <cellStyle name="Milliers 3 2 2 7 3" xfId="1814"/>
    <cellStyle name="Milliers 3 2 2 7 3 2" xfId="3974"/>
    <cellStyle name="Milliers 3 2 2 7 3 2 2" xfId="8294"/>
    <cellStyle name="Milliers 3 2 2 7 3 2 2 2" xfId="16934"/>
    <cellStyle name="Milliers 3 2 2 7 3 2 3" xfId="12614"/>
    <cellStyle name="Milliers 3 2 2 7 3 3" xfId="6134"/>
    <cellStyle name="Milliers 3 2 2 7 3 3 2" xfId="14774"/>
    <cellStyle name="Milliers 3 2 2 7 3 4" xfId="10454"/>
    <cellStyle name="Milliers 3 2 2 7 4" xfId="2534"/>
    <cellStyle name="Milliers 3 2 2 7 4 2" xfId="6854"/>
    <cellStyle name="Milliers 3 2 2 7 4 2 2" xfId="15494"/>
    <cellStyle name="Milliers 3 2 2 7 4 3" xfId="11174"/>
    <cellStyle name="Milliers 3 2 2 7 5" xfId="4694"/>
    <cellStyle name="Milliers 3 2 2 7 5 2" xfId="13334"/>
    <cellStyle name="Milliers 3 2 2 7 6" xfId="9014"/>
    <cellStyle name="Milliers 3 2 2 8" xfId="734"/>
    <cellStyle name="Milliers 3 2 2 8 2" xfId="2894"/>
    <cellStyle name="Milliers 3 2 2 8 2 2" xfId="7214"/>
    <cellStyle name="Milliers 3 2 2 8 2 2 2" xfId="15854"/>
    <cellStyle name="Milliers 3 2 2 8 2 3" xfId="11534"/>
    <cellStyle name="Milliers 3 2 2 8 3" xfId="5054"/>
    <cellStyle name="Milliers 3 2 2 8 3 2" xfId="13694"/>
    <cellStyle name="Milliers 3 2 2 8 4" xfId="9374"/>
    <cellStyle name="Milliers 3 2 2 9" xfId="1454"/>
    <cellStyle name="Milliers 3 2 2 9 2" xfId="3614"/>
    <cellStyle name="Milliers 3 2 2 9 2 2" xfId="7934"/>
    <cellStyle name="Milliers 3 2 2 9 2 2 2" xfId="16574"/>
    <cellStyle name="Milliers 3 2 2 9 2 3" xfId="12254"/>
    <cellStyle name="Milliers 3 2 2 9 3" xfId="5774"/>
    <cellStyle name="Milliers 3 2 2 9 3 2" xfId="14414"/>
    <cellStyle name="Milliers 3 2 2 9 4" xfId="10094"/>
    <cellStyle name="Milliers 3 2 3" xfId="23"/>
    <cellStyle name="Milliers 3 2 3 10" xfId="8663"/>
    <cellStyle name="Milliers 3 2 3 2" xfId="68"/>
    <cellStyle name="Milliers 3 2 3 2 2" xfId="158"/>
    <cellStyle name="Milliers 3 2 3 2 2 2" xfId="338"/>
    <cellStyle name="Milliers 3 2 3 2 2 2 2" xfId="698"/>
    <cellStyle name="Milliers 3 2 3 2 2 2 2 2" xfId="1418"/>
    <cellStyle name="Milliers 3 2 3 2 2 2 2 2 2" xfId="3578"/>
    <cellStyle name="Milliers 3 2 3 2 2 2 2 2 2 2" xfId="7898"/>
    <cellStyle name="Milliers 3 2 3 2 2 2 2 2 2 2 2" xfId="16538"/>
    <cellStyle name="Milliers 3 2 3 2 2 2 2 2 2 3" xfId="12218"/>
    <cellStyle name="Milliers 3 2 3 2 2 2 2 2 3" xfId="5738"/>
    <cellStyle name="Milliers 3 2 3 2 2 2 2 2 3 2" xfId="14378"/>
    <cellStyle name="Milliers 3 2 3 2 2 2 2 2 4" xfId="10058"/>
    <cellStyle name="Milliers 3 2 3 2 2 2 2 3" xfId="2138"/>
    <cellStyle name="Milliers 3 2 3 2 2 2 2 3 2" xfId="4298"/>
    <cellStyle name="Milliers 3 2 3 2 2 2 2 3 2 2" xfId="8618"/>
    <cellStyle name="Milliers 3 2 3 2 2 2 2 3 2 2 2" xfId="17258"/>
    <cellStyle name="Milliers 3 2 3 2 2 2 2 3 2 3" xfId="12938"/>
    <cellStyle name="Milliers 3 2 3 2 2 2 2 3 3" xfId="6458"/>
    <cellStyle name="Milliers 3 2 3 2 2 2 2 3 3 2" xfId="15098"/>
    <cellStyle name="Milliers 3 2 3 2 2 2 2 3 4" xfId="10778"/>
    <cellStyle name="Milliers 3 2 3 2 2 2 2 4" xfId="2858"/>
    <cellStyle name="Milliers 3 2 3 2 2 2 2 4 2" xfId="7178"/>
    <cellStyle name="Milliers 3 2 3 2 2 2 2 4 2 2" xfId="15818"/>
    <cellStyle name="Milliers 3 2 3 2 2 2 2 4 3" xfId="11498"/>
    <cellStyle name="Milliers 3 2 3 2 2 2 2 5" xfId="5018"/>
    <cellStyle name="Milliers 3 2 3 2 2 2 2 5 2" xfId="13658"/>
    <cellStyle name="Milliers 3 2 3 2 2 2 2 6" xfId="9338"/>
    <cellStyle name="Milliers 3 2 3 2 2 2 3" xfId="1058"/>
    <cellStyle name="Milliers 3 2 3 2 2 2 3 2" xfId="3218"/>
    <cellStyle name="Milliers 3 2 3 2 2 2 3 2 2" xfId="7538"/>
    <cellStyle name="Milliers 3 2 3 2 2 2 3 2 2 2" xfId="16178"/>
    <cellStyle name="Milliers 3 2 3 2 2 2 3 2 3" xfId="11858"/>
    <cellStyle name="Milliers 3 2 3 2 2 2 3 3" xfId="5378"/>
    <cellStyle name="Milliers 3 2 3 2 2 2 3 3 2" xfId="14018"/>
    <cellStyle name="Milliers 3 2 3 2 2 2 3 4" xfId="9698"/>
    <cellStyle name="Milliers 3 2 3 2 2 2 4" xfId="1778"/>
    <cellStyle name="Milliers 3 2 3 2 2 2 4 2" xfId="3938"/>
    <cellStyle name="Milliers 3 2 3 2 2 2 4 2 2" xfId="8258"/>
    <cellStyle name="Milliers 3 2 3 2 2 2 4 2 2 2" xfId="16898"/>
    <cellStyle name="Milliers 3 2 3 2 2 2 4 2 3" xfId="12578"/>
    <cellStyle name="Milliers 3 2 3 2 2 2 4 3" xfId="6098"/>
    <cellStyle name="Milliers 3 2 3 2 2 2 4 3 2" xfId="14738"/>
    <cellStyle name="Milliers 3 2 3 2 2 2 4 4" xfId="10418"/>
    <cellStyle name="Milliers 3 2 3 2 2 2 5" xfId="2498"/>
    <cellStyle name="Milliers 3 2 3 2 2 2 5 2" xfId="6818"/>
    <cellStyle name="Milliers 3 2 3 2 2 2 5 2 2" xfId="15458"/>
    <cellStyle name="Milliers 3 2 3 2 2 2 5 3" xfId="11138"/>
    <cellStyle name="Milliers 3 2 3 2 2 2 6" xfId="4658"/>
    <cellStyle name="Milliers 3 2 3 2 2 2 6 2" xfId="13298"/>
    <cellStyle name="Milliers 3 2 3 2 2 2 7" xfId="8978"/>
    <cellStyle name="Milliers 3 2 3 2 2 3" xfId="518"/>
    <cellStyle name="Milliers 3 2 3 2 2 3 2" xfId="1238"/>
    <cellStyle name="Milliers 3 2 3 2 2 3 2 2" xfId="3398"/>
    <cellStyle name="Milliers 3 2 3 2 2 3 2 2 2" xfId="7718"/>
    <cellStyle name="Milliers 3 2 3 2 2 3 2 2 2 2" xfId="16358"/>
    <cellStyle name="Milliers 3 2 3 2 2 3 2 2 3" xfId="12038"/>
    <cellStyle name="Milliers 3 2 3 2 2 3 2 3" xfId="5558"/>
    <cellStyle name="Milliers 3 2 3 2 2 3 2 3 2" xfId="14198"/>
    <cellStyle name="Milliers 3 2 3 2 2 3 2 4" xfId="9878"/>
    <cellStyle name="Milliers 3 2 3 2 2 3 3" xfId="1958"/>
    <cellStyle name="Milliers 3 2 3 2 2 3 3 2" xfId="4118"/>
    <cellStyle name="Milliers 3 2 3 2 2 3 3 2 2" xfId="8438"/>
    <cellStyle name="Milliers 3 2 3 2 2 3 3 2 2 2" xfId="17078"/>
    <cellStyle name="Milliers 3 2 3 2 2 3 3 2 3" xfId="12758"/>
    <cellStyle name="Milliers 3 2 3 2 2 3 3 3" xfId="6278"/>
    <cellStyle name="Milliers 3 2 3 2 2 3 3 3 2" xfId="14918"/>
    <cellStyle name="Milliers 3 2 3 2 2 3 3 4" xfId="10598"/>
    <cellStyle name="Milliers 3 2 3 2 2 3 4" xfId="2678"/>
    <cellStyle name="Milliers 3 2 3 2 2 3 4 2" xfId="6998"/>
    <cellStyle name="Milliers 3 2 3 2 2 3 4 2 2" xfId="15638"/>
    <cellStyle name="Milliers 3 2 3 2 2 3 4 3" xfId="11318"/>
    <cellStyle name="Milliers 3 2 3 2 2 3 5" xfId="4838"/>
    <cellStyle name="Milliers 3 2 3 2 2 3 5 2" xfId="13478"/>
    <cellStyle name="Milliers 3 2 3 2 2 3 6" xfId="9158"/>
    <cellStyle name="Milliers 3 2 3 2 2 4" xfId="878"/>
    <cellStyle name="Milliers 3 2 3 2 2 4 2" xfId="3038"/>
    <cellStyle name="Milliers 3 2 3 2 2 4 2 2" xfId="7358"/>
    <cellStyle name="Milliers 3 2 3 2 2 4 2 2 2" xfId="15998"/>
    <cellStyle name="Milliers 3 2 3 2 2 4 2 3" xfId="11678"/>
    <cellStyle name="Milliers 3 2 3 2 2 4 3" xfId="5198"/>
    <cellStyle name="Milliers 3 2 3 2 2 4 3 2" xfId="13838"/>
    <cellStyle name="Milliers 3 2 3 2 2 4 4" xfId="9518"/>
    <cellStyle name="Milliers 3 2 3 2 2 5" xfId="1598"/>
    <cellStyle name="Milliers 3 2 3 2 2 5 2" xfId="3758"/>
    <cellStyle name="Milliers 3 2 3 2 2 5 2 2" xfId="8078"/>
    <cellStyle name="Milliers 3 2 3 2 2 5 2 2 2" xfId="16718"/>
    <cellStyle name="Milliers 3 2 3 2 2 5 2 3" xfId="12398"/>
    <cellStyle name="Milliers 3 2 3 2 2 5 3" xfId="5918"/>
    <cellStyle name="Milliers 3 2 3 2 2 5 3 2" xfId="14558"/>
    <cellStyle name="Milliers 3 2 3 2 2 5 4" xfId="10238"/>
    <cellStyle name="Milliers 3 2 3 2 2 6" xfId="2318"/>
    <cellStyle name="Milliers 3 2 3 2 2 6 2" xfId="6638"/>
    <cellStyle name="Milliers 3 2 3 2 2 6 2 2" xfId="15278"/>
    <cellStyle name="Milliers 3 2 3 2 2 6 3" xfId="10958"/>
    <cellStyle name="Milliers 3 2 3 2 2 7" xfId="4478"/>
    <cellStyle name="Milliers 3 2 3 2 2 7 2" xfId="13118"/>
    <cellStyle name="Milliers 3 2 3 2 2 8" xfId="8798"/>
    <cellStyle name="Milliers 3 2 3 2 3" xfId="248"/>
    <cellStyle name="Milliers 3 2 3 2 3 2" xfId="608"/>
    <cellStyle name="Milliers 3 2 3 2 3 2 2" xfId="1328"/>
    <cellStyle name="Milliers 3 2 3 2 3 2 2 2" xfId="3488"/>
    <cellStyle name="Milliers 3 2 3 2 3 2 2 2 2" xfId="7808"/>
    <cellStyle name="Milliers 3 2 3 2 3 2 2 2 2 2" xfId="16448"/>
    <cellStyle name="Milliers 3 2 3 2 3 2 2 2 3" xfId="12128"/>
    <cellStyle name="Milliers 3 2 3 2 3 2 2 3" xfId="5648"/>
    <cellStyle name="Milliers 3 2 3 2 3 2 2 3 2" xfId="14288"/>
    <cellStyle name="Milliers 3 2 3 2 3 2 2 4" xfId="9968"/>
    <cellStyle name="Milliers 3 2 3 2 3 2 3" xfId="2048"/>
    <cellStyle name="Milliers 3 2 3 2 3 2 3 2" xfId="4208"/>
    <cellStyle name="Milliers 3 2 3 2 3 2 3 2 2" xfId="8528"/>
    <cellStyle name="Milliers 3 2 3 2 3 2 3 2 2 2" xfId="17168"/>
    <cellStyle name="Milliers 3 2 3 2 3 2 3 2 3" xfId="12848"/>
    <cellStyle name="Milliers 3 2 3 2 3 2 3 3" xfId="6368"/>
    <cellStyle name="Milliers 3 2 3 2 3 2 3 3 2" xfId="15008"/>
    <cellStyle name="Milliers 3 2 3 2 3 2 3 4" xfId="10688"/>
    <cellStyle name="Milliers 3 2 3 2 3 2 4" xfId="2768"/>
    <cellStyle name="Milliers 3 2 3 2 3 2 4 2" xfId="7088"/>
    <cellStyle name="Milliers 3 2 3 2 3 2 4 2 2" xfId="15728"/>
    <cellStyle name="Milliers 3 2 3 2 3 2 4 3" xfId="11408"/>
    <cellStyle name="Milliers 3 2 3 2 3 2 5" xfId="4928"/>
    <cellStyle name="Milliers 3 2 3 2 3 2 5 2" xfId="13568"/>
    <cellStyle name="Milliers 3 2 3 2 3 2 6" xfId="9248"/>
    <cellStyle name="Milliers 3 2 3 2 3 3" xfId="968"/>
    <cellStyle name="Milliers 3 2 3 2 3 3 2" xfId="3128"/>
    <cellStyle name="Milliers 3 2 3 2 3 3 2 2" xfId="7448"/>
    <cellStyle name="Milliers 3 2 3 2 3 3 2 2 2" xfId="16088"/>
    <cellStyle name="Milliers 3 2 3 2 3 3 2 3" xfId="11768"/>
    <cellStyle name="Milliers 3 2 3 2 3 3 3" xfId="5288"/>
    <cellStyle name="Milliers 3 2 3 2 3 3 3 2" xfId="13928"/>
    <cellStyle name="Milliers 3 2 3 2 3 3 4" xfId="9608"/>
    <cellStyle name="Milliers 3 2 3 2 3 4" xfId="1688"/>
    <cellStyle name="Milliers 3 2 3 2 3 4 2" xfId="3848"/>
    <cellStyle name="Milliers 3 2 3 2 3 4 2 2" xfId="8168"/>
    <cellStyle name="Milliers 3 2 3 2 3 4 2 2 2" xfId="16808"/>
    <cellStyle name="Milliers 3 2 3 2 3 4 2 3" xfId="12488"/>
    <cellStyle name="Milliers 3 2 3 2 3 4 3" xfId="6008"/>
    <cellStyle name="Milliers 3 2 3 2 3 4 3 2" xfId="14648"/>
    <cellStyle name="Milliers 3 2 3 2 3 4 4" xfId="10328"/>
    <cellStyle name="Milliers 3 2 3 2 3 5" xfId="2408"/>
    <cellStyle name="Milliers 3 2 3 2 3 5 2" xfId="6728"/>
    <cellStyle name="Milliers 3 2 3 2 3 5 2 2" xfId="15368"/>
    <cellStyle name="Milliers 3 2 3 2 3 5 3" xfId="11048"/>
    <cellStyle name="Milliers 3 2 3 2 3 6" xfId="4568"/>
    <cellStyle name="Milliers 3 2 3 2 3 6 2" xfId="13208"/>
    <cellStyle name="Milliers 3 2 3 2 3 7" xfId="8888"/>
    <cellStyle name="Milliers 3 2 3 2 4" xfId="428"/>
    <cellStyle name="Milliers 3 2 3 2 4 2" xfId="1148"/>
    <cellStyle name="Milliers 3 2 3 2 4 2 2" xfId="3308"/>
    <cellStyle name="Milliers 3 2 3 2 4 2 2 2" xfId="7628"/>
    <cellStyle name="Milliers 3 2 3 2 4 2 2 2 2" xfId="16268"/>
    <cellStyle name="Milliers 3 2 3 2 4 2 2 3" xfId="11948"/>
    <cellStyle name="Milliers 3 2 3 2 4 2 3" xfId="5468"/>
    <cellStyle name="Milliers 3 2 3 2 4 2 3 2" xfId="14108"/>
    <cellStyle name="Milliers 3 2 3 2 4 2 4" xfId="9788"/>
    <cellStyle name="Milliers 3 2 3 2 4 3" xfId="1868"/>
    <cellStyle name="Milliers 3 2 3 2 4 3 2" xfId="4028"/>
    <cellStyle name="Milliers 3 2 3 2 4 3 2 2" xfId="8348"/>
    <cellStyle name="Milliers 3 2 3 2 4 3 2 2 2" xfId="16988"/>
    <cellStyle name="Milliers 3 2 3 2 4 3 2 3" xfId="12668"/>
    <cellStyle name="Milliers 3 2 3 2 4 3 3" xfId="6188"/>
    <cellStyle name="Milliers 3 2 3 2 4 3 3 2" xfId="14828"/>
    <cellStyle name="Milliers 3 2 3 2 4 3 4" xfId="10508"/>
    <cellStyle name="Milliers 3 2 3 2 4 4" xfId="2588"/>
    <cellStyle name="Milliers 3 2 3 2 4 4 2" xfId="6908"/>
    <cellStyle name="Milliers 3 2 3 2 4 4 2 2" xfId="15548"/>
    <cellStyle name="Milliers 3 2 3 2 4 4 3" xfId="11228"/>
    <cellStyle name="Milliers 3 2 3 2 4 5" xfId="4748"/>
    <cellStyle name="Milliers 3 2 3 2 4 5 2" xfId="13388"/>
    <cellStyle name="Milliers 3 2 3 2 4 6" xfId="9068"/>
    <cellStyle name="Milliers 3 2 3 2 5" xfId="788"/>
    <cellStyle name="Milliers 3 2 3 2 5 2" xfId="2948"/>
    <cellStyle name="Milliers 3 2 3 2 5 2 2" xfId="7268"/>
    <cellStyle name="Milliers 3 2 3 2 5 2 2 2" xfId="15908"/>
    <cellStyle name="Milliers 3 2 3 2 5 2 3" xfId="11588"/>
    <cellStyle name="Milliers 3 2 3 2 5 3" xfId="5108"/>
    <cellStyle name="Milliers 3 2 3 2 5 3 2" xfId="13748"/>
    <cellStyle name="Milliers 3 2 3 2 5 4" xfId="9428"/>
    <cellStyle name="Milliers 3 2 3 2 6" xfId="1508"/>
    <cellStyle name="Milliers 3 2 3 2 6 2" xfId="3668"/>
    <cellStyle name="Milliers 3 2 3 2 6 2 2" xfId="7988"/>
    <cellStyle name="Milliers 3 2 3 2 6 2 2 2" xfId="16628"/>
    <cellStyle name="Milliers 3 2 3 2 6 2 3" xfId="12308"/>
    <cellStyle name="Milliers 3 2 3 2 6 3" xfId="5828"/>
    <cellStyle name="Milliers 3 2 3 2 6 3 2" xfId="14468"/>
    <cellStyle name="Milliers 3 2 3 2 6 4" xfId="10148"/>
    <cellStyle name="Milliers 3 2 3 2 7" xfId="2228"/>
    <cellStyle name="Milliers 3 2 3 2 7 2" xfId="6548"/>
    <cellStyle name="Milliers 3 2 3 2 7 2 2" xfId="15188"/>
    <cellStyle name="Milliers 3 2 3 2 7 3" xfId="10868"/>
    <cellStyle name="Milliers 3 2 3 2 8" xfId="4388"/>
    <cellStyle name="Milliers 3 2 3 2 8 2" xfId="13028"/>
    <cellStyle name="Milliers 3 2 3 2 9" xfId="8708"/>
    <cellStyle name="Milliers 3 2 3 3" xfId="113"/>
    <cellStyle name="Milliers 3 2 3 3 2" xfId="293"/>
    <cellStyle name="Milliers 3 2 3 3 2 2" xfId="653"/>
    <cellStyle name="Milliers 3 2 3 3 2 2 2" xfId="1373"/>
    <cellStyle name="Milliers 3 2 3 3 2 2 2 2" xfId="3533"/>
    <cellStyle name="Milliers 3 2 3 3 2 2 2 2 2" xfId="7853"/>
    <cellStyle name="Milliers 3 2 3 3 2 2 2 2 2 2" xfId="16493"/>
    <cellStyle name="Milliers 3 2 3 3 2 2 2 2 3" xfId="12173"/>
    <cellStyle name="Milliers 3 2 3 3 2 2 2 3" xfId="5693"/>
    <cellStyle name="Milliers 3 2 3 3 2 2 2 3 2" xfId="14333"/>
    <cellStyle name="Milliers 3 2 3 3 2 2 2 4" xfId="10013"/>
    <cellStyle name="Milliers 3 2 3 3 2 2 3" xfId="2093"/>
    <cellStyle name="Milliers 3 2 3 3 2 2 3 2" xfId="4253"/>
    <cellStyle name="Milliers 3 2 3 3 2 2 3 2 2" xfId="8573"/>
    <cellStyle name="Milliers 3 2 3 3 2 2 3 2 2 2" xfId="17213"/>
    <cellStyle name="Milliers 3 2 3 3 2 2 3 2 3" xfId="12893"/>
    <cellStyle name="Milliers 3 2 3 3 2 2 3 3" xfId="6413"/>
    <cellStyle name="Milliers 3 2 3 3 2 2 3 3 2" xfId="15053"/>
    <cellStyle name="Milliers 3 2 3 3 2 2 3 4" xfId="10733"/>
    <cellStyle name="Milliers 3 2 3 3 2 2 4" xfId="2813"/>
    <cellStyle name="Milliers 3 2 3 3 2 2 4 2" xfId="7133"/>
    <cellStyle name="Milliers 3 2 3 3 2 2 4 2 2" xfId="15773"/>
    <cellStyle name="Milliers 3 2 3 3 2 2 4 3" xfId="11453"/>
    <cellStyle name="Milliers 3 2 3 3 2 2 5" xfId="4973"/>
    <cellStyle name="Milliers 3 2 3 3 2 2 5 2" xfId="13613"/>
    <cellStyle name="Milliers 3 2 3 3 2 2 6" xfId="9293"/>
    <cellStyle name="Milliers 3 2 3 3 2 3" xfId="1013"/>
    <cellStyle name="Milliers 3 2 3 3 2 3 2" xfId="3173"/>
    <cellStyle name="Milliers 3 2 3 3 2 3 2 2" xfId="7493"/>
    <cellStyle name="Milliers 3 2 3 3 2 3 2 2 2" xfId="16133"/>
    <cellStyle name="Milliers 3 2 3 3 2 3 2 3" xfId="11813"/>
    <cellStyle name="Milliers 3 2 3 3 2 3 3" xfId="5333"/>
    <cellStyle name="Milliers 3 2 3 3 2 3 3 2" xfId="13973"/>
    <cellStyle name="Milliers 3 2 3 3 2 3 4" xfId="9653"/>
    <cellStyle name="Milliers 3 2 3 3 2 4" xfId="1733"/>
    <cellStyle name="Milliers 3 2 3 3 2 4 2" xfId="3893"/>
    <cellStyle name="Milliers 3 2 3 3 2 4 2 2" xfId="8213"/>
    <cellStyle name="Milliers 3 2 3 3 2 4 2 2 2" xfId="16853"/>
    <cellStyle name="Milliers 3 2 3 3 2 4 2 3" xfId="12533"/>
    <cellStyle name="Milliers 3 2 3 3 2 4 3" xfId="6053"/>
    <cellStyle name="Milliers 3 2 3 3 2 4 3 2" xfId="14693"/>
    <cellStyle name="Milliers 3 2 3 3 2 4 4" xfId="10373"/>
    <cellStyle name="Milliers 3 2 3 3 2 5" xfId="2453"/>
    <cellStyle name="Milliers 3 2 3 3 2 5 2" xfId="6773"/>
    <cellStyle name="Milliers 3 2 3 3 2 5 2 2" xfId="15413"/>
    <cellStyle name="Milliers 3 2 3 3 2 5 3" xfId="11093"/>
    <cellStyle name="Milliers 3 2 3 3 2 6" xfId="4613"/>
    <cellStyle name="Milliers 3 2 3 3 2 6 2" xfId="13253"/>
    <cellStyle name="Milliers 3 2 3 3 2 7" xfId="8933"/>
    <cellStyle name="Milliers 3 2 3 3 3" xfId="473"/>
    <cellStyle name="Milliers 3 2 3 3 3 2" xfId="1193"/>
    <cellStyle name="Milliers 3 2 3 3 3 2 2" xfId="3353"/>
    <cellStyle name="Milliers 3 2 3 3 3 2 2 2" xfId="7673"/>
    <cellStyle name="Milliers 3 2 3 3 3 2 2 2 2" xfId="16313"/>
    <cellStyle name="Milliers 3 2 3 3 3 2 2 3" xfId="11993"/>
    <cellStyle name="Milliers 3 2 3 3 3 2 3" xfId="5513"/>
    <cellStyle name="Milliers 3 2 3 3 3 2 3 2" xfId="14153"/>
    <cellStyle name="Milliers 3 2 3 3 3 2 4" xfId="9833"/>
    <cellStyle name="Milliers 3 2 3 3 3 3" xfId="1913"/>
    <cellStyle name="Milliers 3 2 3 3 3 3 2" xfId="4073"/>
    <cellStyle name="Milliers 3 2 3 3 3 3 2 2" xfId="8393"/>
    <cellStyle name="Milliers 3 2 3 3 3 3 2 2 2" xfId="17033"/>
    <cellStyle name="Milliers 3 2 3 3 3 3 2 3" xfId="12713"/>
    <cellStyle name="Milliers 3 2 3 3 3 3 3" xfId="6233"/>
    <cellStyle name="Milliers 3 2 3 3 3 3 3 2" xfId="14873"/>
    <cellStyle name="Milliers 3 2 3 3 3 3 4" xfId="10553"/>
    <cellStyle name="Milliers 3 2 3 3 3 4" xfId="2633"/>
    <cellStyle name="Milliers 3 2 3 3 3 4 2" xfId="6953"/>
    <cellStyle name="Milliers 3 2 3 3 3 4 2 2" xfId="15593"/>
    <cellStyle name="Milliers 3 2 3 3 3 4 3" xfId="11273"/>
    <cellStyle name="Milliers 3 2 3 3 3 5" xfId="4793"/>
    <cellStyle name="Milliers 3 2 3 3 3 5 2" xfId="13433"/>
    <cellStyle name="Milliers 3 2 3 3 3 6" xfId="9113"/>
    <cellStyle name="Milliers 3 2 3 3 4" xfId="833"/>
    <cellStyle name="Milliers 3 2 3 3 4 2" xfId="2993"/>
    <cellStyle name="Milliers 3 2 3 3 4 2 2" xfId="7313"/>
    <cellStyle name="Milliers 3 2 3 3 4 2 2 2" xfId="15953"/>
    <cellStyle name="Milliers 3 2 3 3 4 2 3" xfId="11633"/>
    <cellStyle name="Milliers 3 2 3 3 4 3" xfId="5153"/>
    <cellStyle name="Milliers 3 2 3 3 4 3 2" xfId="13793"/>
    <cellStyle name="Milliers 3 2 3 3 4 4" xfId="9473"/>
    <cellStyle name="Milliers 3 2 3 3 5" xfId="1553"/>
    <cellStyle name="Milliers 3 2 3 3 5 2" xfId="3713"/>
    <cellStyle name="Milliers 3 2 3 3 5 2 2" xfId="8033"/>
    <cellStyle name="Milliers 3 2 3 3 5 2 2 2" xfId="16673"/>
    <cellStyle name="Milliers 3 2 3 3 5 2 3" xfId="12353"/>
    <cellStyle name="Milliers 3 2 3 3 5 3" xfId="5873"/>
    <cellStyle name="Milliers 3 2 3 3 5 3 2" xfId="14513"/>
    <cellStyle name="Milliers 3 2 3 3 5 4" xfId="10193"/>
    <cellStyle name="Milliers 3 2 3 3 6" xfId="2273"/>
    <cellStyle name="Milliers 3 2 3 3 6 2" xfId="6593"/>
    <cellStyle name="Milliers 3 2 3 3 6 2 2" xfId="15233"/>
    <cellStyle name="Milliers 3 2 3 3 6 3" xfId="10913"/>
    <cellStyle name="Milliers 3 2 3 3 7" xfId="4433"/>
    <cellStyle name="Milliers 3 2 3 3 7 2" xfId="13073"/>
    <cellStyle name="Milliers 3 2 3 3 8" xfId="8753"/>
    <cellStyle name="Milliers 3 2 3 4" xfId="203"/>
    <cellStyle name="Milliers 3 2 3 4 2" xfId="563"/>
    <cellStyle name="Milliers 3 2 3 4 2 2" xfId="1283"/>
    <cellStyle name="Milliers 3 2 3 4 2 2 2" xfId="3443"/>
    <cellStyle name="Milliers 3 2 3 4 2 2 2 2" xfId="7763"/>
    <cellStyle name="Milliers 3 2 3 4 2 2 2 2 2" xfId="16403"/>
    <cellStyle name="Milliers 3 2 3 4 2 2 2 3" xfId="12083"/>
    <cellStyle name="Milliers 3 2 3 4 2 2 3" xfId="5603"/>
    <cellStyle name="Milliers 3 2 3 4 2 2 3 2" xfId="14243"/>
    <cellStyle name="Milliers 3 2 3 4 2 2 4" xfId="9923"/>
    <cellStyle name="Milliers 3 2 3 4 2 3" xfId="2003"/>
    <cellStyle name="Milliers 3 2 3 4 2 3 2" xfId="4163"/>
    <cellStyle name="Milliers 3 2 3 4 2 3 2 2" xfId="8483"/>
    <cellStyle name="Milliers 3 2 3 4 2 3 2 2 2" xfId="17123"/>
    <cellStyle name="Milliers 3 2 3 4 2 3 2 3" xfId="12803"/>
    <cellStyle name="Milliers 3 2 3 4 2 3 3" xfId="6323"/>
    <cellStyle name="Milliers 3 2 3 4 2 3 3 2" xfId="14963"/>
    <cellStyle name="Milliers 3 2 3 4 2 3 4" xfId="10643"/>
    <cellStyle name="Milliers 3 2 3 4 2 4" xfId="2723"/>
    <cellStyle name="Milliers 3 2 3 4 2 4 2" xfId="7043"/>
    <cellStyle name="Milliers 3 2 3 4 2 4 2 2" xfId="15683"/>
    <cellStyle name="Milliers 3 2 3 4 2 4 3" xfId="11363"/>
    <cellStyle name="Milliers 3 2 3 4 2 5" xfId="4883"/>
    <cellStyle name="Milliers 3 2 3 4 2 5 2" xfId="13523"/>
    <cellStyle name="Milliers 3 2 3 4 2 6" xfId="9203"/>
    <cellStyle name="Milliers 3 2 3 4 3" xfId="923"/>
    <cellStyle name="Milliers 3 2 3 4 3 2" xfId="3083"/>
    <cellStyle name="Milliers 3 2 3 4 3 2 2" xfId="7403"/>
    <cellStyle name="Milliers 3 2 3 4 3 2 2 2" xfId="16043"/>
    <cellStyle name="Milliers 3 2 3 4 3 2 3" xfId="11723"/>
    <cellStyle name="Milliers 3 2 3 4 3 3" xfId="5243"/>
    <cellStyle name="Milliers 3 2 3 4 3 3 2" xfId="13883"/>
    <cellStyle name="Milliers 3 2 3 4 3 4" xfId="9563"/>
    <cellStyle name="Milliers 3 2 3 4 4" xfId="1643"/>
    <cellStyle name="Milliers 3 2 3 4 4 2" xfId="3803"/>
    <cellStyle name="Milliers 3 2 3 4 4 2 2" xfId="8123"/>
    <cellStyle name="Milliers 3 2 3 4 4 2 2 2" xfId="16763"/>
    <cellStyle name="Milliers 3 2 3 4 4 2 3" xfId="12443"/>
    <cellStyle name="Milliers 3 2 3 4 4 3" xfId="5963"/>
    <cellStyle name="Milliers 3 2 3 4 4 3 2" xfId="14603"/>
    <cellStyle name="Milliers 3 2 3 4 4 4" xfId="10283"/>
    <cellStyle name="Milliers 3 2 3 4 5" xfId="2363"/>
    <cellStyle name="Milliers 3 2 3 4 5 2" xfId="6683"/>
    <cellStyle name="Milliers 3 2 3 4 5 2 2" xfId="15323"/>
    <cellStyle name="Milliers 3 2 3 4 5 3" xfId="11003"/>
    <cellStyle name="Milliers 3 2 3 4 6" xfId="4523"/>
    <cellStyle name="Milliers 3 2 3 4 6 2" xfId="13163"/>
    <cellStyle name="Milliers 3 2 3 4 7" xfId="8843"/>
    <cellStyle name="Milliers 3 2 3 5" xfId="383"/>
    <cellStyle name="Milliers 3 2 3 5 2" xfId="1103"/>
    <cellStyle name="Milliers 3 2 3 5 2 2" xfId="3263"/>
    <cellStyle name="Milliers 3 2 3 5 2 2 2" xfId="7583"/>
    <cellStyle name="Milliers 3 2 3 5 2 2 2 2" xfId="16223"/>
    <cellStyle name="Milliers 3 2 3 5 2 2 3" xfId="11903"/>
    <cellStyle name="Milliers 3 2 3 5 2 3" xfId="5423"/>
    <cellStyle name="Milliers 3 2 3 5 2 3 2" xfId="14063"/>
    <cellStyle name="Milliers 3 2 3 5 2 4" xfId="9743"/>
    <cellStyle name="Milliers 3 2 3 5 3" xfId="1823"/>
    <cellStyle name="Milliers 3 2 3 5 3 2" xfId="3983"/>
    <cellStyle name="Milliers 3 2 3 5 3 2 2" xfId="8303"/>
    <cellStyle name="Milliers 3 2 3 5 3 2 2 2" xfId="16943"/>
    <cellStyle name="Milliers 3 2 3 5 3 2 3" xfId="12623"/>
    <cellStyle name="Milliers 3 2 3 5 3 3" xfId="6143"/>
    <cellStyle name="Milliers 3 2 3 5 3 3 2" xfId="14783"/>
    <cellStyle name="Milliers 3 2 3 5 3 4" xfId="10463"/>
    <cellStyle name="Milliers 3 2 3 5 4" xfId="2543"/>
    <cellStyle name="Milliers 3 2 3 5 4 2" xfId="6863"/>
    <cellStyle name="Milliers 3 2 3 5 4 2 2" xfId="15503"/>
    <cellStyle name="Milliers 3 2 3 5 4 3" xfId="11183"/>
    <cellStyle name="Milliers 3 2 3 5 5" xfId="4703"/>
    <cellStyle name="Milliers 3 2 3 5 5 2" xfId="13343"/>
    <cellStyle name="Milliers 3 2 3 5 6" xfId="9023"/>
    <cellStyle name="Milliers 3 2 3 6" xfId="743"/>
    <cellStyle name="Milliers 3 2 3 6 2" xfId="2903"/>
    <cellStyle name="Milliers 3 2 3 6 2 2" xfId="7223"/>
    <cellStyle name="Milliers 3 2 3 6 2 2 2" xfId="15863"/>
    <cellStyle name="Milliers 3 2 3 6 2 3" xfId="11543"/>
    <cellStyle name="Milliers 3 2 3 6 3" xfId="5063"/>
    <cellStyle name="Milliers 3 2 3 6 3 2" xfId="13703"/>
    <cellStyle name="Milliers 3 2 3 6 4" xfId="9383"/>
    <cellStyle name="Milliers 3 2 3 7" xfId="1463"/>
    <cellStyle name="Milliers 3 2 3 7 2" xfId="3623"/>
    <cellStyle name="Milliers 3 2 3 7 2 2" xfId="7943"/>
    <cellStyle name="Milliers 3 2 3 7 2 2 2" xfId="16583"/>
    <cellStyle name="Milliers 3 2 3 7 2 3" xfId="12263"/>
    <cellStyle name="Milliers 3 2 3 7 3" xfId="5783"/>
    <cellStyle name="Milliers 3 2 3 7 3 2" xfId="14423"/>
    <cellStyle name="Milliers 3 2 3 7 4" xfId="10103"/>
    <cellStyle name="Milliers 3 2 3 8" xfId="2183"/>
    <cellStyle name="Milliers 3 2 3 8 2" xfId="6503"/>
    <cellStyle name="Milliers 3 2 3 8 2 2" xfId="15143"/>
    <cellStyle name="Milliers 3 2 3 8 3" xfId="10823"/>
    <cellStyle name="Milliers 3 2 3 9" xfId="4343"/>
    <cellStyle name="Milliers 3 2 3 9 2" xfId="12983"/>
    <cellStyle name="Milliers 3 2 4" xfId="38"/>
    <cellStyle name="Milliers 3 2 4 10" xfId="8678"/>
    <cellStyle name="Milliers 3 2 4 2" xfId="83"/>
    <cellStyle name="Milliers 3 2 4 2 2" xfId="173"/>
    <cellStyle name="Milliers 3 2 4 2 2 2" xfId="353"/>
    <cellStyle name="Milliers 3 2 4 2 2 2 2" xfId="713"/>
    <cellStyle name="Milliers 3 2 4 2 2 2 2 2" xfId="1433"/>
    <cellStyle name="Milliers 3 2 4 2 2 2 2 2 2" xfId="3593"/>
    <cellStyle name="Milliers 3 2 4 2 2 2 2 2 2 2" xfId="7913"/>
    <cellStyle name="Milliers 3 2 4 2 2 2 2 2 2 2 2" xfId="16553"/>
    <cellStyle name="Milliers 3 2 4 2 2 2 2 2 2 3" xfId="12233"/>
    <cellStyle name="Milliers 3 2 4 2 2 2 2 2 3" xfId="5753"/>
    <cellStyle name="Milliers 3 2 4 2 2 2 2 2 3 2" xfId="14393"/>
    <cellStyle name="Milliers 3 2 4 2 2 2 2 2 4" xfId="10073"/>
    <cellStyle name="Milliers 3 2 4 2 2 2 2 3" xfId="2153"/>
    <cellStyle name="Milliers 3 2 4 2 2 2 2 3 2" xfId="4313"/>
    <cellStyle name="Milliers 3 2 4 2 2 2 2 3 2 2" xfId="8633"/>
    <cellStyle name="Milliers 3 2 4 2 2 2 2 3 2 2 2" xfId="17273"/>
    <cellStyle name="Milliers 3 2 4 2 2 2 2 3 2 3" xfId="12953"/>
    <cellStyle name="Milliers 3 2 4 2 2 2 2 3 3" xfId="6473"/>
    <cellStyle name="Milliers 3 2 4 2 2 2 2 3 3 2" xfId="15113"/>
    <cellStyle name="Milliers 3 2 4 2 2 2 2 3 4" xfId="10793"/>
    <cellStyle name="Milliers 3 2 4 2 2 2 2 4" xfId="2873"/>
    <cellStyle name="Milliers 3 2 4 2 2 2 2 4 2" xfId="7193"/>
    <cellStyle name="Milliers 3 2 4 2 2 2 2 4 2 2" xfId="15833"/>
    <cellStyle name="Milliers 3 2 4 2 2 2 2 4 3" xfId="11513"/>
    <cellStyle name="Milliers 3 2 4 2 2 2 2 5" xfId="5033"/>
    <cellStyle name="Milliers 3 2 4 2 2 2 2 5 2" xfId="13673"/>
    <cellStyle name="Milliers 3 2 4 2 2 2 2 6" xfId="9353"/>
    <cellStyle name="Milliers 3 2 4 2 2 2 3" xfId="1073"/>
    <cellStyle name="Milliers 3 2 4 2 2 2 3 2" xfId="3233"/>
    <cellStyle name="Milliers 3 2 4 2 2 2 3 2 2" xfId="7553"/>
    <cellStyle name="Milliers 3 2 4 2 2 2 3 2 2 2" xfId="16193"/>
    <cellStyle name="Milliers 3 2 4 2 2 2 3 2 3" xfId="11873"/>
    <cellStyle name="Milliers 3 2 4 2 2 2 3 3" xfId="5393"/>
    <cellStyle name="Milliers 3 2 4 2 2 2 3 3 2" xfId="14033"/>
    <cellStyle name="Milliers 3 2 4 2 2 2 3 4" xfId="9713"/>
    <cellStyle name="Milliers 3 2 4 2 2 2 4" xfId="1793"/>
    <cellStyle name="Milliers 3 2 4 2 2 2 4 2" xfId="3953"/>
    <cellStyle name="Milliers 3 2 4 2 2 2 4 2 2" xfId="8273"/>
    <cellStyle name="Milliers 3 2 4 2 2 2 4 2 2 2" xfId="16913"/>
    <cellStyle name="Milliers 3 2 4 2 2 2 4 2 3" xfId="12593"/>
    <cellStyle name="Milliers 3 2 4 2 2 2 4 3" xfId="6113"/>
    <cellStyle name="Milliers 3 2 4 2 2 2 4 3 2" xfId="14753"/>
    <cellStyle name="Milliers 3 2 4 2 2 2 4 4" xfId="10433"/>
    <cellStyle name="Milliers 3 2 4 2 2 2 5" xfId="2513"/>
    <cellStyle name="Milliers 3 2 4 2 2 2 5 2" xfId="6833"/>
    <cellStyle name="Milliers 3 2 4 2 2 2 5 2 2" xfId="15473"/>
    <cellStyle name="Milliers 3 2 4 2 2 2 5 3" xfId="11153"/>
    <cellStyle name="Milliers 3 2 4 2 2 2 6" xfId="4673"/>
    <cellStyle name="Milliers 3 2 4 2 2 2 6 2" xfId="13313"/>
    <cellStyle name="Milliers 3 2 4 2 2 2 7" xfId="8993"/>
    <cellStyle name="Milliers 3 2 4 2 2 3" xfId="533"/>
    <cellStyle name="Milliers 3 2 4 2 2 3 2" xfId="1253"/>
    <cellStyle name="Milliers 3 2 4 2 2 3 2 2" xfId="3413"/>
    <cellStyle name="Milliers 3 2 4 2 2 3 2 2 2" xfId="7733"/>
    <cellStyle name="Milliers 3 2 4 2 2 3 2 2 2 2" xfId="16373"/>
    <cellStyle name="Milliers 3 2 4 2 2 3 2 2 3" xfId="12053"/>
    <cellStyle name="Milliers 3 2 4 2 2 3 2 3" xfId="5573"/>
    <cellStyle name="Milliers 3 2 4 2 2 3 2 3 2" xfId="14213"/>
    <cellStyle name="Milliers 3 2 4 2 2 3 2 4" xfId="9893"/>
    <cellStyle name="Milliers 3 2 4 2 2 3 3" xfId="1973"/>
    <cellStyle name="Milliers 3 2 4 2 2 3 3 2" xfId="4133"/>
    <cellStyle name="Milliers 3 2 4 2 2 3 3 2 2" xfId="8453"/>
    <cellStyle name="Milliers 3 2 4 2 2 3 3 2 2 2" xfId="17093"/>
    <cellStyle name="Milliers 3 2 4 2 2 3 3 2 3" xfId="12773"/>
    <cellStyle name="Milliers 3 2 4 2 2 3 3 3" xfId="6293"/>
    <cellStyle name="Milliers 3 2 4 2 2 3 3 3 2" xfId="14933"/>
    <cellStyle name="Milliers 3 2 4 2 2 3 3 4" xfId="10613"/>
    <cellStyle name="Milliers 3 2 4 2 2 3 4" xfId="2693"/>
    <cellStyle name="Milliers 3 2 4 2 2 3 4 2" xfId="7013"/>
    <cellStyle name="Milliers 3 2 4 2 2 3 4 2 2" xfId="15653"/>
    <cellStyle name="Milliers 3 2 4 2 2 3 4 3" xfId="11333"/>
    <cellStyle name="Milliers 3 2 4 2 2 3 5" xfId="4853"/>
    <cellStyle name="Milliers 3 2 4 2 2 3 5 2" xfId="13493"/>
    <cellStyle name="Milliers 3 2 4 2 2 3 6" xfId="9173"/>
    <cellStyle name="Milliers 3 2 4 2 2 4" xfId="893"/>
    <cellStyle name="Milliers 3 2 4 2 2 4 2" xfId="3053"/>
    <cellStyle name="Milliers 3 2 4 2 2 4 2 2" xfId="7373"/>
    <cellStyle name="Milliers 3 2 4 2 2 4 2 2 2" xfId="16013"/>
    <cellStyle name="Milliers 3 2 4 2 2 4 2 3" xfId="11693"/>
    <cellStyle name="Milliers 3 2 4 2 2 4 3" xfId="5213"/>
    <cellStyle name="Milliers 3 2 4 2 2 4 3 2" xfId="13853"/>
    <cellStyle name="Milliers 3 2 4 2 2 4 4" xfId="9533"/>
    <cellStyle name="Milliers 3 2 4 2 2 5" xfId="1613"/>
    <cellStyle name="Milliers 3 2 4 2 2 5 2" xfId="3773"/>
    <cellStyle name="Milliers 3 2 4 2 2 5 2 2" xfId="8093"/>
    <cellStyle name="Milliers 3 2 4 2 2 5 2 2 2" xfId="16733"/>
    <cellStyle name="Milliers 3 2 4 2 2 5 2 3" xfId="12413"/>
    <cellStyle name="Milliers 3 2 4 2 2 5 3" xfId="5933"/>
    <cellStyle name="Milliers 3 2 4 2 2 5 3 2" xfId="14573"/>
    <cellStyle name="Milliers 3 2 4 2 2 5 4" xfId="10253"/>
    <cellStyle name="Milliers 3 2 4 2 2 6" xfId="2333"/>
    <cellStyle name="Milliers 3 2 4 2 2 6 2" xfId="6653"/>
    <cellStyle name="Milliers 3 2 4 2 2 6 2 2" xfId="15293"/>
    <cellStyle name="Milliers 3 2 4 2 2 6 3" xfId="10973"/>
    <cellStyle name="Milliers 3 2 4 2 2 7" xfId="4493"/>
    <cellStyle name="Milliers 3 2 4 2 2 7 2" xfId="13133"/>
    <cellStyle name="Milliers 3 2 4 2 2 8" xfId="8813"/>
    <cellStyle name="Milliers 3 2 4 2 3" xfId="263"/>
    <cellStyle name="Milliers 3 2 4 2 3 2" xfId="623"/>
    <cellStyle name="Milliers 3 2 4 2 3 2 2" xfId="1343"/>
    <cellStyle name="Milliers 3 2 4 2 3 2 2 2" xfId="3503"/>
    <cellStyle name="Milliers 3 2 4 2 3 2 2 2 2" xfId="7823"/>
    <cellStyle name="Milliers 3 2 4 2 3 2 2 2 2 2" xfId="16463"/>
    <cellStyle name="Milliers 3 2 4 2 3 2 2 2 3" xfId="12143"/>
    <cellStyle name="Milliers 3 2 4 2 3 2 2 3" xfId="5663"/>
    <cellStyle name="Milliers 3 2 4 2 3 2 2 3 2" xfId="14303"/>
    <cellStyle name="Milliers 3 2 4 2 3 2 2 4" xfId="9983"/>
    <cellStyle name="Milliers 3 2 4 2 3 2 3" xfId="2063"/>
    <cellStyle name="Milliers 3 2 4 2 3 2 3 2" xfId="4223"/>
    <cellStyle name="Milliers 3 2 4 2 3 2 3 2 2" xfId="8543"/>
    <cellStyle name="Milliers 3 2 4 2 3 2 3 2 2 2" xfId="17183"/>
    <cellStyle name="Milliers 3 2 4 2 3 2 3 2 3" xfId="12863"/>
    <cellStyle name="Milliers 3 2 4 2 3 2 3 3" xfId="6383"/>
    <cellStyle name="Milliers 3 2 4 2 3 2 3 3 2" xfId="15023"/>
    <cellStyle name="Milliers 3 2 4 2 3 2 3 4" xfId="10703"/>
    <cellStyle name="Milliers 3 2 4 2 3 2 4" xfId="2783"/>
    <cellStyle name="Milliers 3 2 4 2 3 2 4 2" xfId="7103"/>
    <cellStyle name="Milliers 3 2 4 2 3 2 4 2 2" xfId="15743"/>
    <cellStyle name="Milliers 3 2 4 2 3 2 4 3" xfId="11423"/>
    <cellStyle name="Milliers 3 2 4 2 3 2 5" xfId="4943"/>
    <cellStyle name="Milliers 3 2 4 2 3 2 5 2" xfId="13583"/>
    <cellStyle name="Milliers 3 2 4 2 3 2 6" xfId="9263"/>
    <cellStyle name="Milliers 3 2 4 2 3 3" xfId="983"/>
    <cellStyle name="Milliers 3 2 4 2 3 3 2" xfId="3143"/>
    <cellStyle name="Milliers 3 2 4 2 3 3 2 2" xfId="7463"/>
    <cellStyle name="Milliers 3 2 4 2 3 3 2 2 2" xfId="16103"/>
    <cellStyle name="Milliers 3 2 4 2 3 3 2 3" xfId="11783"/>
    <cellStyle name="Milliers 3 2 4 2 3 3 3" xfId="5303"/>
    <cellStyle name="Milliers 3 2 4 2 3 3 3 2" xfId="13943"/>
    <cellStyle name="Milliers 3 2 4 2 3 3 4" xfId="9623"/>
    <cellStyle name="Milliers 3 2 4 2 3 4" xfId="1703"/>
    <cellStyle name="Milliers 3 2 4 2 3 4 2" xfId="3863"/>
    <cellStyle name="Milliers 3 2 4 2 3 4 2 2" xfId="8183"/>
    <cellStyle name="Milliers 3 2 4 2 3 4 2 2 2" xfId="16823"/>
    <cellStyle name="Milliers 3 2 4 2 3 4 2 3" xfId="12503"/>
    <cellStyle name="Milliers 3 2 4 2 3 4 3" xfId="6023"/>
    <cellStyle name="Milliers 3 2 4 2 3 4 3 2" xfId="14663"/>
    <cellStyle name="Milliers 3 2 4 2 3 4 4" xfId="10343"/>
    <cellStyle name="Milliers 3 2 4 2 3 5" xfId="2423"/>
    <cellStyle name="Milliers 3 2 4 2 3 5 2" xfId="6743"/>
    <cellStyle name="Milliers 3 2 4 2 3 5 2 2" xfId="15383"/>
    <cellStyle name="Milliers 3 2 4 2 3 5 3" xfId="11063"/>
    <cellStyle name="Milliers 3 2 4 2 3 6" xfId="4583"/>
    <cellStyle name="Milliers 3 2 4 2 3 6 2" xfId="13223"/>
    <cellStyle name="Milliers 3 2 4 2 3 7" xfId="8903"/>
    <cellStyle name="Milliers 3 2 4 2 4" xfId="443"/>
    <cellStyle name="Milliers 3 2 4 2 4 2" xfId="1163"/>
    <cellStyle name="Milliers 3 2 4 2 4 2 2" xfId="3323"/>
    <cellStyle name="Milliers 3 2 4 2 4 2 2 2" xfId="7643"/>
    <cellStyle name="Milliers 3 2 4 2 4 2 2 2 2" xfId="16283"/>
    <cellStyle name="Milliers 3 2 4 2 4 2 2 3" xfId="11963"/>
    <cellStyle name="Milliers 3 2 4 2 4 2 3" xfId="5483"/>
    <cellStyle name="Milliers 3 2 4 2 4 2 3 2" xfId="14123"/>
    <cellStyle name="Milliers 3 2 4 2 4 2 4" xfId="9803"/>
    <cellStyle name="Milliers 3 2 4 2 4 3" xfId="1883"/>
    <cellStyle name="Milliers 3 2 4 2 4 3 2" xfId="4043"/>
    <cellStyle name="Milliers 3 2 4 2 4 3 2 2" xfId="8363"/>
    <cellStyle name="Milliers 3 2 4 2 4 3 2 2 2" xfId="17003"/>
    <cellStyle name="Milliers 3 2 4 2 4 3 2 3" xfId="12683"/>
    <cellStyle name="Milliers 3 2 4 2 4 3 3" xfId="6203"/>
    <cellStyle name="Milliers 3 2 4 2 4 3 3 2" xfId="14843"/>
    <cellStyle name="Milliers 3 2 4 2 4 3 4" xfId="10523"/>
    <cellStyle name="Milliers 3 2 4 2 4 4" xfId="2603"/>
    <cellStyle name="Milliers 3 2 4 2 4 4 2" xfId="6923"/>
    <cellStyle name="Milliers 3 2 4 2 4 4 2 2" xfId="15563"/>
    <cellStyle name="Milliers 3 2 4 2 4 4 3" xfId="11243"/>
    <cellStyle name="Milliers 3 2 4 2 4 5" xfId="4763"/>
    <cellStyle name="Milliers 3 2 4 2 4 5 2" xfId="13403"/>
    <cellStyle name="Milliers 3 2 4 2 4 6" xfId="9083"/>
    <cellStyle name="Milliers 3 2 4 2 5" xfId="803"/>
    <cellStyle name="Milliers 3 2 4 2 5 2" xfId="2963"/>
    <cellStyle name="Milliers 3 2 4 2 5 2 2" xfId="7283"/>
    <cellStyle name="Milliers 3 2 4 2 5 2 2 2" xfId="15923"/>
    <cellStyle name="Milliers 3 2 4 2 5 2 3" xfId="11603"/>
    <cellStyle name="Milliers 3 2 4 2 5 3" xfId="5123"/>
    <cellStyle name="Milliers 3 2 4 2 5 3 2" xfId="13763"/>
    <cellStyle name="Milliers 3 2 4 2 5 4" xfId="9443"/>
    <cellStyle name="Milliers 3 2 4 2 6" xfId="1523"/>
    <cellStyle name="Milliers 3 2 4 2 6 2" xfId="3683"/>
    <cellStyle name="Milliers 3 2 4 2 6 2 2" xfId="8003"/>
    <cellStyle name="Milliers 3 2 4 2 6 2 2 2" xfId="16643"/>
    <cellStyle name="Milliers 3 2 4 2 6 2 3" xfId="12323"/>
    <cellStyle name="Milliers 3 2 4 2 6 3" xfId="5843"/>
    <cellStyle name="Milliers 3 2 4 2 6 3 2" xfId="14483"/>
    <cellStyle name="Milliers 3 2 4 2 6 4" xfId="10163"/>
    <cellStyle name="Milliers 3 2 4 2 7" xfId="2243"/>
    <cellStyle name="Milliers 3 2 4 2 7 2" xfId="6563"/>
    <cellStyle name="Milliers 3 2 4 2 7 2 2" xfId="15203"/>
    <cellStyle name="Milliers 3 2 4 2 7 3" xfId="10883"/>
    <cellStyle name="Milliers 3 2 4 2 8" xfId="4403"/>
    <cellStyle name="Milliers 3 2 4 2 8 2" xfId="13043"/>
    <cellStyle name="Milliers 3 2 4 2 9" xfId="8723"/>
    <cellStyle name="Milliers 3 2 4 3" xfId="128"/>
    <cellStyle name="Milliers 3 2 4 3 2" xfId="308"/>
    <cellStyle name="Milliers 3 2 4 3 2 2" xfId="668"/>
    <cellStyle name="Milliers 3 2 4 3 2 2 2" xfId="1388"/>
    <cellStyle name="Milliers 3 2 4 3 2 2 2 2" xfId="3548"/>
    <cellStyle name="Milliers 3 2 4 3 2 2 2 2 2" xfId="7868"/>
    <cellStyle name="Milliers 3 2 4 3 2 2 2 2 2 2" xfId="16508"/>
    <cellStyle name="Milliers 3 2 4 3 2 2 2 2 3" xfId="12188"/>
    <cellStyle name="Milliers 3 2 4 3 2 2 2 3" xfId="5708"/>
    <cellStyle name="Milliers 3 2 4 3 2 2 2 3 2" xfId="14348"/>
    <cellStyle name="Milliers 3 2 4 3 2 2 2 4" xfId="10028"/>
    <cellStyle name="Milliers 3 2 4 3 2 2 3" xfId="2108"/>
    <cellStyle name="Milliers 3 2 4 3 2 2 3 2" xfId="4268"/>
    <cellStyle name="Milliers 3 2 4 3 2 2 3 2 2" xfId="8588"/>
    <cellStyle name="Milliers 3 2 4 3 2 2 3 2 2 2" xfId="17228"/>
    <cellStyle name="Milliers 3 2 4 3 2 2 3 2 3" xfId="12908"/>
    <cellStyle name="Milliers 3 2 4 3 2 2 3 3" xfId="6428"/>
    <cellStyle name="Milliers 3 2 4 3 2 2 3 3 2" xfId="15068"/>
    <cellStyle name="Milliers 3 2 4 3 2 2 3 4" xfId="10748"/>
    <cellStyle name="Milliers 3 2 4 3 2 2 4" xfId="2828"/>
    <cellStyle name="Milliers 3 2 4 3 2 2 4 2" xfId="7148"/>
    <cellStyle name="Milliers 3 2 4 3 2 2 4 2 2" xfId="15788"/>
    <cellStyle name="Milliers 3 2 4 3 2 2 4 3" xfId="11468"/>
    <cellStyle name="Milliers 3 2 4 3 2 2 5" xfId="4988"/>
    <cellStyle name="Milliers 3 2 4 3 2 2 5 2" xfId="13628"/>
    <cellStyle name="Milliers 3 2 4 3 2 2 6" xfId="9308"/>
    <cellStyle name="Milliers 3 2 4 3 2 3" xfId="1028"/>
    <cellStyle name="Milliers 3 2 4 3 2 3 2" xfId="3188"/>
    <cellStyle name="Milliers 3 2 4 3 2 3 2 2" xfId="7508"/>
    <cellStyle name="Milliers 3 2 4 3 2 3 2 2 2" xfId="16148"/>
    <cellStyle name="Milliers 3 2 4 3 2 3 2 3" xfId="11828"/>
    <cellStyle name="Milliers 3 2 4 3 2 3 3" xfId="5348"/>
    <cellStyle name="Milliers 3 2 4 3 2 3 3 2" xfId="13988"/>
    <cellStyle name="Milliers 3 2 4 3 2 3 4" xfId="9668"/>
    <cellStyle name="Milliers 3 2 4 3 2 4" xfId="1748"/>
    <cellStyle name="Milliers 3 2 4 3 2 4 2" xfId="3908"/>
    <cellStyle name="Milliers 3 2 4 3 2 4 2 2" xfId="8228"/>
    <cellStyle name="Milliers 3 2 4 3 2 4 2 2 2" xfId="16868"/>
    <cellStyle name="Milliers 3 2 4 3 2 4 2 3" xfId="12548"/>
    <cellStyle name="Milliers 3 2 4 3 2 4 3" xfId="6068"/>
    <cellStyle name="Milliers 3 2 4 3 2 4 3 2" xfId="14708"/>
    <cellStyle name="Milliers 3 2 4 3 2 4 4" xfId="10388"/>
    <cellStyle name="Milliers 3 2 4 3 2 5" xfId="2468"/>
    <cellStyle name="Milliers 3 2 4 3 2 5 2" xfId="6788"/>
    <cellStyle name="Milliers 3 2 4 3 2 5 2 2" xfId="15428"/>
    <cellStyle name="Milliers 3 2 4 3 2 5 3" xfId="11108"/>
    <cellStyle name="Milliers 3 2 4 3 2 6" xfId="4628"/>
    <cellStyle name="Milliers 3 2 4 3 2 6 2" xfId="13268"/>
    <cellStyle name="Milliers 3 2 4 3 2 7" xfId="8948"/>
    <cellStyle name="Milliers 3 2 4 3 3" xfId="488"/>
    <cellStyle name="Milliers 3 2 4 3 3 2" xfId="1208"/>
    <cellStyle name="Milliers 3 2 4 3 3 2 2" xfId="3368"/>
    <cellStyle name="Milliers 3 2 4 3 3 2 2 2" xfId="7688"/>
    <cellStyle name="Milliers 3 2 4 3 3 2 2 2 2" xfId="16328"/>
    <cellStyle name="Milliers 3 2 4 3 3 2 2 3" xfId="12008"/>
    <cellStyle name="Milliers 3 2 4 3 3 2 3" xfId="5528"/>
    <cellStyle name="Milliers 3 2 4 3 3 2 3 2" xfId="14168"/>
    <cellStyle name="Milliers 3 2 4 3 3 2 4" xfId="9848"/>
    <cellStyle name="Milliers 3 2 4 3 3 3" xfId="1928"/>
    <cellStyle name="Milliers 3 2 4 3 3 3 2" xfId="4088"/>
    <cellStyle name="Milliers 3 2 4 3 3 3 2 2" xfId="8408"/>
    <cellStyle name="Milliers 3 2 4 3 3 3 2 2 2" xfId="17048"/>
    <cellStyle name="Milliers 3 2 4 3 3 3 2 3" xfId="12728"/>
    <cellStyle name="Milliers 3 2 4 3 3 3 3" xfId="6248"/>
    <cellStyle name="Milliers 3 2 4 3 3 3 3 2" xfId="14888"/>
    <cellStyle name="Milliers 3 2 4 3 3 3 4" xfId="10568"/>
    <cellStyle name="Milliers 3 2 4 3 3 4" xfId="2648"/>
    <cellStyle name="Milliers 3 2 4 3 3 4 2" xfId="6968"/>
    <cellStyle name="Milliers 3 2 4 3 3 4 2 2" xfId="15608"/>
    <cellStyle name="Milliers 3 2 4 3 3 4 3" xfId="11288"/>
    <cellStyle name="Milliers 3 2 4 3 3 5" xfId="4808"/>
    <cellStyle name="Milliers 3 2 4 3 3 5 2" xfId="13448"/>
    <cellStyle name="Milliers 3 2 4 3 3 6" xfId="9128"/>
    <cellStyle name="Milliers 3 2 4 3 4" xfId="848"/>
    <cellStyle name="Milliers 3 2 4 3 4 2" xfId="3008"/>
    <cellStyle name="Milliers 3 2 4 3 4 2 2" xfId="7328"/>
    <cellStyle name="Milliers 3 2 4 3 4 2 2 2" xfId="15968"/>
    <cellStyle name="Milliers 3 2 4 3 4 2 3" xfId="11648"/>
    <cellStyle name="Milliers 3 2 4 3 4 3" xfId="5168"/>
    <cellStyle name="Milliers 3 2 4 3 4 3 2" xfId="13808"/>
    <cellStyle name="Milliers 3 2 4 3 4 4" xfId="9488"/>
    <cellStyle name="Milliers 3 2 4 3 5" xfId="1568"/>
    <cellStyle name="Milliers 3 2 4 3 5 2" xfId="3728"/>
    <cellStyle name="Milliers 3 2 4 3 5 2 2" xfId="8048"/>
    <cellStyle name="Milliers 3 2 4 3 5 2 2 2" xfId="16688"/>
    <cellStyle name="Milliers 3 2 4 3 5 2 3" xfId="12368"/>
    <cellStyle name="Milliers 3 2 4 3 5 3" xfId="5888"/>
    <cellStyle name="Milliers 3 2 4 3 5 3 2" xfId="14528"/>
    <cellStyle name="Milliers 3 2 4 3 5 4" xfId="10208"/>
    <cellStyle name="Milliers 3 2 4 3 6" xfId="2288"/>
    <cellStyle name="Milliers 3 2 4 3 6 2" xfId="6608"/>
    <cellStyle name="Milliers 3 2 4 3 6 2 2" xfId="15248"/>
    <cellStyle name="Milliers 3 2 4 3 6 3" xfId="10928"/>
    <cellStyle name="Milliers 3 2 4 3 7" xfId="4448"/>
    <cellStyle name="Milliers 3 2 4 3 7 2" xfId="13088"/>
    <cellStyle name="Milliers 3 2 4 3 8" xfId="8768"/>
    <cellStyle name="Milliers 3 2 4 4" xfId="218"/>
    <cellStyle name="Milliers 3 2 4 4 2" xfId="578"/>
    <cellStyle name="Milliers 3 2 4 4 2 2" xfId="1298"/>
    <cellStyle name="Milliers 3 2 4 4 2 2 2" xfId="3458"/>
    <cellStyle name="Milliers 3 2 4 4 2 2 2 2" xfId="7778"/>
    <cellStyle name="Milliers 3 2 4 4 2 2 2 2 2" xfId="16418"/>
    <cellStyle name="Milliers 3 2 4 4 2 2 2 3" xfId="12098"/>
    <cellStyle name="Milliers 3 2 4 4 2 2 3" xfId="5618"/>
    <cellStyle name="Milliers 3 2 4 4 2 2 3 2" xfId="14258"/>
    <cellStyle name="Milliers 3 2 4 4 2 2 4" xfId="9938"/>
    <cellStyle name="Milliers 3 2 4 4 2 3" xfId="2018"/>
    <cellStyle name="Milliers 3 2 4 4 2 3 2" xfId="4178"/>
    <cellStyle name="Milliers 3 2 4 4 2 3 2 2" xfId="8498"/>
    <cellStyle name="Milliers 3 2 4 4 2 3 2 2 2" xfId="17138"/>
    <cellStyle name="Milliers 3 2 4 4 2 3 2 3" xfId="12818"/>
    <cellStyle name="Milliers 3 2 4 4 2 3 3" xfId="6338"/>
    <cellStyle name="Milliers 3 2 4 4 2 3 3 2" xfId="14978"/>
    <cellStyle name="Milliers 3 2 4 4 2 3 4" xfId="10658"/>
    <cellStyle name="Milliers 3 2 4 4 2 4" xfId="2738"/>
    <cellStyle name="Milliers 3 2 4 4 2 4 2" xfId="7058"/>
    <cellStyle name="Milliers 3 2 4 4 2 4 2 2" xfId="15698"/>
    <cellStyle name="Milliers 3 2 4 4 2 4 3" xfId="11378"/>
    <cellStyle name="Milliers 3 2 4 4 2 5" xfId="4898"/>
    <cellStyle name="Milliers 3 2 4 4 2 5 2" xfId="13538"/>
    <cellStyle name="Milliers 3 2 4 4 2 6" xfId="9218"/>
    <cellStyle name="Milliers 3 2 4 4 3" xfId="938"/>
    <cellStyle name="Milliers 3 2 4 4 3 2" xfId="3098"/>
    <cellStyle name="Milliers 3 2 4 4 3 2 2" xfId="7418"/>
    <cellStyle name="Milliers 3 2 4 4 3 2 2 2" xfId="16058"/>
    <cellStyle name="Milliers 3 2 4 4 3 2 3" xfId="11738"/>
    <cellStyle name="Milliers 3 2 4 4 3 3" xfId="5258"/>
    <cellStyle name="Milliers 3 2 4 4 3 3 2" xfId="13898"/>
    <cellStyle name="Milliers 3 2 4 4 3 4" xfId="9578"/>
    <cellStyle name="Milliers 3 2 4 4 4" xfId="1658"/>
    <cellStyle name="Milliers 3 2 4 4 4 2" xfId="3818"/>
    <cellStyle name="Milliers 3 2 4 4 4 2 2" xfId="8138"/>
    <cellStyle name="Milliers 3 2 4 4 4 2 2 2" xfId="16778"/>
    <cellStyle name="Milliers 3 2 4 4 4 2 3" xfId="12458"/>
    <cellStyle name="Milliers 3 2 4 4 4 3" xfId="5978"/>
    <cellStyle name="Milliers 3 2 4 4 4 3 2" xfId="14618"/>
    <cellStyle name="Milliers 3 2 4 4 4 4" xfId="10298"/>
    <cellStyle name="Milliers 3 2 4 4 5" xfId="2378"/>
    <cellStyle name="Milliers 3 2 4 4 5 2" xfId="6698"/>
    <cellStyle name="Milliers 3 2 4 4 5 2 2" xfId="15338"/>
    <cellStyle name="Milliers 3 2 4 4 5 3" xfId="11018"/>
    <cellStyle name="Milliers 3 2 4 4 6" xfId="4538"/>
    <cellStyle name="Milliers 3 2 4 4 6 2" xfId="13178"/>
    <cellStyle name="Milliers 3 2 4 4 7" xfId="8858"/>
    <cellStyle name="Milliers 3 2 4 5" xfId="398"/>
    <cellStyle name="Milliers 3 2 4 5 2" xfId="1118"/>
    <cellStyle name="Milliers 3 2 4 5 2 2" xfId="3278"/>
    <cellStyle name="Milliers 3 2 4 5 2 2 2" xfId="7598"/>
    <cellStyle name="Milliers 3 2 4 5 2 2 2 2" xfId="16238"/>
    <cellStyle name="Milliers 3 2 4 5 2 2 3" xfId="11918"/>
    <cellStyle name="Milliers 3 2 4 5 2 3" xfId="5438"/>
    <cellStyle name="Milliers 3 2 4 5 2 3 2" xfId="14078"/>
    <cellStyle name="Milliers 3 2 4 5 2 4" xfId="9758"/>
    <cellStyle name="Milliers 3 2 4 5 3" xfId="1838"/>
    <cellStyle name="Milliers 3 2 4 5 3 2" xfId="3998"/>
    <cellStyle name="Milliers 3 2 4 5 3 2 2" xfId="8318"/>
    <cellStyle name="Milliers 3 2 4 5 3 2 2 2" xfId="16958"/>
    <cellStyle name="Milliers 3 2 4 5 3 2 3" xfId="12638"/>
    <cellStyle name="Milliers 3 2 4 5 3 3" xfId="6158"/>
    <cellStyle name="Milliers 3 2 4 5 3 3 2" xfId="14798"/>
    <cellStyle name="Milliers 3 2 4 5 3 4" xfId="10478"/>
    <cellStyle name="Milliers 3 2 4 5 4" xfId="2558"/>
    <cellStyle name="Milliers 3 2 4 5 4 2" xfId="6878"/>
    <cellStyle name="Milliers 3 2 4 5 4 2 2" xfId="15518"/>
    <cellStyle name="Milliers 3 2 4 5 4 3" xfId="11198"/>
    <cellStyle name="Milliers 3 2 4 5 5" xfId="4718"/>
    <cellStyle name="Milliers 3 2 4 5 5 2" xfId="13358"/>
    <cellStyle name="Milliers 3 2 4 5 6" xfId="9038"/>
    <cellStyle name="Milliers 3 2 4 6" xfId="758"/>
    <cellStyle name="Milliers 3 2 4 6 2" xfId="2918"/>
    <cellStyle name="Milliers 3 2 4 6 2 2" xfId="7238"/>
    <cellStyle name="Milliers 3 2 4 6 2 2 2" xfId="15878"/>
    <cellStyle name="Milliers 3 2 4 6 2 3" xfId="11558"/>
    <cellStyle name="Milliers 3 2 4 6 3" xfId="5078"/>
    <cellStyle name="Milliers 3 2 4 6 3 2" xfId="13718"/>
    <cellStyle name="Milliers 3 2 4 6 4" xfId="9398"/>
    <cellStyle name="Milliers 3 2 4 7" xfId="1478"/>
    <cellStyle name="Milliers 3 2 4 7 2" xfId="3638"/>
    <cellStyle name="Milliers 3 2 4 7 2 2" xfId="7958"/>
    <cellStyle name="Milliers 3 2 4 7 2 2 2" xfId="16598"/>
    <cellStyle name="Milliers 3 2 4 7 2 3" xfId="12278"/>
    <cellStyle name="Milliers 3 2 4 7 3" xfId="5798"/>
    <cellStyle name="Milliers 3 2 4 7 3 2" xfId="14438"/>
    <cellStyle name="Milliers 3 2 4 7 4" xfId="10118"/>
    <cellStyle name="Milliers 3 2 4 8" xfId="2198"/>
    <cellStyle name="Milliers 3 2 4 8 2" xfId="6518"/>
    <cellStyle name="Milliers 3 2 4 8 2 2" xfId="15158"/>
    <cellStyle name="Milliers 3 2 4 8 3" xfId="10838"/>
    <cellStyle name="Milliers 3 2 4 9" xfId="4358"/>
    <cellStyle name="Milliers 3 2 4 9 2" xfId="12998"/>
    <cellStyle name="Milliers 3 2 5" xfId="53"/>
    <cellStyle name="Milliers 3 2 5 2" xfId="143"/>
    <cellStyle name="Milliers 3 2 5 2 2" xfId="323"/>
    <cellStyle name="Milliers 3 2 5 2 2 2" xfId="683"/>
    <cellStyle name="Milliers 3 2 5 2 2 2 2" xfId="1403"/>
    <cellStyle name="Milliers 3 2 5 2 2 2 2 2" xfId="3563"/>
    <cellStyle name="Milliers 3 2 5 2 2 2 2 2 2" xfId="7883"/>
    <cellStyle name="Milliers 3 2 5 2 2 2 2 2 2 2" xfId="16523"/>
    <cellStyle name="Milliers 3 2 5 2 2 2 2 2 3" xfId="12203"/>
    <cellStyle name="Milliers 3 2 5 2 2 2 2 3" xfId="5723"/>
    <cellStyle name="Milliers 3 2 5 2 2 2 2 3 2" xfId="14363"/>
    <cellStyle name="Milliers 3 2 5 2 2 2 2 4" xfId="10043"/>
    <cellStyle name="Milliers 3 2 5 2 2 2 3" xfId="2123"/>
    <cellStyle name="Milliers 3 2 5 2 2 2 3 2" xfId="4283"/>
    <cellStyle name="Milliers 3 2 5 2 2 2 3 2 2" xfId="8603"/>
    <cellStyle name="Milliers 3 2 5 2 2 2 3 2 2 2" xfId="17243"/>
    <cellStyle name="Milliers 3 2 5 2 2 2 3 2 3" xfId="12923"/>
    <cellStyle name="Milliers 3 2 5 2 2 2 3 3" xfId="6443"/>
    <cellStyle name="Milliers 3 2 5 2 2 2 3 3 2" xfId="15083"/>
    <cellStyle name="Milliers 3 2 5 2 2 2 3 4" xfId="10763"/>
    <cellStyle name="Milliers 3 2 5 2 2 2 4" xfId="2843"/>
    <cellStyle name="Milliers 3 2 5 2 2 2 4 2" xfId="7163"/>
    <cellStyle name="Milliers 3 2 5 2 2 2 4 2 2" xfId="15803"/>
    <cellStyle name="Milliers 3 2 5 2 2 2 4 3" xfId="11483"/>
    <cellStyle name="Milliers 3 2 5 2 2 2 5" xfId="5003"/>
    <cellStyle name="Milliers 3 2 5 2 2 2 5 2" xfId="13643"/>
    <cellStyle name="Milliers 3 2 5 2 2 2 6" xfId="9323"/>
    <cellStyle name="Milliers 3 2 5 2 2 3" xfId="1043"/>
    <cellStyle name="Milliers 3 2 5 2 2 3 2" xfId="3203"/>
    <cellStyle name="Milliers 3 2 5 2 2 3 2 2" xfId="7523"/>
    <cellStyle name="Milliers 3 2 5 2 2 3 2 2 2" xfId="16163"/>
    <cellStyle name="Milliers 3 2 5 2 2 3 2 3" xfId="11843"/>
    <cellStyle name="Milliers 3 2 5 2 2 3 3" xfId="5363"/>
    <cellStyle name="Milliers 3 2 5 2 2 3 3 2" xfId="14003"/>
    <cellStyle name="Milliers 3 2 5 2 2 3 4" xfId="9683"/>
    <cellStyle name="Milliers 3 2 5 2 2 4" xfId="1763"/>
    <cellStyle name="Milliers 3 2 5 2 2 4 2" xfId="3923"/>
    <cellStyle name="Milliers 3 2 5 2 2 4 2 2" xfId="8243"/>
    <cellStyle name="Milliers 3 2 5 2 2 4 2 2 2" xfId="16883"/>
    <cellStyle name="Milliers 3 2 5 2 2 4 2 3" xfId="12563"/>
    <cellStyle name="Milliers 3 2 5 2 2 4 3" xfId="6083"/>
    <cellStyle name="Milliers 3 2 5 2 2 4 3 2" xfId="14723"/>
    <cellStyle name="Milliers 3 2 5 2 2 4 4" xfId="10403"/>
    <cellStyle name="Milliers 3 2 5 2 2 5" xfId="2483"/>
    <cellStyle name="Milliers 3 2 5 2 2 5 2" xfId="6803"/>
    <cellStyle name="Milliers 3 2 5 2 2 5 2 2" xfId="15443"/>
    <cellStyle name="Milliers 3 2 5 2 2 5 3" xfId="11123"/>
    <cellStyle name="Milliers 3 2 5 2 2 6" xfId="4643"/>
    <cellStyle name="Milliers 3 2 5 2 2 6 2" xfId="13283"/>
    <cellStyle name="Milliers 3 2 5 2 2 7" xfId="8963"/>
    <cellStyle name="Milliers 3 2 5 2 3" xfId="503"/>
    <cellStyle name="Milliers 3 2 5 2 3 2" xfId="1223"/>
    <cellStyle name="Milliers 3 2 5 2 3 2 2" xfId="3383"/>
    <cellStyle name="Milliers 3 2 5 2 3 2 2 2" xfId="7703"/>
    <cellStyle name="Milliers 3 2 5 2 3 2 2 2 2" xfId="16343"/>
    <cellStyle name="Milliers 3 2 5 2 3 2 2 3" xfId="12023"/>
    <cellStyle name="Milliers 3 2 5 2 3 2 3" xfId="5543"/>
    <cellStyle name="Milliers 3 2 5 2 3 2 3 2" xfId="14183"/>
    <cellStyle name="Milliers 3 2 5 2 3 2 4" xfId="9863"/>
    <cellStyle name="Milliers 3 2 5 2 3 3" xfId="1943"/>
    <cellStyle name="Milliers 3 2 5 2 3 3 2" xfId="4103"/>
    <cellStyle name="Milliers 3 2 5 2 3 3 2 2" xfId="8423"/>
    <cellStyle name="Milliers 3 2 5 2 3 3 2 2 2" xfId="17063"/>
    <cellStyle name="Milliers 3 2 5 2 3 3 2 3" xfId="12743"/>
    <cellStyle name="Milliers 3 2 5 2 3 3 3" xfId="6263"/>
    <cellStyle name="Milliers 3 2 5 2 3 3 3 2" xfId="14903"/>
    <cellStyle name="Milliers 3 2 5 2 3 3 4" xfId="10583"/>
    <cellStyle name="Milliers 3 2 5 2 3 4" xfId="2663"/>
    <cellStyle name="Milliers 3 2 5 2 3 4 2" xfId="6983"/>
    <cellStyle name="Milliers 3 2 5 2 3 4 2 2" xfId="15623"/>
    <cellStyle name="Milliers 3 2 5 2 3 4 3" xfId="11303"/>
    <cellStyle name="Milliers 3 2 5 2 3 5" xfId="4823"/>
    <cellStyle name="Milliers 3 2 5 2 3 5 2" xfId="13463"/>
    <cellStyle name="Milliers 3 2 5 2 3 6" xfId="9143"/>
    <cellStyle name="Milliers 3 2 5 2 4" xfId="863"/>
    <cellStyle name="Milliers 3 2 5 2 4 2" xfId="3023"/>
    <cellStyle name="Milliers 3 2 5 2 4 2 2" xfId="7343"/>
    <cellStyle name="Milliers 3 2 5 2 4 2 2 2" xfId="15983"/>
    <cellStyle name="Milliers 3 2 5 2 4 2 3" xfId="11663"/>
    <cellStyle name="Milliers 3 2 5 2 4 3" xfId="5183"/>
    <cellStyle name="Milliers 3 2 5 2 4 3 2" xfId="13823"/>
    <cellStyle name="Milliers 3 2 5 2 4 4" xfId="9503"/>
    <cellStyle name="Milliers 3 2 5 2 5" xfId="1583"/>
    <cellStyle name="Milliers 3 2 5 2 5 2" xfId="3743"/>
    <cellStyle name="Milliers 3 2 5 2 5 2 2" xfId="8063"/>
    <cellStyle name="Milliers 3 2 5 2 5 2 2 2" xfId="16703"/>
    <cellStyle name="Milliers 3 2 5 2 5 2 3" xfId="12383"/>
    <cellStyle name="Milliers 3 2 5 2 5 3" xfId="5903"/>
    <cellStyle name="Milliers 3 2 5 2 5 3 2" xfId="14543"/>
    <cellStyle name="Milliers 3 2 5 2 5 4" xfId="10223"/>
    <cellStyle name="Milliers 3 2 5 2 6" xfId="2303"/>
    <cellStyle name="Milliers 3 2 5 2 6 2" xfId="6623"/>
    <cellStyle name="Milliers 3 2 5 2 6 2 2" xfId="15263"/>
    <cellStyle name="Milliers 3 2 5 2 6 3" xfId="10943"/>
    <cellStyle name="Milliers 3 2 5 2 7" xfId="4463"/>
    <cellStyle name="Milliers 3 2 5 2 7 2" xfId="13103"/>
    <cellStyle name="Milliers 3 2 5 2 8" xfId="8783"/>
    <cellStyle name="Milliers 3 2 5 3" xfId="233"/>
    <cellStyle name="Milliers 3 2 5 3 2" xfId="593"/>
    <cellStyle name="Milliers 3 2 5 3 2 2" xfId="1313"/>
    <cellStyle name="Milliers 3 2 5 3 2 2 2" xfId="3473"/>
    <cellStyle name="Milliers 3 2 5 3 2 2 2 2" xfId="7793"/>
    <cellStyle name="Milliers 3 2 5 3 2 2 2 2 2" xfId="16433"/>
    <cellStyle name="Milliers 3 2 5 3 2 2 2 3" xfId="12113"/>
    <cellStyle name="Milliers 3 2 5 3 2 2 3" xfId="5633"/>
    <cellStyle name="Milliers 3 2 5 3 2 2 3 2" xfId="14273"/>
    <cellStyle name="Milliers 3 2 5 3 2 2 4" xfId="9953"/>
    <cellStyle name="Milliers 3 2 5 3 2 3" xfId="2033"/>
    <cellStyle name="Milliers 3 2 5 3 2 3 2" xfId="4193"/>
    <cellStyle name="Milliers 3 2 5 3 2 3 2 2" xfId="8513"/>
    <cellStyle name="Milliers 3 2 5 3 2 3 2 2 2" xfId="17153"/>
    <cellStyle name="Milliers 3 2 5 3 2 3 2 3" xfId="12833"/>
    <cellStyle name="Milliers 3 2 5 3 2 3 3" xfId="6353"/>
    <cellStyle name="Milliers 3 2 5 3 2 3 3 2" xfId="14993"/>
    <cellStyle name="Milliers 3 2 5 3 2 3 4" xfId="10673"/>
    <cellStyle name="Milliers 3 2 5 3 2 4" xfId="2753"/>
    <cellStyle name="Milliers 3 2 5 3 2 4 2" xfId="7073"/>
    <cellStyle name="Milliers 3 2 5 3 2 4 2 2" xfId="15713"/>
    <cellStyle name="Milliers 3 2 5 3 2 4 3" xfId="11393"/>
    <cellStyle name="Milliers 3 2 5 3 2 5" xfId="4913"/>
    <cellStyle name="Milliers 3 2 5 3 2 5 2" xfId="13553"/>
    <cellStyle name="Milliers 3 2 5 3 2 6" xfId="9233"/>
    <cellStyle name="Milliers 3 2 5 3 3" xfId="953"/>
    <cellStyle name="Milliers 3 2 5 3 3 2" xfId="3113"/>
    <cellStyle name="Milliers 3 2 5 3 3 2 2" xfId="7433"/>
    <cellStyle name="Milliers 3 2 5 3 3 2 2 2" xfId="16073"/>
    <cellStyle name="Milliers 3 2 5 3 3 2 3" xfId="11753"/>
    <cellStyle name="Milliers 3 2 5 3 3 3" xfId="5273"/>
    <cellStyle name="Milliers 3 2 5 3 3 3 2" xfId="13913"/>
    <cellStyle name="Milliers 3 2 5 3 3 4" xfId="9593"/>
    <cellStyle name="Milliers 3 2 5 3 4" xfId="1673"/>
    <cellStyle name="Milliers 3 2 5 3 4 2" xfId="3833"/>
    <cellStyle name="Milliers 3 2 5 3 4 2 2" xfId="8153"/>
    <cellStyle name="Milliers 3 2 5 3 4 2 2 2" xfId="16793"/>
    <cellStyle name="Milliers 3 2 5 3 4 2 3" xfId="12473"/>
    <cellStyle name="Milliers 3 2 5 3 4 3" xfId="5993"/>
    <cellStyle name="Milliers 3 2 5 3 4 3 2" xfId="14633"/>
    <cellStyle name="Milliers 3 2 5 3 4 4" xfId="10313"/>
    <cellStyle name="Milliers 3 2 5 3 5" xfId="2393"/>
    <cellStyle name="Milliers 3 2 5 3 5 2" xfId="6713"/>
    <cellStyle name="Milliers 3 2 5 3 5 2 2" xfId="15353"/>
    <cellStyle name="Milliers 3 2 5 3 5 3" xfId="11033"/>
    <cellStyle name="Milliers 3 2 5 3 6" xfId="4553"/>
    <cellStyle name="Milliers 3 2 5 3 6 2" xfId="13193"/>
    <cellStyle name="Milliers 3 2 5 3 7" xfId="8873"/>
    <cellStyle name="Milliers 3 2 5 4" xfId="413"/>
    <cellStyle name="Milliers 3 2 5 4 2" xfId="1133"/>
    <cellStyle name="Milliers 3 2 5 4 2 2" xfId="3293"/>
    <cellStyle name="Milliers 3 2 5 4 2 2 2" xfId="7613"/>
    <cellStyle name="Milliers 3 2 5 4 2 2 2 2" xfId="16253"/>
    <cellStyle name="Milliers 3 2 5 4 2 2 3" xfId="11933"/>
    <cellStyle name="Milliers 3 2 5 4 2 3" xfId="5453"/>
    <cellStyle name="Milliers 3 2 5 4 2 3 2" xfId="14093"/>
    <cellStyle name="Milliers 3 2 5 4 2 4" xfId="9773"/>
    <cellStyle name="Milliers 3 2 5 4 3" xfId="1853"/>
    <cellStyle name="Milliers 3 2 5 4 3 2" xfId="4013"/>
    <cellStyle name="Milliers 3 2 5 4 3 2 2" xfId="8333"/>
    <cellStyle name="Milliers 3 2 5 4 3 2 2 2" xfId="16973"/>
    <cellStyle name="Milliers 3 2 5 4 3 2 3" xfId="12653"/>
    <cellStyle name="Milliers 3 2 5 4 3 3" xfId="6173"/>
    <cellStyle name="Milliers 3 2 5 4 3 3 2" xfId="14813"/>
    <cellStyle name="Milliers 3 2 5 4 3 4" xfId="10493"/>
    <cellStyle name="Milliers 3 2 5 4 4" xfId="2573"/>
    <cellStyle name="Milliers 3 2 5 4 4 2" xfId="6893"/>
    <cellStyle name="Milliers 3 2 5 4 4 2 2" xfId="15533"/>
    <cellStyle name="Milliers 3 2 5 4 4 3" xfId="11213"/>
    <cellStyle name="Milliers 3 2 5 4 5" xfId="4733"/>
    <cellStyle name="Milliers 3 2 5 4 5 2" xfId="13373"/>
    <cellStyle name="Milliers 3 2 5 4 6" xfId="9053"/>
    <cellStyle name="Milliers 3 2 5 5" xfId="773"/>
    <cellStyle name="Milliers 3 2 5 5 2" xfId="2933"/>
    <cellStyle name="Milliers 3 2 5 5 2 2" xfId="7253"/>
    <cellStyle name="Milliers 3 2 5 5 2 2 2" xfId="15893"/>
    <cellStyle name="Milliers 3 2 5 5 2 3" xfId="11573"/>
    <cellStyle name="Milliers 3 2 5 5 3" xfId="5093"/>
    <cellStyle name="Milliers 3 2 5 5 3 2" xfId="13733"/>
    <cellStyle name="Milliers 3 2 5 5 4" xfId="9413"/>
    <cellStyle name="Milliers 3 2 5 6" xfId="1493"/>
    <cellStyle name="Milliers 3 2 5 6 2" xfId="3653"/>
    <cellStyle name="Milliers 3 2 5 6 2 2" xfId="7973"/>
    <cellStyle name="Milliers 3 2 5 6 2 2 2" xfId="16613"/>
    <cellStyle name="Milliers 3 2 5 6 2 3" xfId="12293"/>
    <cellStyle name="Milliers 3 2 5 6 3" xfId="5813"/>
    <cellStyle name="Milliers 3 2 5 6 3 2" xfId="14453"/>
    <cellStyle name="Milliers 3 2 5 6 4" xfId="10133"/>
    <cellStyle name="Milliers 3 2 5 7" xfId="2213"/>
    <cellStyle name="Milliers 3 2 5 7 2" xfId="6533"/>
    <cellStyle name="Milliers 3 2 5 7 2 2" xfId="15173"/>
    <cellStyle name="Milliers 3 2 5 7 3" xfId="10853"/>
    <cellStyle name="Milliers 3 2 5 8" xfId="4373"/>
    <cellStyle name="Milliers 3 2 5 8 2" xfId="13013"/>
    <cellStyle name="Milliers 3 2 5 9" xfId="8693"/>
    <cellStyle name="Milliers 3 2 6" xfId="98"/>
    <cellStyle name="Milliers 3 2 6 2" xfId="278"/>
    <cellStyle name="Milliers 3 2 6 2 2" xfId="638"/>
    <cellStyle name="Milliers 3 2 6 2 2 2" xfId="1358"/>
    <cellStyle name="Milliers 3 2 6 2 2 2 2" xfId="3518"/>
    <cellStyle name="Milliers 3 2 6 2 2 2 2 2" xfId="7838"/>
    <cellStyle name="Milliers 3 2 6 2 2 2 2 2 2" xfId="16478"/>
    <cellStyle name="Milliers 3 2 6 2 2 2 2 3" xfId="12158"/>
    <cellStyle name="Milliers 3 2 6 2 2 2 3" xfId="5678"/>
    <cellStyle name="Milliers 3 2 6 2 2 2 3 2" xfId="14318"/>
    <cellStyle name="Milliers 3 2 6 2 2 2 4" xfId="9998"/>
    <cellStyle name="Milliers 3 2 6 2 2 3" xfId="2078"/>
    <cellStyle name="Milliers 3 2 6 2 2 3 2" xfId="4238"/>
    <cellStyle name="Milliers 3 2 6 2 2 3 2 2" xfId="8558"/>
    <cellStyle name="Milliers 3 2 6 2 2 3 2 2 2" xfId="17198"/>
    <cellStyle name="Milliers 3 2 6 2 2 3 2 3" xfId="12878"/>
    <cellStyle name="Milliers 3 2 6 2 2 3 3" xfId="6398"/>
    <cellStyle name="Milliers 3 2 6 2 2 3 3 2" xfId="15038"/>
    <cellStyle name="Milliers 3 2 6 2 2 3 4" xfId="10718"/>
    <cellStyle name="Milliers 3 2 6 2 2 4" xfId="2798"/>
    <cellStyle name="Milliers 3 2 6 2 2 4 2" xfId="7118"/>
    <cellStyle name="Milliers 3 2 6 2 2 4 2 2" xfId="15758"/>
    <cellStyle name="Milliers 3 2 6 2 2 4 3" xfId="11438"/>
    <cellStyle name="Milliers 3 2 6 2 2 5" xfId="4958"/>
    <cellStyle name="Milliers 3 2 6 2 2 5 2" xfId="13598"/>
    <cellStyle name="Milliers 3 2 6 2 2 6" xfId="9278"/>
    <cellStyle name="Milliers 3 2 6 2 3" xfId="998"/>
    <cellStyle name="Milliers 3 2 6 2 3 2" xfId="3158"/>
    <cellStyle name="Milliers 3 2 6 2 3 2 2" xfId="7478"/>
    <cellStyle name="Milliers 3 2 6 2 3 2 2 2" xfId="16118"/>
    <cellStyle name="Milliers 3 2 6 2 3 2 3" xfId="11798"/>
    <cellStyle name="Milliers 3 2 6 2 3 3" xfId="5318"/>
    <cellStyle name="Milliers 3 2 6 2 3 3 2" xfId="13958"/>
    <cellStyle name="Milliers 3 2 6 2 3 4" xfId="9638"/>
    <cellStyle name="Milliers 3 2 6 2 4" xfId="1718"/>
    <cellStyle name="Milliers 3 2 6 2 4 2" xfId="3878"/>
    <cellStyle name="Milliers 3 2 6 2 4 2 2" xfId="8198"/>
    <cellStyle name="Milliers 3 2 6 2 4 2 2 2" xfId="16838"/>
    <cellStyle name="Milliers 3 2 6 2 4 2 3" xfId="12518"/>
    <cellStyle name="Milliers 3 2 6 2 4 3" xfId="6038"/>
    <cellStyle name="Milliers 3 2 6 2 4 3 2" xfId="14678"/>
    <cellStyle name="Milliers 3 2 6 2 4 4" xfId="10358"/>
    <cellStyle name="Milliers 3 2 6 2 5" xfId="2438"/>
    <cellStyle name="Milliers 3 2 6 2 5 2" xfId="6758"/>
    <cellStyle name="Milliers 3 2 6 2 5 2 2" xfId="15398"/>
    <cellStyle name="Milliers 3 2 6 2 5 3" xfId="11078"/>
    <cellStyle name="Milliers 3 2 6 2 6" xfId="4598"/>
    <cellStyle name="Milliers 3 2 6 2 6 2" xfId="13238"/>
    <cellStyle name="Milliers 3 2 6 2 7" xfId="8918"/>
    <cellStyle name="Milliers 3 2 6 3" xfId="458"/>
    <cellStyle name="Milliers 3 2 6 3 2" xfId="1178"/>
    <cellStyle name="Milliers 3 2 6 3 2 2" xfId="3338"/>
    <cellStyle name="Milliers 3 2 6 3 2 2 2" xfId="7658"/>
    <cellStyle name="Milliers 3 2 6 3 2 2 2 2" xfId="16298"/>
    <cellStyle name="Milliers 3 2 6 3 2 2 3" xfId="11978"/>
    <cellStyle name="Milliers 3 2 6 3 2 3" xfId="5498"/>
    <cellStyle name="Milliers 3 2 6 3 2 3 2" xfId="14138"/>
    <cellStyle name="Milliers 3 2 6 3 2 4" xfId="9818"/>
    <cellStyle name="Milliers 3 2 6 3 3" xfId="1898"/>
    <cellStyle name="Milliers 3 2 6 3 3 2" xfId="4058"/>
    <cellStyle name="Milliers 3 2 6 3 3 2 2" xfId="8378"/>
    <cellStyle name="Milliers 3 2 6 3 3 2 2 2" xfId="17018"/>
    <cellStyle name="Milliers 3 2 6 3 3 2 3" xfId="12698"/>
    <cellStyle name="Milliers 3 2 6 3 3 3" xfId="6218"/>
    <cellStyle name="Milliers 3 2 6 3 3 3 2" xfId="14858"/>
    <cellStyle name="Milliers 3 2 6 3 3 4" xfId="10538"/>
    <cellStyle name="Milliers 3 2 6 3 4" xfId="2618"/>
    <cellStyle name="Milliers 3 2 6 3 4 2" xfId="6938"/>
    <cellStyle name="Milliers 3 2 6 3 4 2 2" xfId="15578"/>
    <cellStyle name="Milliers 3 2 6 3 4 3" xfId="11258"/>
    <cellStyle name="Milliers 3 2 6 3 5" xfId="4778"/>
    <cellStyle name="Milliers 3 2 6 3 5 2" xfId="13418"/>
    <cellStyle name="Milliers 3 2 6 3 6" xfId="9098"/>
    <cellStyle name="Milliers 3 2 6 4" xfId="818"/>
    <cellStyle name="Milliers 3 2 6 4 2" xfId="2978"/>
    <cellStyle name="Milliers 3 2 6 4 2 2" xfId="7298"/>
    <cellStyle name="Milliers 3 2 6 4 2 2 2" xfId="15938"/>
    <cellStyle name="Milliers 3 2 6 4 2 3" xfId="11618"/>
    <cellStyle name="Milliers 3 2 6 4 3" xfId="5138"/>
    <cellStyle name="Milliers 3 2 6 4 3 2" xfId="13778"/>
    <cellStyle name="Milliers 3 2 6 4 4" xfId="9458"/>
    <cellStyle name="Milliers 3 2 6 5" xfId="1538"/>
    <cellStyle name="Milliers 3 2 6 5 2" xfId="3698"/>
    <cellStyle name="Milliers 3 2 6 5 2 2" xfId="8018"/>
    <cellStyle name="Milliers 3 2 6 5 2 2 2" xfId="16658"/>
    <cellStyle name="Milliers 3 2 6 5 2 3" xfId="12338"/>
    <cellStyle name="Milliers 3 2 6 5 3" xfId="5858"/>
    <cellStyle name="Milliers 3 2 6 5 3 2" xfId="14498"/>
    <cellStyle name="Milliers 3 2 6 5 4" xfId="10178"/>
    <cellStyle name="Milliers 3 2 6 6" xfId="2258"/>
    <cellStyle name="Milliers 3 2 6 6 2" xfId="6578"/>
    <cellStyle name="Milliers 3 2 6 6 2 2" xfId="15218"/>
    <cellStyle name="Milliers 3 2 6 6 3" xfId="10898"/>
    <cellStyle name="Milliers 3 2 6 7" xfId="4418"/>
    <cellStyle name="Milliers 3 2 6 7 2" xfId="13058"/>
    <cellStyle name="Milliers 3 2 6 8" xfId="8738"/>
    <cellStyle name="Milliers 3 2 7" xfId="188"/>
    <cellStyle name="Milliers 3 2 7 2" xfId="548"/>
    <cellStyle name="Milliers 3 2 7 2 2" xfId="1268"/>
    <cellStyle name="Milliers 3 2 7 2 2 2" xfId="3428"/>
    <cellStyle name="Milliers 3 2 7 2 2 2 2" xfId="7748"/>
    <cellStyle name="Milliers 3 2 7 2 2 2 2 2" xfId="16388"/>
    <cellStyle name="Milliers 3 2 7 2 2 2 3" xfId="12068"/>
    <cellStyle name="Milliers 3 2 7 2 2 3" xfId="5588"/>
    <cellStyle name="Milliers 3 2 7 2 2 3 2" xfId="14228"/>
    <cellStyle name="Milliers 3 2 7 2 2 4" xfId="9908"/>
    <cellStyle name="Milliers 3 2 7 2 3" xfId="1988"/>
    <cellStyle name="Milliers 3 2 7 2 3 2" xfId="4148"/>
    <cellStyle name="Milliers 3 2 7 2 3 2 2" xfId="8468"/>
    <cellStyle name="Milliers 3 2 7 2 3 2 2 2" xfId="17108"/>
    <cellStyle name="Milliers 3 2 7 2 3 2 3" xfId="12788"/>
    <cellStyle name="Milliers 3 2 7 2 3 3" xfId="6308"/>
    <cellStyle name="Milliers 3 2 7 2 3 3 2" xfId="14948"/>
    <cellStyle name="Milliers 3 2 7 2 3 4" xfId="10628"/>
    <cellStyle name="Milliers 3 2 7 2 4" xfId="2708"/>
    <cellStyle name="Milliers 3 2 7 2 4 2" xfId="7028"/>
    <cellStyle name="Milliers 3 2 7 2 4 2 2" xfId="15668"/>
    <cellStyle name="Milliers 3 2 7 2 4 3" xfId="11348"/>
    <cellStyle name="Milliers 3 2 7 2 5" xfId="4868"/>
    <cellStyle name="Milliers 3 2 7 2 5 2" xfId="13508"/>
    <cellStyle name="Milliers 3 2 7 2 6" xfId="9188"/>
    <cellStyle name="Milliers 3 2 7 3" xfId="908"/>
    <cellStyle name="Milliers 3 2 7 3 2" xfId="3068"/>
    <cellStyle name="Milliers 3 2 7 3 2 2" xfId="7388"/>
    <cellStyle name="Milliers 3 2 7 3 2 2 2" xfId="16028"/>
    <cellStyle name="Milliers 3 2 7 3 2 3" xfId="11708"/>
    <cellStyle name="Milliers 3 2 7 3 3" xfId="5228"/>
    <cellStyle name="Milliers 3 2 7 3 3 2" xfId="13868"/>
    <cellStyle name="Milliers 3 2 7 3 4" xfId="9548"/>
    <cellStyle name="Milliers 3 2 7 4" xfId="1628"/>
    <cellStyle name="Milliers 3 2 7 4 2" xfId="3788"/>
    <cellStyle name="Milliers 3 2 7 4 2 2" xfId="8108"/>
    <cellStyle name="Milliers 3 2 7 4 2 2 2" xfId="16748"/>
    <cellStyle name="Milliers 3 2 7 4 2 3" xfId="12428"/>
    <cellStyle name="Milliers 3 2 7 4 3" xfId="5948"/>
    <cellStyle name="Milliers 3 2 7 4 3 2" xfId="14588"/>
    <cellStyle name="Milliers 3 2 7 4 4" xfId="10268"/>
    <cellStyle name="Milliers 3 2 7 5" xfId="2348"/>
    <cellStyle name="Milliers 3 2 7 5 2" xfId="6668"/>
    <cellStyle name="Milliers 3 2 7 5 2 2" xfId="15308"/>
    <cellStyle name="Milliers 3 2 7 5 3" xfId="10988"/>
    <cellStyle name="Milliers 3 2 7 6" xfId="4508"/>
    <cellStyle name="Milliers 3 2 7 6 2" xfId="13148"/>
    <cellStyle name="Milliers 3 2 7 7" xfId="8828"/>
    <cellStyle name="Milliers 3 2 8" xfId="368"/>
    <cellStyle name="Milliers 3 2 8 2" xfId="1088"/>
    <cellStyle name="Milliers 3 2 8 2 2" xfId="3248"/>
    <cellStyle name="Milliers 3 2 8 2 2 2" xfId="7568"/>
    <cellStyle name="Milliers 3 2 8 2 2 2 2" xfId="16208"/>
    <cellStyle name="Milliers 3 2 8 2 2 3" xfId="11888"/>
    <cellStyle name="Milliers 3 2 8 2 3" xfId="5408"/>
    <cellStyle name="Milliers 3 2 8 2 3 2" xfId="14048"/>
    <cellStyle name="Milliers 3 2 8 2 4" xfId="9728"/>
    <cellStyle name="Milliers 3 2 8 3" xfId="1808"/>
    <cellStyle name="Milliers 3 2 8 3 2" xfId="3968"/>
    <cellStyle name="Milliers 3 2 8 3 2 2" xfId="8288"/>
    <cellStyle name="Milliers 3 2 8 3 2 2 2" xfId="16928"/>
    <cellStyle name="Milliers 3 2 8 3 2 3" xfId="12608"/>
    <cellStyle name="Milliers 3 2 8 3 3" xfId="6128"/>
    <cellStyle name="Milliers 3 2 8 3 3 2" xfId="14768"/>
    <cellStyle name="Milliers 3 2 8 3 4" xfId="10448"/>
    <cellStyle name="Milliers 3 2 8 4" xfId="2528"/>
    <cellStyle name="Milliers 3 2 8 4 2" xfId="6848"/>
    <cellStyle name="Milliers 3 2 8 4 2 2" xfId="15488"/>
    <cellStyle name="Milliers 3 2 8 4 3" xfId="11168"/>
    <cellStyle name="Milliers 3 2 8 5" xfId="4688"/>
    <cellStyle name="Milliers 3 2 8 5 2" xfId="13328"/>
    <cellStyle name="Milliers 3 2 8 6" xfId="9008"/>
    <cellStyle name="Milliers 3 2 9" xfId="728"/>
    <cellStyle name="Milliers 3 2 9 2" xfId="2888"/>
    <cellStyle name="Milliers 3 2 9 2 2" xfId="7208"/>
    <cellStyle name="Milliers 3 2 9 2 2 2" xfId="15848"/>
    <cellStyle name="Milliers 3 2 9 2 3" xfId="11528"/>
    <cellStyle name="Milliers 3 2 9 3" xfId="5048"/>
    <cellStyle name="Milliers 3 2 9 3 2" xfId="13688"/>
    <cellStyle name="Milliers 3 2 9 4" xfId="9368"/>
    <cellStyle name="Milliers 3 3" xfId="11"/>
    <cellStyle name="Milliers 3 3 10" xfId="2171"/>
    <cellStyle name="Milliers 3 3 10 2" xfId="6491"/>
    <cellStyle name="Milliers 3 3 10 2 2" xfId="15131"/>
    <cellStyle name="Milliers 3 3 10 3" xfId="10811"/>
    <cellStyle name="Milliers 3 3 11" xfId="4331"/>
    <cellStyle name="Milliers 3 3 11 2" xfId="12971"/>
    <cellStyle name="Milliers 3 3 12" xfId="8651"/>
    <cellStyle name="Milliers 3 3 2" xfId="26"/>
    <cellStyle name="Milliers 3 3 2 10" xfId="8666"/>
    <cellStyle name="Milliers 3 3 2 2" xfId="71"/>
    <cellStyle name="Milliers 3 3 2 2 2" xfId="161"/>
    <cellStyle name="Milliers 3 3 2 2 2 2" xfId="341"/>
    <cellStyle name="Milliers 3 3 2 2 2 2 2" xfId="701"/>
    <cellStyle name="Milliers 3 3 2 2 2 2 2 2" xfId="1421"/>
    <cellStyle name="Milliers 3 3 2 2 2 2 2 2 2" xfId="3581"/>
    <cellStyle name="Milliers 3 3 2 2 2 2 2 2 2 2" xfId="7901"/>
    <cellStyle name="Milliers 3 3 2 2 2 2 2 2 2 2 2" xfId="16541"/>
    <cellStyle name="Milliers 3 3 2 2 2 2 2 2 2 3" xfId="12221"/>
    <cellStyle name="Milliers 3 3 2 2 2 2 2 2 3" xfId="5741"/>
    <cellStyle name="Milliers 3 3 2 2 2 2 2 2 3 2" xfId="14381"/>
    <cellStyle name="Milliers 3 3 2 2 2 2 2 2 4" xfId="10061"/>
    <cellStyle name="Milliers 3 3 2 2 2 2 2 3" xfId="2141"/>
    <cellStyle name="Milliers 3 3 2 2 2 2 2 3 2" xfId="4301"/>
    <cellStyle name="Milliers 3 3 2 2 2 2 2 3 2 2" xfId="8621"/>
    <cellStyle name="Milliers 3 3 2 2 2 2 2 3 2 2 2" xfId="17261"/>
    <cellStyle name="Milliers 3 3 2 2 2 2 2 3 2 3" xfId="12941"/>
    <cellStyle name="Milliers 3 3 2 2 2 2 2 3 3" xfId="6461"/>
    <cellStyle name="Milliers 3 3 2 2 2 2 2 3 3 2" xfId="15101"/>
    <cellStyle name="Milliers 3 3 2 2 2 2 2 3 4" xfId="10781"/>
    <cellStyle name="Milliers 3 3 2 2 2 2 2 4" xfId="2861"/>
    <cellStyle name="Milliers 3 3 2 2 2 2 2 4 2" xfId="7181"/>
    <cellStyle name="Milliers 3 3 2 2 2 2 2 4 2 2" xfId="15821"/>
    <cellStyle name="Milliers 3 3 2 2 2 2 2 4 3" xfId="11501"/>
    <cellStyle name="Milliers 3 3 2 2 2 2 2 5" xfId="5021"/>
    <cellStyle name="Milliers 3 3 2 2 2 2 2 5 2" xfId="13661"/>
    <cellStyle name="Milliers 3 3 2 2 2 2 2 6" xfId="9341"/>
    <cellStyle name="Milliers 3 3 2 2 2 2 3" xfId="1061"/>
    <cellStyle name="Milliers 3 3 2 2 2 2 3 2" xfId="3221"/>
    <cellStyle name="Milliers 3 3 2 2 2 2 3 2 2" xfId="7541"/>
    <cellStyle name="Milliers 3 3 2 2 2 2 3 2 2 2" xfId="16181"/>
    <cellStyle name="Milliers 3 3 2 2 2 2 3 2 3" xfId="11861"/>
    <cellStyle name="Milliers 3 3 2 2 2 2 3 3" xfId="5381"/>
    <cellStyle name="Milliers 3 3 2 2 2 2 3 3 2" xfId="14021"/>
    <cellStyle name="Milliers 3 3 2 2 2 2 3 4" xfId="9701"/>
    <cellStyle name="Milliers 3 3 2 2 2 2 4" xfId="1781"/>
    <cellStyle name="Milliers 3 3 2 2 2 2 4 2" xfId="3941"/>
    <cellStyle name="Milliers 3 3 2 2 2 2 4 2 2" xfId="8261"/>
    <cellStyle name="Milliers 3 3 2 2 2 2 4 2 2 2" xfId="16901"/>
    <cellStyle name="Milliers 3 3 2 2 2 2 4 2 3" xfId="12581"/>
    <cellStyle name="Milliers 3 3 2 2 2 2 4 3" xfId="6101"/>
    <cellStyle name="Milliers 3 3 2 2 2 2 4 3 2" xfId="14741"/>
    <cellStyle name="Milliers 3 3 2 2 2 2 4 4" xfId="10421"/>
    <cellStyle name="Milliers 3 3 2 2 2 2 5" xfId="2501"/>
    <cellStyle name="Milliers 3 3 2 2 2 2 5 2" xfId="6821"/>
    <cellStyle name="Milliers 3 3 2 2 2 2 5 2 2" xfId="15461"/>
    <cellStyle name="Milliers 3 3 2 2 2 2 5 3" xfId="11141"/>
    <cellStyle name="Milliers 3 3 2 2 2 2 6" xfId="4661"/>
    <cellStyle name="Milliers 3 3 2 2 2 2 6 2" xfId="13301"/>
    <cellStyle name="Milliers 3 3 2 2 2 2 7" xfId="8981"/>
    <cellStyle name="Milliers 3 3 2 2 2 3" xfId="521"/>
    <cellStyle name="Milliers 3 3 2 2 2 3 2" xfId="1241"/>
    <cellStyle name="Milliers 3 3 2 2 2 3 2 2" xfId="3401"/>
    <cellStyle name="Milliers 3 3 2 2 2 3 2 2 2" xfId="7721"/>
    <cellStyle name="Milliers 3 3 2 2 2 3 2 2 2 2" xfId="16361"/>
    <cellStyle name="Milliers 3 3 2 2 2 3 2 2 3" xfId="12041"/>
    <cellStyle name="Milliers 3 3 2 2 2 3 2 3" xfId="5561"/>
    <cellStyle name="Milliers 3 3 2 2 2 3 2 3 2" xfId="14201"/>
    <cellStyle name="Milliers 3 3 2 2 2 3 2 4" xfId="9881"/>
    <cellStyle name="Milliers 3 3 2 2 2 3 3" xfId="1961"/>
    <cellStyle name="Milliers 3 3 2 2 2 3 3 2" xfId="4121"/>
    <cellStyle name="Milliers 3 3 2 2 2 3 3 2 2" xfId="8441"/>
    <cellStyle name="Milliers 3 3 2 2 2 3 3 2 2 2" xfId="17081"/>
    <cellStyle name="Milliers 3 3 2 2 2 3 3 2 3" xfId="12761"/>
    <cellStyle name="Milliers 3 3 2 2 2 3 3 3" xfId="6281"/>
    <cellStyle name="Milliers 3 3 2 2 2 3 3 3 2" xfId="14921"/>
    <cellStyle name="Milliers 3 3 2 2 2 3 3 4" xfId="10601"/>
    <cellStyle name="Milliers 3 3 2 2 2 3 4" xfId="2681"/>
    <cellStyle name="Milliers 3 3 2 2 2 3 4 2" xfId="7001"/>
    <cellStyle name="Milliers 3 3 2 2 2 3 4 2 2" xfId="15641"/>
    <cellStyle name="Milliers 3 3 2 2 2 3 4 3" xfId="11321"/>
    <cellStyle name="Milliers 3 3 2 2 2 3 5" xfId="4841"/>
    <cellStyle name="Milliers 3 3 2 2 2 3 5 2" xfId="13481"/>
    <cellStyle name="Milliers 3 3 2 2 2 3 6" xfId="9161"/>
    <cellStyle name="Milliers 3 3 2 2 2 4" xfId="881"/>
    <cellStyle name="Milliers 3 3 2 2 2 4 2" xfId="3041"/>
    <cellStyle name="Milliers 3 3 2 2 2 4 2 2" xfId="7361"/>
    <cellStyle name="Milliers 3 3 2 2 2 4 2 2 2" xfId="16001"/>
    <cellStyle name="Milliers 3 3 2 2 2 4 2 3" xfId="11681"/>
    <cellStyle name="Milliers 3 3 2 2 2 4 3" xfId="5201"/>
    <cellStyle name="Milliers 3 3 2 2 2 4 3 2" xfId="13841"/>
    <cellStyle name="Milliers 3 3 2 2 2 4 4" xfId="9521"/>
    <cellStyle name="Milliers 3 3 2 2 2 5" xfId="1601"/>
    <cellStyle name="Milliers 3 3 2 2 2 5 2" xfId="3761"/>
    <cellStyle name="Milliers 3 3 2 2 2 5 2 2" xfId="8081"/>
    <cellStyle name="Milliers 3 3 2 2 2 5 2 2 2" xfId="16721"/>
    <cellStyle name="Milliers 3 3 2 2 2 5 2 3" xfId="12401"/>
    <cellStyle name="Milliers 3 3 2 2 2 5 3" xfId="5921"/>
    <cellStyle name="Milliers 3 3 2 2 2 5 3 2" xfId="14561"/>
    <cellStyle name="Milliers 3 3 2 2 2 5 4" xfId="10241"/>
    <cellStyle name="Milliers 3 3 2 2 2 6" xfId="2321"/>
    <cellStyle name="Milliers 3 3 2 2 2 6 2" xfId="6641"/>
    <cellStyle name="Milliers 3 3 2 2 2 6 2 2" xfId="15281"/>
    <cellStyle name="Milliers 3 3 2 2 2 6 3" xfId="10961"/>
    <cellStyle name="Milliers 3 3 2 2 2 7" xfId="4481"/>
    <cellStyle name="Milliers 3 3 2 2 2 7 2" xfId="13121"/>
    <cellStyle name="Milliers 3 3 2 2 2 8" xfId="8801"/>
    <cellStyle name="Milliers 3 3 2 2 3" xfId="251"/>
    <cellStyle name="Milliers 3 3 2 2 3 2" xfId="611"/>
    <cellStyle name="Milliers 3 3 2 2 3 2 2" xfId="1331"/>
    <cellStyle name="Milliers 3 3 2 2 3 2 2 2" xfId="3491"/>
    <cellStyle name="Milliers 3 3 2 2 3 2 2 2 2" xfId="7811"/>
    <cellStyle name="Milliers 3 3 2 2 3 2 2 2 2 2" xfId="16451"/>
    <cellStyle name="Milliers 3 3 2 2 3 2 2 2 3" xfId="12131"/>
    <cellStyle name="Milliers 3 3 2 2 3 2 2 3" xfId="5651"/>
    <cellStyle name="Milliers 3 3 2 2 3 2 2 3 2" xfId="14291"/>
    <cellStyle name="Milliers 3 3 2 2 3 2 2 4" xfId="9971"/>
    <cellStyle name="Milliers 3 3 2 2 3 2 3" xfId="2051"/>
    <cellStyle name="Milliers 3 3 2 2 3 2 3 2" xfId="4211"/>
    <cellStyle name="Milliers 3 3 2 2 3 2 3 2 2" xfId="8531"/>
    <cellStyle name="Milliers 3 3 2 2 3 2 3 2 2 2" xfId="17171"/>
    <cellStyle name="Milliers 3 3 2 2 3 2 3 2 3" xfId="12851"/>
    <cellStyle name="Milliers 3 3 2 2 3 2 3 3" xfId="6371"/>
    <cellStyle name="Milliers 3 3 2 2 3 2 3 3 2" xfId="15011"/>
    <cellStyle name="Milliers 3 3 2 2 3 2 3 4" xfId="10691"/>
    <cellStyle name="Milliers 3 3 2 2 3 2 4" xfId="2771"/>
    <cellStyle name="Milliers 3 3 2 2 3 2 4 2" xfId="7091"/>
    <cellStyle name="Milliers 3 3 2 2 3 2 4 2 2" xfId="15731"/>
    <cellStyle name="Milliers 3 3 2 2 3 2 4 3" xfId="11411"/>
    <cellStyle name="Milliers 3 3 2 2 3 2 5" xfId="4931"/>
    <cellStyle name="Milliers 3 3 2 2 3 2 5 2" xfId="13571"/>
    <cellStyle name="Milliers 3 3 2 2 3 2 6" xfId="9251"/>
    <cellStyle name="Milliers 3 3 2 2 3 3" xfId="971"/>
    <cellStyle name="Milliers 3 3 2 2 3 3 2" xfId="3131"/>
    <cellStyle name="Milliers 3 3 2 2 3 3 2 2" xfId="7451"/>
    <cellStyle name="Milliers 3 3 2 2 3 3 2 2 2" xfId="16091"/>
    <cellStyle name="Milliers 3 3 2 2 3 3 2 3" xfId="11771"/>
    <cellStyle name="Milliers 3 3 2 2 3 3 3" xfId="5291"/>
    <cellStyle name="Milliers 3 3 2 2 3 3 3 2" xfId="13931"/>
    <cellStyle name="Milliers 3 3 2 2 3 3 4" xfId="9611"/>
    <cellStyle name="Milliers 3 3 2 2 3 4" xfId="1691"/>
    <cellStyle name="Milliers 3 3 2 2 3 4 2" xfId="3851"/>
    <cellStyle name="Milliers 3 3 2 2 3 4 2 2" xfId="8171"/>
    <cellStyle name="Milliers 3 3 2 2 3 4 2 2 2" xfId="16811"/>
    <cellStyle name="Milliers 3 3 2 2 3 4 2 3" xfId="12491"/>
    <cellStyle name="Milliers 3 3 2 2 3 4 3" xfId="6011"/>
    <cellStyle name="Milliers 3 3 2 2 3 4 3 2" xfId="14651"/>
    <cellStyle name="Milliers 3 3 2 2 3 4 4" xfId="10331"/>
    <cellStyle name="Milliers 3 3 2 2 3 5" xfId="2411"/>
    <cellStyle name="Milliers 3 3 2 2 3 5 2" xfId="6731"/>
    <cellStyle name="Milliers 3 3 2 2 3 5 2 2" xfId="15371"/>
    <cellStyle name="Milliers 3 3 2 2 3 5 3" xfId="11051"/>
    <cellStyle name="Milliers 3 3 2 2 3 6" xfId="4571"/>
    <cellStyle name="Milliers 3 3 2 2 3 6 2" xfId="13211"/>
    <cellStyle name="Milliers 3 3 2 2 3 7" xfId="8891"/>
    <cellStyle name="Milliers 3 3 2 2 4" xfId="431"/>
    <cellStyle name="Milliers 3 3 2 2 4 2" xfId="1151"/>
    <cellStyle name="Milliers 3 3 2 2 4 2 2" xfId="3311"/>
    <cellStyle name="Milliers 3 3 2 2 4 2 2 2" xfId="7631"/>
    <cellStyle name="Milliers 3 3 2 2 4 2 2 2 2" xfId="16271"/>
    <cellStyle name="Milliers 3 3 2 2 4 2 2 3" xfId="11951"/>
    <cellStyle name="Milliers 3 3 2 2 4 2 3" xfId="5471"/>
    <cellStyle name="Milliers 3 3 2 2 4 2 3 2" xfId="14111"/>
    <cellStyle name="Milliers 3 3 2 2 4 2 4" xfId="9791"/>
    <cellStyle name="Milliers 3 3 2 2 4 3" xfId="1871"/>
    <cellStyle name="Milliers 3 3 2 2 4 3 2" xfId="4031"/>
    <cellStyle name="Milliers 3 3 2 2 4 3 2 2" xfId="8351"/>
    <cellStyle name="Milliers 3 3 2 2 4 3 2 2 2" xfId="16991"/>
    <cellStyle name="Milliers 3 3 2 2 4 3 2 3" xfId="12671"/>
    <cellStyle name="Milliers 3 3 2 2 4 3 3" xfId="6191"/>
    <cellStyle name="Milliers 3 3 2 2 4 3 3 2" xfId="14831"/>
    <cellStyle name="Milliers 3 3 2 2 4 3 4" xfId="10511"/>
    <cellStyle name="Milliers 3 3 2 2 4 4" xfId="2591"/>
    <cellStyle name="Milliers 3 3 2 2 4 4 2" xfId="6911"/>
    <cellStyle name="Milliers 3 3 2 2 4 4 2 2" xfId="15551"/>
    <cellStyle name="Milliers 3 3 2 2 4 4 3" xfId="11231"/>
    <cellStyle name="Milliers 3 3 2 2 4 5" xfId="4751"/>
    <cellStyle name="Milliers 3 3 2 2 4 5 2" xfId="13391"/>
    <cellStyle name="Milliers 3 3 2 2 4 6" xfId="9071"/>
    <cellStyle name="Milliers 3 3 2 2 5" xfId="791"/>
    <cellStyle name="Milliers 3 3 2 2 5 2" xfId="2951"/>
    <cellStyle name="Milliers 3 3 2 2 5 2 2" xfId="7271"/>
    <cellStyle name="Milliers 3 3 2 2 5 2 2 2" xfId="15911"/>
    <cellStyle name="Milliers 3 3 2 2 5 2 3" xfId="11591"/>
    <cellStyle name="Milliers 3 3 2 2 5 3" xfId="5111"/>
    <cellStyle name="Milliers 3 3 2 2 5 3 2" xfId="13751"/>
    <cellStyle name="Milliers 3 3 2 2 5 4" xfId="9431"/>
    <cellStyle name="Milliers 3 3 2 2 6" xfId="1511"/>
    <cellStyle name="Milliers 3 3 2 2 6 2" xfId="3671"/>
    <cellStyle name="Milliers 3 3 2 2 6 2 2" xfId="7991"/>
    <cellStyle name="Milliers 3 3 2 2 6 2 2 2" xfId="16631"/>
    <cellStyle name="Milliers 3 3 2 2 6 2 3" xfId="12311"/>
    <cellStyle name="Milliers 3 3 2 2 6 3" xfId="5831"/>
    <cellStyle name="Milliers 3 3 2 2 6 3 2" xfId="14471"/>
    <cellStyle name="Milliers 3 3 2 2 6 4" xfId="10151"/>
    <cellStyle name="Milliers 3 3 2 2 7" xfId="2231"/>
    <cellStyle name="Milliers 3 3 2 2 7 2" xfId="6551"/>
    <cellStyle name="Milliers 3 3 2 2 7 2 2" xfId="15191"/>
    <cellStyle name="Milliers 3 3 2 2 7 3" xfId="10871"/>
    <cellStyle name="Milliers 3 3 2 2 8" xfId="4391"/>
    <cellStyle name="Milliers 3 3 2 2 8 2" xfId="13031"/>
    <cellStyle name="Milliers 3 3 2 2 9" xfId="8711"/>
    <cellStyle name="Milliers 3 3 2 3" xfId="116"/>
    <cellStyle name="Milliers 3 3 2 3 2" xfId="296"/>
    <cellStyle name="Milliers 3 3 2 3 2 2" xfId="656"/>
    <cellStyle name="Milliers 3 3 2 3 2 2 2" xfId="1376"/>
    <cellStyle name="Milliers 3 3 2 3 2 2 2 2" xfId="3536"/>
    <cellStyle name="Milliers 3 3 2 3 2 2 2 2 2" xfId="7856"/>
    <cellStyle name="Milliers 3 3 2 3 2 2 2 2 2 2" xfId="16496"/>
    <cellStyle name="Milliers 3 3 2 3 2 2 2 2 3" xfId="12176"/>
    <cellStyle name="Milliers 3 3 2 3 2 2 2 3" xfId="5696"/>
    <cellStyle name="Milliers 3 3 2 3 2 2 2 3 2" xfId="14336"/>
    <cellStyle name="Milliers 3 3 2 3 2 2 2 4" xfId="10016"/>
    <cellStyle name="Milliers 3 3 2 3 2 2 3" xfId="2096"/>
    <cellStyle name="Milliers 3 3 2 3 2 2 3 2" xfId="4256"/>
    <cellStyle name="Milliers 3 3 2 3 2 2 3 2 2" xfId="8576"/>
    <cellStyle name="Milliers 3 3 2 3 2 2 3 2 2 2" xfId="17216"/>
    <cellStyle name="Milliers 3 3 2 3 2 2 3 2 3" xfId="12896"/>
    <cellStyle name="Milliers 3 3 2 3 2 2 3 3" xfId="6416"/>
    <cellStyle name="Milliers 3 3 2 3 2 2 3 3 2" xfId="15056"/>
    <cellStyle name="Milliers 3 3 2 3 2 2 3 4" xfId="10736"/>
    <cellStyle name="Milliers 3 3 2 3 2 2 4" xfId="2816"/>
    <cellStyle name="Milliers 3 3 2 3 2 2 4 2" xfId="7136"/>
    <cellStyle name="Milliers 3 3 2 3 2 2 4 2 2" xfId="15776"/>
    <cellStyle name="Milliers 3 3 2 3 2 2 4 3" xfId="11456"/>
    <cellStyle name="Milliers 3 3 2 3 2 2 5" xfId="4976"/>
    <cellStyle name="Milliers 3 3 2 3 2 2 5 2" xfId="13616"/>
    <cellStyle name="Milliers 3 3 2 3 2 2 6" xfId="9296"/>
    <cellStyle name="Milliers 3 3 2 3 2 3" xfId="1016"/>
    <cellStyle name="Milliers 3 3 2 3 2 3 2" xfId="3176"/>
    <cellStyle name="Milliers 3 3 2 3 2 3 2 2" xfId="7496"/>
    <cellStyle name="Milliers 3 3 2 3 2 3 2 2 2" xfId="16136"/>
    <cellStyle name="Milliers 3 3 2 3 2 3 2 3" xfId="11816"/>
    <cellStyle name="Milliers 3 3 2 3 2 3 3" xfId="5336"/>
    <cellStyle name="Milliers 3 3 2 3 2 3 3 2" xfId="13976"/>
    <cellStyle name="Milliers 3 3 2 3 2 3 4" xfId="9656"/>
    <cellStyle name="Milliers 3 3 2 3 2 4" xfId="1736"/>
    <cellStyle name="Milliers 3 3 2 3 2 4 2" xfId="3896"/>
    <cellStyle name="Milliers 3 3 2 3 2 4 2 2" xfId="8216"/>
    <cellStyle name="Milliers 3 3 2 3 2 4 2 2 2" xfId="16856"/>
    <cellStyle name="Milliers 3 3 2 3 2 4 2 3" xfId="12536"/>
    <cellStyle name="Milliers 3 3 2 3 2 4 3" xfId="6056"/>
    <cellStyle name="Milliers 3 3 2 3 2 4 3 2" xfId="14696"/>
    <cellStyle name="Milliers 3 3 2 3 2 4 4" xfId="10376"/>
    <cellStyle name="Milliers 3 3 2 3 2 5" xfId="2456"/>
    <cellStyle name="Milliers 3 3 2 3 2 5 2" xfId="6776"/>
    <cellStyle name="Milliers 3 3 2 3 2 5 2 2" xfId="15416"/>
    <cellStyle name="Milliers 3 3 2 3 2 5 3" xfId="11096"/>
    <cellStyle name="Milliers 3 3 2 3 2 6" xfId="4616"/>
    <cellStyle name="Milliers 3 3 2 3 2 6 2" xfId="13256"/>
    <cellStyle name="Milliers 3 3 2 3 2 7" xfId="8936"/>
    <cellStyle name="Milliers 3 3 2 3 3" xfId="476"/>
    <cellStyle name="Milliers 3 3 2 3 3 2" xfId="1196"/>
    <cellStyle name="Milliers 3 3 2 3 3 2 2" xfId="3356"/>
    <cellStyle name="Milliers 3 3 2 3 3 2 2 2" xfId="7676"/>
    <cellStyle name="Milliers 3 3 2 3 3 2 2 2 2" xfId="16316"/>
    <cellStyle name="Milliers 3 3 2 3 3 2 2 3" xfId="11996"/>
    <cellStyle name="Milliers 3 3 2 3 3 2 3" xfId="5516"/>
    <cellStyle name="Milliers 3 3 2 3 3 2 3 2" xfId="14156"/>
    <cellStyle name="Milliers 3 3 2 3 3 2 4" xfId="9836"/>
    <cellStyle name="Milliers 3 3 2 3 3 3" xfId="1916"/>
    <cellStyle name="Milliers 3 3 2 3 3 3 2" xfId="4076"/>
    <cellStyle name="Milliers 3 3 2 3 3 3 2 2" xfId="8396"/>
    <cellStyle name="Milliers 3 3 2 3 3 3 2 2 2" xfId="17036"/>
    <cellStyle name="Milliers 3 3 2 3 3 3 2 3" xfId="12716"/>
    <cellStyle name="Milliers 3 3 2 3 3 3 3" xfId="6236"/>
    <cellStyle name="Milliers 3 3 2 3 3 3 3 2" xfId="14876"/>
    <cellStyle name="Milliers 3 3 2 3 3 3 4" xfId="10556"/>
    <cellStyle name="Milliers 3 3 2 3 3 4" xfId="2636"/>
    <cellStyle name="Milliers 3 3 2 3 3 4 2" xfId="6956"/>
    <cellStyle name="Milliers 3 3 2 3 3 4 2 2" xfId="15596"/>
    <cellStyle name="Milliers 3 3 2 3 3 4 3" xfId="11276"/>
    <cellStyle name="Milliers 3 3 2 3 3 5" xfId="4796"/>
    <cellStyle name="Milliers 3 3 2 3 3 5 2" xfId="13436"/>
    <cellStyle name="Milliers 3 3 2 3 3 6" xfId="9116"/>
    <cellStyle name="Milliers 3 3 2 3 4" xfId="836"/>
    <cellStyle name="Milliers 3 3 2 3 4 2" xfId="2996"/>
    <cellStyle name="Milliers 3 3 2 3 4 2 2" xfId="7316"/>
    <cellStyle name="Milliers 3 3 2 3 4 2 2 2" xfId="15956"/>
    <cellStyle name="Milliers 3 3 2 3 4 2 3" xfId="11636"/>
    <cellStyle name="Milliers 3 3 2 3 4 3" xfId="5156"/>
    <cellStyle name="Milliers 3 3 2 3 4 3 2" xfId="13796"/>
    <cellStyle name="Milliers 3 3 2 3 4 4" xfId="9476"/>
    <cellStyle name="Milliers 3 3 2 3 5" xfId="1556"/>
    <cellStyle name="Milliers 3 3 2 3 5 2" xfId="3716"/>
    <cellStyle name="Milliers 3 3 2 3 5 2 2" xfId="8036"/>
    <cellStyle name="Milliers 3 3 2 3 5 2 2 2" xfId="16676"/>
    <cellStyle name="Milliers 3 3 2 3 5 2 3" xfId="12356"/>
    <cellStyle name="Milliers 3 3 2 3 5 3" xfId="5876"/>
    <cellStyle name="Milliers 3 3 2 3 5 3 2" xfId="14516"/>
    <cellStyle name="Milliers 3 3 2 3 5 4" xfId="10196"/>
    <cellStyle name="Milliers 3 3 2 3 6" xfId="2276"/>
    <cellStyle name="Milliers 3 3 2 3 6 2" xfId="6596"/>
    <cellStyle name="Milliers 3 3 2 3 6 2 2" xfId="15236"/>
    <cellStyle name="Milliers 3 3 2 3 6 3" xfId="10916"/>
    <cellStyle name="Milliers 3 3 2 3 7" xfId="4436"/>
    <cellStyle name="Milliers 3 3 2 3 7 2" xfId="13076"/>
    <cellStyle name="Milliers 3 3 2 3 8" xfId="8756"/>
    <cellStyle name="Milliers 3 3 2 4" xfId="206"/>
    <cellStyle name="Milliers 3 3 2 4 2" xfId="566"/>
    <cellStyle name="Milliers 3 3 2 4 2 2" xfId="1286"/>
    <cellStyle name="Milliers 3 3 2 4 2 2 2" xfId="3446"/>
    <cellStyle name="Milliers 3 3 2 4 2 2 2 2" xfId="7766"/>
    <cellStyle name="Milliers 3 3 2 4 2 2 2 2 2" xfId="16406"/>
    <cellStyle name="Milliers 3 3 2 4 2 2 2 3" xfId="12086"/>
    <cellStyle name="Milliers 3 3 2 4 2 2 3" xfId="5606"/>
    <cellStyle name="Milliers 3 3 2 4 2 2 3 2" xfId="14246"/>
    <cellStyle name="Milliers 3 3 2 4 2 2 4" xfId="9926"/>
    <cellStyle name="Milliers 3 3 2 4 2 3" xfId="2006"/>
    <cellStyle name="Milliers 3 3 2 4 2 3 2" xfId="4166"/>
    <cellStyle name="Milliers 3 3 2 4 2 3 2 2" xfId="8486"/>
    <cellStyle name="Milliers 3 3 2 4 2 3 2 2 2" xfId="17126"/>
    <cellStyle name="Milliers 3 3 2 4 2 3 2 3" xfId="12806"/>
    <cellStyle name="Milliers 3 3 2 4 2 3 3" xfId="6326"/>
    <cellStyle name="Milliers 3 3 2 4 2 3 3 2" xfId="14966"/>
    <cellStyle name="Milliers 3 3 2 4 2 3 4" xfId="10646"/>
    <cellStyle name="Milliers 3 3 2 4 2 4" xfId="2726"/>
    <cellStyle name="Milliers 3 3 2 4 2 4 2" xfId="7046"/>
    <cellStyle name="Milliers 3 3 2 4 2 4 2 2" xfId="15686"/>
    <cellStyle name="Milliers 3 3 2 4 2 4 3" xfId="11366"/>
    <cellStyle name="Milliers 3 3 2 4 2 5" xfId="4886"/>
    <cellStyle name="Milliers 3 3 2 4 2 5 2" xfId="13526"/>
    <cellStyle name="Milliers 3 3 2 4 2 6" xfId="9206"/>
    <cellStyle name="Milliers 3 3 2 4 3" xfId="926"/>
    <cellStyle name="Milliers 3 3 2 4 3 2" xfId="3086"/>
    <cellStyle name="Milliers 3 3 2 4 3 2 2" xfId="7406"/>
    <cellStyle name="Milliers 3 3 2 4 3 2 2 2" xfId="16046"/>
    <cellStyle name="Milliers 3 3 2 4 3 2 3" xfId="11726"/>
    <cellStyle name="Milliers 3 3 2 4 3 3" xfId="5246"/>
    <cellStyle name="Milliers 3 3 2 4 3 3 2" xfId="13886"/>
    <cellStyle name="Milliers 3 3 2 4 3 4" xfId="9566"/>
    <cellStyle name="Milliers 3 3 2 4 4" xfId="1646"/>
    <cellStyle name="Milliers 3 3 2 4 4 2" xfId="3806"/>
    <cellStyle name="Milliers 3 3 2 4 4 2 2" xfId="8126"/>
    <cellStyle name="Milliers 3 3 2 4 4 2 2 2" xfId="16766"/>
    <cellStyle name="Milliers 3 3 2 4 4 2 3" xfId="12446"/>
    <cellStyle name="Milliers 3 3 2 4 4 3" xfId="5966"/>
    <cellStyle name="Milliers 3 3 2 4 4 3 2" xfId="14606"/>
    <cellStyle name="Milliers 3 3 2 4 4 4" xfId="10286"/>
    <cellStyle name="Milliers 3 3 2 4 5" xfId="2366"/>
    <cellStyle name="Milliers 3 3 2 4 5 2" xfId="6686"/>
    <cellStyle name="Milliers 3 3 2 4 5 2 2" xfId="15326"/>
    <cellStyle name="Milliers 3 3 2 4 5 3" xfId="11006"/>
    <cellStyle name="Milliers 3 3 2 4 6" xfId="4526"/>
    <cellStyle name="Milliers 3 3 2 4 6 2" xfId="13166"/>
    <cellStyle name="Milliers 3 3 2 4 7" xfId="8846"/>
    <cellStyle name="Milliers 3 3 2 5" xfId="386"/>
    <cellStyle name="Milliers 3 3 2 5 2" xfId="1106"/>
    <cellStyle name="Milliers 3 3 2 5 2 2" xfId="3266"/>
    <cellStyle name="Milliers 3 3 2 5 2 2 2" xfId="7586"/>
    <cellStyle name="Milliers 3 3 2 5 2 2 2 2" xfId="16226"/>
    <cellStyle name="Milliers 3 3 2 5 2 2 3" xfId="11906"/>
    <cellStyle name="Milliers 3 3 2 5 2 3" xfId="5426"/>
    <cellStyle name="Milliers 3 3 2 5 2 3 2" xfId="14066"/>
    <cellStyle name="Milliers 3 3 2 5 2 4" xfId="9746"/>
    <cellStyle name="Milliers 3 3 2 5 3" xfId="1826"/>
    <cellStyle name="Milliers 3 3 2 5 3 2" xfId="3986"/>
    <cellStyle name="Milliers 3 3 2 5 3 2 2" xfId="8306"/>
    <cellStyle name="Milliers 3 3 2 5 3 2 2 2" xfId="16946"/>
    <cellStyle name="Milliers 3 3 2 5 3 2 3" xfId="12626"/>
    <cellStyle name="Milliers 3 3 2 5 3 3" xfId="6146"/>
    <cellStyle name="Milliers 3 3 2 5 3 3 2" xfId="14786"/>
    <cellStyle name="Milliers 3 3 2 5 3 4" xfId="10466"/>
    <cellStyle name="Milliers 3 3 2 5 4" xfId="2546"/>
    <cellStyle name="Milliers 3 3 2 5 4 2" xfId="6866"/>
    <cellStyle name="Milliers 3 3 2 5 4 2 2" xfId="15506"/>
    <cellStyle name="Milliers 3 3 2 5 4 3" xfId="11186"/>
    <cellStyle name="Milliers 3 3 2 5 5" xfId="4706"/>
    <cellStyle name="Milliers 3 3 2 5 5 2" xfId="13346"/>
    <cellStyle name="Milliers 3 3 2 5 6" xfId="9026"/>
    <cellStyle name="Milliers 3 3 2 6" xfId="746"/>
    <cellStyle name="Milliers 3 3 2 6 2" xfId="2906"/>
    <cellStyle name="Milliers 3 3 2 6 2 2" xfId="7226"/>
    <cellStyle name="Milliers 3 3 2 6 2 2 2" xfId="15866"/>
    <cellStyle name="Milliers 3 3 2 6 2 3" xfId="11546"/>
    <cellStyle name="Milliers 3 3 2 6 3" xfId="5066"/>
    <cellStyle name="Milliers 3 3 2 6 3 2" xfId="13706"/>
    <cellStyle name="Milliers 3 3 2 6 4" xfId="9386"/>
    <cellStyle name="Milliers 3 3 2 7" xfId="1466"/>
    <cellStyle name="Milliers 3 3 2 7 2" xfId="3626"/>
    <cellStyle name="Milliers 3 3 2 7 2 2" xfId="7946"/>
    <cellStyle name="Milliers 3 3 2 7 2 2 2" xfId="16586"/>
    <cellStyle name="Milliers 3 3 2 7 2 3" xfId="12266"/>
    <cellStyle name="Milliers 3 3 2 7 3" xfId="5786"/>
    <cellStyle name="Milliers 3 3 2 7 3 2" xfId="14426"/>
    <cellStyle name="Milliers 3 3 2 7 4" xfId="10106"/>
    <cellStyle name="Milliers 3 3 2 8" xfId="2186"/>
    <cellStyle name="Milliers 3 3 2 8 2" xfId="6506"/>
    <cellStyle name="Milliers 3 3 2 8 2 2" xfId="15146"/>
    <cellStyle name="Milliers 3 3 2 8 3" xfId="10826"/>
    <cellStyle name="Milliers 3 3 2 9" xfId="4346"/>
    <cellStyle name="Milliers 3 3 2 9 2" xfId="12986"/>
    <cellStyle name="Milliers 3 3 3" xfId="41"/>
    <cellStyle name="Milliers 3 3 3 10" xfId="8681"/>
    <cellStyle name="Milliers 3 3 3 2" xfId="86"/>
    <cellStyle name="Milliers 3 3 3 2 2" xfId="176"/>
    <cellStyle name="Milliers 3 3 3 2 2 2" xfId="356"/>
    <cellStyle name="Milliers 3 3 3 2 2 2 2" xfId="716"/>
    <cellStyle name="Milliers 3 3 3 2 2 2 2 2" xfId="1436"/>
    <cellStyle name="Milliers 3 3 3 2 2 2 2 2 2" xfId="3596"/>
    <cellStyle name="Milliers 3 3 3 2 2 2 2 2 2 2" xfId="7916"/>
    <cellStyle name="Milliers 3 3 3 2 2 2 2 2 2 2 2" xfId="16556"/>
    <cellStyle name="Milliers 3 3 3 2 2 2 2 2 2 3" xfId="12236"/>
    <cellStyle name="Milliers 3 3 3 2 2 2 2 2 3" xfId="5756"/>
    <cellStyle name="Milliers 3 3 3 2 2 2 2 2 3 2" xfId="14396"/>
    <cellStyle name="Milliers 3 3 3 2 2 2 2 2 4" xfId="10076"/>
    <cellStyle name="Milliers 3 3 3 2 2 2 2 3" xfId="2156"/>
    <cellStyle name="Milliers 3 3 3 2 2 2 2 3 2" xfId="4316"/>
    <cellStyle name="Milliers 3 3 3 2 2 2 2 3 2 2" xfId="8636"/>
    <cellStyle name="Milliers 3 3 3 2 2 2 2 3 2 2 2" xfId="17276"/>
    <cellStyle name="Milliers 3 3 3 2 2 2 2 3 2 3" xfId="12956"/>
    <cellStyle name="Milliers 3 3 3 2 2 2 2 3 3" xfId="6476"/>
    <cellStyle name="Milliers 3 3 3 2 2 2 2 3 3 2" xfId="15116"/>
    <cellStyle name="Milliers 3 3 3 2 2 2 2 3 4" xfId="10796"/>
    <cellStyle name="Milliers 3 3 3 2 2 2 2 4" xfId="2876"/>
    <cellStyle name="Milliers 3 3 3 2 2 2 2 4 2" xfId="7196"/>
    <cellStyle name="Milliers 3 3 3 2 2 2 2 4 2 2" xfId="15836"/>
    <cellStyle name="Milliers 3 3 3 2 2 2 2 4 3" xfId="11516"/>
    <cellStyle name="Milliers 3 3 3 2 2 2 2 5" xfId="5036"/>
    <cellStyle name="Milliers 3 3 3 2 2 2 2 5 2" xfId="13676"/>
    <cellStyle name="Milliers 3 3 3 2 2 2 2 6" xfId="9356"/>
    <cellStyle name="Milliers 3 3 3 2 2 2 3" xfId="1076"/>
    <cellStyle name="Milliers 3 3 3 2 2 2 3 2" xfId="3236"/>
    <cellStyle name="Milliers 3 3 3 2 2 2 3 2 2" xfId="7556"/>
    <cellStyle name="Milliers 3 3 3 2 2 2 3 2 2 2" xfId="16196"/>
    <cellStyle name="Milliers 3 3 3 2 2 2 3 2 3" xfId="11876"/>
    <cellStyle name="Milliers 3 3 3 2 2 2 3 3" xfId="5396"/>
    <cellStyle name="Milliers 3 3 3 2 2 2 3 3 2" xfId="14036"/>
    <cellStyle name="Milliers 3 3 3 2 2 2 3 4" xfId="9716"/>
    <cellStyle name="Milliers 3 3 3 2 2 2 4" xfId="1796"/>
    <cellStyle name="Milliers 3 3 3 2 2 2 4 2" xfId="3956"/>
    <cellStyle name="Milliers 3 3 3 2 2 2 4 2 2" xfId="8276"/>
    <cellStyle name="Milliers 3 3 3 2 2 2 4 2 2 2" xfId="16916"/>
    <cellStyle name="Milliers 3 3 3 2 2 2 4 2 3" xfId="12596"/>
    <cellStyle name="Milliers 3 3 3 2 2 2 4 3" xfId="6116"/>
    <cellStyle name="Milliers 3 3 3 2 2 2 4 3 2" xfId="14756"/>
    <cellStyle name="Milliers 3 3 3 2 2 2 4 4" xfId="10436"/>
    <cellStyle name="Milliers 3 3 3 2 2 2 5" xfId="2516"/>
    <cellStyle name="Milliers 3 3 3 2 2 2 5 2" xfId="6836"/>
    <cellStyle name="Milliers 3 3 3 2 2 2 5 2 2" xfId="15476"/>
    <cellStyle name="Milliers 3 3 3 2 2 2 5 3" xfId="11156"/>
    <cellStyle name="Milliers 3 3 3 2 2 2 6" xfId="4676"/>
    <cellStyle name="Milliers 3 3 3 2 2 2 6 2" xfId="13316"/>
    <cellStyle name="Milliers 3 3 3 2 2 2 7" xfId="8996"/>
    <cellStyle name="Milliers 3 3 3 2 2 3" xfId="536"/>
    <cellStyle name="Milliers 3 3 3 2 2 3 2" xfId="1256"/>
    <cellStyle name="Milliers 3 3 3 2 2 3 2 2" xfId="3416"/>
    <cellStyle name="Milliers 3 3 3 2 2 3 2 2 2" xfId="7736"/>
    <cellStyle name="Milliers 3 3 3 2 2 3 2 2 2 2" xfId="16376"/>
    <cellStyle name="Milliers 3 3 3 2 2 3 2 2 3" xfId="12056"/>
    <cellStyle name="Milliers 3 3 3 2 2 3 2 3" xfId="5576"/>
    <cellStyle name="Milliers 3 3 3 2 2 3 2 3 2" xfId="14216"/>
    <cellStyle name="Milliers 3 3 3 2 2 3 2 4" xfId="9896"/>
    <cellStyle name="Milliers 3 3 3 2 2 3 3" xfId="1976"/>
    <cellStyle name="Milliers 3 3 3 2 2 3 3 2" xfId="4136"/>
    <cellStyle name="Milliers 3 3 3 2 2 3 3 2 2" xfId="8456"/>
    <cellStyle name="Milliers 3 3 3 2 2 3 3 2 2 2" xfId="17096"/>
    <cellStyle name="Milliers 3 3 3 2 2 3 3 2 3" xfId="12776"/>
    <cellStyle name="Milliers 3 3 3 2 2 3 3 3" xfId="6296"/>
    <cellStyle name="Milliers 3 3 3 2 2 3 3 3 2" xfId="14936"/>
    <cellStyle name="Milliers 3 3 3 2 2 3 3 4" xfId="10616"/>
    <cellStyle name="Milliers 3 3 3 2 2 3 4" xfId="2696"/>
    <cellStyle name="Milliers 3 3 3 2 2 3 4 2" xfId="7016"/>
    <cellStyle name="Milliers 3 3 3 2 2 3 4 2 2" xfId="15656"/>
    <cellStyle name="Milliers 3 3 3 2 2 3 4 3" xfId="11336"/>
    <cellStyle name="Milliers 3 3 3 2 2 3 5" xfId="4856"/>
    <cellStyle name="Milliers 3 3 3 2 2 3 5 2" xfId="13496"/>
    <cellStyle name="Milliers 3 3 3 2 2 3 6" xfId="9176"/>
    <cellStyle name="Milliers 3 3 3 2 2 4" xfId="896"/>
    <cellStyle name="Milliers 3 3 3 2 2 4 2" xfId="3056"/>
    <cellStyle name="Milliers 3 3 3 2 2 4 2 2" xfId="7376"/>
    <cellStyle name="Milliers 3 3 3 2 2 4 2 2 2" xfId="16016"/>
    <cellStyle name="Milliers 3 3 3 2 2 4 2 3" xfId="11696"/>
    <cellStyle name="Milliers 3 3 3 2 2 4 3" xfId="5216"/>
    <cellStyle name="Milliers 3 3 3 2 2 4 3 2" xfId="13856"/>
    <cellStyle name="Milliers 3 3 3 2 2 4 4" xfId="9536"/>
    <cellStyle name="Milliers 3 3 3 2 2 5" xfId="1616"/>
    <cellStyle name="Milliers 3 3 3 2 2 5 2" xfId="3776"/>
    <cellStyle name="Milliers 3 3 3 2 2 5 2 2" xfId="8096"/>
    <cellStyle name="Milliers 3 3 3 2 2 5 2 2 2" xfId="16736"/>
    <cellStyle name="Milliers 3 3 3 2 2 5 2 3" xfId="12416"/>
    <cellStyle name="Milliers 3 3 3 2 2 5 3" xfId="5936"/>
    <cellStyle name="Milliers 3 3 3 2 2 5 3 2" xfId="14576"/>
    <cellStyle name="Milliers 3 3 3 2 2 5 4" xfId="10256"/>
    <cellStyle name="Milliers 3 3 3 2 2 6" xfId="2336"/>
    <cellStyle name="Milliers 3 3 3 2 2 6 2" xfId="6656"/>
    <cellStyle name="Milliers 3 3 3 2 2 6 2 2" xfId="15296"/>
    <cellStyle name="Milliers 3 3 3 2 2 6 3" xfId="10976"/>
    <cellStyle name="Milliers 3 3 3 2 2 7" xfId="4496"/>
    <cellStyle name="Milliers 3 3 3 2 2 7 2" xfId="13136"/>
    <cellStyle name="Milliers 3 3 3 2 2 8" xfId="8816"/>
    <cellStyle name="Milliers 3 3 3 2 3" xfId="266"/>
    <cellStyle name="Milliers 3 3 3 2 3 2" xfId="626"/>
    <cellStyle name="Milliers 3 3 3 2 3 2 2" xfId="1346"/>
    <cellStyle name="Milliers 3 3 3 2 3 2 2 2" xfId="3506"/>
    <cellStyle name="Milliers 3 3 3 2 3 2 2 2 2" xfId="7826"/>
    <cellStyle name="Milliers 3 3 3 2 3 2 2 2 2 2" xfId="16466"/>
    <cellStyle name="Milliers 3 3 3 2 3 2 2 2 3" xfId="12146"/>
    <cellStyle name="Milliers 3 3 3 2 3 2 2 3" xfId="5666"/>
    <cellStyle name="Milliers 3 3 3 2 3 2 2 3 2" xfId="14306"/>
    <cellStyle name="Milliers 3 3 3 2 3 2 2 4" xfId="9986"/>
    <cellStyle name="Milliers 3 3 3 2 3 2 3" xfId="2066"/>
    <cellStyle name="Milliers 3 3 3 2 3 2 3 2" xfId="4226"/>
    <cellStyle name="Milliers 3 3 3 2 3 2 3 2 2" xfId="8546"/>
    <cellStyle name="Milliers 3 3 3 2 3 2 3 2 2 2" xfId="17186"/>
    <cellStyle name="Milliers 3 3 3 2 3 2 3 2 3" xfId="12866"/>
    <cellStyle name="Milliers 3 3 3 2 3 2 3 3" xfId="6386"/>
    <cellStyle name="Milliers 3 3 3 2 3 2 3 3 2" xfId="15026"/>
    <cellStyle name="Milliers 3 3 3 2 3 2 3 4" xfId="10706"/>
    <cellStyle name="Milliers 3 3 3 2 3 2 4" xfId="2786"/>
    <cellStyle name="Milliers 3 3 3 2 3 2 4 2" xfId="7106"/>
    <cellStyle name="Milliers 3 3 3 2 3 2 4 2 2" xfId="15746"/>
    <cellStyle name="Milliers 3 3 3 2 3 2 4 3" xfId="11426"/>
    <cellStyle name="Milliers 3 3 3 2 3 2 5" xfId="4946"/>
    <cellStyle name="Milliers 3 3 3 2 3 2 5 2" xfId="13586"/>
    <cellStyle name="Milliers 3 3 3 2 3 2 6" xfId="9266"/>
    <cellStyle name="Milliers 3 3 3 2 3 3" xfId="986"/>
    <cellStyle name="Milliers 3 3 3 2 3 3 2" xfId="3146"/>
    <cellStyle name="Milliers 3 3 3 2 3 3 2 2" xfId="7466"/>
    <cellStyle name="Milliers 3 3 3 2 3 3 2 2 2" xfId="16106"/>
    <cellStyle name="Milliers 3 3 3 2 3 3 2 3" xfId="11786"/>
    <cellStyle name="Milliers 3 3 3 2 3 3 3" xfId="5306"/>
    <cellStyle name="Milliers 3 3 3 2 3 3 3 2" xfId="13946"/>
    <cellStyle name="Milliers 3 3 3 2 3 3 4" xfId="9626"/>
    <cellStyle name="Milliers 3 3 3 2 3 4" xfId="1706"/>
    <cellStyle name="Milliers 3 3 3 2 3 4 2" xfId="3866"/>
    <cellStyle name="Milliers 3 3 3 2 3 4 2 2" xfId="8186"/>
    <cellStyle name="Milliers 3 3 3 2 3 4 2 2 2" xfId="16826"/>
    <cellStyle name="Milliers 3 3 3 2 3 4 2 3" xfId="12506"/>
    <cellStyle name="Milliers 3 3 3 2 3 4 3" xfId="6026"/>
    <cellStyle name="Milliers 3 3 3 2 3 4 3 2" xfId="14666"/>
    <cellStyle name="Milliers 3 3 3 2 3 4 4" xfId="10346"/>
    <cellStyle name="Milliers 3 3 3 2 3 5" xfId="2426"/>
    <cellStyle name="Milliers 3 3 3 2 3 5 2" xfId="6746"/>
    <cellStyle name="Milliers 3 3 3 2 3 5 2 2" xfId="15386"/>
    <cellStyle name="Milliers 3 3 3 2 3 5 3" xfId="11066"/>
    <cellStyle name="Milliers 3 3 3 2 3 6" xfId="4586"/>
    <cellStyle name="Milliers 3 3 3 2 3 6 2" xfId="13226"/>
    <cellStyle name="Milliers 3 3 3 2 3 7" xfId="8906"/>
    <cellStyle name="Milliers 3 3 3 2 4" xfId="446"/>
    <cellStyle name="Milliers 3 3 3 2 4 2" xfId="1166"/>
    <cellStyle name="Milliers 3 3 3 2 4 2 2" xfId="3326"/>
    <cellStyle name="Milliers 3 3 3 2 4 2 2 2" xfId="7646"/>
    <cellStyle name="Milliers 3 3 3 2 4 2 2 2 2" xfId="16286"/>
    <cellStyle name="Milliers 3 3 3 2 4 2 2 3" xfId="11966"/>
    <cellStyle name="Milliers 3 3 3 2 4 2 3" xfId="5486"/>
    <cellStyle name="Milliers 3 3 3 2 4 2 3 2" xfId="14126"/>
    <cellStyle name="Milliers 3 3 3 2 4 2 4" xfId="9806"/>
    <cellStyle name="Milliers 3 3 3 2 4 3" xfId="1886"/>
    <cellStyle name="Milliers 3 3 3 2 4 3 2" xfId="4046"/>
    <cellStyle name="Milliers 3 3 3 2 4 3 2 2" xfId="8366"/>
    <cellStyle name="Milliers 3 3 3 2 4 3 2 2 2" xfId="17006"/>
    <cellStyle name="Milliers 3 3 3 2 4 3 2 3" xfId="12686"/>
    <cellStyle name="Milliers 3 3 3 2 4 3 3" xfId="6206"/>
    <cellStyle name="Milliers 3 3 3 2 4 3 3 2" xfId="14846"/>
    <cellStyle name="Milliers 3 3 3 2 4 3 4" xfId="10526"/>
    <cellStyle name="Milliers 3 3 3 2 4 4" xfId="2606"/>
    <cellStyle name="Milliers 3 3 3 2 4 4 2" xfId="6926"/>
    <cellStyle name="Milliers 3 3 3 2 4 4 2 2" xfId="15566"/>
    <cellStyle name="Milliers 3 3 3 2 4 4 3" xfId="11246"/>
    <cellStyle name="Milliers 3 3 3 2 4 5" xfId="4766"/>
    <cellStyle name="Milliers 3 3 3 2 4 5 2" xfId="13406"/>
    <cellStyle name="Milliers 3 3 3 2 4 6" xfId="9086"/>
    <cellStyle name="Milliers 3 3 3 2 5" xfId="806"/>
    <cellStyle name="Milliers 3 3 3 2 5 2" xfId="2966"/>
    <cellStyle name="Milliers 3 3 3 2 5 2 2" xfId="7286"/>
    <cellStyle name="Milliers 3 3 3 2 5 2 2 2" xfId="15926"/>
    <cellStyle name="Milliers 3 3 3 2 5 2 3" xfId="11606"/>
    <cellStyle name="Milliers 3 3 3 2 5 3" xfId="5126"/>
    <cellStyle name="Milliers 3 3 3 2 5 3 2" xfId="13766"/>
    <cellStyle name="Milliers 3 3 3 2 5 4" xfId="9446"/>
    <cellStyle name="Milliers 3 3 3 2 6" xfId="1526"/>
    <cellStyle name="Milliers 3 3 3 2 6 2" xfId="3686"/>
    <cellStyle name="Milliers 3 3 3 2 6 2 2" xfId="8006"/>
    <cellStyle name="Milliers 3 3 3 2 6 2 2 2" xfId="16646"/>
    <cellStyle name="Milliers 3 3 3 2 6 2 3" xfId="12326"/>
    <cellStyle name="Milliers 3 3 3 2 6 3" xfId="5846"/>
    <cellStyle name="Milliers 3 3 3 2 6 3 2" xfId="14486"/>
    <cellStyle name="Milliers 3 3 3 2 6 4" xfId="10166"/>
    <cellStyle name="Milliers 3 3 3 2 7" xfId="2246"/>
    <cellStyle name="Milliers 3 3 3 2 7 2" xfId="6566"/>
    <cellStyle name="Milliers 3 3 3 2 7 2 2" xfId="15206"/>
    <cellStyle name="Milliers 3 3 3 2 7 3" xfId="10886"/>
    <cellStyle name="Milliers 3 3 3 2 8" xfId="4406"/>
    <cellStyle name="Milliers 3 3 3 2 8 2" xfId="13046"/>
    <cellStyle name="Milliers 3 3 3 2 9" xfId="8726"/>
    <cellStyle name="Milliers 3 3 3 3" xfId="131"/>
    <cellStyle name="Milliers 3 3 3 3 2" xfId="311"/>
    <cellStyle name="Milliers 3 3 3 3 2 2" xfId="671"/>
    <cellStyle name="Milliers 3 3 3 3 2 2 2" xfId="1391"/>
    <cellStyle name="Milliers 3 3 3 3 2 2 2 2" xfId="3551"/>
    <cellStyle name="Milliers 3 3 3 3 2 2 2 2 2" xfId="7871"/>
    <cellStyle name="Milliers 3 3 3 3 2 2 2 2 2 2" xfId="16511"/>
    <cellStyle name="Milliers 3 3 3 3 2 2 2 2 3" xfId="12191"/>
    <cellStyle name="Milliers 3 3 3 3 2 2 2 3" xfId="5711"/>
    <cellStyle name="Milliers 3 3 3 3 2 2 2 3 2" xfId="14351"/>
    <cellStyle name="Milliers 3 3 3 3 2 2 2 4" xfId="10031"/>
    <cellStyle name="Milliers 3 3 3 3 2 2 3" xfId="2111"/>
    <cellStyle name="Milliers 3 3 3 3 2 2 3 2" xfId="4271"/>
    <cellStyle name="Milliers 3 3 3 3 2 2 3 2 2" xfId="8591"/>
    <cellStyle name="Milliers 3 3 3 3 2 2 3 2 2 2" xfId="17231"/>
    <cellStyle name="Milliers 3 3 3 3 2 2 3 2 3" xfId="12911"/>
    <cellStyle name="Milliers 3 3 3 3 2 2 3 3" xfId="6431"/>
    <cellStyle name="Milliers 3 3 3 3 2 2 3 3 2" xfId="15071"/>
    <cellStyle name="Milliers 3 3 3 3 2 2 3 4" xfId="10751"/>
    <cellStyle name="Milliers 3 3 3 3 2 2 4" xfId="2831"/>
    <cellStyle name="Milliers 3 3 3 3 2 2 4 2" xfId="7151"/>
    <cellStyle name="Milliers 3 3 3 3 2 2 4 2 2" xfId="15791"/>
    <cellStyle name="Milliers 3 3 3 3 2 2 4 3" xfId="11471"/>
    <cellStyle name="Milliers 3 3 3 3 2 2 5" xfId="4991"/>
    <cellStyle name="Milliers 3 3 3 3 2 2 5 2" xfId="13631"/>
    <cellStyle name="Milliers 3 3 3 3 2 2 6" xfId="9311"/>
    <cellStyle name="Milliers 3 3 3 3 2 3" xfId="1031"/>
    <cellStyle name="Milliers 3 3 3 3 2 3 2" xfId="3191"/>
    <cellStyle name="Milliers 3 3 3 3 2 3 2 2" xfId="7511"/>
    <cellStyle name="Milliers 3 3 3 3 2 3 2 2 2" xfId="16151"/>
    <cellStyle name="Milliers 3 3 3 3 2 3 2 3" xfId="11831"/>
    <cellStyle name="Milliers 3 3 3 3 2 3 3" xfId="5351"/>
    <cellStyle name="Milliers 3 3 3 3 2 3 3 2" xfId="13991"/>
    <cellStyle name="Milliers 3 3 3 3 2 3 4" xfId="9671"/>
    <cellStyle name="Milliers 3 3 3 3 2 4" xfId="1751"/>
    <cellStyle name="Milliers 3 3 3 3 2 4 2" xfId="3911"/>
    <cellStyle name="Milliers 3 3 3 3 2 4 2 2" xfId="8231"/>
    <cellStyle name="Milliers 3 3 3 3 2 4 2 2 2" xfId="16871"/>
    <cellStyle name="Milliers 3 3 3 3 2 4 2 3" xfId="12551"/>
    <cellStyle name="Milliers 3 3 3 3 2 4 3" xfId="6071"/>
    <cellStyle name="Milliers 3 3 3 3 2 4 3 2" xfId="14711"/>
    <cellStyle name="Milliers 3 3 3 3 2 4 4" xfId="10391"/>
    <cellStyle name="Milliers 3 3 3 3 2 5" xfId="2471"/>
    <cellStyle name="Milliers 3 3 3 3 2 5 2" xfId="6791"/>
    <cellStyle name="Milliers 3 3 3 3 2 5 2 2" xfId="15431"/>
    <cellStyle name="Milliers 3 3 3 3 2 5 3" xfId="11111"/>
    <cellStyle name="Milliers 3 3 3 3 2 6" xfId="4631"/>
    <cellStyle name="Milliers 3 3 3 3 2 6 2" xfId="13271"/>
    <cellStyle name="Milliers 3 3 3 3 2 7" xfId="8951"/>
    <cellStyle name="Milliers 3 3 3 3 3" xfId="491"/>
    <cellStyle name="Milliers 3 3 3 3 3 2" xfId="1211"/>
    <cellStyle name="Milliers 3 3 3 3 3 2 2" xfId="3371"/>
    <cellStyle name="Milliers 3 3 3 3 3 2 2 2" xfId="7691"/>
    <cellStyle name="Milliers 3 3 3 3 3 2 2 2 2" xfId="16331"/>
    <cellStyle name="Milliers 3 3 3 3 3 2 2 3" xfId="12011"/>
    <cellStyle name="Milliers 3 3 3 3 3 2 3" xfId="5531"/>
    <cellStyle name="Milliers 3 3 3 3 3 2 3 2" xfId="14171"/>
    <cellStyle name="Milliers 3 3 3 3 3 2 4" xfId="9851"/>
    <cellStyle name="Milliers 3 3 3 3 3 3" xfId="1931"/>
    <cellStyle name="Milliers 3 3 3 3 3 3 2" xfId="4091"/>
    <cellStyle name="Milliers 3 3 3 3 3 3 2 2" xfId="8411"/>
    <cellStyle name="Milliers 3 3 3 3 3 3 2 2 2" xfId="17051"/>
    <cellStyle name="Milliers 3 3 3 3 3 3 2 3" xfId="12731"/>
    <cellStyle name="Milliers 3 3 3 3 3 3 3" xfId="6251"/>
    <cellStyle name="Milliers 3 3 3 3 3 3 3 2" xfId="14891"/>
    <cellStyle name="Milliers 3 3 3 3 3 3 4" xfId="10571"/>
    <cellStyle name="Milliers 3 3 3 3 3 4" xfId="2651"/>
    <cellStyle name="Milliers 3 3 3 3 3 4 2" xfId="6971"/>
    <cellStyle name="Milliers 3 3 3 3 3 4 2 2" xfId="15611"/>
    <cellStyle name="Milliers 3 3 3 3 3 4 3" xfId="11291"/>
    <cellStyle name="Milliers 3 3 3 3 3 5" xfId="4811"/>
    <cellStyle name="Milliers 3 3 3 3 3 5 2" xfId="13451"/>
    <cellStyle name="Milliers 3 3 3 3 3 6" xfId="9131"/>
    <cellStyle name="Milliers 3 3 3 3 4" xfId="851"/>
    <cellStyle name="Milliers 3 3 3 3 4 2" xfId="3011"/>
    <cellStyle name="Milliers 3 3 3 3 4 2 2" xfId="7331"/>
    <cellStyle name="Milliers 3 3 3 3 4 2 2 2" xfId="15971"/>
    <cellStyle name="Milliers 3 3 3 3 4 2 3" xfId="11651"/>
    <cellStyle name="Milliers 3 3 3 3 4 3" xfId="5171"/>
    <cellStyle name="Milliers 3 3 3 3 4 3 2" xfId="13811"/>
    <cellStyle name="Milliers 3 3 3 3 4 4" xfId="9491"/>
    <cellStyle name="Milliers 3 3 3 3 5" xfId="1571"/>
    <cellStyle name="Milliers 3 3 3 3 5 2" xfId="3731"/>
    <cellStyle name="Milliers 3 3 3 3 5 2 2" xfId="8051"/>
    <cellStyle name="Milliers 3 3 3 3 5 2 2 2" xfId="16691"/>
    <cellStyle name="Milliers 3 3 3 3 5 2 3" xfId="12371"/>
    <cellStyle name="Milliers 3 3 3 3 5 3" xfId="5891"/>
    <cellStyle name="Milliers 3 3 3 3 5 3 2" xfId="14531"/>
    <cellStyle name="Milliers 3 3 3 3 5 4" xfId="10211"/>
    <cellStyle name="Milliers 3 3 3 3 6" xfId="2291"/>
    <cellStyle name="Milliers 3 3 3 3 6 2" xfId="6611"/>
    <cellStyle name="Milliers 3 3 3 3 6 2 2" xfId="15251"/>
    <cellStyle name="Milliers 3 3 3 3 6 3" xfId="10931"/>
    <cellStyle name="Milliers 3 3 3 3 7" xfId="4451"/>
    <cellStyle name="Milliers 3 3 3 3 7 2" xfId="13091"/>
    <cellStyle name="Milliers 3 3 3 3 8" xfId="8771"/>
    <cellStyle name="Milliers 3 3 3 4" xfId="221"/>
    <cellStyle name="Milliers 3 3 3 4 2" xfId="581"/>
    <cellStyle name="Milliers 3 3 3 4 2 2" xfId="1301"/>
    <cellStyle name="Milliers 3 3 3 4 2 2 2" xfId="3461"/>
    <cellStyle name="Milliers 3 3 3 4 2 2 2 2" xfId="7781"/>
    <cellStyle name="Milliers 3 3 3 4 2 2 2 2 2" xfId="16421"/>
    <cellStyle name="Milliers 3 3 3 4 2 2 2 3" xfId="12101"/>
    <cellStyle name="Milliers 3 3 3 4 2 2 3" xfId="5621"/>
    <cellStyle name="Milliers 3 3 3 4 2 2 3 2" xfId="14261"/>
    <cellStyle name="Milliers 3 3 3 4 2 2 4" xfId="9941"/>
    <cellStyle name="Milliers 3 3 3 4 2 3" xfId="2021"/>
    <cellStyle name="Milliers 3 3 3 4 2 3 2" xfId="4181"/>
    <cellStyle name="Milliers 3 3 3 4 2 3 2 2" xfId="8501"/>
    <cellStyle name="Milliers 3 3 3 4 2 3 2 2 2" xfId="17141"/>
    <cellStyle name="Milliers 3 3 3 4 2 3 2 3" xfId="12821"/>
    <cellStyle name="Milliers 3 3 3 4 2 3 3" xfId="6341"/>
    <cellStyle name="Milliers 3 3 3 4 2 3 3 2" xfId="14981"/>
    <cellStyle name="Milliers 3 3 3 4 2 3 4" xfId="10661"/>
    <cellStyle name="Milliers 3 3 3 4 2 4" xfId="2741"/>
    <cellStyle name="Milliers 3 3 3 4 2 4 2" xfId="7061"/>
    <cellStyle name="Milliers 3 3 3 4 2 4 2 2" xfId="15701"/>
    <cellStyle name="Milliers 3 3 3 4 2 4 3" xfId="11381"/>
    <cellStyle name="Milliers 3 3 3 4 2 5" xfId="4901"/>
    <cellStyle name="Milliers 3 3 3 4 2 5 2" xfId="13541"/>
    <cellStyle name="Milliers 3 3 3 4 2 6" xfId="9221"/>
    <cellStyle name="Milliers 3 3 3 4 3" xfId="941"/>
    <cellStyle name="Milliers 3 3 3 4 3 2" xfId="3101"/>
    <cellStyle name="Milliers 3 3 3 4 3 2 2" xfId="7421"/>
    <cellStyle name="Milliers 3 3 3 4 3 2 2 2" xfId="16061"/>
    <cellStyle name="Milliers 3 3 3 4 3 2 3" xfId="11741"/>
    <cellStyle name="Milliers 3 3 3 4 3 3" xfId="5261"/>
    <cellStyle name="Milliers 3 3 3 4 3 3 2" xfId="13901"/>
    <cellStyle name="Milliers 3 3 3 4 3 4" xfId="9581"/>
    <cellStyle name="Milliers 3 3 3 4 4" xfId="1661"/>
    <cellStyle name="Milliers 3 3 3 4 4 2" xfId="3821"/>
    <cellStyle name="Milliers 3 3 3 4 4 2 2" xfId="8141"/>
    <cellStyle name="Milliers 3 3 3 4 4 2 2 2" xfId="16781"/>
    <cellStyle name="Milliers 3 3 3 4 4 2 3" xfId="12461"/>
    <cellStyle name="Milliers 3 3 3 4 4 3" xfId="5981"/>
    <cellStyle name="Milliers 3 3 3 4 4 3 2" xfId="14621"/>
    <cellStyle name="Milliers 3 3 3 4 4 4" xfId="10301"/>
    <cellStyle name="Milliers 3 3 3 4 5" xfId="2381"/>
    <cellStyle name="Milliers 3 3 3 4 5 2" xfId="6701"/>
    <cellStyle name="Milliers 3 3 3 4 5 2 2" xfId="15341"/>
    <cellStyle name="Milliers 3 3 3 4 5 3" xfId="11021"/>
    <cellStyle name="Milliers 3 3 3 4 6" xfId="4541"/>
    <cellStyle name="Milliers 3 3 3 4 6 2" xfId="13181"/>
    <cellStyle name="Milliers 3 3 3 4 7" xfId="8861"/>
    <cellStyle name="Milliers 3 3 3 5" xfId="401"/>
    <cellStyle name="Milliers 3 3 3 5 2" xfId="1121"/>
    <cellStyle name="Milliers 3 3 3 5 2 2" xfId="3281"/>
    <cellStyle name="Milliers 3 3 3 5 2 2 2" xfId="7601"/>
    <cellStyle name="Milliers 3 3 3 5 2 2 2 2" xfId="16241"/>
    <cellStyle name="Milliers 3 3 3 5 2 2 3" xfId="11921"/>
    <cellStyle name="Milliers 3 3 3 5 2 3" xfId="5441"/>
    <cellStyle name="Milliers 3 3 3 5 2 3 2" xfId="14081"/>
    <cellStyle name="Milliers 3 3 3 5 2 4" xfId="9761"/>
    <cellStyle name="Milliers 3 3 3 5 3" xfId="1841"/>
    <cellStyle name="Milliers 3 3 3 5 3 2" xfId="4001"/>
    <cellStyle name="Milliers 3 3 3 5 3 2 2" xfId="8321"/>
    <cellStyle name="Milliers 3 3 3 5 3 2 2 2" xfId="16961"/>
    <cellStyle name="Milliers 3 3 3 5 3 2 3" xfId="12641"/>
    <cellStyle name="Milliers 3 3 3 5 3 3" xfId="6161"/>
    <cellStyle name="Milliers 3 3 3 5 3 3 2" xfId="14801"/>
    <cellStyle name="Milliers 3 3 3 5 3 4" xfId="10481"/>
    <cellStyle name="Milliers 3 3 3 5 4" xfId="2561"/>
    <cellStyle name="Milliers 3 3 3 5 4 2" xfId="6881"/>
    <cellStyle name="Milliers 3 3 3 5 4 2 2" xfId="15521"/>
    <cellStyle name="Milliers 3 3 3 5 4 3" xfId="11201"/>
    <cellStyle name="Milliers 3 3 3 5 5" xfId="4721"/>
    <cellStyle name="Milliers 3 3 3 5 5 2" xfId="13361"/>
    <cellStyle name="Milliers 3 3 3 5 6" xfId="9041"/>
    <cellStyle name="Milliers 3 3 3 6" xfId="761"/>
    <cellStyle name="Milliers 3 3 3 6 2" xfId="2921"/>
    <cellStyle name="Milliers 3 3 3 6 2 2" xfId="7241"/>
    <cellStyle name="Milliers 3 3 3 6 2 2 2" xfId="15881"/>
    <cellStyle name="Milliers 3 3 3 6 2 3" xfId="11561"/>
    <cellStyle name="Milliers 3 3 3 6 3" xfId="5081"/>
    <cellStyle name="Milliers 3 3 3 6 3 2" xfId="13721"/>
    <cellStyle name="Milliers 3 3 3 6 4" xfId="9401"/>
    <cellStyle name="Milliers 3 3 3 7" xfId="1481"/>
    <cellStyle name="Milliers 3 3 3 7 2" xfId="3641"/>
    <cellStyle name="Milliers 3 3 3 7 2 2" xfId="7961"/>
    <cellStyle name="Milliers 3 3 3 7 2 2 2" xfId="16601"/>
    <cellStyle name="Milliers 3 3 3 7 2 3" xfId="12281"/>
    <cellStyle name="Milliers 3 3 3 7 3" xfId="5801"/>
    <cellStyle name="Milliers 3 3 3 7 3 2" xfId="14441"/>
    <cellStyle name="Milliers 3 3 3 7 4" xfId="10121"/>
    <cellStyle name="Milliers 3 3 3 8" xfId="2201"/>
    <cellStyle name="Milliers 3 3 3 8 2" xfId="6521"/>
    <cellStyle name="Milliers 3 3 3 8 2 2" xfId="15161"/>
    <cellStyle name="Milliers 3 3 3 8 3" xfId="10841"/>
    <cellStyle name="Milliers 3 3 3 9" xfId="4361"/>
    <cellStyle name="Milliers 3 3 3 9 2" xfId="13001"/>
    <cellStyle name="Milliers 3 3 4" xfId="56"/>
    <cellStyle name="Milliers 3 3 4 2" xfId="146"/>
    <cellStyle name="Milliers 3 3 4 2 2" xfId="326"/>
    <cellStyle name="Milliers 3 3 4 2 2 2" xfId="686"/>
    <cellStyle name="Milliers 3 3 4 2 2 2 2" xfId="1406"/>
    <cellStyle name="Milliers 3 3 4 2 2 2 2 2" xfId="3566"/>
    <cellStyle name="Milliers 3 3 4 2 2 2 2 2 2" xfId="7886"/>
    <cellStyle name="Milliers 3 3 4 2 2 2 2 2 2 2" xfId="16526"/>
    <cellStyle name="Milliers 3 3 4 2 2 2 2 2 3" xfId="12206"/>
    <cellStyle name="Milliers 3 3 4 2 2 2 2 3" xfId="5726"/>
    <cellStyle name="Milliers 3 3 4 2 2 2 2 3 2" xfId="14366"/>
    <cellStyle name="Milliers 3 3 4 2 2 2 2 4" xfId="10046"/>
    <cellStyle name="Milliers 3 3 4 2 2 2 3" xfId="2126"/>
    <cellStyle name="Milliers 3 3 4 2 2 2 3 2" xfId="4286"/>
    <cellStyle name="Milliers 3 3 4 2 2 2 3 2 2" xfId="8606"/>
    <cellStyle name="Milliers 3 3 4 2 2 2 3 2 2 2" xfId="17246"/>
    <cellStyle name="Milliers 3 3 4 2 2 2 3 2 3" xfId="12926"/>
    <cellStyle name="Milliers 3 3 4 2 2 2 3 3" xfId="6446"/>
    <cellStyle name="Milliers 3 3 4 2 2 2 3 3 2" xfId="15086"/>
    <cellStyle name="Milliers 3 3 4 2 2 2 3 4" xfId="10766"/>
    <cellStyle name="Milliers 3 3 4 2 2 2 4" xfId="2846"/>
    <cellStyle name="Milliers 3 3 4 2 2 2 4 2" xfId="7166"/>
    <cellStyle name="Milliers 3 3 4 2 2 2 4 2 2" xfId="15806"/>
    <cellStyle name="Milliers 3 3 4 2 2 2 4 3" xfId="11486"/>
    <cellStyle name="Milliers 3 3 4 2 2 2 5" xfId="5006"/>
    <cellStyle name="Milliers 3 3 4 2 2 2 5 2" xfId="13646"/>
    <cellStyle name="Milliers 3 3 4 2 2 2 6" xfId="9326"/>
    <cellStyle name="Milliers 3 3 4 2 2 3" xfId="1046"/>
    <cellStyle name="Milliers 3 3 4 2 2 3 2" xfId="3206"/>
    <cellStyle name="Milliers 3 3 4 2 2 3 2 2" xfId="7526"/>
    <cellStyle name="Milliers 3 3 4 2 2 3 2 2 2" xfId="16166"/>
    <cellStyle name="Milliers 3 3 4 2 2 3 2 3" xfId="11846"/>
    <cellStyle name="Milliers 3 3 4 2 2 3 3" xfId="5366"/>
    <cellStyle name="Milliers 3 3 4 2 2 3 3 2" xfId="14006"/>
    <cellStyle name="Milliers 3 3 4 2 2 3 4" xfId="9686"/>
    <cellStyle name="Milliers 3 3 4 2 2 4" xfId="1766"/>
    <cellStyle name="Milliers 3 3 4 2 2 4 2" xfId="3926"/>
    <cellStyle name="Milliers 3 3 4 2 2 4 2 2" xfId="8246"/>
    <cellStyle name="Milliers 3 3 4 2 2 4 2 2 2" xfId="16886"/>
    <cellStyle name="Milliers 3 3 4 2 2 4 2 3" xfId="12566"/>
    <cellStyle name="Milliers 3 3 4 2 2 4 3" xfId="6086"/>
    <cellStyle name="Milliers 3 3 4 2 2 4 3 2" xfId="14726"/>
    <cellStyle name="Milliers 3 3 4 2 2 4 4" xfId="10406"/>
    <cellStyle name="Milliers 3 3 4 2 2 5" xfId="2486"/>
    <cellStyle name="Milliers 3 3 4 2 2 5 2" xfId="6806"/>
    <cellStyle name="Milliers 3 3 4 2 2 5 2 2" xfId="15446"/>
    <cellStyle name="Milliers 3 3 4 2 2 5 3" xfId="11126"/>
    <cellStyle name="Milliers 3 3 4 2 2 6" xfId="4646"/>
    <cellStyle name="Milliers 3 3 4 2 2 6 2" xfId="13286"/>
    <cellStyle name="Milliers 3 3 4 2 2 7" xfId="8966"/>
    <cellStyle name="Milliers 3 3 4 2 3" xfId="506"/>
    <cellStyle name="Milliers 3 3 4 2 3 2" xfId="1226"/>
    <cellStyle name="Milliers 3 3 4 2 3 2 2" xfId="3386"/>
    <cellStyle name="Milliers 3 3 4 2 3 2 2 2" xfId="7706"/>
    <cellStyle name="Milliers 3 3 4 2 3 2 2 2 2" xfId="16346"/>
    <cellStyle name="Milliers 3 3 4 2 3 2 2 3" xfId="12026"/>
    <cellStyle name="Milliers 3 3 4 2 3 2 3" xfId="5546"/>
    <cellStyle name="Milliers 3 3 4 2 3 2 3 2" xfId="14186"/>
    <cellStyle name="Milliers 3 3 4 2 3 2 4" xfId="9866"/>
    <cellStyle name="Milliers 3 3 4 2 3 3" xfId="1946"/>
    <cellStyle name="Milliers 3 3 4 2 3 3 2" xfId="4106"/>
    <cellStyle name="Milliers 3 3 4 2 3 3 2 2" xfId="8426"/>
    <cellStyle name="Milliers 3 3 4 2 3 3 2 2 2" xfId="17066"/>
    <cellStyle name="Milliers 3 3 4 2 3 3 2 3" xfId="12746"/>
    <cellStyle name="Milliers 3 3 4 2 3 3 3" xfId="6266"/>
    <cellStyle name="Milliers 3 3 4 2 3 3 3 2" xfId="14906"/>
    <cellStyle name="Milliers 3 3 4 2 3 3 4" xfId="10586"/>
    <cellStyle name="Milliers 3 3 4 2 3 4" xfId="2666"/>
    <cellStyle name="Milliers 3 3 4 2 3 4 2" xfId="6986"/>
    <cellStyle name="Milliers 3 3 4 2 3 4 2 2" xfId="15626"/>
    <cellStyle name="Milliers 3 3 4 2 3 4 3" xfId="11306"/>
    <cellStyle name="Milliers 3 3 4 2 3 5" xfId="4826"/>
    <cellStyle name="Milliers 3 3 4 2 3 5 2" xfId="13466"/>
    <cellStyle name="Milliers 3 3 4 2 3 6" xfId="9146"/>
    <cellStyle name="Milliers 3 3 4 2 4" xfId="866"/>
    <cellStyle name="Milliers 3 3 4 2 4 2" xfId="3026"/>
    <cellStyle name="Milliers 3 3 4 2 4 2 2" xfId="7346"/>
    <cellStyle name="Milliers 3 3 4 2 4 2 2 2" xfId="15986"/>
    <cellStyle name="Milliers 3 3 4 2 4 2 3" xfId="11666"/>
    <cellStyle name="Milliers 3 3 4 2 4 3" xfId="5186"/>
    <cellStyle name="Milliers 3 3 4 2 4 3 2" xfId="13826"/>
    <cellStyle name="Milliers 3 3 4 2 4 4" xfId="9506"/>
    <cellStyle name="Milliers 3 3 4 2 5" xfId="1586"/>
    <cellStyle name="Milliers 3 3 4 2 5 2" xfId="3746"/>
    <cellStyle name="Milliers 3 3 4 2 5 2 2" xfId="8066"/>
    <cellStyle name="Milliers 3 3 4 2 5 2 2 2" xfId="16706"/>
    <cellStyle name="Milliers 3 3 4 2 5 2 3" xfId="12386"/>
    <cellStyle name="Milliers 3 3 4 2 5 3" xfId="5906"/>
    <cellStyle name="Milliers 3 3 4 2 5 3 2" xfId="14546"/>
    <cellStyle name="Milliers 3 3 4 2 5 4" xfId="10226"/>
    <cellStyle name="Milliers 3 3 4 2 6" xfId="2306"/>
    <cellStyle name="Milliers 3 3 4 2 6 2" xfId="6626"/>
    <cellStyle name="Milliers 3 3 4 2 6 2 2" xfId="15266"/>
    <cellStyle name="Milliers 3 3 4 2 6 3" xfId="10946"/>
    <cellStyle name="Milliers 3 3 4 2 7" xfId="4466"/>
    <cellStyle name="Milliers 3 3 4 2 7 2" xfId="13106"/>
    <cellStyle name="Milliers 3 3 4 2 8" xfId="8786"/>
    <cellStyle name="Milliers 3 3 4 3" xfId="236"/>
    <cellStyle name="Milliers 3 3 4 3 2" xfId="596"/>
    <cellStyle name="Milliers 3 3 4 3 2 2" xfId="1316"/>
    <cellStyle name="Milliers 3 3 4 3 2 2 2" xfId="3476"/>
    <cellStyle name="Milliers 3 3 4 3 2 2 2 2" xfId="7796"/>
    <cellStyle name="Milliers 3 3 4 3 2 2 2 2 2" xfId="16436"/>
    <cellStyle name="Milliers 3 3 4 3 2 2 2 3" xfId="12116"/>
    <cellStyle name="Milliers 3 3 4 3 2 2 3" xfId="5636"/>
    <cellStyle name="Milliers 3 3 4 3 2 2 3 2" xfId="14276"/>
    <cellStyle name="Milliers 3 3 4 3 2 2 4" xfId="9956"/>
    <cellStyle name="Milliers 3 3 4 3 2 3" xfId="2036"/>
    <cellStyle name="Milliers 3 3 4 3 2 3 2" xfId="4196"/>
    <cellStyle name="Milliers 3 3 4 3 2 3 2 2" xfId="8516"/>
    <cellStyle name="Milliers 3 3 4 3 2 3 2 2 2" xfId="17156"/>
    <cellStyle name="Milliers 3 3 4 3 2 3 2 3" xfId="12836"/>
    <cellStyle name="Milliers 3 3 4 3 2 3 3" xfId="6356"/>
    <cellStyle name="Milliers 3 3 4 3 2 3 3 2" xfId="14996"/>
    <cellStyle name="Milliers 3 3 4 3 2 3 4" xfId="10676"/>
    <cellStyle name="Milliers 3 3 4 3 2 4" xfId="2756"/>
    <cellStyle name="Milliers 3 3 4 3 2 4 2" xfId="7076"/>
    <cellStyle name="Milliers 3 3 4 3 2 4 2 2" xfId="15716"/>
    <cellStyle name="Milliers 3 3 4 3 2 4 3" xfId="11396"/>
    <cellStyle name="Milliers 3 3 4 3 2 5" xfId="4916"/>
    <cellStyle name="Milliers 3 3 4 3 2 5 2" xfId="13556"/>
    <cellStyle name="Milliers 3 3 4 3 2 6" xfId="9236"/>
    <cellStyle name="Milliers 3 3 4 3 3" xfId="956"/>
    <cellStyle name="Milliers 3 3 4 3 3 2" xfId="3116"/>
    <cellStyle name="Milliers 3 3 4 3 3 2 2" xfId="7436"/>
    <cellStyle name="Milliers 3 3 4 3 3 2 2 2" xfId="16076"/>
    <cellStyle name="Milliers 3 3 4 3 3 2 3" xfId="11756"/>
    <cellStyle name="Milliers 3 3 4 3 3 3" xfId="5276"/>
    <cellStyle name="Milliers 3 3 4 3 3 3 2" xfId="13916"/>
    <cellStyle name="Milliers 3 3 4 3 3 4" xfId="9596"/>
    <cellStyle name="Milliers 3 3 4 3 4" xfId="1676"/>
    <cellStyle name="Milliers 3 3 4 3 4 2" xfId="3836"/>
    <cellStyle name="Milliers 3 3 4 3 4 2 2" xfId="8156"/>
    <cellStyle name="Milliers 3 3 4 3 4 2 2 2" xfId="16796"/>
    <cellStyle name="Milliers 3 3 4 3 4 2 3" xfId="12476"/>
    <cellStyle name="Milliers 3 3 4 3 4 3" xfId="5996"/>
    <cellStyle name="Milliers 3 3 4 3 4 3 2" xfId="14636"/>
    <cellStyle name="Milliers 3 3 4 3 4 4" xfId="10316"/>
    <cellStyle name="Milliers 3 3 4 3 5" xfId="2396"/>
    <cellStyle name="Milliers 3 3 4 3 5 2" xfId="6716"/>
    <cellStyle name="Milliers 3 3 4 3 5 2 2" xfId="15356"/>
    <cellStyle name="Milliers 3 3 4 3 5 3" xfId="11036"/>
    <cellStyle name="Milliers 3 3 4 3 6" xfId="4556"/>
    <cellStyle name="Milliers 3 3 4 3 6 2" xfId="13196"/>
    <cellStyle name="Milliers 3 3 4 3 7" xfId="8876"/>
    <cellStyle name="Milliers 3 3 4 4" xfId="416"/>
    <cellStyle name="Milliers 3 3 4 4 2" xfId="1136"/>
    <cellStyle name="Milliers 3 3 4 4 2 2" xfId="3296"/>
    <cellStyle name="Milliers 3 3 4 4 2 2 2" xfId="7616"/>
    <cellStyle name="Milliers 3 3 4 4 2 2 2 2" xfId="16256"/>
    <cellStyle name="Milliers 3 3 4 4 2 2 3" xfId="11936"/>
    <cellStyle name="Milliers 3 3 4 4 2 3" xfId="5456"/>
    <cellStyle name="Milliers 3 3 4 4 2 3 2" xfId="14096"/>
    <cellStyle name="Milliers 3 3 4 4 2 4" xfId="9776"/>
    <cellStyle name="Milliers 3 3 4 4 3" xfId="1856"/>
    <cellStyle name="Milliers 3 3 4 4 3 2" xfId="4016"/>
    <cellStyle name="Milliers 3 3 4 4 3 2 2" xfId="8336"/>
    <cellStyle name="Milliers 3 3 4 4 3 2 2 2" xfId="16976"/>
    <cellStyle name="Milliers 3 3 4 4 3 2 3" xfId="12656"/>
    <cellStyle name="Milliers 3 3 4 4 3 3" xfId="6176"/>
    <cellStyle name="Milliers 3 3 4 4 3 3 2" xfId="14816"/>
    <cellStyle name="Milliers 3 3 4 4 3 4" xfId="10496"/>
    <cellStyle name="Milliers 3 3 4 4 4" xfId="2576"/>
    <cellStyle name="Milliers 3 3 4 4 4 2" xfId="6896"/>
    <cellStyle name="Milliers 3 3 4 4 4 2 2" xfId="15536"/>
    <cellStyle name="Milliers 3 3 4 4 4 3" xfId="11216"/>
    <cellStyle name="Milliers 3 3 4 4 5" xfId="4736"/>
    <cellStyle name="Milliers 3 3 4 4 5 2" xfId="13376"/>
    <cellStyle name="Milliers 3 3 4 4 6" xfId="9056"/>
    <cellStyle name="Milliers 3 3 4 5" xfId="776"/>
    <cellStyle name="Milliers 3 3 4 5 2" xfId="2936"/>
    <cellStyle name="Milliers 3 3 4 5 2 2" xfId="7256"/>
    <cellStyle name="Milliers 3 3 4 5 2 2 2" xfId="15896"/>
    <cellStyle name="Milliers 3 3 4 5 2 3" xfId="11576"/>
    <cellStyle name="Milliers 3 3 4 5 3" xfId="5096"/>
    <cellStyle name="Milliers 3 3 4 5 3 2" xfId="13736"/>
    <cellStyle name="Milliers 3 3 4 5 4" xfId="9416"/>
    <cellStyle name="Milliers 3 3 4 6" xfId="1496"/>
    <cellStyle name="Milliers 3 3 4 6 2" xfId="3656"/>
    <cellStyle name="Milliers 3 3 4 6 2 2" xfId="7976"/>
    <cellStyle name="Milliers 3 3 4 6 2 2 2" xfId="16616"/>
    <cellStyle name="Milliers 3 3 4 6 2 3" xfId="12296"/>
    <cellStyle name="Milliers 3 3 4 6 3" xfId="5816"/>
    <cellStyle name="Milliers 3 3 4 6 3 2" xfId="14456"/>
    <cellStyle name="Milliers 3 3 4 6 4" xfId="10136"/>
    <cellStyle name="Milliers 3 3 4 7" xfId="2216"/>
    <cellStyle name="Milliers 3 3 4 7 2" xfId="6536"/>
    <cellStyle name="Milliers 3 3 4 7 2 2" xfId="15176"/>
    <cellStyle name="Milliers 3 3 4 7 3" xfId="10856"/>
    <cellStyle name="Milliers 3 3 4 8" xfId="4376"/>
    <cellStyle name="Milliers 3 3 4 8 2" xfId="13016"/>
    <cellStyle name="Milliers 3 3 4 9" xfId="8696"/>
    <cellStyle name="Milliers 3 3 5" xfId="101"/>
    <cellStyle name="Milliers 3 3 5 2" xfId="281"/>
    <cellStyle name="Milliers 3 3 5 2 2" xfId="641"/>
    <cellStyle name="Milliers 3 3 5 2 2 2" xfId="1361"/>
    <cellStyle name="Milliers 3 3 5 2 2 2 2" xfId="3521"/>
    <cellStyle name="Milliers 3 3 5 2 2 2 2 2" xfId="7841"/>
    <cellStyle name="Milliers 3 3 5 2 2 2 2 2 2" xfId="16481"/>
    <cellStyle name="Milliers 3 3 5 2 2 2 2 3" xfId="12161"/>
    <cellStyle name="Milliers 3 3 5 2 2 2 3" xfId="5681"/>
    <cellStyle name="Milliers 3 3 5 2 2 2 3 2" xfId="14321"/>
    <cellStyle name="Milliers 3 3 5 2 2 2 4" xfId="10001"/>
    <cellStyle name="Milliers 3 3 5 2 2 3" xfId="2081"/>
    <cellStyle name="Milliers 3 3 5 2 2 3 2" xfId="4241"/>
    <cellStyle name="Milliers 3 3 5 2 2 3 2 2" xfId="8561"/>
    <cellStyle name="Milliers 3 3 5 2 2 3 2 2 2" xfId="17201"/>
    <cellStyle name="Milliers 3 3 5 2 2 3 2 3" xfId="12881"/>
    <cellStyle name="Milliers 3 3 5 2 2 3 3" xfId="6401"/>
    <cellStyle name="Milliers 3 3 5 2 2 3 3 2" xfId="15041"/>
    <cellStyle name="Milliers 3 3 5 2 2 3 4" xfId="10721"/>
    <cellStyle name="Milliers 3 3 5 2 2 4" xfId="2801"/>
    <cellStyle name="Milliers 3 3 5 2 2 4 2" xfId="7121"/>
    <cellStyle name="Milliers 3 3 5 2 2 4 2 2" xfId="15761"/>
    <cellStyle name="Milliers 3 3 5 2 2 4 3" xfId="11441"/>
    <cellStyle name="Milliers 3 3 5 2 2 5" xfId="4961"/>
    <cellStyle name="Milliers 3 3 5 2 2 5 2" xfId="13601"/>
    <cellStyle name="Milliers 3 3 5 2 2 6" xfId="9281"/>
    <cellStyle name="Milliers 3 3 5 2 3" xfId="1001"/>
    <cellStyle name="Milliers 3 3 5 2 3 2" xfId="3161"/>
    <cellStyle name="Milliers 3 3 5 2 3 2 2" xfId="7481"/>
    <cellStyle name="Milliers 3 3 5 2 3 2 2 2" xfId="16121"/>
    <cellStyle name="Milliers 3 3 5 2 3 2 3" xfId="11801"/>
    <cellStyle name="Milliers 3 3 5 2 3 3" xfId="5321"/>
    <cellStyle name="Milliers 3 3 5 2 3 3 2" xfId="13961"/>
    <cellStyle name="Milliers 3 3 5 2 3 4" xfId="9641"/>
    <cellStyle name="Milliers 3 3 5 2 4" xfId="1721"/>
    <cellStyle name="Milliers 3 3 5 2 4 2" xfId="3881"/>
    <cellStyle name="Milliers 3 3 5 2 4 2 2" xfId="8201"/>
    <cellStyle name="Milliers 3 3 5 2 4 2 2 2" xfId="16841"/>
    <cellStyle name="Milliers 3 3 5 2 4 2 3" xfId="12521"/>
    <cellStyle name="Milliers 3 3 5 2 4 3" xfId="6041"/>
    <cellStyle name="Milliers 3 3 5 2 4 3 2" xfId="14681"/>
    <cellStyle name="Milliers 3 3 5 2 4 4" xfId="10361"/>
    <cellStyle name="Milliers 3 3 5 2 5" xfId="2441"/>
    <cellStyle name="Milliers 3 3 5 2 5 2" xfId="6761"/>
    <cellStyle name="Milliers 3 3 5 2 5 2 2" xfId="15401"/>
    <cellStyle name="Milliers 3 3 5 2 5 3" xfId="11081"/>
    <cellStyle name="Milliers 3 3 5 2 6" xfId="4601"/>
    <cellStyle name="Milliers 3 3 5 2 6 2" xfId="13241"/>
    <cellStyle name="Milliers 3 3 5 2 7" xfId="8921"/>
    <cellStyle name="Milliers 3 3 5 3" xfId="461"/>
    <cellStyle name="Milliers 3 3 5 3 2" xfId="1181"/>
    <cellStyle name="Milliers 3 3 5 3 2 2" xfId="3341"/>
    <cellStyle name="Milliers 3 3 5 3 2 2 2" xfId="7661"/>
    <cellStyle name="Milliers 3 3 5 3 2 2 2 2" xfId="16301"/>
    <cellStyle name="Milliers 3 3 5 3 2 2 3" xfId="11981"/>
    <cellStyle name="Milliers 3 3 5 3 2 3" xfId="5501"/>
    <cellStyle name="Milliers 3 3 5 3 2 3 2" xfId="14141"/>
    <cellStyle name="Milliers 3 3 5 3 2 4" xfId="9821"/>
    <cellStyle name="Milliers 3 3 5 3 3" xfId="1901"/>
    <cellStyle name="Milliers 3 3 5 3 3 2" xfId="4061"/>
    <cellStyle name="Milliers 3 3 5 3 3 2 2" xfId="8381"/>
    <cellStyle name="Milliers 3 3 5 3 3 2 2 2" xfId="17021"/>
    <cellStyle name="Milliers 3 3 5 3 3 2 3" xfId="12701"/>
    <cellStyle name="Milliers 3 3 5 3 3 3" xfId="6221"/>
    <cellStyle name="Milliers 3 3 5 3 3 3 2" xfId="14861"/>
    <cellStyle name="Milliers 3 3 5 3 3 4" xfId="10541"/>
    <cellStyle name="Milliers 3 3 5 3 4" xfId="2621"/>
    <cellStyle name="Milliers 3 3 5 3 4 2" xfId="6941"/>
    <cellStyle name="Milliers 3 3 5 3 4 2 2" xfId="15581"/>
    <cellStyle name="Milliers 3 3 5 3 4 3" xfId="11261"/>
    <cellStyle name="Milliers 3 3 5 3 5" xfId="4781"/>
    <cellStyle name="Milliers 3 3 5 3 5 2" xfId="13421"/>
    <cellStyle name="Milliers 3 3 5 3 6" xfId="9101"/>
    <cellStyle name="Milliers 3 3 5 4" xfId="821"/>
    <cellStyle name="Milliers 3 3 5 4 2" xfId="2981"/>
    <cellStyle name="Milliers 3 3 5 4 2 2" xfId="7301"/>
    <cellStyle name="Milliers 3 3 5 4 2 2 2" xfId="15941"/>
    <cellStyle name="Milliers 3 3 5 4 2 3" xfId="11621"/>
    <cellStyle name="Milliers 3 3 5 4 3" xfId="5141"/>
    <cellStyle name="Milliers 3 3 5 4 3 2" xfId="13781"/>
    <cellStyle name="Milliers 3 3 5 4 4" xfId="9461"/>
    <cellStyle name="Milliers 3 3 5 5" xfId="1541"/>
    <cellStyle name="Milliers 3 3 5 5 2" xfId="3701"/>
    <cellStyle name="Milliers 3 3 5 5 2 2" xfId="8021"/>
    <cellStyle name="Milliers 3 3 5 5 2 2 2" xfId="16661"/>
    <cellStyle name="Milliers 3 3 5 5 2 3" xfId="12341"/>
    <cellStyle name="Milliers 3 3 5 5 3" xfId="5861"/>
    <cellStyle name="Milliers 3 3 5 5 3 2" xfId="14501"/>
    <cellStyle name="Milliers 3 3 5 5 4" xfId="10181"/>
    <cellStyle name="Milliers 3 3 5 6" xfId="2261"/>
    <cellStyle name="Milliers 3 3 5 6 2" xfId="6581"/>
    <cellStyle name="Milliers 3 3 5 6 2 2" xfId="15221"/>
    <cellStyle name="Milliers 3 3 5 6 3" xfId="10901"/>
    <cellStyle name="Milliers 3 3 5 7" xfId="4421"/>
    <cellStyle name="Milliers 3 3 5 7 2" xfId="13061"/>
    <cellStyle name="Milliers 3 3 5 8" xfId="8741"/>
    <cellStyle name="Milliers 3 3 6" xfId="191"/>
    <cellStyle name="Milliers 3 3 6 2" xfId="551"/>
    <cellStyle name="Milliers 3 3 6 2 2" xfId="1271"/>
    <cellStyle name="Milliers 3 3 6 2 2 2" xfId="3431"/>
    <cellStyle name="Milliers 3 3 6 2 2 2 2" xfId="7751"/>
    <cellStyle name="Milliers 3 3 6 2 2 2 2 2" xfId="16391"/>
    <cellStyle name="Milliers 3 3 6 2 2 2 3" xfId="12071"/>
    <cellStyle name="Milliers 3 3 6 2 2 3" xfId="5591"/>
    <cellStyle name="Milliers 3 3 6 2 2 3 2" xfId="14231"/>
    <cellStyle name="Milliers 3 3 6 2 2 4" xfId="9911"/>
    <cellStyle name="Milliers 3 3 6 2 3" xfId="1991"/>
    <cellStyle name="Milliers 3 3 6 2 3 2" xfId="4151"/>
    <cellStyle name="Milliers 3 3 6 2 3 2 2" xfId="8471"/>
    <cellStyle name="Milliers 3 3 6 2 3 2 2 2" xfId="17111"/>
    <cellStyle name="Milliers 3 3 6 2 3 2 3" xfId="12791"/>
    <cellStyle name="Milliers 3 3 6 2 3 3" xfId="6311"/>
    <cellStyle name="Milliers 3 3 6 2 3 3 2" xfId="14951"/>
    <cellStyle name="Milliers 3 3 6 2 3 4" xfId="10631"/>
    <cellStyle name="Milliers 3 3 6 2 4" xfId="2711"/>
    <cellStyle name="Milliers 3 3 6 2 4 2" xfId="7031"/>
    <cellStyle name="Milliers 3 3 6 2 4 2 2" xfId="15671"/>
    <cellStyle name="Milliers 3 3 6 2 4 3" xfId="11351"/>
    <cellStyle name="Milliers 3 3 6 2 5" xfId="4871"/>
    <cellStyle name="Milliers 3 3 6 2 5 2" xfId="13511"/>
    <cellStyle name="Milliers 3 3 6 2 6" xfId="9191"/>
    <cellStyle name="Milliers 3 3 6 3" xfId="911"/>
    <cellStyle name="Milliers 3 3 6 3 2" xfId="3071"/>
    <cellStyle name="Milliers 3 3 6 3 2 2" xfId="7391"/>
    <cellStyle name="Milliers 3 3 6 3 2 2 2" xfId="16031"/>
    <cellStyle name="Milliers 3 3 6 3 2 3" xfId="11711"/>
    <cellStyle name="Milliers 3 3 6 3 3" xfId="5231"/>
    <cellStyle name="Milliers 3 3 6 3 3 2" xfId="13871"/>
    <cellStyle name="Milliers 3 3 6 3 4" xfId="9551"/>
    <cellStyle name="Milliers 3 3 6 4" xfId="1631"/>
    <cellStyle name="Milliers 3 3 6 4 2" xfId="3791"/>
    <cellStyle name="Milliers 3 3 6 4 2 2" xfId="8111"/>
    <cellStyle name="Milliers 3 3 6 4 2 2 2" xfId="16751"/>
    <cellStyle name="Milliers 3 3 6 4 2 3" xfId="12431"/>
    <cellStyle name="Milliers 3 3 6 4 3" xfId="5951"/>
    <cellStyle name="Milliers 3 3 6 4 3 2" xfId="14591"/>
    <cellStyle name="Milliers 3 3 6 4 4" xfId="10271"/>
    <cellStyle name="Milliers 3 3 6 5" xfId="2351"/>
    <cellStyle name="Milliers 3 3 6 5 2" xfId="6671"/>
    <cellStyle name="Milliers 3 3 6 5 2 2" xfId="15311"/>
    <cellStyle name="Milliers 3 3 6 5 3" xfId="10991"/>
    <cellStyle name="Milliers 3 3 6 6" xfId="4511"/>
    <cellStyle name="Milliers 3 3 6 6 2" xfId="13151"/>
    <cellStyle name="Milliers 3 3 6 7" xfId="8831"/>
    <cellStyle name="Milliers 3 3 7" xfId="371"/>
    <cellStyle name="Milliers 3 3 7 2" xfId="1091"/>
    <cellStyle name="Milliers 3 3 7 2 2" xfId="3251"/>
    <cellStyle name="Milliers 3 3 7 2 2 2" xfId="7571"/>
    <cellStyle name="Milliers 3 3 7 2 2 2 2" xfId="16211"/>
    <cellStyle name="Milliers 3 3 7 2 2 3" xfId="11891"/>
    <cellStyle name="Milliers 3 3 7 2 3" xfId="5411"/>
    <cellStyle name="Milliers 3 3 7 2 3 2" xfId="14051"/>
    <cellStyle name="Milliers 3 3 7 2 4" xfId="9731"/>
    <cellStyle name="Milliers 3 3 7 3" xfId="1811"/>
    <cellStyle name="Milliers 3 3 7 3 2" xfId="3971"/>
    <cellStyle name="Milliers 3 3 7 3 2 2" xfId="8291"/>
    <cellStyle name="Milliers 3 3 7 3 2 2 2" xfId="16931"/>
    <cellStyle name="Milliers 3 3 7 3 2 3" xfId="12611"/>
    <cellStyle name="Milliers 3 3 7 3 3" xfId="6131"/>
    <cellStyle name="Milliers 3 3 7 3 3 2" xfId="14771"/>
    <cellStyle name="Milliers 3 3 7 3 4" xfId="10451"/>
    <cellStyle name="Milliers 3 3 7 4" xfId="2531"/>
    <cellStyle name="Milliers 3 3 7 4 2" xfId="6851"/>
    <cellStyle name="Milliers 3 3 7 4 2 2" xfId="15491"/>
    <cellStyle name="Milliers 3 3 7 4 3" xfId="11171"/>
    <cellStyle name="Milliers 3 3 7 5" xfId="4691"/>
    <cellStyle name="Milliers 3 3 7 5 2" xfId="13331"/>
    <cellStyle name="Milliers 3 3 7 6" xfId="9011"/>
    <cellStyle name="Milliers 3 3 8" xfId="731"/>
    <cellStyle name="Milliers 3 3 8 2" xfId="2891"/>
    <cellStyle name="Milliers 3 3 8 2 2" xfId="7211"/>
    <cellStyle name="Milliers 3 3 8 2 2 2" xfId="15851"/>
    <cellStyle name="Milliers 3 3 8 2 3" xfId="11531"/>
    <cellStyle name="Milliers 3 3 8 3" xfId="5051"/>
    <cellStyle name="Milliers 3 3 8 3 2" xfId="13691"/>
    <cellStyle name="Milliers 3 3 8 4" xfId="9371"/>
    <cellStyle name="Milliers 3 3 9" xfId="1451"/>
    <cellStyle name="Milliers 3 3 9 2" xfId="3611"/>
    <cellStyle name="Milliers 3 3 9 2 2" xfId="7931"/>
    <cellStyle name="Milliers 3 3 9 2 2 2" xfId="16571"/>
    <cellStyle name="Milliers 3 3 9 2 3" xfId="12251"/>
    <cellStyle name="Milliers 3 3 9 3" xfId="5771"/>
    <cellStyle name="Milliers 3 3 9 3 2" xfId="14411"/>
    <cellStyle name="Milliers 3 3 9 4" xfId="10091"/>
    <cellStyle name="Milliers 3 4" xfId="17"/>
    <cellStyle name="Milliers 3 4 10" xfId="2177"/>
    <cellStyle name="Milliers 3 4 10 2" xfId="6497"/>
    <cellStyle name="Milliers 3 4 10 2 2" xfId="15137"/>
    <cellStyle name="Milliers 3 4 10 3" xfId="10817"/>
    <cellStyle name="Milliers 3 4 11" xfId="4337"/>
    <cellStyle name="Milliers 3 4 11 2" xfId="12977"/>
    <cellStyle name="Milliers 3 4 12" xfId="8657"/>
    <cellStyle name="Milliers 3 4 2" xfId="32"/>
    <cellStyle name="Milliers 3 4 2 10" xfId="8672"/>
    <cellStyle name="Milliers 3 4 2 2" xfId="77"/>
    <cellStyle name="Milliers 3 4 2 2 2" xfId="167"/>
    <cellStyle name="Milliers 3 4 2 2 2 2" xfId="347"/>
    <cellStyle name="Milliers 3 4 2 2 2 2 2" xfId="707"/>
    <cellStyle name="Milliers 3 4 2 2 2 2 2 2" xfId="1427"/>
    <cellStyle name="Milliers 3 4 2 2 2 2 2 2 2" xfId="3587"/>
    <cellStyle name="Milliers 3 4 2 2 2 2 2 2 2 2" xfId="7907"/>
    <cellStyle name="Milliers 3 4 2 2 2 2 2 2 2 2 2" xfId="16547"/>
    <cellStyle name="Milliers 3 4 2 2 2 2 2 2 2 3" xfId="12227"/>
    <cellStyle name="Milliers 3 4 2 2 2 2 2 2 3" xfId="5747"/>
    <cellStyle name="Milliers 3 4 2 2 2 2 2 2 3 2" xfId="14387"/>
    <cellStyle name="Milliers 3 4 2 2 2 2 2 2 4" xfId="10067"/>
    <cellStyle name="Milliers 3 4 2 2 2 2 2 3" xfId="2147"/>
    <cellStyle name="Milliers 3 4 2 2 2 2 2 3 2" xfId="4307"/>
    <cellStyle name="Milliers 3 4 2 2 2 2 2 3 2 2" xfId="8627"/>
    <cellStyle name="Milliers 3 4 2 2 2 2 2 3 2 2 2" xfId="17267"/>
    <cellStyle name="Milliers 3 4 2 2 2 2 2 3 2 3" xfId="12947"/>
    <cellStyle name="Milliers 3 4 2 2 2 2 2 3 3" xfId="6467"/>
    <cellStyle name="Milliers 3 4 2 2 2 2 2 3 3 2" xfId="15107"/>
    <cellStyle name="Milliers 3 4 2 2 2 2 2 3 4" xfId="10787"/>
    <cellStyle name="Milliers 3 4 2 2 2 2 2 4" xfId="2867"/>
    <cellStyle name="Milliers 3 4 2 2 2 2 2 4 2" xfId="7187"/>
    <cellStyle name="Milliers 3 4 2 2 2 2 2 4 2 2" xfId="15827"/>
    <cellStyle name="Milliers 3 4 2 2 2 2 2 4 3" xfId="11507"/>
    <cellStyle name="Milliers 3 4 2 2 2 2 2 5" xfId="5027"/>
    <cellStyle name="Milliers 3 4 2 2 2 2 2 5 2" xfId="13667"/>
    <cellStyle name="Milliers 3 4 2 2 2 2 2 6" xfId="9347"/>
    <cellStyle name="Milliers 3 4 2 2 2 2 3" xfId="1067"/>
    <cellStyle name="Milliers 3 4 2 2 2 2 3 2" xfId="3227"/>
    <cellStyle name="Milliers 3 4 2 2 2 2 3 2 2" xfId="7547"/>
    <cellStyle name="Milliers 3 4 2 2 2 2 3 2 2 2" xfId="16187"/>
    <cellStyle name="Milliers 3 4 2 2 2 2 3 2 3" xfId="11867"/>
    <cellStyle name="Milliers 3 4 2 2 2 2 3 3" xfId="5387"/>
    <cellStyle name="Milliers 3 4 2 2 2 2 3 3 2" xfId="14027"/>
    <cellStyle name="Milliers 3 4 2 2 2 2 3 4" xfId="9707"/>
    <cellStyle name="Milliers 3 4 2 2 2 2 4" xfId="1787"/>
    <cellStyle name="Milliers 3 4 2 2 2 2 4 2" xfId="3947"/>
    <cellStyle name="Milliers 3 4 2 2 2 2 4 2 2" xfId="8267"/>
    <cellStyle name="Milliers 3 4 2 2 2 2 4 2 2 2" xfId="16907"/>
    <cellStyle name="Milliers 3 4 2 2 2 2 4 2 3" xfId="12587"/>
    <cellStyle name="Milliers 3 4 2 2 2 2 4 3" xfId="6107"/>
    <cellStyle name="Milliers 3 4 2 2 2 2 4 3 2" xfId="14747"/>
    <cellStyle name="Milliers 3 4 2 2 2 2 4 4" xfId="10427"/>
    <cellStyle name="Milliers 3 4 2 2 2 2 5" xfId="2507"/>
    <cellStyle name="Milliers 3 4 2 2 2 2 5 2" xfId="6827"/>
    <cellStyle name="Milliers 3 4 2 2 2 2 5 2 2" xfId="15467"/>
    <cellStyle name="Milliers 3 4 2 2 2 2 5 3" xfId="11147"/>
    <cellStyle name="Milliers 3 4 2 2 2 2 6" xfId="4667"/>
    <cellStyle name="Milliers 3 4 2 2 2 2 6 2" xfId="13307"/>
    <cellStyle name="Milliers 3 4 2 2 2 2 7" xfId="8987"/>
    <cellStyle name="Milliers 3 4 2 2 2 3" xfId="527"/>
    <cellStyle name="Milliers 3 4 2 2 2 3 2" xfId="1247"/>
    <cellStyle name="Milliers 3 4 2 2 2 3 2 2" xfId="3407"/>
    <cellStyle name="Milliers 3 4 2 2 2 3 2 2 2" xfId="7727"/>
    <cellStyle name="Milliers 3 4 2 2 2 3 2 2 2 2" xfId="16367"/>
    <cellStyle name="Milliers 3 4 2 2 2 3 2 2 3" xfId="12047"/>
    <cellStyle name="Milliers 3 4 2 2 2 3 2 3" xfId="5567"/>
    <cellStyle name="Milliers 3 4 2 2 2 3 2 3 2" xfId="14207"/>
    <cellStyle name="Milliers 3 4 2 2 2 3 2 4" xfId="9887"/>
    <cellStyle name="Milliers 3 4 2 2 2 3 3" xfId="1967"/>
    <cellStyle name="Milliers 3 4 2 2 2 3 3 2" xfId="4127"/>
    <cellStyle name="Milliers 3 4 2 2 2 3 3 2 2" xfId="8447"/>
    <cellStyle name="Milliers 3 4 2 2 2 3 3 2 2 2" xfId="17087"/>
    <cellStyle name="Milliers 3 4 2 2 2 3 3 2 3" xfId="12767"/>
    <cellStyle name="Milliers 3 4 2 2 2 3 3 3" xfId="6287"/>
    <cellStyle name="Milliers 3 4 2 2 2 3 3 3 2" xfId="14927"/>
    <cellStyle name="Milliers 3 4 2 2 2 3 3 4" xfId="10607"/>
    <cellStyle name="Milliers 3 4 2 2 2 3 4" xfId="2687"/>
    <cellStyle name="Milliers 3 4 2 2 2 3 4 2" xfId="7007"/>
    <cellStyle name="Milliers 3 4 2 2 2 3 4 2 2" xfId="15647"/>
    <cellStyle name="Milliers 3 4 2 2 2 3 4 3" xfId="11327"/>
    <cellStyle name="Milliers 3 4 2 2 2 3 5" xfId="4847"/>
    <cellStyle name="Milliers 3 4 2 2 2 3 5 2" xfId="13487"/>
    <cellStyle name="Milliers 3 4 2 2 2 3 6" xfId="9167"/>
    <cellStyle name="Milliers 3 4 2 2 2 4" xfId="887"/>
    <cellStyle name="Milliers 3 4 2 2 2 4 2" xfId="3047"/>
    <cellStyle name="Milliers 3 4 2 2 2 4 2 2" xfId="7367"/>
    <cellStyle name="Milliers 3 4 2 2 2 4 2 2 2" xfId="16007"/>
    <cellStyle name="Milliers 3 4 2 2 2 4 2 3" xfId="11687"/>
    <cellStyle name="Milliers 3 4 2 2 2 4 3" xfId="5207"/>
    <cellStyle name="Milliers 3 4 2 2 2 4 3 2" xfId="13847"/>
    <cellStyle name="Milliers 3 4 2 2 2 4 4" xfId="9527"/>
    <cellStyle name="Milliers 3 4 2 2 2 5" xfId="1607"/>
    <cellStyle name="Milliers 3 4 2 2 2 5 2" xfId="3767"/>
    <cellStyle name="Milliers 3 4 2 2 2 5 2 2" xfId="8087"/>
    <cellStyle name="Milliers 3 4 2 2 2 5 2 2 2" xfId="16727"/>
    <cellStyle name="Milliers 3 4 2 2 2 5 2 3" xfId="12407"/>
    <cellStyle name="Milliers 3 4 2 2 2 5 3" xfId="5927"/>
    <cellStyle name="Milliers 3 4 2 2 2 5 3 2" xfId="14567"/>
    <cellStyle name="Milliers 3 4 2 2 2 5 4" xfId="10247"/>
    <cellStyle name="Milliers 3 4 2 2 2 6" xfId="2327"/>
    <cellStyle name="Milliers 3 4 2 2 2 6 2" xfId="6647"/>
    <cellStyle name="Milliers 3 4 2 2 2 6 2 2" xfId="15287"/>
    <cellStyle name="Milliers 3 4 2 2 2 6 3" xfId="10967"/>
    <cellStyle name="Milliers 3 4 2 2 2 7" xfId="4487"/>
    <cellStyle name="Milliers 3 4 2 2 2 7 2" xfId="13127"/>
    <cellStyle name="Milliers 3 4 2 2 2 8" xfId="8807"/>
    <cellStyle name="Milliers 3 4 2 2 3" xfId="257"/>
    <cellStyle name="Milliers 3 4 2 2 3 2" xfId="617"/>
    <cellStyle name="Milliers 3 4 2 2 3 2 2" xfId="1337"/>
    <cellStyle name="Milliers 3 4 2 2 3 2 2 2" xfId="3497"/>
    <cellStyle name="Milliers 3 4 2 2 3 2 2 2 2" xfId="7817"/>
    <cellStyle name="Milliers 3 4 2 2 3 2 2 2 2 2" xfId="16457"/>
    <cellStyle name="Milliers 3 4 2 2 3 2 2 2 3" xfId="12137"/>
    <cellStyle name="Milliers 3 4 2 2 3 2 2 3" xfId="5657"/>
    <cellStyle name="Milliers 3 4 2 2 3 2 2 3 2" xfId="14297"/>
    <cellStyle name="Milliers 3 4 2 2 3 2 2 4" xfId="9977"/>
    <cellStyle name="Milliers 3 4 2 2 3 2 3" xfId="2057"/>
    <cellStyle name="Milliers 3 4 2 2 3 2 3 2" xfId="4217"/>
    <cellStyle name="Milliers 3 4 2 2 3 2 3 2 2" xfId="8537"/>
    <cellStyle name="Milliers 3 4 2 2 3 2 3 2 2 2" xfId="17177"/>
    <cellStyle name="Milliers 3 4 2 2 3 2 3 2 3" xfId="12857"/>
    <cellStyle name="Milliers 3 4 2 2 3 2 3 3" xfId="6377"/>
    <cellStyle name="Milliers 3 4 2 2 3 2 3 3 2" xfId="15017"/>
    <cellStyle name="Milliers 3 4 2 2 3 2 3 4" xfId="10697"/>
    <cellStyle name="Milliers 3 4 2 2 3 2 4" xfId="2777"/>
    <cellStyle name="Milliers 3 4 2 2 3 2 4 2" xfId="7097"/>
    <cellStyle name="Milliers 3 4 2 2 3 2 4 2 2" xfId="15737"/>
    <cellStyle name="Milliers 3 4 2 2 3 2 4 3" xfId="11417"/>
    <cellStyle name="Milliers 3 4 2 2 3 2 5" xfId="4937"/>
    <cellStyle name="Milliers 3 4 2 2 3 2 5 2" xfId="13577"/>
    <cellStyle name="Milliers 3 4 2 2 3 2 6" xfId="9257"/>
    <cellStyle name="Milliers 3 4 2 2 3 3" xfId="977"/>
    <cellStyle name="Milliers 3 4 2 2 3 3 2" xfId="3137"/>
    <cellStyle name="Milliers 3 4 2 2 3 3 2 2" xfId="7457"/>
    <cellStyle name="Milliers 3 4 2 2 3 3 2 2 2" xfId="16097"/>
    <cellStyle name="Milliers 3 4 2 2 3 3 2 3" xfId="11777"/>
    <cellStyle name="Milliers 3 4 2 2 3 3 3" xfId="5297"/>
    <cellStyle name="Milliers 3 4 2 2 3 3 3 2" xfId="13937"/>
    <cellStyle name="Milliers 3 4 2 2 3 3 4" xfId="9617"/>
    <cellStyle name="Milliers 3 4 2 2 3 4" xfId="1697"/>
    <cellStyle name="Milliers 3 4 2 2 3 4 2" xfId="3857"/>
    <cellStyle name="Milliers 3 4 2 2 3 4 2 2" xfId="8177"/>
    <cellStyle name="Milliers 3 4 2 2 3 4 2 2 2" xfId="16817"/>
    <cellStyle name="Milliers 3 4 2 2 3 4 2 3" xfId="12497"/>
    <cellStyle name="Milliers 3 4 2 2 3 4 3" xfId="6017"/>
    <cellStyle name="Milliers 3 4 2 2 3 4 3 2" xfId="14657"/>
    <cellStyle name="Milliers 3 4 2 2 3 4 4" xfId="10337"/>
    <cellStyle name="Milliers 3 4 2 2 3 5" xfId="2417"/>
    <cellStyle name="Milliers 3 4 2 2 3 5 2" xfId="6737"/>
    <cellStyle name="Milliers 3 4 2 2 3 5 2 2" xfId="15377"/>
    <cellStyle name="Milliers 3 4 2 2 3 5 3" xfId="11057"/>
    <cellStyle name="Milliers 3 4 2 2 3 6" xfId="4577"/>
    <cellStyle name="Milliers 3 4 2 2 3 6 2" xfId="13217"/>
    <cellStyle name="Milliers 3 4 2 2 3 7" xfId="8897"/>
    <cellStyle name="Milliers 3 4 2 2 4" xfId="437"/>
    <cellStyle name="Milliers 3 4 2 2 4 2" xfId="1157"/>
    <cellStyle name="Milliers 3 4 2 2 4 2 2" xfId="3317"/>
    <cellStyle name="Milliers 3 4 2 2 4 2 2 2" xfId="7637"/>
    <cellStyle name="Milliers 3 4 2 2 4 2 2 2 2" xfId="16277"/>
    <cellStyle name="Milliers 3 4 2 2 4 2 2 3" xfId="11957"/>
    <cellStyle name="Milliers 3 4 2 2 4 2 3" xfId="5477"/>
    <cellStyle name="Milliers 3 4 2 2 4 2 3 2" xfId="14117"/>
    <cellStyle name="Milliers 3 4 2 2 4 2 4" xfId="9797"/>
    <cellStyle name="Milliers 3 4 2 2 4 3" xfId="1877"/>
    <cellStyle name="Milliers 3 4 2 2 4 3 2" xfId="4037"/>
    <cellStyle name="Milliers 3 4 2 2 4 3 2 2" xfId="8357"/>
    <cellStyle name="Milliers 3 4 2 2 4 3 2 2 2" xfId="16997"/>
    <cellStyle name="Milliers 3 4 2 2 4 3 2 3" xfId="12677"/>
    <cellStyle name="Milliers 3 4 2 2 4 3 3" xfId="6197"/>
    <cellStyle name="Milliers 3 4 2 2 4 3 3 2" xfId="14837"/>
    <cellStyle name="Milliers 3 4 2 2 4 3 4" xfId="10517"/>
    <cellStyle name="Milliers 3 4 2 2 4 4" xfId="2597"/>
    <cellStyle name="Milliers 3 4 2 2 4 4 2" xfId="6917"/>
    <cellStyle name="Milliers 3 4 2 2 4 4 2 2" xfId="15557"/>
    <cellStyle name="Milliers 3 4 2 2 4 4 3" xfId="11237"/>
    <cellStyle name="Milliers 3 4 2 2 4 5" xfId="4757"/>
    <cellStyle name="Milliers 3 4 2 2 4 5 2" xfId="13397"/>
    <cellStyle name="Milliers 3 4 2 2 4 6" xfId="9077"/>
    <cellStyle name="Milliers 3 4 2 2 5" xfId="797"/>
    <cellStyle name="Milliers 3 4 2 2 5 2" xfId="2957"/>
    <cellStyle name="Milliers 3 4 2 2 5 2 2" xfId="7277"/>
    <cellStyle name="Milliers 3 4 2 2 5 2 2 2" xfId="15917"/>
    <cellStyle name="Milliers 3 4 2 2 5 2 3" xfId="11597"/>
    <cellStyle name="Milliers 3 4 2 2 5 3" xfId="5117"/>
    <cellStyle name="Milliers 3 4 2 2 5 3 2" xfId="13757"/>
    <cellStyle name="Milliers 3 4 2 2 5 4" xfId="9437"/>
    <cellStyle name="Milliers 3 4 2 2 6" xfId="1517"/>
    <cellStyle name="Milliers 3 4 2 2 6 2" xfId="3677"/>
    <cellStyle name="Milliers 3 4 2 2 6 2 2" xfId="7997"/>
    <cellStyle name="Milliers 3 4 2 2 6 2 2 2" xfId="16637"/>
    <cellStyle name="Milliers 3 4 2 2 6 2 3" xfId="12317"/>
    <cellStyle name="Milliers 3 4 2 2 6 3" xfId="5837"/>
    <cellStyle name="Milliers 3 4 2 2 6 3 2" xfId="14477"/>
    <cellStyle name="Milliers 3 4 2 2 6 4" xfId="10157"/>
    <cellStyle name="Milliers 3 4 2 2 7" xfId="2237"/>
    <cellStyle name="Milliers 3 4 2 2 7 2" xfId="6557"/>
    <cellStyle name="Milliers 3 4 2 2 7 2 2" xfId="15197"/>
    <cellStyle name="Milliers 3 4 2 2 7 3" xfId="10877"/>
    <cellStyle name="Milliers 3 4 2 2 8" xfId="4397"/>
    <cellStyle name="Milliers 3 4 2 2 8 2" xfId="13037"/>
    <cellStyle name="Milliers 3 4 2 2 9" xfId="8717"/>
    <cellStyle name="Milliers 3 4 2 3" xfId="122"/>
    <cellStyle name="Milliers 3 4 2 3 2" xfId="302"/>
    <cellStyle name="Milliers 3 4 2 3 2 2" xfId="662"/>
    <cellStyle name="Milliers 3 4 2 3 2 2 2" xfId="1382"/>
    <cellStyle name="Milliers 3 4 2 3 2 2 2 2" xfId="3542"/>
    <cellStyle name="Milliers 3 4 2 3 2 2 2 2 2" xfId="7862"/>
    <cellStyle name="Milliers 3 4 2 3 2 2 2 2 2 2" xfId="16502"/>
    <cellStyle name="Milliers 3 4 2 3 2 2 2 2 3" xfId="12182"/>
    <cellStyle name="Milliers 3 4 2 3 2 2 2 3" xfId="5702"/>
    <cellStyle name="Milliers 3 4 2 3 2 2 2 3 2" xfId="14342"/>
    <cellStyle name="Milliers 3 4 2 3 2 2 2 4" xfId="10022"/>
    <cellStyle name="Milliers 3 4 2 3 2 2 3" xfId="2102"/>
    <cellStyle name="Milliers 3 4 2 3 2 2 3 2" xfId="4262"/>
    <cellStyle name="Milliers 3 4 2 3 2 2 3 2 2" xfId="8582"/>
    <cellStyle name="Milliers 3 4 2 3 2 2 3 2 2 2" xfId="17222"/>
    <cellStyle name="Milliers 3 4 2 3 2 2 3 2 3" xfId="12902"/>
    <cellStyle name="Milliers 3 4 2 3 2 2 3 3" xfId="6422"/>
    <cellStyle name="Milliers 3 4 2 3 2 2 3 3 2" xfId="15062"/>
    <cellStyle name="Milliers 3 4 2 3 2 2 3 4" xfId="10742"/>
    <cellStyle name="Milliers 3 4 2 3 2 2 4" xfId="2822"/>
    <cellStyle name="Milliers 3 4 2 3 2 2 4 2" xfId="7142"/>
    <cellStyle name="Milliers 3 4 2 3 2 2 4 2 2" xfId="15782"/>
    <cellStyle name="Milliers 3 4 2 3 2 2 4 3" xfId="11462"/>
    <cellStyle name="Milliers 3 4 2 3 2 2 5" xfId="4982"/>
    <cellStyle name="Milliers 3 4 2 3 2 2 5 2" xfId="13622"/>
    <cellStyle name="Milliers 3 4 2 3 2 2 6" xfId="9302"/>
    <cellStyle name="Milliers 3 4 2 3 2 3" xfId="1022"/>
    <cellStyle name="Milliers 3 4 2 3 2 3 2" xfId="3182"/>
    <cellStyle name="Milliers 3 4 2 3 2 3 2 2" xfId="7502"/>
    <cellStyle name="Milliers 3 4 2 3 2 3 2 2 2" xfId="16142"/>
    <cellStyle name="Milliers 3 4 2 3 2 3 2 3" xfId="11822"/>
    <cellStyle name="Milliers 3 4 2 3 2 3 3" xfId="5342"/>
    <cellStyle name="Milliers 3 4 2 3 2 3 3 2" xfId="13982"/>
    <cellStyle name="Milliers 3 4 2 3 2 3 4" xfId="9662"/>
    <cellStyle name="Milliers 3 4 2 3 2 4" xfId="1742"/>
    <cellStyle name="Milliers 3 4 2 3 2 4 2" xfId="3902"/>
    <cellStyle name="Milliers 3 4 2 3 2 4 2 2" xfId="8222"/>
    <cellStyle name="Milliers 3 4 2 3 2 4 2 2 2" xfId="16862"/>
    <cellStyle name="Milliers 3 4 2 3 2 4 2 3" xfId="12542"/>
    <cellStyle name="Milliers 3 4 2 3 2 4 3" xfId="6062"/>
    <cellStyle name="Milliers 3 4 2 3 2 4 3 2" xfId="14702"/>
    <cellStyle name="Milliers 3 4 2 3 2 4 4" xfId="10382"/>
    <cellStyle name="Milliers 3 4 2 3 2 5" xfId="2462"/>
    <cellStyle name="Milliers 3 4 2 3 2 5 2" xfId="6782"/>
    <cellStyle name="Milliers 3 4 2 3 2 5 2 2" xfId="15422"/>
    <cellStyle name="Milliers 3 4 2 3 2 5 3" xfId="11102"/>
    <cellStyle name="Milliers 3 4 2 3 2 6" xfId="4622"/>
    <cellStyle name="Milliers 3 4 2 3 2 6 2" xfId="13262"/>
    <cellStyle name="Milliers 3 4 2 3 2 7" xfId="8942"/>
    <cellStyle name="Milliers 3 4 2 3 3" xfId="482"/>
    <cellStyle name="Milliers 3 4 2 3 3 2" xfId="1202"/>
    <cellStyle name="Milliers 3 4 2 3 3 2 2" xfId="3362"/>
    <cellStyle name="Milliers 3 4 2 3 3 2 2 2" xfId="7682"/>
    <cellStyle name="Milliers 3 4 2 3 3 2 2 2 2" xfId="16322"/>
    <cellStyle name="Milliers 3 4 2 3 3 2 2 3" xfId="12002"/>
    <cellStyle name="Milliers 3 4 2 3 3 2 3" xfId="5522"/>
    <cellStyle name="Milliers 3 4 2 3 3 2 3 2" xfId="14162"/>
    <cellStyle name="Milliers 3 4 2 3 3 2 4" xfId="9842"/>
    <cellStyle name="Milliers 3 4 2 3 3 3" xfId="1922"/>
    <cellStyle name="Milliers 3 4 2 3 3 3 2" xfId="4082"/>
    <cellStyle name="Milliers 3 4 2 3 3 3 2 2" xfId="8402"/>
    <cellStyle name="Milliers 3 4 2 3 3 3 2 2 2" xfId="17042"/>
    <cellStyle name="Milliers 3 4 2 3 3 3 2 3" xfId="12722"/>
    <cellStyle name="Milliers 3 4 2 3 3 3 3" xfId="6242"/>
    <cellStyle name="Milliers 3 4 2 3 3 3 3 2" xfId="14882"/>
    <cellStyle name="Milliers 3 4 2 3 3 3 4" xfId="10562"/>
    <cellStyle name="Milliers 3 4 2 3 3 4" xfId="2642"/>
    <cellStyle name="Milliers 3 4 2 3 3 4 2" xfId="6962"/>
    <cellStyle name="Milliers 3 4 2 3 3 4 2 2" xfId="15602"/>
    <cellStyle name="Milliers 3 4 2 3 3 4 3" xfId="11282"/>
    <cellStyle name="Milliers 3 4 2 3 3 5" xfId="4802"/>
    <cellStyle name="Milliers 3 4 2 3 3 5 2" xfId="13442"/>
    <cellStyle name="Milliers 3 4 2 3 3 6" xfId="9122"/>
    <cellStyle name="Milliers 3 4 2 3 4" xfId="842"/>
    <cellStyle name="Milliers 3 4 2 3 4 2" xfId="3002"/>
    <cellStyle name="Milliers 3 4 2 3 4 2 2" xfId="7322"/>
    <cellStyle name="Milliers 3 4 2 3 4 2 2 2" xfId="15962"/>
    <cellStyle name="Milliers 3 4 2 3 4 2 3" xfId="11642"/>
    <cellStyle name="Milliers 3 4 2 3 4 3" xfId="5162"/>
    <cellStyle name="Milliers 3 4 2 3 4 3 2" xfId="13802"/>
    <cellStyle name="Milliers 3 4 2 3 4 4" xfId="9482"/>
    <cellStyle name="Milliers 3 4 2 3 5" xfId="1562"/>
    <cellStyle name="Milliers 3 4 2 3 5 2" xfId="3722"/>
    <cellStyle name="Milliers 3 4 2 3 5 2 2" xfId="8042"/>
    <cellStyle name="Milliers 3 4 2 3 5 2 2 2" xfId="16682"/>
    <cellStyle name="Milliers 3 4 2 3 5 2 3" xfId="12362"/>
    <cellStyle name="Milliers 3 4 2 3 5 3" xfId="5882"/>
    <cellStyle name="Milliers 3 4 2 3 5 3 2" xfId="14522"/>
    <cellStyle name="Milliers 3 4 2 3 5 4" xfId="10202"/>
    <cellStyle name="Milliers 3 4 2 3 6" xfId="2282"/>
    <cellStyle name="Milliers 3 4 2 3 6 2" xfId="6602"/>
    <cellStyle name="Milliers 3 4 2 3 6 2 2" xfId="15242"/>
    <cellStyle name="Milliers 3 4 2 3 6 3" xfId="10922"/>
    <cellStyle name="Milliers 3 4 2 3 7" xfId="4442"/>
    <cellStyle name="Milliers 3 4 2 3 7 2" xfId="13082"/>
    <cellStyle name="Milliers 3 4 2 3 8" xfId="8762"/>
    <cellStyle name="Milliers 3 4 2 4" xfId="212"/>
    <cellStyle name="Milliers 3 4 2 4 2" xfId="572"/>
    <cellStyle name="Milliers 3 4 2 4 2 2" xfId="1292"/>
    <cellStyle name="Milliers 3 4 2 4 2 2 2" xfId="3452"/>
    <cellStyle name="Milliers 3 4 2 4 2 2 2 2" xfId="7772"/>
    <cellStyle name="Milliers 3 4 2 4 2 2 2 2 2" xfId="16412"/>
    <cellStyle name="Milliers 3 4 2 4 2 2 2 3" xfId="12092"/>
    <cellStyle name="Milliers 3 4 2 4 2 2 3" xfId="5612"/>
    <cellStyle name="Milliers 3 4 2 4 2 2 3 2" xfId="14252"/>
    <cellStyle name="Milliers 3 4 2 4 2 2 4" xfId="9932"/>
    <cellStyle name="Milliers 3 4 2 4 2 3" xfId="2012"/>
    <cellStyle name="Milliers 3 4 2 4 2 3 2" xfId="4172"/>
    <cellStyle name="Milliers 3 4 2 4 2 3 2 2" xfId="8492"/>
    <cellStyle name="Milliers 3 4 2 4 2 3 2 2 2" xfId="17132"/>
    <cellStyle name="Milliers 3 4 2 4 2 3 2 3" xfId="12812"/>
    <cellStyle name="Milliers 3 4 2 4 2 3 3" xfId="6332"/>
    <cellStyle name="Milliers 3 4 2 4 2 3 3 2" xfId="14972"/>
    <cellStyle name="Milliers 3 4 2 4 2 3 4" xfId="10652"/>
    <cellStyle name="Milliers 3 4 2 4 2 4" xfId="2732"/>
    <cellStyle name="Milliers 3 4 2 4 2 4 2" xfId="7052"/>
    <cellStyle name="Milliers 3 4 2 4 2 4 2 2" xfId="15692"/>
    <cellStyle name="Milliers 3 4 2 4 2 4 3" xfId="11372"/>
    <cellStyle name="Milliers 3 4 2 4 2 5" xfId="4892"/>
    <cellStyle name="Milliers 3 4 2 4 2 5 2" xfId="13532"/>
    <cellStyle name="Milliers 3 4 2 4 2 6" xfId="9212"/>
    <cellStyle name="Milliers 3 4 2 4 3" xfId="932"/>
    <cellStyle name="Milliers 3 4 2 4 3 2" xfId="3092"/>
    <cellStyle name="Milliers 3 4 2 4 3 2 2" xfId="7412"/>
    <cellStyle name="Milliers 3 4 2 4 3 2 2 2" xfId="16052"/>
    <cellStyle name="Milliers 3 4 2 4 3 2 3" xfId="11732"/>
    <cellStyle name="Milliers 3 4 2 4 3 3" xfId="5252"/>
    <cellStyle name="Milliers 3 4 2 4 3 3 2" xfId="13892"/>
    <cellStyle name="Milliers 3 4 2 4 3 4" xfId="9572"/>
    <cellStyle name="Milliers 3 4 2 4 4" xfId="1652"/>
    <cellStyle name="Milliers 3 4 2 4 4 2" xfId="3812"/>
    <cellStyle name="Milliers 3 4 2 4 4 2 2" xfId="8132"/>
    <cellStyle name="Milliers 3 4 2 4 4 2 2 2" xfId="16772"/>
    <cellStyle name="Milliers 3 4 2 4 4 2 3" xfId="12452"/>
    <cellStyle name="Milliers 3 4 2 4 4 3" xfId="5972"/>
    <cellStyle name="Milliers 3 4 2 4 4 3 2" xfId="14612"/>
    <cellStyle name="Milliers 3 4 2 4 4 4" xfId="10292"/>
    <cellStyle name="Milliers 3 4 2 4 5" xfId="2372"/>
    <cellStyle name="Milliers 3 4 2 4 5 2" xfId="6692"/>
    <cellStyle name="Milliers 3 4 2 4 5 2 2" xfId="15332"/>
    <cellStyle name="Milliers 3 4 2 4 5 3" xfId="11012"/>
    <cellStyle name="Milliers 3 4 2 4 6" xfId="4532"/>
    <cellStyle name="Milliers 3 4 2 4 6 2" xfId="13172"/>
    <cellStyle name="Milliers 3 4 2 4 7" xfId="8852"/>
    <cellStyle name="Milliers 3 4 2 5" xfId="392"/>
    <cellStyle name="Milliers 3 4 2 5 2" xfId="1112"/>
    <cellStyle name="Milliers 3 4 2 5 2 2" xfId="3272"/>
    <cellStyle name="Milliers 3 4 2 5 2 2 2" xfId="7592"/>
    <cellStyle name="Milliers 3 4 2 5 2 2 2 2" xfId="16232"/>
    <cellStyle name="Milliers 3 4 2 5 2 2 3" xfId="11912"/>
    <cellStyle name="Milliers 3 4 2 5 2 3" xfId="5432"/>
    <cellStyle name="Milliers 3 4 2 5 2 3 2" xfId="14072"/>
    <cellStyle name="Milliers 3 4 2 5 2 4" xfId="9752"/>
    <cellStyle name="Milliers 3 4 2 5 3" xfId="1832"/>
    <cellStyle name="Milliers 3 4 2 5 3 2" xfId="3992"/>
    <cellStyle name="Milliers 3 4 2 5 3 2 2" xfId="8312"/>
    <cellStyle name="Milliers 3 4 2 5 3 2 2 2" xfId="16952"/>
    <cellStyle name="Milliers 3 4 2 5 3 2 3" xfId="12632"/>
    <cellStyle name="Milliers 3 4 2 5 3 3" xfId="6152"/>
    <cellStyle name="Milliers 3 4 2 5 3 3 2" xfId="14792"/>
    <cellStyle name="Milliers 3 4 2 5 3 4" xfId="10472"/>
    <cellStyle name="Milliers 3 4 2 5 4" xfId="2552"/>
    <cellStyle name="Milliers 3 4 2 5 4 2" xfId="6872"/>
    <cellStyle name="Milliers 3 4 2 5 4 2 2" xfId="15512"/>
    <cellStyle name="Milliers 3 4 2 5 4 3" xfId="11192"/>
    <cellStyle name="Milliers 3 4 2 5 5" xfId="4712"/>
    <cellStyle name="Milliers 3 4 2 5 5 2" xfId="13352"/>
    <cellStyle name="Milliers 3 4 2 5 6" xfId="9032"/>
    <cellStyle name="Milliers 3 4 2 6" xfId="752"/>
    <cellStyle name="Milliers 3 4 2 6 2" xfId="2912"/>
    <cellStyle name="Milliers 3 4 2 6 2 2" xfId="7232"/>
    <cellStyle name="Milliers 3 4 2 6 2 2 2" xfId="15872"/>
    <cellStyle name="Milliers 3 4 2 6 2 3" xfId="11552"/>
    <cellStyle name="Milliers 3 4 2 6 3" xfId="5072"/>
    <cellStyle name="Milliers 3 4 2 6 3 2" xfId="13712"/>
    <cellStyle name="Milliers 3 4 2 6 4" xfId="9392"/>
    <cellStyle name="Milliers 3 4 2 7" xfId="1472"/>
    <cellStyle name="Milliers 3 4 2 7 2" xfId="3632"/>
    <cellStyle name="Milliers 3 4 2 7 2 2" xfId="7952"/>
    <cellStyle name="Milliers 3 4 2 7 2 2 2" xfId="16592"/>
    <cellStyle name="Milliers 3 4 2 7 2 3" xfId="12272"/>
    <cellStyle name="Milliers 3 4 2 7 3" xfId="5792"/>
    <cellStyle name="Milliers 3 4 2 7 3 2" xfId="14432"/>
    <cellStyle name="Milliers 3 4 2 7 4" xfId="10112"/>
    <cellStyle name="Milliers 3 4 2 8" xfId="2192"/>
    <cellStyle name="Milliers 3 4 2 8 2" xfId="6512"/>
    <cellStyle name="Milliers 3 4 2 8 2 2" xfId="15152"/>
    <cellStyle name="Milliers 3 4 2 8 3" xfId="10832"/>
    <cellStyle name="Milliers 3 4 2 9" xfId="4352"/>
    <cellStyle name="Milliers 3 4 2 9 2" xfId="12992"/>
    <cellStyle name="Milliers 3 4 3" xfId="47"/>
    <cellStyle name="Milliers 3 4 3 10" xfId="8687"/>
    <cellStyle name="Milliers 3 4 3 2" xfId="92"/>
    <cellStyle name="Milliers 3 4 3 2 2" xfId="182"/>
    <cellStyle name="Milliers 3 4 3 2 2 2" xfId="362"/>
    <cellStyle name="Milliers 3 4 3 2 2 2 2" xfId="722"/>
    <cellStyle name="Milliers 3 4 3 2 2 2 2 2" xfId="1442"/>
    <cellStyle name="Milliers 3 4 3 2 2 2 2 2 2" xfId="3602"/>
    <cellStyle name="Milliers 3 4 3 2 2 2 2 2 2 2" xfId="7922"/>
    <cellStyle name="Milliers 3 4 3 2 2 2 2 2 2 2 2" xfId="16562"/>
    <cellStyle name="Milliers 3 4 3 2 2 2 2 2 2 3" xfId="12242"/>
    <cellStyle name="Milliers 3 4 3 2 2 2 2 2 3" xfId="5762"/>
    <cellStyle name="Milliers 3 4 3 2 2 2 2 2 3 2" xfId="14402"/>
    <cellStyle name="Milliers 3 4 3 2 2 2 2 2 4" xfId="10082"/>
    <cellStyle name="Milliers 3 4 3 2 2 2 2 3" xfId="2162"/>
    <cellStyle name="Milliers 3 4 3 2 2 2 2 3 2" xfId="4322"/>
    <cellStyle name="Milliers 3 4 3 2 2 2 2 3 2 2" xfId="8642"/>
    <cellStyle name="Milliers 3 4 3 2 2 2 2 3 2 2 2" xfId="17282"/>
    <cellStyle name="Milliers 3 4 3 2 2 2 2 3 2 3" xfId="12962"/>
    <cellStyle name="Milliers 3 4 3 2 2 2 2 3 3" xfId="6482"/>
    <cellStyle name="Milliers 3 4 3 2 2 2 2 3 3 2" xfId="15122"/>
    <cellStyle name="Milliers 3 4 3 2 2 2 2 3 4" xfId="10802"/>
    <cellStyle name="Milliers 3 4 3 2 2 2 2 4" xfId="2882"/>
    <cellStyle name="Milliers 3 4 3 2 2 2 2 4 2" xfId="7202"/>
    <cellStyle name="Milliers 3 4 3 2 2 2 2 4 2 2" xfId="15842"/>
    <cellStyle name="Milliers 3 4 3 2 2 2 2 4 3" xfId="11522"/>
    <cellStyle name="Milliers 3 4 3 2 2 2 2 5" xfId="5042"/>
    <cellStyle name="Milliers 3 4 3 2 2 2 2 5 2" xfId="13682"/>
    <cellStyle name="Milliers 3 4 3 2 2 2 2 6" xfId="9362"/>
    <cellStyle name="Milliers 3 4 3 2 2 2 3" xfId="1082"/>
    <cellStyle name="Milliers 3 4 3 2 2 2 3 2" xfId="3242"/>
    <cellStyle name="Milliers 3 4 3 2 2 2 3 2 2" xfId="7562"/>
    <cellStyle name="Milliers 3 4 3 2 2 2 3 2 2 2" xfId="16202"/>
    <cellStyle name="Milliers 3 4 3 2 2 2 3 2 3" xfId="11882"/>
    <cellStyle name="Milliers 3 4 3 2 2 2 3 3" xfId="5402"/>
    <cellStyle name="Milliers 3 4 3 2 2 2 3 3 2" xfId="14042"/>
    <cellStyle name="Milliers 3 4 3 2 2 2 3 4" xfId="9722"/>
    <cellStyle name="Milliers 3 4 3 2 2 2 4" xfId="1802"/>
    <cellStyle name="Milliers 3 4 3 2 2 2 4 2" xfId="3962"/>
    <cellStyle name="Milliers 3 4 3 2 2 2 4 2 2" xfId="8282"/>
    <cellStyle name="Milliers 3 4 3 2 2 2 4 2 2 2" xfId="16922"/>
    <cellStyle name="Milliers 3 4 3 2 2 2 4 2 3" xfId="12602"/>
    <cellStyle name="Milliers 3 4 3 2 2 2 4 3" xfId="6122"/>
    <cellStyle name="Milliers 3 4 3 2 2 2 4 3 2" xfId="14762"/>
    <cellStyle name="Milliers 3 4 3 2 2 2 4 4" xfId="10442"/>
    <cellStyle name="Milliers 3 4 3 2 2 2 5" xfId="2522"/>
    <cellStyle name="Milliers 3 4 3 2 2 2 5 2" xfId="6842"/>
    <cellStyle name="Milliers 3 4 3 2 2 2 5 2 2" xfId="15482"/>
    <cellStyle name="Milliers 3 4 3 2 2 2 5 3" xfId="11162"/>
    <cellStyle name="Milliers 3 4 3 2 2 2 6" xfId="4682"/>
    <cellStyle name="Milliers 3 4 3 2 2 2 6 2" xfId="13322"/>
    <cellStyle name="Milliers 3 4 3 2 2 2 7" xfId="9002"/>
    <cellStyle name="Milliers 3 4 3 2 2 3" xfId="542"/>
    <cellStyle name="Milliers 3 4 3 2 2 3 2" xfId="1262"/>
    <cellStyle name="Milliers 3 4 3 2 2 3 2 2" xfId="3422"/>
    <cellStyle name="Milliers 3 4 3 2 2 3 2 2 2" xfId="7742"/>
    <cellStyle name="Milliers 3 4 3 2 2 3 2 2 2 2" xfId="16382"/>
    <cellStyle name="Milliers 3 4 3 2 2 3 2 2 3" xfId="12062"/>
    <cellStyle name="Milliers 3 4 3 2 2 3 2 3" xfId="5582"/>
    <cellStyle name="Milliers 3 4 3 2 2 3 2 3 2" xfId="14222"/>
    <cellStyle name="Milliers 3 4 3 2 2 3 2 4" xfId="9902"/>
    <cellStyle name="Milliers 3 4 3 2 2 3 3" xfId="1982"/>
    <cellStyle name="Milliers 3 4 3 2 2 3 3 2" xfId="4142"/>
    <cellStyle name="Milliers 3 4 3 2 2 3 3 2 2" xfId="8462"/>
    <cellStyle name="Milliers 3 4 3 2 2 3 3 2 2 2" xfId="17102"/>
    <cellStyle name="Milliers 3 4 3 2 2 3 3 2 3" xfId="12782"/>
    <cellStyle name="Milliers 3 4 3 2 2 3 3 3" xfId="6302"/>
    <cellStyle name="Milliers 3 4 3 2 2 3 3 3 2" xfId="14942"/>
    <cellStyle name="Milliers 3 4 3 2 2 3 3 4" xfId="10622"/>
    <cellStyle name="Milliers 3 4 3 2 2 3 4" xfId="2702"/>
    <cellStyle name="Milliers 3 4 3 2 2 3 4 2" xfId="7022"/>
    <cellStyle name="Milliers 3 4 3 2 2 3 4 2 2" xfId="15662"/>
    <cellStyle name="Milliers 3 4 3 2 2 3 4 3" xfId="11342"/>
    <cellStyle name="Milliers 3 4 3 2 2 3 5" xfId="4862"/>
    <cellStyle name="Milliers 3 4 3 2 2 3 5 2" xfId="13502"/>
    <cellStyle name="Milliers 3 4 3 2 2 3 6" xfId="9182"/>
    <cellStyle name="Milliers 3 4 3 2 2 4" xfId="902"/>
    <cellStyle name="Milliers 3 4 3 2 2 4 2" xfId="3062"/>
    <cellStyle name="Milliers 3 4 3 2 2 4 2 2" xfId="7382"/>
    <cellStyle name="Milliers 3 4 3 2 2 4 2 2 2" xfId="16022"/>
    <cellStyle name="Milliers 3 4 3 2 2 4 2 3" xfId="11702"/>
    <cellStyle name="Milliers 3 4 3 2 2 4 3" xfId="5222"/>
    <cellStyle name="Milliers 3 4 3 2 2 4 3 2" xfId="13862"/>
    <cellStyle name="Milliers 3 4 3 2 2 4 4" xfId="9542"/>
    <cellStyle name="Milliers 3 4 3 2 2 5" xfId="1622"/>
    <cellStyle name="Milliers 3 4 3 2 2 5 2" xfId="3782"/>
    <cellStyle name="Milliers 3 4 3 2 2 5 2 2" xfId="8102"/>
    <cellStyle name="Milliers 3 4 3 2 2 5 2 2 2" xfId="16742"/>
    <cellStyle name="Milliers 3 4 3 2 2 5 2 3" xfId="12422"/>
    <cellStyle name="Milliers 3 4 3 2 2 5 3" xfId="5942"/>
    <cellStyle name="Milliers 3 4 3 2 2 5 3 2" xfId="14582"/>
    <cellStyle name="Milliers 3 4 3 2 2 5 4" xfId="10262"/>
    <cellStyle name="Milliers 3 4 3 2 2 6" xfId="2342"/>
    <cellStyle name="Milliers 3 4 3 2 2 6 2" xfId="6662"/>
    <cellStyle name="Milliers 3 4 3 2 2 6 2 2" xfId="15302"/>
    <cellStyle name="Milliers 3 4 3 2 2 6 3" xfId="10982"/>
    <cellStyle name="Milliers 3 4 3 2 2 7" xfId="4502"/>
    <cellStyle name="Milliers 3 4 3 2 2 7 2" xfId="13142"/>
    <cellStyle name="Milliers 3 4 3 2 2 8" xfId="8822"/>
    <cellStyle name="Milliers 3 4 3 2 3" xfId="272"/>
    <cellStyle name="Milliers 3 4 3 2 3 2" xfId="632"/>
    <cellStyle name="Milliers 3 4 3 2 3 2 2" xfId="1352"/>
    <cellStyle name="Milliers 3 4 3 2 3 2 2 2" xfId="3512"/>
    <cellStyle name="Milliers 3 4 3 2 3 2 2 2 2" xfId="7832"/>
    <cellStyle name="Milliers 3 4 3 2 3 2 2 2 2 2" xfId="16472"/>
    <cellStyle name="Milliers 3 4 3 2 3 2 2 2 3" xfId="12152"/>
    <cellStyle name="Milliers 3 4 3 2 3 2 2 3" xfId="5672"/>
    <cellStyle name="Milliers 3 4 3 2 3 2 2 3 2" xfId="14312"/>
    <cellStyle name="Milliers 3 4 3 2 3 2 2 4" xfId="9992"/>
    <cellStyle name="Milliers 3 4 3 2 3 2 3" xfId="2072"/>
    <cellStyle name="Milliers 3 4 3 2 3 2 3 2" xfId="4232"/>
    <cellStyle name="Milliers 3 4 3 2 3 2 3 2 2" xfId="8552"/>
    <cellStyle name="Milliers 3 4 3 2 3 2 3 2 2 2" xfId="17192"/>
    <cellStyle name="Milliers 3 4 3 2 3 2 3 2 3" xfId="12872"/>
    <cellStyle name="Milliers 3 4 3 2 3 2 3 3" xfId="6392"/>
    <cellStyle name="Milliers 3 4 3 2 3 2 3 3 2" xfId="15032"/>
    <cellStyle name="Milliers 3 4 3 2 3 2 3 4" xfId="10712"/>
    <cellStyle name="Milliers 3 4 3 2 3 2 4" xfId="2792"/>
    <cellStyle name="Milliers 3 4 3 2 3 2 4 2" xfId="7112"/>
    <cellStyle name="Milliers 3 4 3 2 3 2 4 2 2" xfId="15752"/>
    <cellStyle name="Milliers 3 4 3 2 3 2 4 3" xfId="11432"/>
    <cellStyle name="Milliers 3 4 3 2 3 2 5" xfId="4952"/>
    <cellStyle name="Milliers 3 4 3 2 3 2 5 2" xfId="13592"/>
    <cellStyle name="Milliers 3 4 3 2 3 2 6" xfId="9272"/>
    <cellStyle name="Milliers 3 4 3 2 3 3" xfId="992"/>
    <cellStyle name="Milliers 3 4 3 2 3 3 2" xfId="3152"/>
    <cellStyle name="Milliers 3 4 3 2 3 3 2 2" xfId="7472"/>
    <cellStyle name="Milliers 3 4 3 2 3 3 2 2 2" xfId="16112"/>
    <cellStyle name="Milliers 3 4 3 2 3 3 2 3" xfId="11792"/>
    <cellStyle name="Milliers 3 4 3 2 3 3 3" xfId="5312"/>
    <cellStyle name="Milliers 3 4 3 2 3 3 3 2" xfId="13952"/>
    <cellStyle name="Milliers 3 4 3 2 3 3 4" xfId="9632"/>
    <cellStyle name="Milliers 3 4 3 2 3 4" xfId="1712"/>
    <cellStyle name="Milliers 3 4 3 2 3 4 2" xfId="3872"/>
    <cellStyle name="Milliers 3 4 3 2 3 4 2 2" xfId="8192"/>
    <cellStyle name="Milliers 3 4 3 2 3 4 2 2 2" xfId="16832"/>
    <cellStyle name="Milliers 3 4 3 2 3 4 2 3" xfId="12512"/>
    <cellStyle name="Milliers 3 4 3 2 3 4 3" xfId="6032"/>
    <cellStyle name="Milliers 3 4 3 2 3 4 3 2" xfId="14672"/>
    <cellStyle name="Milliers 3 4 3 2 3 4 4" xfId="10352"/>
    <cellStyle name="Milliers 3 4 3 2 3 5" xfId="2432"/>
    <cellStyle name="Milliers 3 4 3 2 3 5 2" xfId="6752"/>
    <cellStyle name="Milliers 3 4 3 2 3 5 2 2" xfId="15392"/>
    <cellStyle name="Milliers 3 4 3 2 3 5 3" xfId="11072"/>
    <cellStyle name="Milliers 3 4 3 2 3 6" xfId="4592"/>
    <cellStyle name="Milliers 3 4 3 2 3 6 2" xfId="13232"/>
    <cellStyle name="Milliers 3 4 3 2 3 7" xfId="8912"/>
    <cellStyle name="Milliers 3 4 3 2 4" xfId="452"/>
    <cellStyle name="Milliers 3 4 3 2 4 2" xfId="1172"/>
    <cellStyle name="Milliers 3 4 3 2 4 2 2" xfId="3332"/>
    <cellStyle name="Milliers 3 4 3 2 4 2 2 2" xfId="7652"/>
    <cellStyle name="Milliers 3 4 3 2 4 2 2 2 2" xfId="16292"/>
    <cellStyle name="Milliers 3 4 3 2 4 2 2 3" xfId="11972"/>
    <cellStyle name="Milliers 3 4 3 2 4 2 3" xfId="5492"/>
    <cellStyle name="Milliers 3 4 3 2 4 2 3 2" xfId="14132"/>
    <cellStyle name="Milliers 3 4 3 2 4 2 4" xfId="9812"/>
    <cellStyle name="Milliers 3 4 3 2 4 3" xfId="1892"/>
    <cellStyle name="Milliers 3 4 3 2 4 3 2" xfId="4052"/>
    <cellStyle name="Milliers 3 4 3 2 4 3 2 2" xfId="8372"/>
    <cellStyle name="Milliers 3 4 3 2 4 3 2 2 2" xfId="17012"/>
    <cellStyle name="Milliers 3 4 3 2 4 3 2 3" xfId="12692"/>
    <cellStyle name="Milliers 3 4 3 2 4 3 3" xfId="6212"/>
    <cellStyle name="Milliers 3 4 3 2 4 3 3 2" xfId="14852"/>
    <cellStyle name="Milliers 3 4 3 2 4 3 4" xfId="10532"/>
    <cellStyle name="Milliers 3 4 3 2 4 4" xfId="2612"/>
    <cellStyle name="Milliers 3 4 3 2 4 4 2" xfId="6932"/>
    <cellStyle name="Milliers 3 4 3 2 4 4 2 2" xfId="15572"/>
    <cellStyle name="Milliers 3 4 3 2 4 4 3" xfId="11252"/>
    <cellStyle name="Milliers 3 4 3 2 4 5" xfId="4772"/>
    <cellStyle name="Milliers 3 4 3 2 4 5 2" xfId="13412"/>
    <cellStyle name="Milliers 3 4 3 2 4 6" xfId="9092"/>
    <cellStyle name="Milliers 3 4 3 2 5" xfId="812"/>
    <cellStyle name="Milliers 3 4 3 2 5 2" xfId="2972"/>
    <cellStyle name="Milliers 3 4 3 2 5 2 2" xfId="7292"/>
    <cellStyle name="Milliers 3 4 3 2 5 2 2 2" xfId="15932"/>
    <cellStyle name="Milliers 3 4 3 2 5 2 3" xfId="11612"/>
    <cellStyle name="Milliers 3 4 3 2 5 3" xfId="5132"/>
    <cellStyle name="Milliers 3 4 3 2 5 3 2" xfId="13772"/>
    <cellStyle name="Milliers 3 4 3 2 5 4" xfId="9452"/>
    <cellStyle name="Milliers 3 4 3 2 6" xfId="1532"/>
    <cellStyle name="Milliers 3 4 3 2 6 2" xfId="3692"/>
    <cellStyle name="Milliers 3 4 3 2 6 2 2" xfId="8012"/>
    <cellStyle name="Milliers 3 4 3 2 6 2 2 2" xfId="16652"/>
    <cellStyle name="Milliers 3 4 3 2 6 2 3" xfId="12332"/>
    <cellStyle name="Milliers 3 4 3 2 6 3" xfId="5852"/>
    <cellStyle name="Milliers 3 4 3 2 6 3 2" xfId="14492"/>
    <cellStyle name="Milliers 3 4 3 2 6 4" xfId="10172"/>
    <cellStyle name="Milliers 3 4 3 2 7" xfId="2252"/>
    <cellStyle name="Milliers 3 4 3 2 7 2" xfId="6572"/>
    <cellStyle name="Milliers 3 4 3 2 7 2 2" xfId="15212"/>
    <cellStyle name="Milliers 3 4 3 2 7 3" xfId="10892"/>
    <cellStyle name="Milliers 3 4 3 2 8" xfId="4412"/>
    <cellStyle name="Milliers 3 4 3 2 8 2" xfId="13052"/>
    <cellStyle name="Milliers 3 4 3 2 9" xfId="8732"/>
    <cellStyle name="Milliers 3 4 3 3" xfId="137"/>
    <cellStyle name="Milliers 3 4 3 3 2" xfId="317"/>
    <cellStyle name="Milliers 3 4 3 3 2 2" xfId="677"/>
    <cellStyle name="Milliers 3 4 3 3 2 2 2" xfId="1397"/>
    <cellStyle name="Milliers 3 4 3 3 2 2 2 2" xfId="3557"/>
    <cellStyle name="Milliers 3 4 3 3 2 2 2 2 2" xfId="7877"/>
    <cellStyle name="Milliers 3 4 3 3 2 2 2 2 2 2" xfId="16517"/>
    <cellStyle name="Milliers 3 4 3 3 2 2 2 2 3" xfId="12197"/>
    <cellStyle name="Milliers 3 4 3 3 2 2 2 3" xfId="5717"/>
    <cellStyle name="Milliers 3 4 3 3 2 2 2 3 2" xfId="14357"/>
    <cellStyle name="Milliers 3 4 3 3 2 2 2 4" xfId="10037"/>
    <cellStyle name="Milliers 3 4 3 3 2 2 3" xfId="2117"/>
    <cellStyle name="Milliers 3 4 3 3 2 2 3 2" xfId="4277"/>
    <cellStyle name="Milliers 3 4 3 3 2 2 3 2 2" xfId="8597"/>
    <cellStyle name="Milliers 3 4 3 3 2 2 3 2 2 2" xfId="17237"/>
    <cellStyle name="Milliers 3 4 3 3 2 2 3 2 3" xfId="12917"/>
    <cellStyle name="Milliers 3 4 3 3 2 2 3 3" xfId="6437"/>
    <cellStyle name="Milliers 3 4 3 3 2 2 3 3 2" xfId="15077"/>
    <cellStyle name="Milliers 3 4 3 3 2 2 3 4" xfId="10757"/>
    <cellStyle name="Milliers 3 4 3 3 2 2 4" xfId="2837"/>
    <cellStyle name="Milliers 3 4 3 3 2 2 4 2" xfId="7157"/>
    <cellStyle name="Milliers 3 4 3 3 2 2 4 2 2" xfId="15797"/>
    <cellStyle name="Milliers 3 4 3 3 2 2 4 3" xfId="11477"/>
    <cellStyle name="Milliers 3 4 3 3 2 2 5" xfId="4997"/>
    <cellStyle name="Milliers 3 4 3 3 2 2 5 2" xfId="13637"/>
    <cellStyle name="Milliers 3 4 3 3 2 2 6" xfId="9317"/>
    <cellStyle name="Milliers 3 4 3 3 2 3" xfId="1037"/>
    <cellStyle name="Milliers 3 4 3 3 2 3 2" xfId="3197"/>
    <cellStyle name="Milliers 3 4 3 3 2 3 2 2" xfId="7517"/>
    <cellStyle name="Milliers 3 4 3 3 2 3 2 2 2" xfId="16157"/>
    <cellStyle name="Milliers 3 4 3 3 2 3 2 3" xfId="11837"/>
    <cellStyle name="Milliers 3 4 3 3 2 3 3" xfId="5357"/>
    <cellStyle name="Milliers 3 4 3 3 2 3 3 2" xfId="13997"/>
    <cellStyle name="Milliers 3 4 3 3 2 3 4" xfId="9677"/>
    <cellStyle name="Milliers 3 4 3 3 2 4" xfId="1757"/>
    <cellStyle name="Milliers 3 4 3 3 2 4 2" xfId="3917"/>
    <cellStyle name="Milliers 3 4 3 3 2 4 2 2" xfId="8237"/>
    <cellStyle name="Milliers 3 4 3 3 2 4 2 2 2" xfId="16877"/>
    <cellStyle name="Milliers 3 4 3 3 2 4 2 3" xfId="12557"/>
    <cellStyle name="Milliers 3 4 3 3 2 4 3" xfId="6077"/>
    <cellStyle name="Milliers 3 4 3 3 2 4 3 2" xfId="14717"/>
    <cellStyle name="Milliers 3 4 3 3 2 4 4" xfId="10397"/>
    <cellStyle name="Milliers 3 4 3 3 2 5" xfId="2477"/>
    <cellStyle name="Milliers 3 4 3 3 2 5 2" xfId="6797"/>
    <cellStyle name="Milliers 3 4 3 3 2 5 2 2" xfId="15437"/>
    <cellStyle name="Milliers 3 4 3 3 2 5 3" xfId="11117"/>
    <cellStyle name="Milliers 3 4 3 3 2 6" xfId="4637"/>
    <cellStyle name="Milliers 3 4 3 3 2 6 2" xfId="13277"/>
    <cellStyle name="Milliers 3 4 3 3 2 7" xfId="8957"/>
    <cellStyle name="Milliers 3 4 3 3 3" xfId="497"/>
    <cellStyle name="Milliers 3 4 3 3 3 2" xfId="1217"/>
    <cellStyle name="Milliers 3 4 3 3 3 2 2" xfId="3377"/>
    <cellStyle name="Milliers 3 4 3 3 3 2 2 2" xfId="7697"/>
    <cellStyle name="Milliers 3 4 3 3 3 2 2 2 2" xfId="16337"/>
    <cellStyle name="Milliers 3 4 3 3 3 2 2 3" xfId="12017"/>
    <cellStyle name="Milliers 3 4 3 3 3 2 3" xfId="5537"/>
    <cellStyle name="Milliers 3 4 3 3 3 2 3 2" xfId="14177"/>
    <cellStyle name="Milliers 3 4 3 3 3 2 4" xfId="9857"/>
    <cellStyle name="Milliers 3 4 3 3 3 3" xfId="1937"/>
    <cellStyle name="Milliers 3 4 3 3 3 3 2" xfId="4097"/>
    <cellStyle name="Milliers 3 4 3 3 3 3 2 2" xfId="8417"/>
    <cellStyle name="Milliers 3 4 3 3 3 3 2 2 2" xfId="17057"/>
    <cellStyle name="Milliers 3 4 3 3 3 3 2 3" xfId="12737"/>
    <cellStyle name="Milliers 3 4 3 3 3 3 3" xfId="6257"/>
    <cellStyle name="Milliers 3 4 3 3 3 3 3 2" xfId="14897"/>
    <cellStyle name="Milliers 3 4 3 3 3 3 4" xfId="10577"/>
    <cellStyle name="Milliers 3 4 3 3 3 4" xfId="2657"/>
    <cellStyle name="Milliers 3 4 3 3 3 4 2" xfId="6977"/>
    <cellStyle name="Milliers 3 4 3 3 3 4 2 2" xfId="15617"/>
    <cellStyle name="Milliers 3 4 3 3 3 4 3" xfId="11297"/>
    <cellStyle name="Milliers 3 4 3 3 3 5" xfId="4817"/>
    <cellStyle name="Milliers 3 4 3 3 3 5 2" xfId="13457"/>
    <cellStyle name="Milliers 3 4 3 3 3 6" xfId="9137"/>
    <cellStyle name="Milliers 3 4 3 3 4" xfId="857"/>
    <cellStyle name="Milliers 3 4 3 3 4 2" xfId="3017"/>
    <cellStyle name="Milliers 3 4 3 3 4 2 2" xfId="7337"/>
    <cellStyle name="Milliers 3 4 3 3 4 2 2 2" xfId="15977"/>
    <cellStyle name="Milliers 3 4 3 3 4 2 3" xfId="11657"/>
    <cellStyle name="Milliers 3 4 3 3 4 3" xfId="5177"/>
    <cellStyle name="Milliers 3 4 3 3 4 3 2" xfId="13817"/>
    <cellStyle name="Milliers 3 4 3 3 4 4" xfId="9497"/>
    <cellStyle name="Milliers 3 4 3 3 5" xfId="1577"/>
    <cellStyle name="Milliers 3 4 3 3 5 2" xfId="3737"/>
    <cellStyle name="Milliers 3 4 3 3 5 2 2" xfId="8057"/>
    <cellStyle name="Milliers 3 4 3 3 5 2 2 2" xfId="16697"/>
    <cellStyle name="Milliers 3 4 3 3 5 2 3" xfId="12377"/>
    <cellStyle name="Milliers 3 4 3 3 5 3" xfId="5897"/>
    <cellStyle name="Milliers 3 4 3 3 5 3 2" xfId="14537"/>
    <cellStyle name="Milliers 3 4 3 3 5 4" xfId="10217"/>
    <cellStyle name="Milliers 3 4 3 3 6" xfId="2297"/>
    <cellStyle name="Milliers 3 4 3 3 6 2" xfId="6617"/>
    <cellStyle name="Milliers 3 4 3 3 6 2 2" xfId="15257"/>
    <cellStyle name="Milliers 3 4 3 3 6 3" xfId="10937"/>
    <cellStyle name="Milliers 3 4 3 3 7" xfId="4457"/>
    <cellStyle name="Milliers 3 4 3 3 7 2" xfId="13097"/>
    <cellStyle name="Milliers 3 4 3 3 8" xfId="8777"/>
    <cellStyle name="Milliers 3 4 3 4" xfId="227"/>
    <cellStyle name="Milliers 3 4 3 4 2" xfId="587"/>
    <cellStyle name="Milliers 3 4 3 4 2 2" xfId="1307"/>
    <cellStyle name="Milliers 3 4 3 4 2 2 2" xfId="3467"/>
    <cellStyle name="Milliers 3 4 3 4 2 2 2 2" xfId="7787"/>
    <cellStyle name="Milliers 3 4 3 4 2 2 2 2 2" xfId="16427"/>
    <cellStyle name="Milliers 3 4 3 4 2 2 2 3" xfId="12107"/>
    <cellStyle name="Milliers 3 4 3 4 2 2 3" xfId="5627"/>
    <cellStyle name="Milliers 3 4 3 4 2 2 3 2" xfId="14267"/>
    <cellStyle name="Milliers 3 4 3 4 2 2 4" xfId="9947"/>
    <cellStyle name="Milliers 3 4 3 4 2 3" xfId="2027"/>
    <cellStyle name="Milliers 3 4 3 4 2 3 2" xfId="4187"/>
    <cellStyle name="Milliers 3 4 3 4 2 3 2 2" xfId="8507"/>
    <cellStyle name="Milliers 3 4 3 4 2 3 2 2 2" xfId="17147"/>
    <cellStyle name="Milliers 3 4 3 4 2 3 2 3" xfId="12827"/>
    <cellStyle name="Milliers 3 4 3 4 2 3 3" xfId="6347"/>
    <cellStyle name="Milliers 3 4 3 4 2 3 3 2" xfId="14987"/>
    <cellStyle name="Milliers 3 4 3 4 2 3 4" xfId="10667"/>
    <cellStyle name="Milliers 3 4 3 4 2 4" xfId="2747"/>
    <cellStyle name="Milliers 3 4 3 4 2 4 2" xfId="7067"/>
    <cellStyle name="Milliers 3 4 3 4 2 4 2 2" xfId="15707"/>
    <cellStyle name="Milliers 3 4 3 4 2 4 3" xfId="11387"/>
    <cellStyle name="Milliers 3 4 3 4 2 5" xfId="4907"/>
    <cellStyle name="Milliers 3 4 3 4 2 5 2" xfId="13547"/>
    <cellStyle name="Milliers 3 4 3 4 2 6" xfId="9227"/>
    <cellStyle name="Milliers 3 4 3 4 3" xfId="947"/>
    <cellStyle name="Milliers 3 4 3 4 3 2" xfId="3107"/>
    <cellStyle name="Milliers 3 4 3 4 3 2 2" xfId="7427"/>
    <cellStyle name="Milliers 3 4 3 4 3 2 2 2" xfId="16067"/>
    <cellStyle name="Milliers 3 4 3 4 3 2 3" xfId="11747"/>
    <cellStyle name="Milliers 3 4 3 4 3 3" xfId="5267"/>
    <cellStyle name="Milliers 3 4 3 4 3 3 2" xfId="13907"/>
    <cellStyle name="Milliers 3 4 3 4 3 4" xfId="9587"/>
    <cellStyle name="Milliers 3 4 3 4 4" xfId="1667"/>
    <cellStyle name="Milliers 3 4 3 4 4 2" xfId="3827"/>
    <cellStyle name="Milliers 3 4 3 4 4 2 2" xfId="8147"/>
    <cellStyle name="Milliers 3 4 3 4 4 2 2 2" xfId="16787"/>
    <cellStyle name="Milliers 3 4 3 4 4 2 3" xfId="12467"/>
    <cellStyle name="Milliers 3 4 3 4 4 3" xfId="5987"/>
    <cellStyle name="Milliers 3 4 3 4 4 3 2" xfId="14627"/>
    <cellStyle name="Milliers 3 4 3 4 4 4" xfId="10307"/>
    <cellStyle name="Milliers 3 4 3 4 5" xfId="2387"/>
    <cellStyle name="Milliers 3 4 3 4 5 2" xfId="6707"/>
    <cellStyle name="Milliers 3 4 3 4 5 2 2" xfId="15347"/>
    <cellStyle name="Milliers 3 4 3 4 5 3" xfId="11027"/>
    <cellStyle name="Milliers 3 4 3 4 6" xfId="4547"/>
    <cellStyle name="Milliers 3 4 3 4 6 2" xfId="13187"/>
    <cellStyle name="Milliers 3 4 3 4 7" xfId="8867"/>
    <cellStyle name="Milliers 3 4 3 5" xfId="407"/>
    <cellStyle name="Milliers 3 4 3 5 2" xfId="1127"/>
    <cellStyle name="Milliers 3 4 3 5 2 2" xfId="3287"/>
    <cellStyle name="Milliers 3 4 3 5 2 2 2" xfId="7607"/>
    <cellStyle name="Milliers 3 4 3 5 2 2 2 2" xfId="16247"/>
    <cellStyle name="Milliers 3 4 3 5 2 2 3" xfId="11927"/>
    <cellStyle name="Milliers 3 4 3 5 2 3" xfId="5447"/>
    <cellStyle name="Milliers 3 4 3 5 2 3 2" xfId="14087"/>
    <cellStyle name="Milliers 3 4 3 5 2 4" xfId="9767"/>
    <cellStyle name="Milliers 3 4 3 5 3" xfId="1847"/>
    <cellStyle name="Milliers 3 4 3 5 3 2" xfId="4007"/>
    <cellStyle name="Milliers 3 4 3 5 3 2 2" xfId="8327"/>
    <cellStyle name="Milliers 3 4 3 5 3 2 2 2" xfId="16967"/>
    <cellStyle name="Milliers 3 4 3 5 3 2 3" xfId="12647"/>
    <cellStyle name="Milliers 3 4 3 5 3 3" xfId="6167"/>
    <cellStyle name="Milliers 3 4 3 5 3 3 2" xfId="14807"/>
    <cellStyle name="Milliers 3 4 3 5 3 4" xfId="10487"/>
    <cellStyle name="Milliers 3 4 3 5 4" xfId="2567"/>
    <cellStyle name="Milliers 3 4 3 5 4 2" xfId="6887"/>
    <cellStyle name="Milliers 3 4 3 5 4 2 2" xfId="15527"/>
    <cellStyle name="Milliers 3 4 3 5 4 3" xfId="11207"/>
    <cellStyle name="Milliers 3 4 3 5 5" xfId="4727"/>
    <cellStyle name="Milliers 3 4 3 5 5 2" xfId="13367"/>
    <cellStyle name="Milliers 3 4 3 5 6" xfId="9047"/>
    <cellStyle name="Milliers 3 4 3 6" xfId="767"/>
    <cellStyle name="Milliers 3 4 3 6 2" xfId="2927"/>
    <cellStyle name="Milliers 3 4 3 6 2 2" xfId="7247"/>
    <cellStyle name="Milliers 3 4 3 6 2 2 2" xfId="15887"/>
    <cellStyle name="Milliers 3 4 3 6 2 3" xfId="11567"/>
    <cellStyle name="Milliers 3 4 3 6 3" xfId="5087"/>
    <cellStyle name="Milliers 3 4 3 6 3 2" xfId="13727"/>
    <cellStyle name="Milliers 3 4 3 6 4" xfId="9407"/>
    <cellStyle name="Milliers 3 4 3 7" xfId="1487"/>
    <cellStyle name="Milliers 3 4 3 7 2" xfId="3647"/>
    <cellStyle name="Milliers 3 4 3 7 2 2" xfId="7967"/>
    <cellStyle name="Milliers 3 4 3 7 2 2 2" xfId="16607"/>
    <cellStyle name="Milliers 3 4 3 7 2 3" xfId="12287"/>
    <cellStyle name="Milliers 3 4 3 7 3" xfId="5807"/>
    <cellStyle name="Milliers 3 4 3 7 3 2" xfId="14447"/>
    <cellStyle name="Milliers 3 4 3 7 4" xfId="10127"/>
    <cellStyle name="Milliers 3 4 3 8" xfId="2207"/>
    <cellStyle name="Milliers 3 4 3 8 2" xfId="6527"/>
    <cellStyle name="Milliers 3 4 3 8 2 2" xfId="15167"/>
    <cellStyle name="Milliers 3 4 3 8 3" xfId="10847"/>
    <cellStyle name="Milliers 3 4 3 9" xfId="4367"/>
    <cellStyle name="Milliers 3 4 3 9 2" xfId="13007"/>
    <cellStyle name="Milliers 3 4 4" xfId="62"/>
    <cellStyle name="Milliers 3 4 4 2" xfId="152"/>
    <cellStyle name="Milliers 3 4 4 2 2" xfId="332"/>
    <cellStyle name="Milliers 3 4 4 2 2 2" xfId="692"/>
    <cellStyle name="Milliers 3 4 4 2 2 2 2" xfId="1412"/>
    <cellStyle name="Milliers 3 4 4 2 2 2 2 2" xfId="3572"/>
    <cellStyle name="Milliers 3 4 4 2 2 2 2 2 2" xfId="7892"/>
    <cellStyle name="Milliers 3 4 4 2 2 2 2 2 2 2" xfId="16532"/>
    <cellStyle name="Milliers 3 4 4 2 2 2 2 2 3" xfId="12212"/>
    <cellStyle name="Milliers 3 4 4 2 2 2 2 3" xfId="5732"/>
    <cellStyle name="Milliers 3 4 4 2 2 2 2 3 2" xfId="14372"/>
    <cellStyle name="Milliers 3 4 4 2 2 2 2 4" xfId="10052"/>
    <cellStyle name="Milliers 3 4 4 2 2 2 3" xfId="2132"/>
    <cellStyle name="Milliers 3 4 4 2 2 2 3 2" xfId="4292"/>
    <cellStyle name="Milliers 3 4 4 2 2 2 3 2 2" xfId="8612"/>
    <cellStyle name="Milliers 3 4 4 2 2 2 3 2 2 2" xfId="17252"/>
    <cellStyle name="Milliers 3 4 4 2 2 2 3 2 3" xfId="12932"/>
    <cellStyle name="Milliers 3 4 4 2 2 2 3 3" xfId="6452"/>
    <cellStyle name="Milliers 3 4 4 2 2 2 3 3 2" xfId="15092"/>
    <cellStyle name="Milliers 3 4 4 2 2 2 3 4" xfId="10772"/>
    <cellStyle name="Milliers 3 4 4 2 2 2 4" xfId="2852"/>
    <cellStyle name="Milliers 3 4 4 2 2 2 4 2" xfId="7172"/>
    <cellStyle name="Milliers 3 4 4 2 2 2 4 2 2" xfId="15812"/>
    <cellStyle name="Milliers 3 4 4 2 2 2 4 3" xfId="11492"/>
    <cellStyle name="Milliers 3 4 4 2 2 2 5" xfId="5012"/>
    <cellStyle name="Milliers 3 4 4 2 2 2 5 2" xfId="13652"/>
    <cellStyle name="Milliers 3 4 4 2 2 2 6" xfId="9332"/>
    <cellStyle name="Milliers 3 4 4 2 2 3" xfId="1052"/>
    <cellStyle name="Milliers 3 4 4 2 2 3 2" xfId="3212"/>
    <cellStyle name="Milliers 3 4 4 2 2 3 2 2" xfId="7532"/>
    <cellStyle name="Milliers 3 4 4 2 2 3 2 2 2" xfId="16172"/>
    <cellStyle name="Milliers 3 4 4 2 2 3 2 3" xfId="11852"/>
    <cellStyle name="Milliers 3 4 4 2 2 3 3" xfId="5372"/>
    <cellStyle name="Milliers 3 4 4 2 2 3 3 2" xfId="14012"/>
    <cellStyle name="Milliers 3 4 4 2 2 3 4" xfId="9692"/>
    <cellStyle name="Milliers 3 4 4 2 2 4" xfId="1772"/>
    <cellStyle name="Milliers 3 4 4 2 2 4 2" xfId="3932"/>
    <cellStyle name="Milliers 3 4 4 2 2 4 2 2" xfId="8252"/>
    <cellStyle name="Milliers 3 4 4 2 2 4 2 2 2" xfId="16892"/>
    <cellStyle name="Milliers 3 4 4 2 2 4 2 3" xfId="12572"/>
    <cellStyle name="Milliers 3 4 4 2 2 4 3" xfId="6092"/>
    <cellStyle name="Milliers 3 4 4 2 2 4 3 2" xfId="14732"/>
    <cellStyle name="Milliers 3 4 4 2 2 4 4" xfId="10412"/>
    <cellStyle name="Milliers 3 4 4 2 2 5" xfId="2492"/>
    <cellStyle name="Milliers 3 4 4 2 2 5 2" xfId="6812"/>
    <cellStyle name="Milliers 3 4 4 2 2 5 2 2" xfId="15452"/>
    <cellStyle name="Milliers 3 4 4 2 2 5 3" xfId="11132"/>
    <cellStyle name="Milliers 3 4 4 2 2 6" xfId="4652"/>
    <cellStyle name="Milliers 3 4 4 2 2 6 2" xfId="13292"/>
    <cellStyle name="Milliers 3 4 4 2 2 7" xfId="8972"/>
    <cellStyle name="Milliers 3 4 4 2 3" xfId="512"/>
    <cellStyle name="Milliers 3 4 4 2 3 2" xfId="1232"/>
    <cellStyle name="Milliers 3 4 4 2 3 2 2" xfId="3392"/>
    <cellStyle name="Milliers 3 4 4 2 3 2 2 2" xfId="7712"/>
    <cellStyle name="Milliers 3 4 4 2 3 2 2 2 2" xfId="16352"/>
    <cellStyle name="Milliers 3 4 4 2 3 2 2 3" xfId="12032"/>
    <cellStyle name="Milliers 3 4 4 2 3 2 3" xfId="5552"/>
    <cellStyle name="Milliers 3 4 4 2 3 2 3 2" xfId="14192"/>
    <cellStyle name="Milliers 3 4 4 2 3 2 4" xfId="9872"/>
    <cellStyle name="Milliers 3 4 4 2 3 3" xfId="1952"/>
    <cellStyle name="Milliers 3 4 4 2 3 3 2" xfId="4112"/>
    <cellStyle name="Milliers 3 4 4 2 3 3 2 2" xfId="8432"/>
    <cellStyle name="Milliers 3 4 4 2 3 3 2 2 2" xfId="17072"/>
    <cellStyle name="Milliers 3 4 4 2 3 3 2 3" xfId="12752"/>
    <cellStyle name="Milliers 3 4 4 2 3 3 3" xfId="6272"/>
    <cellStyle name="Milliers 3 4 4 2 3 3 3 2" xfId="14912"/>
    <cellStyle name="Milliers 3 4 4 2 3 3 4" xfId="10592"/>
    <cellStyle name="Milliers 3 4 4 2 3 4" xfId="2672"/>
    <cellStyle name="Milliers 3 4 4 2 3 4 2" xfId="6992"/>
    <cellStyle name="Milliers 3 4 4 2 3 4 2 2" xfId="15632"/>
    <cellStyle name="Milliers 3 4 4 2 3 4 3" xfId="11312"/>
    <cellStyle name="Milliers 3 4 4 2 3 5" xfId="4832"/>
    <cellStyle name="Milliers 3 4 4 2 3 5 2" xfId="13472"/>
    <cellStyle name="Milliers 3 4 4 2 3 6" xfId="9152"/>
    <cellStyle name="Milliers 3 4 4 2 4" xfId="872"/>
    <cellStyle name="Milliers 3 4 4 2 4 2" xfId="3032"/>
    <cellStyle name="Milliers 3 4 4 2 4 2 2" xfId="7352"/>
    <cellStyle name="Milliers 3 4 4 2 4 2 2 2" xfId="15992"/>
    <cellStyle name="Milliers 3 4 4 2 4 2 3" xfId="11672"/>
    <cellStyle name="Milliers 3 4 4 2 4 3" xfId="5192"/>
    <cellStyle name="Milliers 3 4 4 2 4 3 2" xfId="13832"/>
    <cellStyle name="Milliers 3 4 4 2 4 4" xfId="9512"/>
    <cellStyle name="Milliers 3 4 4 2 5" xfId="1592"/>
    <cellStyle name="Milliers 3 4 4 2 5 2" xfId="3752"/>
    <cellStyle name="Milliers 3 4 4 2 5 2 2" xfId="8072"/>
    <cellStyle name="Milliers 3 4 4 2 5 2 2 2" xfId="16712"/>
    <cellStyle name="Milliers 3 4 4 2 5 2 3" xfId="12392"/>
    <cellStyle name="Milliers 3 4 4 2 5 3" xfId="5912"/>
    <cellStyle name="Milliers 3 4 4 2 5 3 2" xfId="14552"/>
    <cellStyle name="Milliers 3 4 4 2 5 4" xfId="10232"/>
    <cellStyle name="Milliers 3 4 4 2 6" xfId="2312"/>
    <cellStyle name="Milliers 3 4 4 2 6 2" xfId="6632"/>
    <cellStyle name="Milliers 3 4 4 2 6 2 2" xfId="15272"/>
    <cellStyle name="Milliers 3 4 4 2 6 3" xfId="10952"/>
    <cellStyle name="Milliers 3 4 4 2 7" xfId="4472"/>
    <cellStyle name="Milliers 3 4 4 2 7 2" xfId="13112"/>
    <cellStyle name="Milliers 3 4 4 2 8" xfId="8792"/>
    <cellStyle name="Milliers 3 4 4 3" xfId="242"/>
    <cellStyle name="Milliers 3 4 4 3 2" xfId="602"/>
    <cellStyle name="Milliers 3 4 4 3 2 2" xfId="1322"/>
    <cellStyle name="Milliers 3 4 4 3 2 2 2" xfId="3482"/>
    <cellStyle name="Milliers 3 4 4 3 2 2 2 2" xfId="7802"/>
    <cellStyle name="Milliers 3 4 4 3 2 2 2 2 2" xfId="16442"/>
    <cellStyle name="Milliers 3 4 4 3 2 2 2 3" xfId="12122"/>
    <cellStyle name="Milliers 3 4 4 3 2 2 3" xfId="5642"/>
    <cellStyle name="Milliers 3 4 4 3 2 2 3 2" xfId="14282"/>
    <cellStyle name="Milliers 3 4 4 3 2 2 4" xfId="9962"/>
    <cellStyle name="Milliers 3 4 4 3 2 3" xfId="2042"/>
    <cellStyle name="Milliers 3 4 4 3 2 3 2" xfId="4202"/>
    <cellStyle name="Milliers 3 4 4 3 2 3 2 2" xfId="8522"/>
    <cellStyle name="Milliers 3 4 4 3 2 3 2 2 2" xfId="17162"/>
    <cellStyle name="Milliers 3 4 4 3 2 3 2 3" xfId="12842"/>
    <cellStyle name="Milliers 3 4 4 3 2 3 3" xfId="6362"/>
    <cellStyle name="Milliers 3 4 4 3 2 3 3 2" xfId="15002"/>
    <cellStyle name="Milliers 3 4 4 3 2 3 4" xfId="10682"/>
    <cellStyle name="Milliers 3 4 4 3 2 4" xfId="2762"/>
    <cellStyle name="Milliers 3 4 4 3 2 4 2" xfId="7082"/>
    <cellStyle name="Milliers 3 4 4 3 2 4 2 2" xfId="15722"/>
    <cellStyle name="Milliers 3 4 4 3 2 4 3" xfId="11402"/>
    <cellStyle name="Milliers 3 4 4 3 2 5" xfId="4922"/>
    <cellStyle name="Milliers 3 4 4 3 2 5 2" xfId="13562"/>
    <cellStyle name="Milliers 3 4 4 3 2 6" xfId="9242"/>
    <cellStyle name="Milliers 3 4 4 3 3" xfId="962"/>
    <cellStyle name="Milliers 3 4 4 3 3 2" xfId="3122"/>
    <cellStyle name="Milliers 3 4 4 3 3 2 2" xfId="7442"/>
    <cellStyle name="Milliers 3 4 4 3 3 2 2 2" xfId="16082"/>
    <cellStyle name="Milliers 3 4 4 3 3 2 3" xfId="11762"/>
    <cellStyle name="Milliers 3 4 4 3 3 3" xfId="5282"/>
    <cellStyle name="Milliers 3 4 4 3 3 3 2" xfId="13922"/>
    <cellStyle name="Milliers 3 4 4 3 3 4" xfId="9602"/>
    <cellStyle name="Milliers 3 4 4 3 4" xfId="1682"/>
    <cellStyle name="Milliers 3 4 4 3 4 2" xfId="3842"/>
    <cellStyle name="Milliers 3 4 4 3 4 2 2" xfId="8162"/>
    <cellStyle name="Milliers 3 4 4 3 4 2 2 2" xfId="16802"/>
    <cellStyle name="Milliers 3 4 4 3 4 2 3" xfId="12482"/>
    <cellStyle name="Milliers 3 4 4 3 4 3" xfId="6002"/>
    <cellStyle name="Milliers 3 4 4 3 4 3 2" xfId="14642"/>
    <cellStyle name="Milliers 3 4 4 3 4 4" xfId="10322"/>
    <cellStyle name="Milliers 3 4 4 3 5" xfId="2402"/>
    <cellStyle name="Milliers 3 4 4 3 5 2" xfId="6722"/>
    <cellStyle name="Milliers 3 4 4 3 5 2 2" xfId="15362"/>
    <cellStyle name="Milliers 3 4 4 3 5 3" xfId="11042"/>
    <cellStyle name="Milliers 3 4 4 3 6" xfId="4562"/>
    <cellStyle name="Milliers 3 4 4 3 6 2" xfId="13202"/>
    <cellStyle name="Milliers 3 4 4 3 7" xfId="8882"/>
    <cellStyle name="Milliers 3 4 4 4" xfId="422"/>
    <cellStyle name="Milliers 3 4 4 4 2" xfId="1142"/>
    <cellStyle name="Milliers 3 4 4 4 2 2" xfId="3302"/>
    <cellStyle name="Milliers 3 4 4 4 2 2 2" xfId="7622"/>
    <cellStyle name="Milliers 3 4 4 4 2 2 2 2" xfId="16262"/>
    <cellStyle name="Milliers 3 4 4 4 2 2 3" xfId="11942"/>
    <cellStyle name="Milliers 3 4 4 4 2 3" xfId="5462"/>
    <cellStyle name="Milliers 3 4 4 4 2 3 2" xfId="14102"/>
    <cellStyle name="Milliers 3 4 4 4 2 4" xfId="9782"/>
    <cellStyle name="Milliers 3 4 4 4 3" xfId="1862"/>
    <cellStyle name="Milliers 3 4 4 4 3 2" xfId="4022"/>
    <cellStyle name="Milliers 3 4 4 4 3 2 2" xfId="8342"/>
    <cellStyle name="Milliers 3 4 4 4 3 2 2 2" xfId="16982"/>
    <cellStyle name="Milliers 3 4 4 4 3 2 3" xfId="12662"/>
    <cellStyle name="Milliers 3 4 4 4 3 3" xfId="6182"/>
    <cellStyle name="Milliers 3 4 4 4 3 3 2" xfId="14822"/>
    <cellStyle name="Milliers 3 4 4 4 3 4" xfId="10502"/>
    <cellStyle name="Milliers 3 4 4 4 4" xfId="2582"/>
    <cellStyle name="Milliers 3 4 4 4 4 2" xfId="6902"/>
    <cellStyle name="Milliers 3 4 4 4 4 2 2" xfId="15542"/>
    <cellStyle name="Milliers 3 4 4 4 4 3" xfId="11222"/>
    <cellStyle name="Milliers 3 4 4 4 5" xfId="4742"/>
    <cellStyle name="Milliers 3 4 4 4 5 2" xfId="13382"/>
    <cellStyle name="Milliers 3 4 4 4 6" xfId="9062"/>
    <cellStyle name="Milliers 3 4 4 5" xfId="782"/>
    <cellStyle name="Milliers 3 4 4 5 2" xfId="2942"/>
    <cellStyle name="Milliers 3 4 4 5 2 2" xfId="7262"/>
    <cellStyle name="Milliers 3 4 4 5 2 2 2" xfId="15902"/>
    <cellStyle name="Milliers 3 4 4 5 2 3" xfId="11582"/>
    <cellStyle name="Milliers 3 4 4 5 3" xfId="5102"/>
    <cellStyle name="Milliers 3 4 4 5 3 2" xfId="13742"/>
    <cellStyle name="Milliers 3 4 4 5 4" xfId="9422"/>
    <cellStyle name="Milliers 3 4 4 6" xfId="1502"/>
    <cellStyle name="Milliers 3 4 4 6 2" xfId="3662"/>
    <cellStyle name="Milliers 3 4 4 6 2 2" xfId="7982"/>
    <cellStyle name="Milliers 3 4 4 6 2 2 2" xfId="16622"/>
    <cellStyle name="Milliers 3 4 4 6 2 3" xfId="12302"/>
    <cellStyle name="Milliers 3 4 4 6 3" xfId="5822"/>
    <cellStyle name="Milliers 3 4 4 6 3 2" xfId="14462"/>
    <cellStyle name="Milliers 3 4 4 6 4" xfId="10142"/>
    <cellStyle name="Milliers 3 4 4 7" xfId="2222"/>
    <cellStyle name="Milliers 3 4 4 7 2" xfId="6542"/>
    <cellStyle name="Milliers 3 4 4 7 2 2" xfId="15182"/>
    <cellStyle name="Milliers 3 4 4 7 3" xfId="10862"/>
    <cellStyle name="Milliers 3 4 4 8" xfId="4382"/>
    <cellStyle name="Milliers 3 4 4 8 2" xfId="13022"/>
    <cellStyle name="Milliers 3 4 4 9" xfId="8702"/>
    <cellStyle name="Milliers 3 4 5" xfId="107"/>
    <cellStyle name="Milliers 3 4 5 2" xfId="287"/>
    <cellStyle name="Milliers 3 4 5 2 2" xfId="647"/>
    <cellStyle name="Milliers 3 4 5 2 2 2" xfId="1367"/>
    <cellStyle name="Milliers 3 4 5 2 2 2 2" xfId="3527"/>
    <cellStyle name="Milliers 3 4 5 2 2 2 2 2" xfId="7847"/>
    <cellStyle name="Milliers 3 4 5 2 2 2 2 2 2" xfId="16487"/>
    <cellStyle name="Milliers 3 4 5 2 2 2 2 3" xfId="12167"/>
    <cellStyle name="Milliers 3 4 5 2 2 2 3" xfId="5687"/>
    <cellStyle name="Milliers 3 4 5 2 2 2 3 2" xfId="14327"/>
    <cellStyle name="Milliers 3 4 5 2 2 2 4" xfId="10007"/>
    <cellStyle name="Milliers 3 4 5 2 2 3" xfId="2087"/>
    <cellStyle name="Milliers 3 4 5 2 2 3 2" xfId="4247"/>
    <cellStyle name="Milliers 3 4 5 2 2 3 2 2" xfId="8567"/>
    <cellStyle name="Milliers 3 4 5 2 2 3 2 2 2" xfId="17207"/>
    <cellStyle name="Milliers 3 4 5 2 2 3 2 3" xfId="12887"/>
    <cellStyle name="Milliers 3 4 5 2 2 3 3" xfId="6407"/>
    <cellStyle name="Milliers 3 4 5 2 2 3 3 2" xfId="15047"/>
    <cellStyle name="Milliers 3 4 5 2 2 3 4" xfId="10727"/>
    <cellStyle name="Milliers 3 4 5 2 2 4" xfId="2807"/>
    <cellStyle name="Milliers 3 4 5 2 2 4 2" xfId="7127"/>
    <cellStyle name="Milliers 3 4 5 2 2 4 2 2" xfId="15767"/>
    <cellStyle name="Milliers 3 4 5 2 2 4 3" xfId="11447"/>
    <cellStyle name="Milliers 3 4 5 2 2 5" xfId="4967"/>
    <cellStyle name="Milliers 3 4 5 2 2 5 2" xfId="13607"/>
    <cellStyle name="Milliers 3 4 5 2 2 6" xfId="9287"/>
    <cellStyle name="Milliers 3 4 5 2 3" xfId="1007"/>
    <cellStyle name="Milliers 3 4 5 2 3 2" xfId="3167"/>
    <cellStyle name="Milliers 3 4 5 2 3 2 2" xfId="7487"/>
    <cellStyle name="Milliers 3 4 5 2 3 2 2 2" xfId="16127"/>
    <cellStyle name="Milliers 3 4 5 2 3 2 3" xfId="11807"/>
    <cellStyle name="Milliers 3 4 5 2 3 3" xfId="5327"/>
    <cellStyle name="Milliers 3 4 5 2 3 3 2" xfId="13967"/>
    <cellStyle name="Milliers 3 4 5 2 3 4" xfId="9647"/>
    <cellStyle name="Milliers 3 4 5 2 4" xfId="1727"/>
    <cellStyle name="Milliers 3 4 5 2 4 2" xfId="3887"/>
    <cellStyle name="Milliers 3 4 5 2 4 2 2" xfId="8207"/>
    <cellStyle name="Milliers 3 4 5 2 4 2 2 2" xfId="16847"/>
    <cellStyle name="Milliers 3 4 5 2 4 2 3" xfId="12527"/>
    <cellStyle name="Milliers 3 4 5 2 4 3" xfId="6047"/>
    <cellStyle name="Milliers 3 4 5 2 4 3 2" xfId="14687"/>
    <cellStyle name="Milliers 3 4 5 2 4 4" xfId="10367"/>
    <cellStyle name="Milliers 3 4 5 2 5" xfId="2447"/>
    <cellStyle name="Milliers 3 4 5 2 5 2" xfId="6767"/>
    <cellStyle name="Milliers 3 4 5 2 5 2 2" xfId="15407"/>
    <cellStyle name="Milliers 3 4 5 2 5 3" xfId="11087"/>
    <cellStyle name="Milliers 3 4 5 2 6" xfId="4607"/>
    <cellStyle name="Milliers 3 4 5 2 6 2" xfId="13247"/>
    <cellStyle name="Milliers 3 4 5 2 7" xfId="8927"/>
    <cellStyle name="Milliers 3 4 5 3" xfId="467"/>
    <cellStyle name="Milliers 3 4 5 3 2" xfId="1187"/>
    <cellStyle name="Milliers 3 4 5 3 2 2" xfId="3347"/>
    <cellStyle name="Milliers 3 4 5 3 2 2 2" xfId="7667"/>
    <cellStyle name="Milliers 3 4 5 3 2 2 2 2" xfId="16307"/>
    <cellStyle name="Milliers 3 4 5 3 2 2 3" xfId="11987"/>
    <cellStyle name="Milliers 3 4 5 3 2 3" xfId="5507"/>
    <cellStyle name="Milliers 3 4 5 3 2 3 2" xfId="14147"/>
    <cellStyle name="Milliers 3 4 5 3 2 4" xfId="9827"/>
    <cellStyle name="Milliers 3 4 5 3 3" xfId="1907"/>
    <cellStyle name="Milliers 3 4 5 3 3 2" xfId="4067"/>
    <cellStyle name="Milliers 3 4 5 3 3 2 2" xfId="8387"/>
    <cellStyle name="Milliers 3 4 5 3 3 2 2 2" xfId="17027"/>
    <cellStyle name="Milliers 3 4 5 3 3 2 3" xfId="12707"/>
    <cellStyle name="Milliers 3 4 5 3 3 3" xfId="6227"/>
    <cellStyle name="Milliers 3 4 5 3 3 3 2" xfId="14867"/>
    <cellStyle name="Milliers 3 4 5 3 3 4" xfId="10547"/>
    <cellStyle name="Milliers 3 4 5 3 4" xfId="2627"/>
    <cellStyle name="Milliers 3 4 5 3 4 2" xfId="6947"/>
    <cellStyle name="Milliers 3 4 5 3 4 2 2" xfId="15587"/>
    <cellStyle name="Milliers 3 4 5 3 4 3" xfId="11267"/>
    <cellStyle name="Milliers 3 4 5 3 5" xfId="4787"/>
    <cellStyle name="Milliers 3 4 5 3 5 2" xfId="13427"/>
    <cellStyle name="Milliers 3 4 5 3 6" xfId="9107"/>
    <cellStyle name="Milliers 3 4 5 4" xfId="827"/>
    <cellStyle name="Milliers 3 4 5 4 2" xfId="2987"/>
    <cellStyle name="Milliers 3 4 5 4 2 2" xfId="7307"/>
    <cellStyle name="Milliers 3 4 5 4 2 2 2" xfId="15947"/>
    <cellStyle name="Milliers 3 4 5 4 2 3" xfId="11627"/>
    <cellStyle name="Milliers 3 4 5 4 3" xfId="5147"/>
    <cellStyle name="Milliers 3 4 5 4 3 2" xfId="13787"/>
    <cellStyle name="Milliers 3 4 5 4 4" xfId="9467"/>
    <cellStyle name="Milliers 3 4 5 5" xfId="1547"/>
    <cellStyle name="Milliers 3 4 5 5 2" xfId="3707"/>
    <cellStyle name="Milliers 3 4 5 5 2 2" xfId="8027"/>
    <cellStyle name="Milliers 3 4 5 5 2 2 2" xfId="16667"/>
    <cellStyle name="Milliers 3 4 5 5 2 3" xfId="12347"/>
    <cellStyle name="Milliers 3 4 5 5 3" xfId="5867"/>
    <cellStyle name="Milliers 3 4 5 5 3 2" xfId="14507"/>
    <cellStyle name="Milliers 3 4 5 5 4" xfId="10187"/>
    <cellStyle name="Milliers 3 4 5 6" xfId="2267"/>
    <cellStyle name="Milliers 3 4 5 6 2" xfId="6587"/>
    <cellStyle name="Milliers 3 4 5 6 2 2" xfId="15227"/>
    <cellStyle name="Milliers 3 4 5 6 3" xfId="10907"/>
    <cellStyle name="Milliers 3 4 5 7" xfId="4427"/>
    <cellStyle name="Milliers 3 4 5 7 2" xfId="13067"/>
    <cellStyle name="Milliers 3 4 5 8" xfId="8747"/>
    <cellStyle name="Milliers 3 4 6" xfId="197"/>
    <cellStyle name="Milliers 3 4 6 2" xfId="557"/>
    <cellStyle name="Milliers 3 4 6 2 2" xfId="1277"/>
    <cellStyle name="Milliers 3 4 6 2 2 2" xfId="3437"/>
    <cellStyle name="Milliers 3 4 6 2 2 2 2" xfId="7757"/>
    <cellStyle name="Milliers 3 4 6 2 2 2 2 2" xfId="16397"/>
    <cellStyle name="Milliers 3 4 6 2 2 2 3" xfId="12077"/>
    <cellStyle name="Milliers 3 4 6 2 2 3" xfId="5597"/>
    <cellStyle name="Milliers 3 4 6 2 2 3 2" xfId="14237"/>
    <cellStyle name="Milliers 3 4 6 2 2 4" xfId="9917"/>
    <cellStyle name="Milliers 3 4 6 2 3" xfId="1997"/>
    <cellStyle name="Milliers 3 4 6 2 3 2" xfId="4157"/>
    <cellStyle name="Milliers 3 4 6 2 3 2 2" xfId="8477"/>
    <cellStyle name="Milliers 3 4 6 2 3 2 2 2" xfId="17117"/>
    <cellStyle name="Milliers 3 4 6 2 3 2 3" xfId="12797"/>
    <cellStyle name="Milliers 3 4 6 2 3 3" xfId="6317"/>
    <cellStyle name="Milliers 3 4 6 2 3 3 2" xfId="14957"/>
    <cellStyle name="Milliers 3 4 6 2 3 4" xfId="10637"/>
    <cellStyle name="Milliers 3 4 6 2 4" xfId="2717"/>
    <cellStyle name="Milliers 3 4 6 2 4 2" xfId="7037"/>
    <cellStyle name="Milliers 3 4 6 2 4 2 2" xfId="15677"/>
    <cellStyle name="Milliers 3 4 6 2 4 3" xfId="11357"/>
    <cellStyle name="Milliers 3 4 6 2 5" xfId="4877"/>
    <cellStyle name="Milliers 3 4 6 2 5 2" xfId="13517"/>
    <cellStyle name="Milliers 3 4 6 2 6" xfId="9197"/>
    <cellStyle name="Milliers 3 4 6 3" xfId="917"/>
    <cellStyle name="Milliers 3 4 6 3 2" xfId="3077"/>
    <cellStyle name="Milliers 3 4 6 3 2 2" xfId="7397"/>
    <cellStyle name="Milliers 3 4 6 3 2 2 2" xfId="16037"/>
    <cellStyle name="Milliers 3 4 6 3 2 3" xfId="11717"/>
    <cellStyle name="Milliers 3 4 6 3 3" xfId="5237"/>
    <cellStyle name="Milliers 3 4 6 3 3 2" xfId="13877"/>
    <cellStyle name="Milliers 3 4 6 3 4" xfId="9557"/>
    <cellStyle name="Milliers 3 4 6 4" xfId="1637"/>
    <cellStyle name="Milliers 3 4 6 4 2" xfId="3797"/>
    <cellStyle name="Milliers 3 4 6 4 2 2" xfId="8117"/>
    <cellStyle name="Milliers 3 4 6 4 2 2 2" xfId="16757"/>
    <cellStyle name="Milliers 3 4 6 4 2 3" xfId="12437"/>
    <cellStyle name="Milliers 3 4 6 4 3" xfId="5957"/>
    <cellStyle name="Milliers 3 4 6 4 3 2" xfId="14597"/>
    <cellStyle name="Milliers 3 4 6 4 4" xfId="10277"/>
    <cellStyle name="Milliers 3 4 6 5" xfId="2357"/>
    <cellStyle name="Milliers 3 4 6 5 2" xfId="6677"/>
    <cellStyle name="Milliers 3 4 6 5 2 2" xfId="15317"/>
    <cellStyle name="Milliers 3 4 6 5 3" xfId="10997"/>
    <cellStyle name="Milliers 3 4 6 6" xfId="4517"/>
    <cellStyle name="Milliers 3 4 6 6 2" xfId="13157"/>
    <cellStyle name="Milliers 3 4 6 7" xfId="8837"/>
    <cellStyle name="Milliers 3 4 7" xfId="377"/>
    <cellStyle name="Milliers 3 4 7 2" xfId="1097"/>
    <cellStyle name="Milliers 3 4 7 2 2" xfId="3257"/>
    <cellStyle name="Milliers 3 4 7 2 2 2" xfId="7577"/>
    <cellStyle name="Milliers 3 4 7 2 2 2 2" xfId="16217"/>
    <cellStyle name="Milliers 3 4 7 2 2 3" xfId="11897"/>
    <cellStyle name="Milliers 3 4 7 2 3" xfId="5417"/>
    <cellStyle name="Milliers 3 4 7 2 3 2" xfId="14057"/>
    <cellStyle name="Milliers 3 4 7 2 4" xfId="9737"/>
    <cellStyle name="Milliers 3 4 7 3" xfId="1817"/>
    <cellStyle name="Milliers 3 4 7 3 2" xfId="3977"/>
    <cellStyle name="Milliers 3 4 7 3 2 2" xfId="8297"/>
    <cellStyle name="Milliers 3 4 7 3 2 2 2" xfId="16937"/>
    <cellStyle name="Milliers 3 4 7 3 2 3" xfId="12617"/>
    <cellStyle name="Milliers 3 4 7 3 3" xfId="6137"/>
    <cellStyle name="Milliers 3 4 7 3 3 2" xfId="14777"/>
    <cellStyle name="Milliers 3 4 7 3 4" xfId="10457"/>
    <cellStyle name="Milliers 3 4 7 4" xfId="2537"/>
    <cellStyle name="Milliers 3 4 7 4 2" xfId="6857"/>
    <cellStyle name="Milliers 3 4 7 4 2 2" xfId="15497"/>
    <cellStyle name="Milliers 3 4 7 4 3" xfId="11177"/>
    <cellStyle name="Milliers 3 4 7 5" xfId="4697"/>
    <cellStyle name="Milliers 3 4 7 5 2" xfId="13337"/>
    <cellStyle name="Milliers 3 4 7 6" xfId="9017"/>
    <cellStyle name="Milliers 3 4 8" xfId="737"/>
    <cellStyle name="Milliers 3 4 8 2" xfId="2897"/>
    <cellStyle name="Milliers 3 4 8 2 2" xfId="7217"/>
    <cellStyle name="Milliers 3 4 8 2 2 2" xfId="15857"/>
    <cellStyle name="Milliers 3 4 8 2 3" xfId="11537"/>
    <cellStyle name="Milliers 3 4 8 3" xfId="5057"/>
    <cellStyle name="Milliers 3 4 8 3 2" xfId="13697"/>
    <cellStyle name="Milliers 3 4 8 4" xfId="9377"/>
    <cellStyle name="Milliers 3 4 9" xfId="1457"/>
    <cellStyle name="Milliers 3 4 9 2" xfId="3617"/>
    <cellStyle name="Milliers 3 4 9 2 2" xfId="7937"/>
    <cellStyle name="Milliers 3 4 9 2 2 2" xfId="16577"/>
    <cellStyle name="Milliers 3 4 9 2 3" xfId="12257"/>
    <cellStyle name="Milliers 3 4 9 3" xfId="5777"/>
    <cellStyle name="Milliers 3 4 9 3 2" xfId="14417"/>
    <cellStyle name="Milliers 3 4 9 4" xfId="10097"/>
    <cellStyle name="Milliers 3 5" xfId="20"/>
    <cellStyle name="Milliers 3 5 10" xfId="8660"/>
    <cellStyle name="Milliers 3 5 2" xfId="65"/>
    <cellStyle name="Milliers 3 5 2 2" xfId="155"/>
    <cellStyle name="Milliers 3 5 2 2 2" xfId="335"/>
    <cellStyle name="Milliers 3 5 2 2 2 2" xfId="695"/>
    <cellStyle name="Milliers 3 5 2 2 2 2 2" xfId="1415"/>
    <cellStyle name="Milliers 3 5 2 2 2 2 2 2" xfId="3575"/>
    <cellStyle name="Milliers 3 5 2 2 2 2 2 2 2" xfId="7895"/>
    <cellStyle name="Milliers 3 5 2 2 2 2 2 2 2 2" xfId="16535"/>
    <cellStyle name="Milliers 3 5 2 2 2 2 2 2 3" xfId="12215"/>
    <cellStyle name="Milliers 3 5 2 2 2 2 2 3" xfId="5735"/>
    <cellStyle name="Milliers 3 5 2 2 2 2 2 3 2" xfId="14375"/>
    <cellStyle name="Milliers 3 5 2 2 2 2 2 4" xfId="10055"/>
    <cellStyle name="Milliers 3 5 2 2 2 2 3" xfId="2135"/>
    <cellStyle name="Milliers 3 5 2 2 2 2 3 2" xfId="4295"/>
    <cellStyle name="Milliers 3 5 2 2 2 2 3 2 2" xfId="8615"/>
    <cellStyle name="Milliers 3 5 2 2 2 2 3 2 2 2" xfId="17255"/>
    <cellStyle name="Milliers 3 5 2 2 2 2 3 2 3" xfId="12935"/>
    <cellStyle name="Milliers 3 5 2 2 2 2 3 3" xfId="6455"/>
    <cellStyle name="Milliers 3 5 2 2 2 2 3 3 2" xfId="15095"/>
    <cellStyle name="Milliers 3 5 2 2 2 2 3 4" xfId="10775"/>
    <cellStyle name="Milliers 3 5 2 2 2 2 4" xfId="2855"/>
    <cellStyle name="Milliers 3 5 2 2 2 2 4 2" xfId="7175"/>
    <cellStyle name="Milliers 3 5 2 2 2 2 4 2 2" xfId="15815"/>
    <cellStyle name="Milliers 3 5 2 2 2 2 4 3" xfId="11495"/>
    <cellStyle name="Milliers 3 5 2 2 2 2 5" xfId="5015"/>
    <cellStyle name="Milliers 3 5 2 2 2 2 5 2" xfId="13655"/>
    <cellStyle name="Milliers 3 5 2 2 2 2 6" xfId="9335"/>
    <cellStyle name="Milliers 3 5 2 2 2 3" xfId="1055"/>
    <cellStyle name="Milliers 3 5 2 2 2 3 2" xfId="3215"/>
    <cellStyle name="Milliers 3 5 2 2 2 3 2 2" xfId="7535"/>
    <cellStyle name="Milliers 3 5 2 2 2 3 2 2 2" xfId="16175"/>
    <cellStyle name="Milliers 3 5 2 2 2 3 2 3" xfId="11855"/>
    <cellStyle name="Milliers 3 5 2 2 2 3 3" xfId="5375"/>
    <cellStyle name="Milliers 3 5 2 2 2 3 3 2" xfId="14015"/>
    <cellStyle name="Milliers 3 5 2 2 2 3 4" xfId="9695"/>
    <cellStyle name="Milliers 3 5 2 2 2 4" xfId="1775"/>
    <cellStyle name="Milliers 3 5 2 2 2 4 2" xfId="3935"/>
    <cellStyle name="Milliers 3 5 2 2 2 4 2 2" xfId="8255"/>
    <cellStyle name="Milliers 3 5 2 2 2 4 2 2 2" xfId="16895"/>
    <cellStyle name="Milliers 3 5 2 2 2 4 2 3" xfId="12575"/>
    <cellStyle name="Milliers 3 5 2 2 2 4 3" xfId="6095"/>
    <cellStyle name="Milliers 3 5 2 2 2 4 3 2" xfId="14735"/>
    <cellStyle name="Milliers 3 5 2 2 2 4 4" xfId="10415"/>
    <cellStyle name="Milliers 3 5 2 2 2 5" xfId="2495"/>
    <cellStyle name="Milliers 3 5 2 2 2 5 2" xfId="6815"/>
    <cellStyle name="Milliers 3 5 2 2 2 5 2 2" xfId="15455"/>
    <cellStyle name="Milliers 3 5 2 2 2 5 3" xfId="11135"/>
    <cellStyle name="Milliers 3 5 2 2 2 6" xfId="4655"/>
    <cellStyle name="Milliers 3 5 2 2 2 6 2" xfId="13295"/>
    <cellStyle name="Milliers 3 5 2 2 2 7" xfId="8975"/>
    <cellStyle name="Milliers 3 5 2 2 3" xfId="515"/>
    <cellStyle name="Milliers 3 5 2 2 3 2" xfId="1235"/>
    <cellStyle name="Milliers 3 5 2 2 3 2 2" xfId="3395"/>
    <cellStyle name="Milliers 3 5 2 2 3 2 2 2" xfId="7715"/>
    <cellStyle name="Milliers 3 5 2 2 3 2 2 2 2" xfId="16355"/>
    <cellStyle name="Milliers 3 5 2 2 3 2 2 3" xfId="12035"/>
    <cellStyle name="Milliers 3 5 2 2 3 2 3" xfId="5555"/>
    <cellStyle name="Milliers 3 5 2 2 3 2 3 2" xfId="14195"/>
    <cellStyle name="Milliers 3 5 2 2 3 2 4" xfId="9875"/>
    <cellStyle name="Milliers 3 5 2 2 3 3" xfId="1955"/>
    <cellStyle name="Milliers 3 5 2 2 3 3 2" xfId="4115"/>
    <cellStyle name="Milliers 3 5 2 2 3 3 2 2" xfId="8435"/>
    <cellStyle name="Milliers 3 5 2 2 3 3 2 2 2" xfId="17075"/>
    <cellStyle name="Milliers 3 5 2 2 3 3 2 3" xfId="12755"/>
    <cellStyle name="Milliers 3 5 2 2 3 3 3" xfId="6275"/>
    <cellStyle name="Milliers 3 5 2 2 3 3 3 2" xfId="14915"/>
    <cellStyle name="Milliers 3 5 2 2 3 3 4" xfId="10595"/>
    <cellStyle name="Milliers 3 5 2 2 3 4" xfId="2675"/>
    <cellStyle name="Milliers 3 5 2 2 3 4 2" xfId="6995"/>
    <cellStyle name="Milliers 3 5 2 2 3 4 2 2" xfId="15635"/>
    <cellStyle name="Milliers 3 5 2 2 3 4 3" xfId="11315"/>
    <cellStyle name="Milliers 3 5 2 2 3 5" xfId="4835"/>
    <cellStyle name="Milliers 3 5 2 2 3 5 2" xfId="13475"/>
    <cellStyle name="Milliers 3 5 2 2 3 6" xfId="9155"/>
    <cellStyle name="Milliers 3 5 2 2 4" xfId="875"/>
    <cellStyle name="Milliers 3 5 2 2 4 2" xfId="3035"/>
    <cellStyle name="Milliers 3 5 2 2 4 2 2" xfId="7355"/>
    <cellStyle name="Milliers 3 5 2 2 4 2 2 2" xfId="15995"/>
    <cellStyle name="Milliers 3 5 2 2 4 2 3" xfId="11675"/>
    <cellStyle name="Milliers 3 5 2 2 4 3" xfId="5195"/>
    <cellStyle name="Milliers 3 5 2 2 4 3 2" xfId="13835"/>
    <cellStyle name="Milliers 3 5 2 2 4 4" xfId="9515"/>
    <cellStyle name="Milliers 3 5 2 2 5" xfId="1595"/>
    <cellStyle name="Milliers 3 5 2 2 5 2" xfId="3755"/>
    <cellStyle name="Milliers 3 5 2 2 5 2 2" xfId="8075"/>
    <cellStyle name="Milliers 3 5 2 2 5 2 2 2" xfId="16715"/>
    <cellStyle name="Milliers 3 5 2 2 5 2 3" xfId="12395"/>
    <cellStyle name="Milliers 3 5 2 2 5 3" xfId="5915"/>
    <cellStyle name="Milliers 3 5 2 2 5 3 2" xfId="14555"/>
    <cellStyle name="Milliers 3 5 2 2 5 4" xfId="10235"/>
    <cellStyle name="Milliers 3 5 2 2 6" xfId="2315"/>
    <cellStyle name="Milliers 3 5 2 2 6 2" xfId="6635"/>
    <cellStyle name="Milliers 3 5 2 2 6 2 2" xfId="15275"/>
    <cellStyle name="Milliers 3 5 2 2 6 3" xfId="10955"/>
    <cellStyle name="Milliers 3 5 2 2 7" xfId="4475"/>
    <cellStyle name="Milliers 3 5 2 2 7 2" xfId="13115"/>
    <cellStyle name="Milliers 3 5 2 2 8" xfId="8795"/>
    <cellStyle name="Milliers 3 5 2 3" xfId="245"/>
    <cellStyle name="Milliers 3 5 2 3 2" xfId="605"/>
    <cellStyle name="Milliers 3 5 2 3 2 2" xfId="1325"/>
    <cellStyle name="Milliers 3 5 2 3 2 2 2" xfId="3485"/>
    <cellStyle name="Milliers 3 5 2 3 2 2 2 2" xfId="7805"/>
    <cellStyle name="Milliers 3 5 2 3 2 2 2 2 2" xfId="16445"/>
    <cellStyle name="Milliers 3 5 2 3 2 2 2 3" xfId="12125"/>
    <cellStyle name="Milliers 3 5 2 3 2 2 3" xfId="5645"/>
    <cellStyle name="Milliers 3 5 2 3 2 2 3 2" xfId="14285"/>
    <cellStyle name="Milliers 3 5 2 3 2 2 4" xfId="9965"/>
    <cellStyle name="Milliers 3 5 2 3 2 3" xfId="2045"/>
    <cellStyle name="Milliers 3 5 2 3 2 3 2" xfId="4205"/>
    <cellStyle name="Milliers 3 5 2 3 2 3 2 2" xfId="8525"/>
    <cellStyle name="Milliers 3 5 2 3 2 3 2 2 2" xfId="17165"/>
    <cellStyle name="Milliers 3 5 2 3 2 3 2 3" xfId="12845"/>
    <cellStyle name="Milliers 3 5 2 3 2 3 3" xfId="6365"/>
    <cellStyle name="Milliers 3 5 2 3 2 3 3 2" xfId="15005"/>
    <cellStyle name="Milliers 3 5 2 3 2 3 4" xfId="10685"/>
    <cellStyle name="Milliers 3 5 2 3 2 4" xfId="2765"/>
    <cellStyle name="Milliers 3 5 2 3 2 4 2" xfId="7085"/>
    <cellStyle name="Milliers 3 5 2 3 2 4 2 2" xfId="15725"/>
    <cellStyle name="Milliers 3 5 2 3 2 4 3" xfId="11405"/>
    <cellStyle name="Milliers 3 5 2 3 2 5" xfId="4925"/>
    <cellStyle name="Milliers 3 5 2 3 2 5 2" xfId="13565"/>
    <cellStyle name="Milliers 3 5 2 3 2 6" xfId="9245"/>
    <cellStyle name="Milliers 3 5 2 3 3" xfId="965"/>
    <cellStyle name="Milliers 3 5 2 3 3 2" xfId="3125"/>
    <cellStyle name="Milliers 3 5 2 3 3 2 2" xfId="7445"/>
    <cellStyle name="Milliers 3 5 2 3 3 2 2 2" xfId="16085"/>
    <cellStyle name="Milliers 3 5 2 3 3 2 3" xfId="11765"/>
    <cellStyle name="Milliers 3 5 2 3 3 3" xfId="5285"/>
    <cellStyle name="Milliers 3 5 2 3 3 3 2" xfId="13925"/>
    <cellStyle name="Milliers 3 5 2 3 3 4" xfId="9605"/>
    <cellStyle name="Milliers 3 5 2 3 4" xfId="1685"/>
    <cellStyle name="Milliers 3 5 2 3 4 2" xfId="3845"/>
    <cellStyle name="Milliers 3 5 2 3 4 2 2" xfId="8165"/>
    <cellStyle name="Milliers 3 5 2 3 4 2 2 2" xfId="16805"/>
    <cellStyle name="Milliers 3 5 2 3 4 2 3" xfId="12485"/>
    <cellStyle name="Milliers 3 5 2 3 4 3" xfId="6005"/>
    <cellStyle name="Milliers 3 5 2 3 4 3 2" xfId="14645"/>
    <cellStyle name="Milliers 3 5 2 3 4 4" xfId="10325"/>
    <cellStyle name="Milliers 3 5 2 3 5" xfId="2405"/>
    <cellStyle name="Milliers 3 5 2 3 5 2" xfId="6725"/>
    <cellStyle name="Milliers 3 5 2 3 5 2 2" xfId="15365"/>
    <cellStyle name="Milliers 3 5 2 3 5 3" xfId="11045"/>
    <cellStyle name="Milliers 3 5 2 3 6" xfId="4565"/>
    <cellStyle name="Milliers 3 5 2 3 6 2" xfId="13205"/>
    <cellStyle name="Milliers 3 5 2 3 7" xfId="8885"/>
    <cellStyle name="Milliers 3 5 2 4" xfId="425"/>
    <cellStyle name="Milliers 3 5 2 4 2" xfId="1145"/>
    <cellStyle name="Milliers 3 5 2 4 2 2" xfId="3305"/>
    <cellStyle name="Milliers 3 5 2 4 2 2 2" xfId="7625"/>
    <cellStyle name="Milliers 3 5 2 4 2 2 2 2" xfId="16265"/>
    <cellStyle name="Milliers 3 5 2 4 2 2 3" xfId="11945"/>
    <cellStyle name="Milliers 3 5 2 4 2 3" xfId="5465"/>
    <cellStyle name="Milliers 3 5 2 4 2 3 2" xfId="14105"/>
    <cellStyle name="Milliers 3 5 2 4 2 4" xfId="9785"/>
    <cellStyle name="Milliers 3 5 2 4 3" xfId="1865"/>
    <cellStyle name="Milliers 3 5 2 4 3 2" xfId="4025"/>
    <cellStyle name="Milliers 3 5 2 4 3 2 2" xfId="8345"/>
    <cellStyle name="Milliers 3 5 2 4 3 2 2 2" xfId="16985"/>
    <cellStyle name="Milliers 3 5 2 4 3 2 3" xfId="12665"/>
    <cellStyle name="Milliers 3 5 2 4 3 3" xfId="6185"/>
    <cellStyle name="Milliers 3 5 2 4 3 3 2" xfId="14825"/>
    <cellStyle name="Milliers 3 5 2 4 3 4" xfId="10505"/>
    <cellStyle name="Milliers 3 5 2 4 4" xfId="2585"/>
    <cellStyle name="Milliers 3 5 2 4 4 2" xfId="6905"/>
    <cellStyle name="Milliers 3 5 2 4 4 2 2" xfId="15545"/>
    <cellStyle name="Milliers 3 5 2 4 4 3" xfId="11225"/>
    <cellStyle name="Milliers 3 5 2 4 5" xfId="4745"/>
    <cellStyle name="Milliers 3 5 2 4 5 2" xfId="13385"/>
    <cellStyle name="Milliers 3 5 2 4 6" xfId="9065"/>
    <cellStyle name="Milliers 3 5 2 5" xfId="785"/>
    <cellStyle name="Milliers 3 5 2 5 2" xfId="2945"/>
    <cellStyle name="Milliers 3 5 2 5 2 2" xfId="7265"/>
    <cellStyle name="Milliers 3 5 2 5 2 2 2" xfId="15905"/>
    <cellStyle name="Milliers 3 5 2 5 2 3" xfId="11585"/>
    <cellStyle name="Milliers 3 5 2 5 3" xfId="5105"/>
    <cellStyle name="Milliers 3 5 2 5 3 2" xfId="13745"/>
    <cellStyle name="Milliers 3 5 2 5 4" xfId="9425"/>
    <cellStyle name="Milliers 3 5 2 6" xfId="1505"/>
    <cellStyle name="Milliers 3 5 2 6 2" xfId="3665"/>
    <cellStyle name="Milliers 3 5 2 6 2 2" xfId="7985"/>
    <cellStyle name="Milliers 3 5 2 6 2 2 2" xfId="16625"/>
    <cellStyle name="Milliers 3 5 2 6 2 3" xfId="12305"/>
    <cellStyle name="Milliers 3 5 2 6 3" xfId="5825"/>
    <cellStyle name="Milliers 3 5 2 6 3 2" xfId="14465"/>
    <cellStyle name="Milliers 3 5 2 6 4" xfId="10145"/>
    <cellStyle name="Milliers 3 5 2 7" xfId="2225"/>
    <cellStyle name="Milliers 3 5 2 7 2" xfId="6545"/>
    <cellStyle name="Milliers 3 5 2 7 2 2" xfId="15185"/>
    <cellStyle name="Milliers 3 5 2 7 3" xfId="10865"/>
    <cellStyle name="Milliers 3 5 2 8" xfId="4385"/>
    <cellStyle name="Milliers 3 5 2 8 2" xfId="13025"/>
    <cellStyle name="Milliers 3 5 2 9" xfId="8705"/>
    <cellStyle name="Milliers 3 5 3" xfId="110"/>
    <cellStyle name="Milliers 3 5 3 2" xfId="290"/>
    <cellStyle name="Milliers 3 5 3 2 2" xfId="650"/>
    <cellStyle name="Milliers 3 5 3 2 2 2" xfId="1370"/>
    <cellStyle name="Milliers 3 5 3 2 2 2 2" xfId="3530"/>
    <cellStyle name="Milliers 3 5 3 2 2 2 2 2" xfId="7850"/>
    <cellStyle name="Milliers 3 5 3 2 2 2 2 2 2" xfId="16490"/>
    <cellStyle name="Milliers 3 5 3 2 2 2 2 3" xfId="12170"/>
    <cellStyle name="Milliers 3 5 3 2 2 2 3" xfId="5690"/>
    <cellStyle name="Milliers 3 5 3 2 2 2 3 2" xfId="14330"/>
    <cellStyle name="Milliers 3 5 3 2 2 2 4" xfId="10010"/>
    <cellStyle name="Milliers 3 5 3 2 2 3" xfId="2090"/>
    <cellStyle name="Milliers 3 5 3 2 2 3 2" xfId="4250"/>
    <cellStyle name="Milliers 3 5 3 2 2 3 2 2" xfId="8570"/>
    <cellStyle name="Milliers 3 5 3 2 2 3 2 2 2" xfId="17210"/>
    <cellStyle name="Milliers 3 5 3 2 2 3 2 3" xfId="12890"/>
    <cellStyle name="Milliers 3 5 3 2 2 3 3" xfId="6410"/>
    <cellStyle name="Milliers 3 5 3 2 2 3 3 2" xfId="15050"/>
    <cellStyle name="Milliers 3 5 3 2 2 3 4" xfId="10730"/>
    <cellStyle name="Milliers 3 5 3 2 2 4" xfId="2810"/>
    <cellStyle name="Milliers 3 5 3 2 2 4 2" xfId="7130"/>
    <cellStyle name="Milliers 3 5 3 2 2 4 2 2" xfId="15770"/>
    <cellStyle name="Milliers 3 5 3 2 2 4 3" xfId="11450"/>
    <cellStyle name="Milliers 3 5 3 2 2 5" xfId="4970"/>
    <cellStyle name="Milliers 3 5 3 2 2 5 2" xfId="13610"/>
    <cellStyle name="Milliers 3 5 3 2 2 6" xfId="9290"/>
    <cellStyle name="Milliers 3 5 3 2 3" xfId="1010"/>
    <cellStyle name="Milliers 3 5 3 2 3 2" xfId="3170"/>
    <cellStyle name="Milliers 3 5 3 2 3 2 2" xfId="7490"/>
    <cellStyle name="Milliers 3 5 3 2 3 2 2 2" xfId="16130"/>
    <cellStyle name="Milliers 3 5 3 2 3 2 3" xfId="11810"/>
    <cellStyle name="Milliers 3 5 3 2 3 3" xfId="5330"/>
    <cellStyle name="Milliers 3 5 3 2 3 3 2" xfId="13970"/>
    <cellStyle name="Milliers 3 5 3 2 3 4" xfId="9650"/>
    <cellStyle name="Milliers 3 5 3 2 4" xfId="1730"/>
    <cellStyle name="Milliers 3 5 3 2 4 2" xfId="3890"/>
    <cellStyle name="Milliers 3 5 3 2 4 2 2" xfId="8210"/>
    <cellStyle name="Milliers 3 5 3 2 4 2 2 2" xfId="16850"/>
    <cellStyle name="Milliers 3 5 3 2 4 2 3" xfId="12530"/>
    <cellStyle name="Milliers 3 5 3 2 4 3" xfId="6050"/>
    <cellStyle name="Milliers 3 5 3 2 4 3 2" xfId="14690"/>
    <cellStyle name="Milliers 3 5 3 2 4 4" xfId="10370"/>
    <cellStyle name="Milliers 3 5 3 2 5" xfId="2450"/>
    <cellStyle name="Milliers 3 5 3 2 5 2" xfId="6770"/>
    <cellStyle name="Milliers 3 5 3 2 5 2 2" xfId="15410"/>
    <cellStyle name="Milliers 3 5 3 2 5 3" xfId="11090"/>
    <cellStyle name="Milliers 3 5 3 2 6" xfId="4610"/>
    <cellStyle name="Milliers 3 5 3 2 6 2" xfId="13250"/>
    <cellStyle name="Milliers 3 5 3 2 7" xfId="8930"/>
    <cellStyle name="Milliers 3 5 3 3" xfId="470"/>
    <cellStyle name="Milliers 3 5 3 3 2" xfId="1190"/>
    <cellStyle name="Milliers 3 5 3 3 2 2" xfId="3350"/>
    <cellStyle name="Milliers 3 5 3 3 2 2 2" xfId="7670"/>
    <cellStyle name="Milliers 3 5 3 3 2 2 2 2" xfId="16310"/>
    <cellStyle name="Milliers 3 5 3 3 2 2 3" xfId="11990"/>
    <cellStyle name="Milliers 3 5 3 3 2 3" xfId="5510"/>
    <cellStyle name="Milliers 3 5 3 3 2 3 2" xfId="14150"/>
    <cellStyle name="Milliers 3 5 3 3 2 4" xfId="9830"/>
    <cellStyle name="Milliers 3 5 3 3 3" xfId="1910"/>
    <cellStyle name="Milliers 3 5 3 3 3 2" xfId="4070"/>
    <cellStyle name="Milliers 3 5 3 3 3 2 2" xfId="8390"/>
    <cellStyle name="Milliers 3 5 3 3 3 2 2 2" xfId="17030"/>
    <cellStyle name="Milliers 3 5 3 3 3 2 3" xfId="12710"/>
    <cellStyle name="Milliers 3 5 3 3 3 3" xfId="6230"/>
    <cellStyle name="Milliers 3 5 3 3 3 3 2" xfId="14870"/>
    <cellStyle name="Milliers 3 5 3 3 3 4" xfId="10550"/>
    <cellStyle name="Milliers 3 5 3 3 4" xfId="2630"/>
    <cellStyle name="Milliers 3 5 3 3 4 2" xfId="6950"/>
    <cellStyle name="Milliers 3 5 3 3 4 2 2" xfId="15590"/>
    <cellStyle name="Milliers 3 5 3 3 4 3" xfId="11270"/>
    <cellStyle name="Milliers 3 5 3 3 5" xfId="4790"/>
    <cellStyle name="Milliers 3 5 3 3 5 2" xfId="13430"/>
    <cellStyle name="Milliers 3 5 3 3 6" xfId="9110"/>
    <cellStyle name="Milliers 3 5 3 4" xfId="830"/>
    <cellStyle name="Milliers 3 5 3 4 2" xfId="2990"/>
    <cellStyle name="Milliers 3 5 3 4 2 2" xfId="7310"/>
    <cellStyle name="Milliers 3 5 3 4 2 2 2" xfId="15950"/>
    <cellStyle name="Milliers 3 5 3 4 2 3" xfId="11630"/>
    <cellStyle name="Milliers 3 5 3 4 3" xfId="5150"/>
    <cellStyle name="Milliers 3 5 3 4 3 2" xfId="13790"/>
    <cellStyle name="Milliers 3 5 3 4 4" xfId="9470"/>
    <cellStyle name="Milliers 3 5 3 5" xfId="1550"/>
    <cellStyle name="Milliers 3 5 3 5 2" xfId="3710"/>
    <cellStyle name="Milliers 3 5 3 5 2 2" xfId="8030"/>
    <cellStyle name="Milliers 3 5 3 5 2 2 2" xfId="16670"/>
    <cellStyle name="Milliers 3 5 3 5 2 3" xfId="12350"/>
    <cellStyle name="Milliers 3 5 3 5 3" xfId="5870"/>
    <cellStyle name="Milliers 3 5 3 5 3 2" xfId="14510"/>
    <cellStyle name="Milliers 3 5 3 5 4" xfId="10190"/>
    <cellStyle name="Milliers 3 5 3 6" xfId="2270"/>
    <cellStyle name="Milliers 3 5 3 6 2" xfId="6590"/>
    <cellStyle name="Milliers 3 5 3 6 2 2" xfId="15230"/>
    <cellStyle name="Milliers 3 5 3 6 3" xfId="10910"/>
    <cellStyle name="Milliers 3 5 3 7" xfId="4430"/>
    <cellStyle name="Milliers 3 5 3 7 2" xfId="13070"/>
    <cellStyle name="Milliers 3 5 3 8" xfId="8750"/>
    <cellStyle name="Milliers 3 5 4" xfId="200"/>
    <cellStyle name="Milliers 3 5 4 2" xfId="560"/>
    <cellStyle name="Milliers 3 5 4 2 2" xfId="1280"/>
    <cellStyle name="Milliers 3 5 4 2 2 2" xfId="3440"/>
    <cellStyle name="Milliers 3 5 4 2 2 2 2" xfId="7760"/>
    <cellStyle name="Milliers 3 5 4 2 2 2 2 2" xfId="16400"/>
    <cellStyle name="Milliers 3 5 4 2 2 2 3" xfId="12080"/>
    <cellStyle name="Milliers 3 5 4 2 2 3" xfId="5600"/>
    <cellStyle name="Milliers 3 5 4 2 2 3 2" xfId="14240"/>
    <cellStyle name="Milliers 3 5 4 2 2 4" xfId="9920"/>
    <cellStyle name="Milliers 3 5 4 2 3" xfId="2000"/>
    <cellStyle name="Milliers 3 5 4 2 3 2" xfId="4160"/>
    <cellStyle name="Milliers 3 5 4 2 3 2 2" xfId="8480"/>
    <cellStyle name="Milliers 3 5 4 2 3 2 2 2" xfId="17120"/>
    <cellStyle name="Milliers 3 5 4 2 3 2 3" xfId="12800"/>
    <cellStyle name="Milliers 3 5 4 2 3 3" xfId="6320"/>
    <cellStyle name="Milliers 3 5 4 2 3 3 2" xfId="14960"/>
    <cellStyle name="Milliers 3 5 4 2 3 4" xfId="10640"/>
    <cellStyle name="Milliers 3 5 4 2 4" xfId="2720"/>
    <cellStyle name="Milliers 3 5 4 2 4 2" xfId="7040"/>
    <cellStyle name="Milliers 3 5 4 2 4 2 2" xfId="15680"/>
    <cellStyle name="Milliers 3 5 4 2 4 3" xfId="11360"/>
    <cellStyle name="Milliers 3 5 4 2 5" xfId="4880"/>
    <cellStyle name="Milliers 3 5 4 2 5 2" xfId="13520"/>
    <cellStyle name="Milliers 3 5 4 2 6" xfId="9200"/>
    <cellStyle name="Milliers 3 5 4 3" xfId="920"/>
    <cellStyle name="Milliers 3 5 4 3 2" xfId="3080"/>
    <cellStyle name="Milliers 3 5 4 3 2 2" xfId="7400"/>
    <cellStyle name="Milliers 3 5 4 3 2 2 2" xfId="16040"/>
    <cellStyle name="Milliers 3 5 4 3 2 3" xfId="11720"/>
    <cellStyle name="Milliers 3 5 4 3 3" xfId="5240"/>
    <cellStyle name="Milliers 3 5 4 3 3 2" xfId="13880"/>
    <cellStyle name="Milliers 3 5 4 3 4" xfId="9560"/>
    <cellStyle name="Milliers 3 5 4 4" xfId="1640"/>
    <cellStyle name="Milliers 3 5 4 4 2" xfId="3800"/>
    <cellStyle name="Milliers 3 5 4 4 2 2" xfId="8120"/>
    <cellStyle name="Milliers 3 5 4 4 2 2 2" xfId="16760"/>
    <cellStyle name="Milliers 3 5 4 4 2 3" xfId="12440"/>
    <cellStyle name="Milliers 3 5 4 4 3" xfId="5960"/>
    <cellStyle name="Milliers 3 5 4 4 3 2" xfId="14600"/>
    <cellStyle name="Milliers 3 5 4 4 4" xfId="10280"/>
    <cellStyle name="Milliers 3 5 4 5" xfId="2360"/>
    <cellStyle name="Milliers 3 5 4 5 2" xfId="6680"/>
    <cellStyle name="Milliers 3 5 4 5 2 2" xfId="15320"/>
    <cellStyle name="Milliers 3 5 4 5 3" xfId="11000"/>
    <cellStyle name="Milliers 3 5 4 6" xfId="4520"/>
    <cellStyle name="Milliers 3 5 4 6 2" xfId="13160"/>
    <cellStyle name="Milliers 3 5 4 7" xfId="8840"/>
    <cellStyle name="Milliers 3 5 5" xfId="380"/>
    <cellStyle name="Milliers 3 5 5 2" xfId="1100"/>
    <cellStyle name="Milliers 3 5 5 2 2" xfId="3260"/>
    <cellStyle name="Milliers 3 5 5 2 2 2" xfId="7580"/>
    <cellStyle name="Milliers 3 5 5 2 2 2 2" xfId="16220"/>
    <cellStyle name="Milliers 3 5 5 2 2 3" xfId="11900"/>
    <cellStyle name="Milliers 3 5 5 2 3" xfId="5420"/>
    <cellStyle name="Milliers 3 5 5 2 3 2" xfId="14060"/>
    <cellStyle name="Milliers 3 5 5 2 4" xfId="9740"/>
    <cellStyle name="Milliers 3 5 5 3" xfId="1820"/>
    <cellStyle name="Milliers 3 5 5 3 2" xfId="3980"/>
    <cellStyle name="Milliers 3 5 5 3 2 2" xfId="8300"/>
    <cellStyle name="Milliers 3 5 5 3 2 2 2" xfId="16940"/>
    <cellStyle name="Milliers 3 5 5 3 2 3" xfId="12620"/>
    <cellStyle name="Milliers 3 5 5 3 3" xfId="6140"/>
    <cellStyle name="Milliers 3 5 5 3 3 2" xfId="14780"/>
    <cellStyle name="Milliers 3 5 5 3 4" xfId="10460"/>
    <cellStyle name="Milliers 3 5 5 4" xfId="2540"/>
    <cellStyle name="Milliers 3 5 5 4 2" xfId="6860"/>
    <cellStyle name="Milliers 3 5 5 4 2 2" xfId="15500"/>
    <cellStyle name="Milliers 3 5 5 4 3" xfId="11180"/>
    <cellStyle name="Milliers 3 5 5 5" xfId="4700"/>
    <cellStyle name="Milliers 3 5 5 5 2" xfId="13340"/>
    <cellStyle name="Milliers 3 5 5 6" xfId="9020"/>
    <cellStyle name="Milliers 3 5 6" xfId="740"/>
    <cellStyle name="Milliers 3 5 6 2" xfId="2900"/>
    <cellStyle name="Milliers 3 5 6 2 2" xfId="7220"/>
    <cellStyle name="Milliers 3 5 6 2 2 2" xfId="15860"/>
    <cellStyle name="Milliers 3 5 6 2 3" xfId="11540"/>
    <cellStyle name="Milliers 3 5 6 3" xfId="5060"/>
    <cellStyle name="Milliers 3 5 6 3 2" xfId="13700"/>
    <cellStyle name="Milliers 3 5 6 4" xfId="9380"/>
    <cellStyle name="Milliers 3 5 7" xfId="1460"/>
    <cellStyle name="Milliers 3 5 7 2" xfId="3620"/>
    <cellStyle name="Milliers 3 5 7 2 2" xfId="7940"/>
    <cellStyle name="Milliers 3 5 7 2 2 2" xfId="16580"/>
    <cellStyle name="Milliers 3 5 7 2 3" xfId="12260"/>
    <cellStyle name="Milliers 3 5 7 3" xfId="5780"/>
    <cellStyle name="Milliers 3 5 7 3 2" xfId="14420"/>
    <cellStyle name="Milliers 3 5 7 4" xfId="10100"/>
    <cellStyle name="Milliers 3 5 8" xfId="2180"/>
    <cellStyle name="Milliers 3 5 8 2" xfId="6500"/>
    <cellStyle name="Milliers 3 5 8 2 2" xfId="15140"/>
    <cellStyle name="Milliers 3 5 8 3" xfId="10820"/>
    <cellStyle name="Milliers 3 5 9" xfId="4340"/>
    <cellStyle name="Milliers 3 5 9 2" xfId="12980"/>
    <cellStyle name="Milliers 3 6" xfId="35"/>
    <cellStyle name="Milliers 3 6 10" xfId="8675"/>
    <cellStyle name="Milliers 3 6 2" xfId="80"/>
    <cellStyle name="Milliers 3 6 2 2" xfId="170"/>
    <cellStyle name="Milliers 3 6 2 2 2" xfId="350"/>
    <cellStyle name="Milliers 3 6 2 2 2 2" xfId="710"/>
    <cellStyle name="Milliers 3 6 2 2 2 2 2" xfId="1430"/>
    <cellStyle name="Milliers 3 6 2 2 2 2 2 2" xfId="3590"/>
    <cellStyle name="Milliers 3 6 2 2 2 2 2 2 2" xfId="7910"/>
    <cellStyle name="Milliers 3 6 2 2 2 2 2 2 2 2" xfId="16550"/>
    <cellStyle name="Milliers 3 6 2 2 2 2 2 2 3" xfId="12230"/>
    <cellStyle name="Milliers 3 6 2 2 2 2 2 3" xfId="5750"/>
    <cellStyle name="Milliers 3 6 2 2 2 2 2 3 2" xfId="14390"/>
    <cellStyle name="Milliers 3 6 2 2 2 2 2 4" xfId="10070"/>
    <cellStyle name="Milliers 3 6 2 2 2 2 3" xfId="2150"/>
    <cellStyle name="Milliers 3 6 2 2 2 2 3 2" xfId="4310"/>
    <cellStyle name="Milliers 3 6 2 2 2 2 3 2 2" xfId="8630"/>
    <cellStyle name="Milliers 3 6 2 2 2 2 3 2 2 2" xfId="17270"/>
    <cellStyle name="Milliers 3 6 2 2 2 2 3 2 3" xfId="12950"/>
    <cellStyle name="Milliers 3 6 2 2 2 2 3 3" xfId="6470"/>
    <cellStyle name="Milliers 3 6 2 2 2 2 3 3 2" xfId="15110"/>
    <cellStyle name="Milliers 3 6 2 2 2 2 3 4" xfId="10790"/>
    <cellStyle name="Milliers 3 6 2 2 2 2 4" xfId="2870"/>
    <cellStyle name="Milliers 3 6 2 2 2 2 4 2" xfId="7190"/>
    <cellStyle name="Milliers 3 6 2 2 2 2 4 2 2" xfId="15830"/>
    <cellStyle name="Milliers 3 6 2 2 2 2 4 3" xfId="11510"/>
    <cellStyle name="Milliers 3 6 2 2 2 2 5" xfId="5030"/>
    <cellStyle name="Milliers 3 6 2 2 2 2 5 2" xfId="13670"/>
    <cellStyle name="Milliers 3 6 2 2 2 2 6" xfId="9350"/>
    <cellStyle name="Milliers 3 6 2 2 2 3" xfId="1070"/>
    <cellStyle name="Milliers 3 6 2 2 2 3 2" xfId="3230"/>
    <cellStyle name="Milliers 3 6 2 2 2 3 2 2" xfId="7550"/>
    <cellStyle name="Milliers 3 6 2 2 2 3 2 2 2" xfId="16190"/>
    <cellStyle name="Milliers 3 6 2 2 2 3 2 3" xfId="11870"/>
    <cellStyle name="Milliers 3 6 2 2 2 3 3" xfId="5390"/>
    <cellStyle name="Milliers 3 6 2 2 2 3 3 2" xfId="14030"/>
    <cellStyle name="Milliers 3 6 2 2 2 3 4" xfId="9710"/>
    <cellStyle name="Milliers 3 6 2 2 2 4" xfId="1790"/>
    <cellStyle name="Milliers 3 6 2 2 2 4 2" xfId="3950"/>
    <cellStyle name="Milliers 3 6 2 2 2 4 2 2" xfId="8270"/>
    <cellStyle name="Milliers 3 6 2 2 2 4 2 2 2" xfId="16910"/>
    <cellStyle name="Milliers 3 6 2 2 2 4 2 3" xfId="12590"/>
    <cellStyle name="Milliers 3 6 2 2 2 4 3" xfId="6110"/>
    <cellStyle name="Milliers 3 6 2 2 2 4 3 2" xfId="14750"/>
    <cellStyle name="Milliers 3 6 2 2 2 4 4" xfId="10430"/>
    <cellStyle name="Milliers 3 6 2 2 2 5" xfId="2510"/>
    <cellStyle name="Milliers 3 6 2 2 2 5 2" xfId="6830"/>
    <cellStyle name="Milliers 3 6 2 2 2 5 2 2" xfId="15470"/>
    <cellStyle name="Milliers 3 6 2 2 2 5 3" xfId="11150"/>
    <cellStyle name="Milliers 3 6 2 2 2 6" xfId="4670"/>
    <cellStyle name="Milliers 3 6 2 2 2 6 2" xfId="13310"/>
    <cellStyle name="Milliers 3 6 2 2 2 7" xfId="8990"/>
    <cellStyle name="Milliers 3 6 2 2 3" xfId="530"/>
    <cellStyle name="Milliers 3 6 2 2 3 2" xfId="1250"/>
    <cellStyle name="Milliers 3 6 2 2 3 2 2" xfId="3410"/>
    <cellStyle name="Milliers 3 6 2 2 3 2 2 2" xfId="7730"/>
    <cellStyle name="Milliers 3 6 2 2 3 2 2 2 2" xfId="16370"/>
    <cellStyle name="Milliers 3 6 2 2 3 2 2 3" xfId="12050"/>
    <cellStyle name="Milliers 3 6 2 2 3 2 3" xfId="5570"/>
    <cellStyle name="Milliers 3 6 2 2 3 2 3 2" xfId="14210"/>
    <cellStyle name="Milliers 3 6 2 2 3 2 4" xfId="9890"/>
    <cellStyle name="Milliers 3 6 2 2 3 3" xfId="1970"/>
    <cellStyle name="Milliers 3 6 2 2 3 3 2" xfId="4130"/>
    <cellStyle name="Milliers 3 6 2 2 3 3 2 2" xfId="8450"/>
    <cellStyle name="Milliers 3 6 2 2 3 3 2 2 2" xfId="17090"/>
    <cellStyle name="Milliers 3 6 2 2 3 3 2 3" xfId="12770"/>
    <cellStyle name="Milliers 3 6 2 2 3 3 3" xfId="6290"/>
    <cellStyle name="Milliers 3 6 2 2 3 3 3 2" xfId="14930"/>
    <cellStyle name="Milliers 3 6 2 2 3 3 4" xfId="10610"/>
    <cellStyle name="Milliers 3 6 2 2 3 4" xfId="2690"/>
    <cellStyle name="Milliers 3 6 2 2 3 4 2" xfId="7010"/>
    <cellStyle name="Milliers 3 6 2 2 3 4 2 2" xfId="15650"/>
    <cellStyle name="Milliers 3 6 2 2 3 4 3" xfId="11330"/>
    <cellStyle name="Milliers 3 6 2 2 3 5" xfId="4850"/>
    <cellStyle name="Milliers 3 6 2 2 3 5 2" xfId="13490"/>
    <cellStyle name="Milliers 3 6 2 2 3 6" xfId="9170"/>
    <cellStyle name="Milliers 3 6 2 2 4" xfId="890"/>
    <cellStyle name="Milliers 3 6 2 2 4 2" xfId="3050"/>
    <cellStyle name="Milliers 3 6 2 2 4 2 2" xfId="7370"/>
    <cellStyle name="Milliers 3 6 2 2 4 2 2 2" xfId="16010"/>
    <cellStyle name="Milliers 3 6 2 2 4 2 3" xfId="11690"/>
    <cellStyle name="Milliers 3 6 2 2 4 3" xfId="5210"/>
    <cellStyle name="Milliers 3 6 2 2 4 3 2" xfId="13850"/>
    <cellStyle name="Milliers 3 6 2 2 4 4" xfId="9530"/>
    <cellStyle name="Milliers 3 6 2 2 5" xfId="1610"/>
    <cellStyle name="Milliers 3 6 2 2 5 2" xfId="3770"/>
    <cellStyle name="Milliers 3 6 2 2 5 2 2" xfId="8090"/>
    <cellStyle name="Milliers 3 6 2 2 5 2 2 2" xfId="16730"/>
    <cellStyle name="Milliers 3 6 2 2 5 2 3" xfId="12410"/>
    <cellStyle name="Milliers 3 6 2 2 5 3" xfId="5930"/>
    <cellStyle name="Milliers 3 6 2 2 5 3 2" xfId="14570"/>
    <cellStyle name="Milliers 3 6 2 2 5 4" xfId="10250"/>
    <cellStyle name="Milliers 3 6 2 2 6" xfId="2330"/>
    <cellStyle name="Milliers 3 6 2 2 6 2" xfId="6650"/>
    <cellStyle name="Milliers 3 6 2 2 6 2 2" xfId="15290"/>
    <cellStyle name="Milliers 3 6 2 2 6 3" xfId="10970"/>
    <cellStyle name="Milliers 3 6 2 2 7" xfId="4490"/>
    <cellStyle name="Milliers 3 6 2 2 7 2" xfId="13130"/>
    <cellStyle name="Milliers 3 6 2 2 8" xfId="8810"/>
    <cellStyle name="Milliers 3 6 2 3" xfId="260"/>
    <cellStyle name="Milliers 3 6 2 3 2" xfId="620"/>
    <cellStyle name="Milliers 3 6 2 3 2 2" xfId="1340"/>
    <cellStyle name="Milliers 3 6 2 3 2 2 2" xfId="3500"/>
    <cellStyle name="Milliers 3 6 2 3 2 2 2 2" xfId="7820"/>
    <cellStyle name="Milliers 3 6 2 3 2 2 2 2 2" xfId="16460"/>
    <cellStyle name="Milliers 3 6 2 3 2 2 2 3" xfId="12140"/>
    <cellStyle name="Milliers 3 6 2 3 2 2 3" xfId="5660"/>
    <cellStyle name="Milliers 3 6 2 3 2 2 3 2" xfId="14300"/>
    <cellStyle name="Milliers 3 6 2 3 2 2 4" xfId="9980"/>
    <cellStyle name="Milliers 3 6 2 3 2 3" xfId="2060"/>
    <cellStyle name="Milliers 3 6 2 3 2 3 2" xfId="4220"/>
    <cellStyle name="Milliers 3 6 2 3 2 3 2 2" xfId="8540"/>
    <cellStyle name="Milliers 3 6 2 3 2 3 2 2 2" xfId="17180"/>
    <cellStyle name="Milliers 3 6 2 3 2 3 2 3" xfId="12860"/>
    <cellStyle name="Milliers 3 6 2 3 2 3 3" xfId="6380"/>
    <cellStyle name="Milliers 3 6 2 3 2 3 3 2" xfId="15020"/>
    <cellStyle name="Milliers 3 6 2 3 2 3 4" xfId="10700"/>
    <cellStyle name="Milliers 3 6 2 3 2 4" xfId="2780"/>
    <cellStyle name="Milliers 3 6 2 3 2 4 2" xfId="7100"/>
    <cellStyle name="Milliers 3 6 2 3 2 4 2 2" xfId="15740"/>
    <cellStyle name="Milliers 3 6 2 3 2 4 3" xfId="11420"/>
    <cellStyle name="Milliers 3 6 2 3 2 5" xfId="4940"/>
    <cellStyle name="Milliers 3 6 2 3 2 5 2" xfId="13580"/>
    <cellStyle name="Milliers 3 6 2 3 2 6" xfId="9260"/>
    <cellStyle name="Milliers 3 6 2 3 3" xfId="980"/>
    <cellStyle name="Milliers 3 6 2 3 3 2" xfId="3140"/>
    <cellStyle name="Milliers 3 6 2 3 3 2 2" xfId="7460"/>
    <cellStyle name="Milliers 3 6 2 3 3 2 2 2" xfId="16100"/>
    <cellStyle name="Milliers 3 6 2 3 3 2 3" xfId="11780"/>
    <cellStyle name="Milliers 3 6 2 3 3 3" xfId="5300"/>
    <cellStyle name="Milliers 3 6 2 3 3 3 2" xfId="13940"/>
    <cellStyle name="Milliers 3 6 2 3 3 4" xfId="9620"/>
    <cellStyle name="Milliers 3 6 2 3 4" xfId="1700"/>
    <cellStyle name="Milliers 3 6 2 3 4 2" xfId="3860"/>
    <cellStyle name="Milliers 3 6 2 3 4 2 2" xfId="8180"/>
    <cellStyle name="Milliers 3 6 2 3 4 2 2 2" xfId="16820"/>
    <cellStyle name="Milliers 3 6 2 3 4 2 3" xfId="12500"/>
    <cellStyle name="Milliers 3 6 2 3 4 3" xfId="6020"/>
    <cellStyle name="Milliers 3 6 2 3 4 3 2" xfId="14660"/>
    <cellStyle name="Milliers 3 6 2 3 4 4" xfId="10340"/>
    <cellStyle name="Milliers 3 6 2 3 5" xfId="2420"/>
    <cellStyle name="Milliers 3 6 2 3 5 2" xfId="6740"/>
    <cellStyle name="Milliers 3 6 2 3 5 2 2" xfId="15380"/>
    <cellStyle name="Milliers 3 6 2 3 5 3" xfId="11060"/>
    <cellStyle name="Milliers 3 6 2 3 6" xfId="4580"/>
    <cellStyle name="Milliers 3 6 2 3 6 2" xfId="13220"/>
    <cellStyle name="Milliers 3 6 2 3 7" xfId="8900"/>
    <cellStyle name="Milliers 3 6 2 4" xfId="440"/>
    <cellStyle name="Milliers 3 6 2 4 2" xfId="1160"/>
    <cellStyle name="Milliers 3 6 2 4 2 2" xfId="3320"/>
    <cellStyle name="Milliers 3 6 2 4 2 2 2" xfId="7640"/>
    <cellStyle name="Milliers 3 6 2 4 2 2 2 2" xfId="16280"/>
    <cellStyle name="Milliers 3 6 2 4 2 2 3" xfId="11960"/>
    <cellStyle name="Milliers 3 6 2 4 2 3" xfId="5480"/>
    <cellStyle name="Milliers 3 6 2 4 2 3 2" xfId="14120"/>
    <cellStyle name="Milliers 3 6 2 4 2 4" xfId="9800"/>
    <cellStyle name="Milliers 3 6 2 4 3" xfId="1880"/>
    <cellStyle name="Milliers 3 6 2 4 3 2" xfId="4040"/>
    <cellStyle name="Milliers 3 6 2 4 3 2 2" xfId="8360"/>
    <cellStyle name="Milliers 3 6 2 4 3 2 2 2" xfId="17000"/>
    <cellStyle name="Milliers 3 6 2 4 3 2 3" xfId="12680"/>
    <cellStyle name="Milliers 3 6 2 4 3 3" xfId="6200"/>
    <cellStyle name="Milliers 3 6 2 4 3 3 2" xfId="14840"/>
    <cellStyle name="Milliers 3 6 2 4 3 4" xfId="10520"/>
    <cellStyle name="Milliers 3 6 2 4 4" xfId="2600"/>
    <cellStyle name="Milliers 3 6 2 4 4 2" xfId="6920"/>
    <cellStyle name="Milliers 3 6 2 4 4 2 2" xfId="15560"/>
    <cellStyle name="Milliers 3 6 2 4 4 3" xfId="11240"/>
    <cellStyle name="Milliers 3 6 2 4 5" xfId="4760"/>
    <cellStyle name="Milliers 3 6 2 4 5 2" xfId="13400"/>
    <cellStyle name="Milliers 3 6 2 4 6" xfId="9080"/>
    <cellStyle name="Milliers 3 6 2 5" xfId="800"/>
    <cellStyle name="Milliers 3 6 2 5 2" xfId="2960"/>
    <cellStyle name="Milliers 3 6 2 5 2 2" xfId="7280"/>
    <cellStyle name="Milliers 3 6 2 5 2 2 2" xfId="15920"/>
    <cellStyle name="Milliers 3 6 2 5 2 3" xfId="11600"/>
    <cellStyle name="Milliers 3 6 2 5 3" xfId="5120"/>
    <cellStyle name="Milliers 3 6 2 5 3 2" xfId="13760"/>
    <cellStyle name="Milliers 3 6 2 5 4" xfId="9440"/>
    <cellStyle name="Milliers 3 6 2 6" xfId="1520"/>
    <cellStyle name="Milliers 3 6 2 6 2" xfId="3680"/>
    <cellStyle name="Milliers 3 6 2 6 2 2" xfId="8000"/>
    <cellStyle name="Milliers 3 6 2 6 2 2 2" xfId="16640"/>
    <cellStyle name="Milliers 3 6 2 6 2 3" xfId="12320"/>
    <cellStyle name="Milliers 3 6 2 6 3" xfId="5840"/>
    <cellStyle name="Milliers 3 6 2 6 3 2" xfId="14480"/>
    <cellStyle name="Milliers 3 6 2 6 4" xfId="10160"/>
    <cellStyle name="Milliers 3 6 2 7" xfId="2240"/>
    <cellStyle name="Milliers 3 6 2 7 2" xfId="6560"/>
    <cellStyle name="Milliers 3 6 2 7 2 2" xfId="15200"/>
    <cellStyle name="Milliers 3 6 2 7 3" xfId="10880"/>
    <cellStyle name="Milliers 3 6 2 8" xfId="4400"/>
    <cellStyle name="Milliers 3 6 2 8 2" xfId="13040"/>
    <cellStyle name="Milliers 3 6 2 9" xfId="8720"/>
    <cellStyle name="Milliers 3 6 3" xfId="125"/>
    <cellStyle name="Milliers 3 6 3 2" xfId="305"/>
    <cellStyle name="Milliers 3 6 3 2 2" xfId="665"/>
    <cellStyle name="Milliers 3 6 3 2 2 2" xfId="1385"/>
    <cellStyle name="Milliers 3 6 3 2 2 2 2" xfId="3545"/>
    <cellStyle name="Milliers 3 6 3 2 2 2 2 2" xfId="7865"/>
    <cellStyle name="Milliers 3 6 3 2 2 2 2 2 2" xfId="16505"/>
    <cellStyle name="Milliers 3 6 3 2 2 2 2 3" xfId="12185"/>
    <cellStyle name="Milliers 3 6 3 2 2 2 3" xfId="5705"/>
    <cellStyle name="Milliers 3 6 3 2 2 2 3 2" xfId="14345"/>
    <cellStyle name="Milliers 3 6 3 2 2 2 4" xfId="10025"/>
    <cellStyle name="Milliers 3 6 3 2 2 3" xfId="2105"/>
    <cellStyle name="Milliers 3 6 3 2 2 3 2" xfId="4265"/>
    <cellStyle name="Milliers 3 6 3 2 2 3 2 2" xfId="8585"/>
    <cellStyle name="Milliers 3 6 3 2 2 3 2 2 2" xfId="17225"/>
    <cellStyle name="Milliers 3 6 3 2 2 3 2 3" xfId="12905"/>
    <cellStyle name="Milliers 3 6 3 2 2 3 3" xfId="6425"/>
    <cellStyle name="Milliers 3 6 3 2 2 3 3 2" xfId="15065"/>
    <cellStyle name="Milliers 3 6 3 2 2 3 4" xfId="10745"/>
    <cellStyle name="Milliers 3 6 3 2 2 4" xfId="2825"/>
    <cellStyle name="Milliers 3 6 3 2 2 4 2" xfId="7145"/>
    <cellStyle name="Milliers 3 6 3 2 2 4 2 2" xfId="15785"/>
    <cellStyle name="Milliers 3 6 3 2 2 4 3" xfId="11465"/>
    <cellStyle name="Milliers 3 6 3 2 2 5" xfId="4985"/>
    <cellStyle name="Milliers 3 6 3 2 2 5 2" xfId="13625"/>
    <cellStyle name="Milliers 3 6 3 2 2 6" xfId="9305"/>
    <cellStyle name="Milliers 3 6 3 2 3" xfId="1025"/>
    <cellStyle name="Milliers 3 6 3 2 3 2" xfId="3185"/>
    <cellStyle name="Milliers 3 6 3 2 3 2 2" xfId="7505"/>
    <cellStyle name="Milliers 3 6 3 2 3 2 2 2" xfId="16145"/>
    <cellStyle name="Milliers 3 6 3 2 3 2 3" xfId="11825"/>
    <cellStyle name="Milliers 3 6 3 2 3 3" xfId="5345"/>
    <cellStyle name="Milliers 3 6 3 2 3 3 2" xfId="13985"/>
    <cellStyle name="Milliers 3 6 3 2 3 4" xfId="9665"/>
    <cellStyle name="Milliers 3 6 3 2 4" xfId="1745"/>
    <cellStyle name="Milliers 3 6 3 2 4 2" xfId="3905"/>
    <cellStyle name="Milliers 3 6 3 2 4 2 2" xfId="8225"/>
    <cellStyle name="Milliers 3 6 3 2 4 2 2 2" xfId="16865"/>
    <cellStyle name="Milliers 3 6 3 2 4 2 3" xfId="12545"/>
    <cellStyle name="Milliers 3 6 3 2 4 3" xfId="6065"/>
    <cellStyle name="Milliers 3 6 3 2 4 3 2" xfId="14705"/>
    <cellStyle name="Milliers 3 6 3 2 4 4" xfId="10385"/>
    <cellStyle name="Milliers 3 6 3 2 5" xfId="2465"/>
    <cellStyle name="Milliers 3 6 3 2 5 2" xfId="6785"/>
    <cellStyle name="Milliers 3 6 3 2 5 2 2" xfId="15425"/>
    <cellStyle name="Milliers 3 6 3 2 5 3" xfId="11105"/>
    <cellStyle name="Milliers 3 6 3 2 6" xfId="4625"/>
    <cellStyle name="Milliers 3 6 3 2 6 2" xfId="13265"/>
    <cellStyle name="Milliers 3 6 3 2 7" xfId="8945"/>
    <cellStyle name="Milliers 3 6 3 3" xfId="485"/>
    <cellStyle name="Milliers 3 6 3 3 2" xfId="1205"/>
    <cellStyle name="Milliers 3 6 3 3 2 2" xfId="3365"/>
    <cellStyle name="Milliers 3 6 3 3 2 2 2" xfId="7685"/>
    <cellStyle name="Milliers 3 6 3 3 2 2 2 2" xfId="16325"/>
    <cellStyle name="Milliers 3 6 3 3 2 2 3" xfId="12005"/>
    <cellStyle name="Milliers 3 6 3 3 2 3" xfId="5525"/>
    <cellStyle name="Milliers 3 6 3 3 2 3 2" xfId="14165"/>
    <cellStyle name="Milliers 3 6 3 3 2 4" xfId="9845"/>
    <cellStyle name="Milliers 3 6 3 3 3" xfId="1925"/>
    <cellStyle name="Milliers 3 6 3 3 3 2" xfId="4085"/>
    <cellStyle name="Milliers 3 6 3 3 3 2 2" xfId="8405"/>
    <cellStyle name="Milliers 3 6 3 3 3 2 2 2" xfId="17045"/>
    <cellStyle name="Milliers 3 6 3 3 3 2 3" xfId="12725"/>
    <cellStyle name="Milliers 3 6 3 3 3 3" xfId="6245"/>
    <cellStyle name="Milliers 3 6 3 3 3 3 2" xfId="14885"/>
    <cellStyle name="Milliers 3 6 3 3 3 4" xfId="10565"/>
    <cellStyle name="Milliers 3 6 3 3 4" xfId="2645"/>
    <cellStyle name="Milliers 3 6 3 3 4 2" xfId="6965"/>
    <cellStyle name="Milliers 3 6 3 3 4 2 2" xfId="15605"/>
    <cellStyle name="Milliers 3 6 3 3 4 3" xfId="11285"/>
    <cellStyle name="Milliers 3 6 3 3 5" xfId="4805"/>
    <cellStyle name="Milliers 3 6 3 3 5 2" xfId="13445"/>
    <cellStyle name="Milliers 3 6 3 3 6" xfId="9125"/>
    <cellStyle name="Milliers 3 6 3 4" xfId="845"/>
    <cellStyle name="Milliers 3 6 3 4 2" xfId="3005"/>
    <cellStyle name="Milliers 3 6 3 4 2 2" xfId="7325"/>
    <cellStyle name="Milliers 3 6 3 4 2 2 2" xfId="15965"/>
    <cellStyle name="Milliers 3 6 3 4 2 3" xfId="11645"/>
    <cellStyle name="Milliers 3 6 3 4 3" xfId="5165"/>
    <cellStyle name="Milliers 3 6 3 4 3 2" xfId="13805"/>
    <cellStyle name="Milliers 3 6 3 4 4" xfId="9485"/>
    <cellStyle name="Milliers 3 6 3 5" xfId="1565"/>
    <cellStyle name="Milliers 3 6 3 5 2" xfId="3725"/>
    <cellStyle name="Milliers 3 6 3 5 2 2" xfId="8045"/>
    <cellStyle name="Milliers 3 6 3 5 2 2 2" xfId="16685"/>
    <cellStyle name="Milliers 3 6 3 5 2 3" xfId="12365"/>
    <cellStyle name="Milliers 3 6 3 5 3" xfId="5885"/>
    <cellStyle name="Milliers 3 6 3 5 3 2" xfId="14525"/>
    <cellStyle name="Milliers 3 6 3 5 4" xfId="10205"/>
    <cellStyle name="Milliers 3 6 3 6" xfId="2285"/>
    <cellStyle name="Milliers 3 6 3 6 2" xfId="6605"/>
    <cellStyle name="Milliers 3 6 3 6 2 2" xfId="15245"/>
    <cellStyle name="Milliers 3 6 3 6 3" xfId="10925"/>
    <cellStyle name="Milliers 3 6 3 7" xfId="4445"/>
    <cellStyle name="Milliers 3 6 3 7 2" xfId="13085"/>
    <cellStyle name="Milliers 3 6 3 8" xfId="8765"/>
    <cellStyle name="Milliers 3 6 4" xfId="215"/>
    <cellStyle name="Milliers 3 6 4 2" xfId="575"/>
    <cellStyle name="Milliers 3 6 4 2 2" xfId="1295"/>
    <cellStyle name="Milliers 3 6 4 2 2 2" xfId="3455"/>
    <cellStyle name="Milliers 3 6 4 2 2 2 2" xfId="7775"/>
    <cellStyle name="Milliers 3 6 4 2 2 2 2 2" xfId="16415"/>
    <cellStyle name="Milliers 3 6 4 2 2 2 3" xfId="12095"/>
    <cellStyle name="Milliers 3 6 4 2 2 3" xfId="5615"/>
    <cellStyle name="Milliers 3 6 4 2 2 3 2" xfId="14255"/>
    <cellStyle name="Milliers 3 6 4 2 2 4" xfId="9935"/>
    <cellStyle name="Milliers 3 6 4 2 3" xfId="2015"/>
    <cellStyle name="Milliers 3 6 4 2 3 2" xfId="4175"/>
    <cellStyle name="Milliers 3 6 4 2 3 2 2" xfId="8495"/>
    <cellStyle name="Milliers 3 6 4 2 3 2 2 2" xfId="17135"/>
    <cellStyle name="Milliers 3 6 4 2 3 2 3" xfId="12815"/>
    <cellStyle name="Milliers 3 6 4 2 3 3" xfId="6335"/>
    <cellStyle name="Milliers 3 6 4 2 3 3 2" xfId="14975"/>
    <cellStyle name="Milliers 3 6 4 2 3 4" xfId="10655"/>
    <cellStyle name="Milliers 3 6 4 2 4" xfId="2735"/>
    <cellStyle name="Milliers 3 6 4 2 4 2" xfId="7055"/>
    <cellStyle name="Milliers 3 6 4 2 4 2 2" xfId="15695"/>
    <cellStyle name="Milliers 3 6 4 2 4 3" xfId="11375"/>
    <cellStyle name="Milliers 3 6 4 2 5" xfId="4895"/>
    <cellStyle name="Milliers 3 6 4 2 5 2" xfId="13535"/>
    <cellStyle name="Milliers 3 6 4 2 6" xfId="9215"/>
    <cellStyle name="Milliers 3 6 4 3" xfId="935"/>
    <cellStyle name="Milliers 3 6 4 3 2" xfId="3095"/>
    <cellStyle name="Milliers 3 6 4 3 2 2" xfId="7415"/>
    <cellStyle name="Milliers 3 6 4 3 2 2 2" xfId="16055"/>
    <cellStyle name="Milliers 3 6 4 3 2 3" xfId="11735"/>
    <cellStyle name="Milliers 3 6 4 3 3" xfId="5255"/>
    <cellStyle name="Milliers 3 6 4 3 3 2" xfId="13895"/>
    <cellStyle name="Milliers 3 6 4 3 4" xfId="9575"/>
    <cellStyle name="Milliers 3 6 4 4" xfId="1655"/>
    <cellStyle name="Milliers 3 6 4 4 2" xfId="3815"/>
    <cellStyle name="Milliers 3 6 4 4 2 2" xfId="8135"/>
    <cellStyle name="Milliers 3 6 4 4 2 2 2" xfId="16775"/>
    <cellStyle name="Milliers 3 6 4 4 2 3" xfId="12455"/>
    <cellStyle name="Milliers 3 6 4 4 3" xfId="5975"/>
    <cellStyle name="Milliers 3 6 4 4 3 2" xfId="14615"/>
    <cellStyle name="Milliers 3 6 4 4 4" xfId="10295"/>
    <cellStyle name="Milliers 3 6 4 5" xfId="2375"/>
    <cellStyle name="Milliers 3 6 4 5 2" xfId="6695"/>
    <cellStyle name="Milliers 3 6 4 5 2 2" xfId="15335"/>
    <cellStyle name="Milliers 3 6 4 5 3" xfId="11015"/>
    <cellStyle name="Milliers 3 6 4 6" xfId="4535"/>
    <cellStyle name="Milliers 3 6 4 6 2" xfId="13175"/>
    <cellStyle name="Milliers 3 6 4 7" xfId="8855"/>
    <cellStyle name="Milliers 3 6 5" xfId="395"/>
    <cellStyle name="Milliers 3 6 5 2" xfId="1115"/>
    <cellStyle name="Milliers 3 6 5 2 2" xfId="3275"/>
    <cellStyle name="Milliers 3 6 5 2 2 2" xfId="7595"/>
    <cellStyle name="Milliers 3 6 5 2 2 2 2" xfId="16235"/>
    <cellStyle name="Milliers 3 6 5 2 2 3" xfId="11915"/>
    <cellStyle name="Milliers 3 6 5 2 3" xfId="5435"/>
    <cellStyle name="Milliers 3 6 5 2 3 2" xfId="14075"/>
    <cellStyle name="Milliers 3 6 5 2 4" xfId="9755"/>
    <cellStyle name="Milliers 3 6 5 3" xfId="1835"/>
    <cellStyle name="Milliers 3 6 5 3 2" xfId="3995"/>
    <cellStyle name="Milliers 3 6 5 3 2 2" xfId="8315"/>
    <cellStyle name="Milliers 3 6 5 3 2 2 2" xfId="16955"/>
    <cellStyle name="Milliers 3 6 5 3 2 3" xfId="12635"/>
    <cellStyle name="Milliers 3 6 5 3 3" xfId="6155"/>
    <cellStyle name="Milliers 3 6 5 3 3 2" xfId="14795"/>
    <cellStyle name="Milliers 3 6 5 3 4" xfId="10475"/>
    <cellStyle name="Milliers 3 6 5 4" xfId="2555"/>
    <cellStyle name="Milliers 3 6 5 4 2" xfId="6875"/>
    <cellStyle name="Milliers 3 6 5 4 2 2" xfId="15515"/>
    <cellStyle name="Milliers 3 6 5 4 3" xfId="11195"/>
    <cellStyle name="Milliers 3 6 5 5" xfId="4715"/>
    <cellStyle name="Milliers 3 6 5 5 2" xfId="13355"/>
    <cellStyle name="Milliers 3 6 5 6" xfId="9035"/>
    <cellStyle name="Milliers 3 6 6" xfId="755"/>
    <cellStyle name="Milliers 3 6 6 2" xfId="2915"/>
    <cellStyle name="Milliers 3 6 6 2 2" xfId="7235"/>
    <cellStyle name="Milliers 3 6 6 2 2 2" xfId="15875"/>
    <cellStyle name="Milliers 3 6 6 2 3" xfId="11555"/>
    <cellStyle name="Milliers 3 6 6 3" xfId="5075"/>
    <cellStyle name="Milliers 3 6 6 3 2" xfId="13715"/>
    <cellStyle name="Milliers 3 6 6 4" xfId="9395"/>
    <cellStyle name="Milliers 3 6 7" xfId="1475"/>
    <cellStyle name="Milliers 3 6 7 2" xfId="3635"/>
    <cellStyle name="Milliers 3 6 7 2 2" xfId="7955"/>
    <cellStyle name="Milliers 3 6 7 2 2 2" xfId="16595"/>
    <cellStyle name="Milliers 3 6 7 2 3" xfId="12275"/>
    <cellStyle name="Milliers 3 6 7 3" xfId="5795"/>
    <cellStyle name="Milliers 3 6 7 3 2" xfId="14435"/>
    <cellStyle name="Milliers 3 6 7 4" xfId="10115"/>
    <cellStyle name="Milliers 3 6 8" xfId="2195"/>
    <cellStyle name="Milliers 3 6 8 2" xfId="6515"/>
    <cellStyle name="Milliers 3 6 8 2 2" xfId="15155"/>
    <cellStyle name="Milliers 3 6 8 3" xfId="10835"/>
    <cellStyle name="Milliers 3 6 9" xfId="4355"/>
    <cellStyle name="Milliers 3 6 9 2" xfId="12995"/>
    <cellStyle name="Milliers 3 7" xfId="50"/>
    <cellStyle name="Milliers 3 7 2" xfId="140"/>
    <cellStyle name="Milliers 3 7 2 2" xfId="320"/>
    <cellStyle name="Milliers 3 7 2 2 2" xfId="680"/>
    <cellStyle name="Milliers 3 7 2 2 2 2" xfId="1400"/>
    <cellStyle name="Milliers 3 7 2 2 2 2 2" xfId="3560"/>
    <cellStyle name="Milliers 3 7 2 2 2 2 2 2" xfId="7880"/>
    <cellStyle name="Milliers 3 7 2 2 2 2 2 2 2" xfId="16520"/>
    <cellStyle name="Milliers 3 7 2 2 2 2 2 3" xfId="12200"/>
    <cellStyle name="Milliers 3 7 2 2 2 2 3" xfId="5720"/>
    <cellStyle name="Milliers 3 7 2 2 2 2 3 2" xfId="14360"/>
    <cellStyle name="Milliers 3 7 2 2 2 2 4" xfId="10040"/>
    <cellStyle name="Milliers 3 7 2 2 2 3" xfId="2120"/>
    <cellStyle name="Milliers 3 7 2 2 2 3 2" xfId="4280"/>
    <cellStyle name="Milliers 3 7 2 2 2 3 2 2" xfId="8600"/>
    <cellStyle name="Milliers 3 7 2 2 2 3 2 2 2" xfId="17240"/>
    <cellStyle name="Milliers 3 7 2 2 2 3 2 3" xfId="12920"/>
    <cellStyle name="Milliers 3 7 2 2 2 3 3" xfId="6440"/>
    <cellStyle name="Milliers 3 7 2 2 2 3 3 2" xfId="15080"/>
    <cellStyle name="Milliers 3 7 2 2 2 3 4" xfId="10760"/>
    <cellStyle name="Milliers 3 7 2 2 2 4" xfId="2840"/>
    <cellStyle name="Milliers 3 7 2 2 2 4 2" xfId="7160"/>
    <cellStyle name="Milliers 3 7 2 2 2 4 2 2" xfId="15800"/>
    <cellStyle name="Milliers 3 7 2 2 2 4 3" xfId="11480"/>
    <cellStyle name="Milliers 3 7 2 2 2 5" xfId="5000"/>
    <cellStyle name="Milliers 3 7 2 2 2 5 2" xfId="13640"/>
    <cellStyle name="Milliers 3 7 2 2 2 6" xfId="9320"/>
    <cellStyle name="Milliers 3 7 2 2 3" xfId="1040"/>
    <cellStyle name="Milliers 3 7 2 2 3 2" xfId="3200"/>
    <cellStyle name="Milliers 3 7 2 2 3 2 2" xfId="7520"/>
    <cellStyle name="Milliers 3 7 2 2 3 2 2 2" xfId="16160"/>
    <cellStyle name="Milliers 3 7 2 2 3 2 3" xfId="11840"/>
    <cellStyle name="Milliers 3 7 2 2 3 3" xfId="5360"/>
    <cellStyle name="Milliers 3 7 2 2 3 3 2" xfId="14000"/>
    <cellStyle name="Milliers 3 7 2 2 3 4" xfId="9680"/>
    <cellStyle name="Milliers 3 7 2 2 4" xfId="1760"/>
    <cellStyle name="Milliers 3 7 2 2 4 2" xfId="3920"/>
    <cellStyle name="Milliers 3 7 2 2 4 2 2" xfId="8240"/>
    <cellStyle name="Milliers 3 7 2 2 4 2 2 2" xfId="16880"/>
    <cellStyle name="Milliers 3 7 2 2 4 2 3" xfId="12560"/>
    <cellStyle name="Milliers 3 7 2 2 4 3" xfId="6080"/>
    <cellStyle name="Milliers 3 7 2 2 4 3 2" xfId="14720"/>
    <cellStyle name="Milliers 3 7 2 2 4 4" xfId="10400"/>
    <cellStyle name="Milliers 3 7 2 2 5" xfId="2480"/>
    <cellStyle name="Milliers 3 7 2 2 5 2" xfId="6800"/>
    <cellStyle name="Milliers 3 7 2 2 5 2 2" xfId="15440"/>
    <cellStyle name="Milliers 3 7 2 2 5 3" xfId="11120"/>
    <cellStyle name="Milliers 3 7 2 2 6" xfId="4640"/>
    <cellStyle name="Milliers 3 7 2 2 6 2" xfId="13280"/>
    <cellStyle name="Milliers 3 7 2 2 7" xfId="8960"/>
    <cellStyle name="Milliers 3 7 2 3" xfId="500"/>
    <cellStyle name="Milliers 3 7 2 3 2" xfId="1220"/>
    <cellStyle name="Milliers 3 7 2 3 2 2" xfId="3380"/>
    <cellStyle name="Milliers 3 7 2 3 2 2 2" xfId="7700"/>
    <cellStyle name="Milliers 3 7 2 3 2 2 2 2" xfId="16340"/>
    <cellStyle name="Milliers 3 7 2 3 2 2 3" xfId="12020"/>
    <cellStyle name="Milliers 3 7 2 3 2 3" xfId="5540"/>
    <cellStyle name="Milliers 3 7 2 3 2 3 2" xfId="14180"/>
    <cellStyle name="Milliers 3 7 2 3 2 4" xfId="9860"/>
    <cellStyle name="Milliers 3 7 2 3 3" xfId="1940"/>
    <cellStyle name="Milliers 3 7 2 3 3 2" xfId="4100"/>
    <cellStyle name="Milliers 3 7 2 3 3 2 2" xfId="8420"/>
    <cellStyle name="Milliers 3 7 2 3 3 2 2 2" xfId="17060"/>
    <cellStyle name="Milliers 3 7 2 3 3 2 3" xfId="12740"/>
    <cellStyle name="Milliers 3 7 2 3 3 3" xfId="6260"/>
    <cellStyle name="Milliers 3 7 2 3 3 3 2" xfId="14900"/>
    <cellStyle name="Milliers 3 7 2 3 3 4" xfId="10580"/>
    <cellStyle name="Milliers 3 7 2 3 4" xfId="2660"/>
    <cellStyle name="Milliers 3 7 2 3 4 2" xfId="6980"/>
    <cellStyle name="Milliers 3 7 2 3 4 2 2" xfId="15620"/>
    <cellStyle name="Milliers 3 7 2 3 4 3" xfId="11300"/>
    <cellStyle name="Milliers 3 7 2 3 5" xfId="4820"/>
    <cellStyle name="Milliers 3 7 2 3 5 2" xfId="13460"/>
    <cellStyle name="Milliers 3 7 2 3 6" xfId="9140"/>
    <cellStyle name="Milliers 3 7 2 4" xfId="860"/>
    <cellStyle name="Milliers 3 7 2 4 2" xfId="3020"/>
    <cellStyle name="Milliers 3 7 2 4 2 2" xfId="7340"/>
    <cellStyle name="Milliers 3 7 2 4 2 2 2" xfId="15980"/>
    <cellStyle name="Milliers 3 7 2 4 2 3" xfId="11660"/>
    <cellStyle name="Milliers 3 7 2 4 3" xfId="5180"/>
    <cellStyle name="Milliers 3 7 2 4 3 2" xfId="13820"/>
    <cellStyle name="Milliers 3 7 2 4 4" xfId="9500"/>
    <cellStyle name="Milliers 3 7 2 5" xfId="1580"/>
    <cellStyle name="Milliers 3 7 2 5 2" xfId="3740"/>
    <cellStyle name="Milliers 3 7 2 5 2 2" xfId="8060"/>
    <cellStyle name="Milliers 3 7 2 5 2 2 2" xfId="16700"/>
    <cellStyle name="Milliers 3 7 2 5 2 3" xfId="12380"/>
    <cellStyle name="Milliers 3 7 2 5 3" xfId="5900"/>
    <cellStyle name="Milliers 3 7 2 5 3 2" xfId="14540"/>
    <cellStyle name="Milliers 3 7 2 5 4" xfId="10220"/>
    <cellStyle name="Milliers 3 7 2 6" xfId="2300"/>
    <cellStyle name="Milliers 3 7 2 6 2" xfId="6620"/>
    <cellStyle name="Milliers 3 7 2 6 2 2" xfId="15260"/>
    <cellStyle name="Milliers 3 7 2 6 3" xfId="10940"/>
    <cellStyle name="Milliers 3 7 2 7" xfId="4460"/>
    <cellStyle name="Milliers 3 7 2 7 2" xfId="13100"/>
    <cellStyle name="Milliers 3 7 2 8" xfId="8780"/>
    <cellStyle name="Milliers 3 7 3" xfId="230"/>
    <cellStyle name="Milliers 3 7 3 2" xfId="590"/>
    <cellStyle name="Milliers 3 7 3 2 2" xfId="1310"/>
    <cellStyle name="Milliers 3 7 3 2 2 2" xfId="3470"/>
    <cellStyle name="Milliers 3 7 3 2 2 2 2" xfId="7790"/>
    <cellStyle name="Milliers 3 7 3 2 2 2 2 2" xfId="16430"/>
    <cellStyle name="Milliers 3 7 3 2 2 2 3" xfId="12110"/>
    <cellStyle name="Milliers 3 7 3 2 2 3" xfId="5630"/>
    <cellStyle name="Milliers 3 7 3 2 2 3 2" xfId="14270"/>
    <cellStyle name="Milliers 3 7 3 2 2 4" xfId="9950"/>
    <cellStyle name="Milliers 3 7 3 2 3" xfId="2030"/>
    <cellStyle name="Milliers 3 7 3 2 3 2" xfId="4190"/>
    <cellStyle name="Milliers 3 7 3 2 3 2 2" xfId="8510"/>
    <cellStyle name="Milliers 3 7 3 2 3 2 2 2" xfId="17150"/>
    <cellStyle name="Milliers 3 7 3 2 3 2 3" xfId="12830"/>
    <cellStyle name="Milliers 3 7 3 2 3 3" xfId="6350"/>
    <cellStyle name="Milliers 3 7 3 2 3 3 2" xfId="14990"/>
    <cellStyle name="Milliers 3 7 3 2 3 4" xfId="10670"/>
    <cellStyle name="Milliers 3 7 3 2 4" xfId="2750"/>
    <cellStyle name="Milliers 3 7 3 2 4 2" xfId="7070"/>
    <cellStyle name="Milliers 3 7 3 2 4 2 2" xfId="15710"/>
    <cellStyle name="Milliers 3 7 3 2 4 3" xfId="11390"/>
    <cellStyle name="Milliers 3 7 3 2 5" xfId="4910"/>
    <cellStyle name="Milliers 3 7 3 2 5 2" xfId="13550"/>
    <cellStyle name="Milliers 3 7 3 2 6" xfId="9230"/>
    <cellStyle name="Milliers 3 7 3 3" xfId="950"/>
    <cellStyle name="Milliers 3 7 3 3 2" xfId="3110"/>
    <cellStyle name="Milliers 3 7 3 3 2 2" xfId="7430"/>
    <cellStyle name="Milliers 3 7 3 3 2 2 2" xfId="16070"/>
    <cellStyle name="Milliers 3 7 3 3 2 3" xfId="11750"/>
    <cellStyle name="Milliers 3 7 3 3 3" xfId="5270"/>
    <cellStyle name="Milliers 3 7 3 3 3 2" xfId="13910"/>
    <cellStyle name="Milliers 3 7 3 3 4" xfId="9590"/>
    <cellStyle name="Milliers 3 7 3 4" xfId="1670"/>
    <cellStyle name="Milliers 3 7 3 4 2" xfId="3830"/>
    <cellStyle name="Milliers 3 7 3 4 2 2" xfId="8150"/>
    <cellStyle name="Milliers 3 7 3 4 2 2 2" xfId="16790"/>
    <cellStyle name="Milliers 3 7 3 4 2 3" xfId="12470"/>
    <cellStyle name="Milliers 3 7 3 4 3" xfId="5990"/>
    <cellStyle name="Milliers 3 7 3 4 3 2" xfId="14630"/>
    <cellStyle name="Milliers 3 7 3 4 4" xfId="10310"/>
    <cellStyle name="Milliers 3 7 3 5" xfId="2390"/>
    <cellStyle name="Milliers 3 7 3 5 2" xfId="6710"/>
    <cellStyle name="Milliers 3 7 3 5 2 2" xfId="15350"/>
    <cellStyle name="Milliers 3 7 3 5 3" xfId="11030"/>
    <cellStyle name="Milliers 3 7 3 6" xfId="4550"/>
    <cellStyle name="Milliers 3 7 3 6 2" xfId="13190"/>
    <cellStyle name="Milliers 3 7 3 7" xfId="8870"/>
    <cellStyle name="Milliers 3 7 4" xfId="410"/>
    <cellStyle name="Milliers 3 7 4 2" xfId="1130"/>
    <cellStyle name="Milliers 3 7 4 2 2" xfId="3290"/>
    <cellStyle name="Milliers 3 7 4 2 2 2" xfId="7610"/>
    <cellStyle name="Milliers 3 7 4 2 2 2 2" xfId="16250"/>
    <cellStyle name="Milliers 3 7 4 2 2 3" xfId="11930"/>
    <cellStyle name="Milliers 3 7 4 2 3" xfId="5450"/>
    <cellStyle name="Milliers 3 7 4 2 3 2" xfId="14090"/>
    <cellStyle name="Milliers 3 7 4 2 4" xfId="9770"/>
    <cellStyle name="Milliers 3 7 4 3" xfId="1850"/>
    <cellStyle name="Milliers 3 7 4 3 2" xfId="4010"/>
    <cellStyle name="Milliers 3 7 4 3 2 2" xfId="8330"/>
    <cellStyle name="Milliers 3 7 4 3 2 2 2" xfId="16970"/>
    <cellStyle name="Milliers 3 7 4 3 2 3" xfId="12650"/>
    <cellStyle name="Milliers 3 7 4 3 3" xfId="6170"/>
    <cellStyle name="Milliers 3 7 4 3 3 2" xfId="14810"/>
    <cellStyle name="Milliers 3 7 4 3 4" xfId="10490"/>
    <cellStyle name="Milliers 3 7 4 4" xfId="2570"/>
    <cellStyle name="Milliers 3 7 4 4 2" xfId="6890"/>
    <cellStyle name="Milliers 3 7 4 4 2 2" xfId="15530"/>
    <cellStyle name="Milliers 3 7 4 4 3" xfId="11210"/>
    <cellStyle name="Milliers 3 7 4 5" xfId="4730"/>
    <cellStyle name="Milliers 3 7 4 5 2" xfId="13370"/>
    <cellStyle name="Milliers 3 7 4 6" xfId="9050"/>
    <cellStyle name="Milliers 3 7 5" xfId="770"/>
    <cellStyle name="Milliers 3 7 5 2" xfId="2930"/>
    <cellStyle name="Milliers 3 7 5 2 2" xfId="7250"/>
    <cellStyle name="Milliers 3 7 5 2 2 2" xfId="15890"/>
    <cellStyle name="Milliers 3 7 5 2 3" xfId="11570"/>
    <cellStyle name="Milliers 3 7 5 3" xfId="5090"/>
    <cellStyle name="Milliers 3 7 5 3 2" xfId="13730"/>
    <cellStyle name="Milliers 3 7 5 4" xfId="9410"/>
    <cellStyle name="Milliers 3 7 6" xfId="1490"/>
    <cellStyle name="Milliers 3 7 6 2" xfId="3650"/>
    <cellStyle name="Milliers 3 7 6 2 2" xfId="7970"/>
    <cellStyle name="Milliers 3 7 6 2 2 2" xfId="16610"/>
    <cellStyle name="Milliers 3 7 6 2 3" xfId="12290"/>
    <cellStyle name="Milliers 3 7 6 3" xfId="5810"/>
    <cellStyle name="Milliers 3 7 6 3 2" xfId="14450"/>
    <cellStyle name="Milliers 3 7 6 4" xfId="10130"/>
    <cellStyle name="Milliers 3 7 7" xfId="2210"/>
    <cellStyle name="Milliers 3 7 7 2" xfId="6530"/>
    <cellStyle name="Milliers 3 7 7 2 2" xfId="15170"/>
    <cellStyle name="Milliers 3 7 7 3" xfId="10850"/>
    <cellStyle name="Milliers 3 7 8" xfId="4370"/>
    <cellStyle name="Milliers 3 7 8 2" xfId="13010"/>
    <cellStyle name="Milliers 3 7 9" xfId="8690"/>
    <cellStyle name="Milliers 3 8" xfId="95"/>
    <cellStyle name="Milliers 3 8 2" xfId="275"/>
    <cellStyle name="Milliers 3 8 2 2" xfId="635"/>
    <cellStyle name="Milliers 3 8 2 2 2" xfId="1355"/>
    <cellStyle name="Milliers 3 8 2 2 2 2" xfId="3515"/>
    <cellStyle name="Milliers 3 8 2 2 2 2 2" xfId="7835"/>
    <cellStyle name="Milliers 3 8 2 2 2 2 2 2" xfId="16475"/>
    <cellStyle name="Milliers 3 8 2 2 2 2 3" xfId="12155"/>
    <cellStyle name="Milliers 3 8 2 2 2 3" xfId="5675"/>
    <cellStyle name="Milliers 3 8 2 2 2 3 2" xfId="14315"/>
    <cellStyle name="Milliers 3 8 2 2 2 4" xfId="9995"/>
    <cellStyle name="Milliers 3 8 2 2 3" xfId="2075"/>
    <cellStyle name="Milliers 3 8 2 2 3 2" xfId="4235"/>
    <cellStyle name="Milliers 3 8 2 2 3 2 2" xfId="8555"/>
    <cellStyle name="Milliers 3 8 2 2 3 2 2 2" xfId="17195"/>
    <cellStyle name="Milliers 3 8 2 2 3 2 3" xfId="12875"/>
    <cellStyle name="Milliers 3 8 2 2 3 3" xfId="6395"/>
    <cellStyle name="Milliers 3 8 2 2 3 3 2" xfId="15035"/>
    <cellStyle name="Milliers 3 8 2 2 3 4" xfId="10715"/>
    <cellStyle name="Milliers 3 8 2 2 4" xfId="2795"/>
    <cellStyle name="Milliers 3 8 2 2 4 2" xfId="7115"/>
    <cellStyle name="Milliers 3 8 2 2 4 2 2" xfId="15755"/>
    <cellStyle name="Milliers 3 8 2 2 4 3" xfId="11435"/>
    <cellStyle name="Milliers 3 8 2 2 5" xfId="4955"/>
    <cellStyle name="Milliers 3 8 2 2 5 2" xfId="13595"/>
    <cellStyle name="Milliers 3 8 2 2 6" xfId="9275"/>
    <cellStyle name="Milliers 3 8 2 3" xfId="995"/>
    <cellStyle name="Milliers 3 8 2 3 2" xfId="3155"/>
    <cellStyle name="Milliers 3 8 2 3 2 2" xfId="7475"/>
    <cellStyle name="Milliers 3 8 2 3 2 2 2" xfId="16115"/>
    <cellStyle name="Milliers 3 8 2 3 2 3" xfId="11795"/>
    <cellStyle name="Milliers 3 8 2 3 3" xfId="5315"/>
    <cellStyle name="Milliers 3 8 2 3 3 2" xfId="13955"/>
    <cellStyle name="Milliers 3 8 2 3 4" xfId="9635"/>
    <cellStyle name="Milliers 3 8 2 4" xfId="1715"/>
    <cellStyle name="Milliers 3 8 2 4 2" xfId="3875"/>
    <cellStyle name="Milliers 3 8 2 4 2 2" xfId="8195"/>
    <cellStyle name="Milliers 3 8 2 4 2 2 2" xfId="16835"/>
    <cellStyle name="Milliers 3 8 2 4 2 3" xfId="12515"/>
    <cellStyle name="Milliers 3 8 2 4 3" xfId="6035"/>
    <cellStyle name="Milliers 3 8 2 4 3 2" xfId="14675"/>
    <cellStyle name="Milliers 3 8 2 4 4" xfId="10355"/>
    <cellStyle name="Milliers 3 8 2 5" xfId="2435"/>
    <cellStyle name="Milliers 3 8 2 5 2" xfId="6755"/>
    <cellStyle name="Milliers 3 8 2 5 2 2" xfId="15395"/>
    <cellStyle name="Milliers 3 8 2 5 3" xfId="11075"/>
    <cellStyle name="Milliers 3 8 2 6" xfId="4595"/>
    <cellStyle name="Milliers 3 8 2 6 2" xfId="13235"/>
    <cellStyle name="Milliers 3 8 2 7" xfId="8915"/>
    <cellStyle name="Milliers 3 8 3" xfId="455"/>
    <cellStyle name="Milliers 3 8 3 2" xfId="1175"/>
    <cellStyle name="Milliers 3 8 3 2 2" xfId="3335"/>
    <cellStyle name="Milliers 3 8 3 2 2 2" xfId="7655"/>
    <cellStyle name="Milliers 3 8 3 2 2 2 2" xfId="16295"/>
    <cellStyle name="Milliers 3 8 3 2 2 3" xfId="11975"/>
    <cellStyle name="Milliers 3 8 3 2 3" xfId="5495"/>
    <cellStyle name="Milliers 3 8 3 2 3 2" xfId="14135"/>
    <cellStyle name="Milliers 3 8 3 2 4" xfId="9815"/>
    <cellStyle name="Milliers 3 8 3 3" xfId="1895"/>
    <cellStyle name="Milliers 3 8 3 3 2" xfId="4055"/>
    <cellStyle name="Milliers 3 8 3 3 2 2" xfId="8375"/>
    <cellStyle name="Milliers 3 8 3 3 2 2 2" xfId="17015"/>
    <cellStyle name="Milliers 3 8 3 3 2 3" xfId="12695"/>
    <cellStyle name="Milliers 3 8 3 3 3" xfId="6215"/>
    <cellStyle name="Milliers 3 8 3 3 3 2" xfId="14855"/>
    <cellStyle name="Milliers 3 8 3 3 4" xfId="10535"/>
    <cellStyle name="Milliers 3 8 3 4" xfId="2615"/>
    <cellStyle name="Milliers 3 8 3 4 2" xfId="6935"/>
    <cellStyle name="Milliers 3 8 3 4 2 2" xfId="15575"/>
    <cellStyle name="Milliers 3 8 3 4 3" xfId="11255"/>
    <cellStyle name="Milliers 3 8 3 5" xfId="4775"/>
    <cellStyle name="Milliers 3 8 3 5 2" xfId="13415"/>
    <cellStyle name="Milliers 3 8 3 6" xfId="9095"/>
    <cellStyle name="Milliers 3 8 4" xfId="815"/>
    <cellStyle name="Milliers 3 8 4 2" xfId="2975"/>
    <cellStyle name="Milliers 3 8 4 2 2" xfId="7295"/>
    <cellStyle name="Milliers 3 8 4 2 2 2" xfId="15935"/>
    <cellStyle name="Milliers 3 8 4 2 3" xfId="11615"/>
    <cellStyle name="Milliers 3 8 4 3" xfId="5135"/>
    <cellStyle name="Milliers 3 8 4 3 2" xfId="13775"/>
    <cellStyle name="Milliers 3 8 4 4" xfId="9455"/>
    <cellStyle name="Milliers 3 8 5" xfId="1535"/>
    <cellStyle name="Milliers 3 8 5 2" xfId="3695"/>
    <cellStyle name="Milliers 3 8 5 2 2" xfId="8015"/>
    <cellStyle name="Milliers 3 8 5 2 2 2" xfId="16655"/>
    <cellStyle name="Milliers 3 8 5 2 3" xfId="12335"/>
    <cellStyle name="Milliers 3 8 5 3" xfId="5855"/>
    <cellStyle name="Milliers 3 8 5 3 2" xfId="14495"/>
    <cellStyle name="Milliers 3 8 5 4" xfId="10175"/>
    <cellStyle name="Milliers 3 8 6" xfId="2255"/>
    <cellStyle name="Milliers 3 8 6 2" xfId="6575"/>
    <cellStyle name="Milliers 3 8 6 2 2" xfId="15215"/>
    <cellStyle name="Milliers 3 8 6 3" xfId="10895"/>
    <cellStyle name="Milliers 3 8 7" xfId="4415"/>
    <cellStyle name="Milliers 3 8 7 2" xfId="13055"/>
    <cellStyle name="Milliers 3 8 8" xfId="8735"/>
    <cellStyle name="Milliers 3 9" xfId="185"/>
    <cellStyle name="Milliers 3 9 2" xfId="545"/>
    <cellStyle name="Milliers 3 9 2 2" xfId="1265"/>
    <cellStyle name="Milliers 3 9 2 2 2" xfId="3425"/>
    <cellStyle name="Milliers 3 9 2 2 2 2" xfId="7745"/>
    <cellStyle name="Milliers 3 9 2 2 2 2 2" xfId="16385"/>
    <cellStyle name="Milliers 3 9 2 2 2 3" xfId="12065"/>
    <cellStyle name="Milliers 3 9 2 2 3" xfId="5585"/>
    <cellStyle name="Milliers 3 9 2 2 3 2" xfId="14225"/>
    <cellStyle name="Milliers 3 9 2 2 4" xfId="9905"/>
    <cellStyle name="Milliers 3 9 2 3" xfId="1985"/>
    <cellStyle name="Milliers 3 9 2 3 2" xfId="4145"/>
    <cellStyle name="Milliers 3 9 2 3 2 2" xfId="8465"/>
    <cellStyle name="Milliers 3 9 2 3 2 2 2" xfId="17105"/>
    <cellStyle name="Milliers 3 9 2 3 2 3" xfId="12785"/>
    <cellStyle name="Milliers 3 9 2 3 3" xfId="6305"/>
    <cellStyle name="Milliers 3 9 2 3 3 2" xfId="14945"/>
    <cellStyle name="Milliers 3 9 2 3 4" xfId="10625"/>
    <cellStyle name="Milliers 3 9 2 4" xfId="2705"/>
    <cellStyle name="Milliers 3 9 2 4 2" xfId="7025"/>
    <cellStyle name="Milliers 3 9 2 4 2 2" xfId="15665"/>
    <cellStyle name="Milliers 3 9 2 4 3" xfId="11345"/>
    <cellStyle name="Milliers 3 9 2 5" xfId="4865"/>
    <cellStyle name="Milliers 3 9 2 5 2" xfId="13505"/>
    <cellStyle name="Milliers 3 9 2 6" xfId="9185"/>
    <cellStyle name="Milliers 3 9 3" xfId="905"/>
    <cellStyle name="Milliers 3 9 3 2" xfId="3065"/>
    <cellStyle name="Milliers 3 9 3 2 2" xfId="7385"/>
    <cellStyle name="Milliers 3 9 3 2 2 2" xfId="16025"/>
    <cellStyle name="Milliers 3 9 3 2 3" xfId="11705"/>
    <cellStyle name="Milliers 3 9 3 3" xfId="5225"/>
    <cellStyle name="Milliers 3 9 3 3 2" xfId="13865"/>
    <cellStyle name="Milliers 3 9 3 4" xfId="9545"/>
    <cellStyle name="Milliers 3 9 4" xfId="1625"/>
    <cellStyle name="Milliers 3 9 4 2" xfId="3785"/>
    <cellStyle name="Milliers 3 9 4 2 2" xfId="8105"/>
    <cellStyle name="Milliers 3 9 4 2 2 2" xfId="16745"/>
    <cellStyle name="Milliers 3 9 4 2 3" xfId="12425"/>
    <cellStyle name="Milliers 3 9 4 3" xfId="5945"/>
    <cellStyle name="Milliers 3 9 4 3 2" xfId="14585"/>
    <cellStyle name="Milliers 3 9 4 4" xfId="10265"/>
    <cellStyle name="Milliers 3 9 5" xfId="2345"/>
    <cellStyle name="Milliers 3 9 5 2" xfId="6665"/>
    <cellStyle name="Milliers 3 9 5 2 2" xfId="15305"/>
    <cellStyle name="Milliers 3 9 5 3" xfId="10985"/>
    <cellStyle name="Milliers 3 9 6" xfId="4505"/>
    <cellStyle name="Milliers 3 9 6 2" xfId="13145"/>
    <cellStyle name="Milliers 3 9 7" xfId="8825"/>
    <cellStyle name="Milliers 4" xfId="6"/>
    <cellStyle name="Milliers 4 10" xfId="1446"/>
    <cellStyle name="Milliers 4 10 2" xfId="3606"/>
    <cellStyle name="Milliers 4 10 2 2" xfId="7926"/>
    <cellStyle name="Milliers 4 10 2 2 2" xfId="16566"/>
    <cellStyle name="Milliers 4 10 2 3" xfId="12246"/>
    <cellStyle name="Milliers 4 10 3" xfId="5766"/>
    <cellStyle name="Milliers 4 10 3 2" xfId="14406"/>
    <cellStyle name="Milliers 4 10 4" xfId="10086"/>
    <cellStyle name="Milliers 4 11" xfId="2166"/>
    <cellStyle name="Milliers 4 11 2" xfId="6486"/>
    <cellStyle name="Milliers 4 11 2 2" xfId="15126"/>
    <cellStyle name="Milliers 4 11 3" xfId="10806"/>
    <cellStyle name="Milliers 4 12" xfId="4326"/>
    <cellStyle name="Milliers 4 12 2" xfId="12966"/>
    <cellStyle name="Milliers 4 13" xfId="8646"/>
    <cellStyle name="Milliers 4 2" xfId="12"/>
    <cellStyle name="Milliers 4 2 10" xfId="2172"/>
    <cellStyle name="Milliers 4 2 10 2" xfId="6492"/>
    <cellStyle name="Milliers 4 2 10 2 2" xfId="15132"/>
    <cellStyle name="Milliers 4 2 10 3" xfId="10812"/>
    <cellStyle name="Milliers 4 2 11" xfId="4332"/>
    <cellStyle name="Milliers 4 2 11 2" xfId="12972"/>
    <cellStyle name="Milliers 4 2 12" xfId="8652"/>
    <cellStyle name="Milliers 4 2 2" xfId="27"/>
    <cellStyle name="Milliers 4 2 2 10" xfId="8667"/>
    <cellStyle name="Milliers 4 2 2 2" xfId="72"/>
    <cellStyle name="Milliers 4 2 2 2 2" xfId="162"/>
    <cellStyle name="Milliers 4 2 2 2 2 2" xfId="342"/>
    <cellStyle name="Milliers 4 2 2 2 2 2 2" xfId="702"/>
    <cellStyle name="Milliers 4 2 2 2 2 2 2 2" xfId="1422"/>
    <cellStyle name="Milliers 4 2 2 2 2 2 2 2 2" xfId="3582"/>
    <cellStyle name="Milliers 4 2 2 2 2 2 2 2 2 2" xfId="7902"/>
    <cellStyle name="Milliers 4 2 2 2 2 2 2 2 2 2 2" xfId="16542"/>
    <cellStyle name="Milliers 4 2 2 2 2 2 2 2 2 3" xfId="12222"/>
    <cellStyle name="Milliers 4 2 2 2 2 2 2 2 3" xfId="5742"/>
    <cellStyle name="Milliers 4 2 2 2 2 2 2 2 3 2" xfId="14382"/>
    <cellStyle name="Milliers 4 2 2 2 2 2 2 2 4" xfId="10062"/>
    <cellStyle name="Milliers 4 2 2 2 2 2 2 3" xfId="2142"/>
    <cellStyle name="Milliers 4 2 2 2 2 2 2 3 2" xfId="4302"/>
    <cellStyle name="Milliers 4 2 2 2 2 2 2 3 2 2" xfId="8622"/>
    <cellStyle name="Milliers 4 2 2 2 2 2 2 3 2 2 2" xfId="17262"/>
    <cellStyle name="Milliers 4 2 2 2 2 2 2 3 2 3" xfId="12942"/>
    <cellStyle name="Milliers 4 2 2 2 2 2 2 3 3" xfId="6462"/>
    <cellStyle name="Milliers 4 2 2 2 2 2 2 3 3 2" xfId="15102"/>
    <cellStyle name="Milliers 4 2 2 2 2 2 2 3 4" xfId="10782"/>
    <cellStyle name="Milliers 4 2 2 2 2 2 2 4" xfId="2862"/>
    <cellStyle name="Milliers 4 2 2 2 2 2 2 4 2" xfId="7182"/>
    <cellStyle name="Milliers 4 2 2 2 2 2 2 4 2 2" xfId="15822"/>
    <cellStyle name="Milliers 4 2 2 2 2 2 2 4 3" xfId="11502"/>
    <cellStyle name="Milliers 4 2 2 2 2 2 2 5" xfId="5022"/>
    <cellStyle name="Milliers 4 2 2 2 2 2 2 5 2" xfId="13662"/>
    <cellStyle name="Milliers 4 2 2 2 2 2 2 6" xfId="9342"/>
    <cellStyle name="Milliers 4 2 2 2 2 2 3" xfId="1062"/>
    <cellStyle name="Milliers 4 2 2 2 2 2 3 2" xfId="3222"/>
    <cellStyle name="Milliers 4 2 2 2 2 2 3 2 2" xfId="7542"/>
    <cellStyle name="Milliers 4 2 2 2 2 2 3 2 2 2" xfId="16182"/>
    <cellStyle name="Milliers 4 2 2 2 2 2 3 2 3" xfId="11862"/>
    <cellStyle name="Milliers 4 2 2 2 2 2 3 3" xfId="5382"/>
    <cellStyle name="Milliers 4 2 2 2 2 2 3 3 2" xfId="14022"/>
    <cellStyle name="Milliers 4 2 2 2 2 2 3 4" xfId="9702"/>
    <cellStyle name="Milliers 4 2 2 2 2 2 4" xfId="1782"/>
    <cellStyle name="Milliers 4 2 2 2 2 2 4 2" xfId="3942"/>
    <cellStyle name="Milliers 4 2 2 2 2 2 4 2 2" xfId="8262"/>
    <cellStyle name="Milliers 4 2 2 2 2 2 4 2 2 2" xfId="16902"/>
    <cellStyle name="Milliers 4 2 2 2 2 2 4 2 3" xfId="12582"/>
    <cellStyle name="Milliers 4 2 2 2 2 2 4 3" xfId="6102"/>
    <cellStyle name="Milliers 4 2 2 2 2 2 4 3 2" xfId="14742"/>
    <cellStyle name="Milliers 4 2 2 2 2 2 4 4" xfId="10422"/>
    <cellStyle name="Milliers 4 2 2 2 2 2 5" xfId="2502"/>
    <cellStyle name="Milliers 4 2 2 2 2 2 5 2" xfId="6822"/>
    <cellStyle name="Milliers 4 2 2 2 2 2 5 2 2" xfId="15462"/>
    <cellStyle name="Milliers 4 2 2 2 2 2 5 3" xfId="11142"/>
    <cellStyle name="Milliers 4 2 2 2 2 2 6" xfId="4662"/>
    <cellStyle name="Milliers 4 2 2 2 2 2 6 2" xfId="13302"/>
    <cellStyle name="Milliers 4 2 2 2 2 2 7" xfId="8982"/>
    <cellStyle name="Milliers 4 2 2 2 2 3" xfId="522"/>
    <cellStyle name="Milliers 4 2 2 2 2 3 2" xfId="1242"/>
    <cellStyle name="Milliers 4 2 2 2 2 3 2 2" xfId="3402"/>
    <cellStyle name="Milliers 4 2 2 2 2 3 2 2 2" xfId="7722"/>
    <cellStyle name="Milliers 4 2 2 2 2 3 2 2 2 2" xfId="16362"/>
    <cellStyle name="Milliers 4 2 2 2 2 3 2 2 3" xfId="12042"/>
    <cellStyle name="Milliers 4 2 2 2 2 3 2 3" xfId="5562"/>
    <cellStyle name="Milliers 4 2 2 2 2 3 2 3 2" xfId="14202"/>
    <cellStyle name="Milliers 4 2 2 2 2 3 2 4" xfId="9882"/>
    <cellStyle name="Milliers 4 2 2 2 2 3 3" xfId="1962"/>
    <cellStyle name="Milliers 4 2 2 2 2 3 3 2" xfId="4122"/>
    <cellStyle name="Milliers 4 2 2 2 2 3 3 2 2" xfId="8442"/>
    <cellStyle name="Milliers 4 2 2 2 2 3 3 2 2 2" xfId="17082"/>
    <cellStyle name="Milliers 4 2 2 2 2 3 3 2 3" xfId="12762"/>
    <cellStyle name="Milliers 4 2 2 2 2 3 3 3" xfId="6282"/>
    <cellStyle name="Milliers 4 2 2 2 2 3 3 3 2" xfId="14922"/>
    <cellStyle name="Milliers 4 2 2 2 2 3 3 4" xfId="10602"/>
    <cellStyle name="Milliers 4 2 2 2 2 3 4" xfId="2682"/>
    <cellStyle name="Milliers 4 2 2 2 2 3 4 2" xfId="7002"/>
    <cellStyle name="Milliers 4 2 2 2 2 3 4 2 2" xfId="15642"/>
    <cellStyle name="Milliers 4 2 2 2 2 3 4 3" xfId="11322"/>
    <cellStyle name="Milliers 4 2 2 2 2 3 5" xfId="4842"/>
    <cellStyle name="Milliers 4 2 2 2 2 3 5 2" xfId="13482"/>
    <cellStyle name="Milliers 4 2 2 2 2 3 6" xfId="9162"/>
    <cellStyle name="Milliers 4 2 2 2 2 4" xfId="882"/>
    <cellStyle name="Milliers 4 2 2 2 2 4 2" xfId="3042"/>
    <cellStyle name="Milliers 4 2 2 2 2 4 2 2" xfId="7362"/>
    <cellStyle name="Milliers 4 2 2 2 2 4 2 2 2" xfId="16002"/>
    <cellStyle name="Milliers 4 2 2 2 2 4 2 3" xfId="11682"/>
    <cellStyle name="Milliers 4 2 2 2 2 4 3" xfId="5202"/>
    <cellStyle name="Milliers 4 2 2 2 2 4 3 2" xfId="13842"/>
    <cellStyle name="Milliers 4 2 2 2 2 4 4" xfId="9522"/>
    <cellStyle name="Milliers 4 2 2 2 2 5" xfId="1602"/>
    <cellStyle name="Milliers 4 2 2 2 2 5 2" xfId="3762"/>
    <cellStyle name="Milliers 4 2 2 2 2 5 2 2" xfId="8082"/>
    <cellStyle name="Milliers 4 2 2 2 2 5 2 2 2" xfId="16722"/>
    <cellStyle name="Milliers 4 2 2 2 2 5 2 3" xfId="12402"/>
    <cellStyle name="Milliers 4 2 2 2 2 5 3" xfId="5922"/>
    <cellStyle name="Milliers 4 2 2 2 2 5 3 2" xfId="14562"/>
    <cellStyle name="Milliers 4 2 2 2 2 5 4" xfId="10242"/>
    <cellStyle name="Milliers 4 2 2 2 2 6" xfId="2322"/>
    <cellStyle name="Milliers 4 2 2 2 2 6 2" xfId="6642"/>
    <cellStyle name="Milliers 4 2 2 2 2 6 2 2" xfId="15282"/>
    <cellStyle name="Milliers 4 2 2 2 2 6 3" xfId="10962"/>
    <cellStyle name="Milliers 4 2 2 2 2 7" xfId="4482"/>
    <cellStyle name="Milliers 4 2 2 2 2 7 2" xfId="13122"/>
    <cellStyle name="Milliers 4 2 2 2 2 8" xfId="8802"/>
    <cellStyle name="Milliers 4 2 2 2 3" xfId="252"/>
    <cellStyle name="Milliers 4 2 2 2 3 2" xfId="612"/>
    <cellStyle name="Milliers 4 2 2 2 3 2 2" xfId="1332"/>
    <cellStyle name="Milliers 4 2 2 2 3 2 2 2" xfId="3492"/>
    <cellStyle name="Milliers 4 2 2 2 3 2 2 2 2" xfId="7812"/>
    <cellStyle name="Milliers 4 2 2 2 3 2 2 2 2 2" xfId="16452"/>
    <cellStyle name="Milliers 4 2 2 2 3 2 2 2 3" xfId="12132"/>
    <cellStyle name="Milliers 4 2 2 2 3 2 2 3" xfId="5652"/>
    <cellStyle name="Milliers 4 2 2 2 3 2 2 3 2" xfId="14292"/>
    <cellStyle name="Milliers 4 2 2 2 3 2 2 4" xfId="9972"/>
    <cellStyle name="Milliers 4 2 2 2 3 2 3" xfId="2052"/>
    <cellStyle name="Milliers 4 2 2 2 3 2 3 2" xfId="4212"/>
    <cellStyle name="Milliers 4 2 2 2 3 2 3 2 2" xfId="8532"/>
    <cellStyle name="Milliers 4 2 2 2 3 2 3 2 2 2" xfId="17172"/>
    <cellStyle name="Milliers 4 2 2 2 3 2 3 2 3" xfId="12852"/>
    <cellStyle name="Milliers 4 2 2 2 3 2 3 3" xfId="6372"/>
    <cellStyle name="Milliers 4 2 2 2 3 2 3 3 2" xfId="15012"/>
    <cellStyle name="Milliers 4 2 2 2 3 2 3 4" xfId="10692"/>
    <cellStyle name="Milliers 4 2 2 2 3 2 4" xfId="2772"/>
    <cellStyle name="Milliers 4 2 2 2 3 2 4 2" xfId="7092"/>
    <cellStyle name="Milliers 4 2 2 2 3 2 4 2 2" xfId="15732"/>
    <cellStyle name="Milliers 4 2 2 2 3 2 4 3" xfId="11412"/>
    <cellStyle name="Milliers 4 2 2 2 3 2 5" xfId="4932"/>
    <cellStyle name="Milliers 4 2 2 2 3 2 5 2" xfId="13572"/>
    <cellStyle name="Milliers 4 2 2 2 3 2 6" xfId="9252"/>
    <cellStyle name="Milliers 4 2 2 2 3 3" xfId="972"/>
    <cellStyle name="Milliers 4 2 2 2 3 3 2" xfId="3132"/>
    <cellStyle name="Milliers 4 2 2 2 3 3 2 2" xfId="7452"/>
    <cellStyle name="Milliers 4 2 2 2 3 3 2 2 2" xfId="16092"/>
    <cellStyle name="Milliers 4 2 2 2 3 3 2 3" xfId="11772"/>
    <cellStyle name="Milliers 4 2 2 2 3 3 3" xfId="5292"/>
    <cellStyle name="Milliers 4 2 2 2 3 3 3 2" xfId="13932"/>
    <cellStyle name="Milliers 4 2 2 2 3 3 4" xfId="9612"/>
    <cellStyle name="Milliers 4 2 2 2 3 4" xfId="1692"/>
    <cellStyle name="Milliers 4 2 2 2 3 4 2" xfId="3852"/>
    <cellStyle name="Milliers 4 2 2 2 3 4 2 2" xfId="8172"/>
    <cellStyle name="Milliers 4 2 2 2 3 4 2 2 2" xfId="16812"/>
    <cellStyle name="Milliers 4 2 2 2 3 4 2 3" xfId="12492"/>
    <cellStyle name="Milliers 4 2 2 2 3 4 3" xfId="6012"/>
    <cellStyle name="Milliers 4 2 2 2 3 4 3 2" xfId="14652"/>
    <cellStyle name="Milliers 4 2 2 2 3 4 4" xfId="10332"/>
    <cellStyle name="Milliers 4 2 2 2 3 5" xfId="2412"/>
    <cellStyle name="Milliers 4 2 2 2 3 5 2" xfId="6732"/>
    <cellStyle name="Milliers 4 2 2 2 3 5 2 2" xfId="15372"/>
    <cellStyle name="Milliers 4 2 2 2 3 5 3" xfId="11052"/>
    <cellStyle name="Milliers 4 2 2 2 3 6" xfId="4572"/>
    <cellStyle name="Milliers 4 2 2 2 3 6 2" xfId="13212"/>
    <cellStyle name="Milliers 4 2 2 2 3 7" xfId="8892"/>
    <cellStyle name="Milliers 4 2 2 2 4" xfId="432"/>
    <cellStyle name="Milliers 4 2 2 2 4 2" xfId="1152"/>
    <cellStyle name="Milliers 4 2 2 2 4 2 2" xfId="3312"/>
    <cellStyle name="Milliers 4 2 2 2 4 2 2 2" xfId="7632"/>
    <cellStyle name="Milliers 4 2 2 2 4 2 2 2 2" xfId="16272"/>
    <cellStyle name="Milliers 4 2 2 2 4 2 2 3" xfId="11952"/>
    <cellStyle name="Milliers 4 2 2 2 4 2 3" xfId="5472"/>
    <cellStyle name="Milliers 4 2 2 2 4 2 3 2" xfId="14112"/>
    <cellStyle name="Milliers 4 2 2 2 4 2 4" xfId="9792"/>
    <cellStyle name="Milliers 4 2 2 2 4 3" xfId="1872"/>
    <cellStyle name="Milliers 4 2 2 2 4 3 2" xfId="4032"/>
    <cellStyle name="Milliers 4 2 2 2 4 3 2 2" xfId="8352"/>
    <cellStyle name="Milliers 4 2 2 2 4 3 2 2 2" xfId="16992"/>
    <cellStyle name="Milliers 4 2 2 2 4 3 2 3" xfId="12672"/>
    <cellStyle name="Milliers 4 2 2 2 4 3 3" xfId="6192"/>
    <cellStyle name="Milliers 4 2 2 2 4 3 3 2" xfId="14832"/>
    <cellStyle name="Milliers 4 2 2 2 4 3 4" xfId="10512"/>
    <cellStyle name="Milliers 4 2 2 2 4 4" xfId="2592"/>
    <cellStyle name="Milliers 4 2 2 2 4 4 2" xfId="6912"/>
    <cellStyle name="Milliers 4 2 2 2 4 4 2 2" xfId="15552"/>
    <cellStyle name="Milliers 4 2 2 2 4 4 3" xfId="11232"/>
    <cellStyle name="Milliers 4 2 2 2 4 5" xfId="4752"/>
    <cellStyle name="Milliers 4 2 2 2 4 5 2" xfId="13392"/>
    <cellStyle name="Milliers 4 2 2 2 4 6" xfId="9072"/>
    <cellStyle name="Milliers 4 2 2 2 5" xfId="792"/>
    <cellStyle name="Milliers 4 2 2 2 5 2" xfId="2952"/>
    <cellStyle name="Milliers 4 2 2 2 5 2 2" xfId="7272"/>
    <cellStyle name="Milliers 4 2 2 2 5 2 2 2" xfId="15912"/>
    <cellStyle name="Milliers 4 2 2 2 5 2 3" xfId="11592"/>
    <cellStyle name="Milliers 4 2 2 2 5 3" xfId="5112"/>
    <cellStyle name="Milliers 4 2 2 2 5 3 2" xfId="13752"/>
    <cellStyle name="Milliers 4 2 2 2 5 4" xfId="9432"/>
    <cellStyle name="Milliers 4 2 2 2 6" xfId="1512"/>
    <cellStyle name="Milliers 4 2 2 2 6 2" xfId="3672"/>
    <cellStyle name="Milliers 4 2 2 2 6 2 2" xfId="7992"/>
    <cellStyle name="Milliers 4 2 2 2 6 2 2 2" xfId="16632"/>
    <cellStyle name="Milliers 4 2 2 2 6 2 3" xfId="12312"/>
    <cellStyle name="Milliers 4 2 2 2 6 3" xfId="5832"/>
    <cellStyle name="Milliers 4 2 2 2 6 3 2" xfId="14472"/>
    <cellStyle name="Milliers 4 2 2 2 6 4" xfId="10152"/>
    <cellStyle name="Milliers 4 2 2 2 7" xfId="2232"/>
    <cellStyle name="Milliers 4 2 2 2 7 2" xfId="6552"/>
    <cellStyle name="Milliers 4 2 2 2 7 2 2" xfId="15192"/>
    <cellStyle name="Milliers 4 2 2 2 7 3" xfId="10872"/>
    <cellStyle name="Milliers 4 2 2 2 8" xfId="4392"/>
    <cellStyle name="Milliers 4 2 2 2 8 2" xfId="13032"/>
    <cellStyle name="Milliers 4 2 2 2 9" xfId="8712"/>
    <cellStyle name="Milliers 4 2 2 3" xfId="117"/>
    <cellStyle name="Milliers 4 2 2 3 2" xfId="297"/>
    <cellStyle name="Milliers 4 2 2 3 2 2" xfId="657"/>
    <cellStyle name="Milliers 4 2 2 3 2 2 2" xfId="1377"/>
    <cellStyle name="Milliers 4 2 2 3 2 2 2 2" xfId="3537"/>
    <cellStyle name="Milliers 4 2 2 3 2 2 2 2 2" xfId="7857"/>
    <cellStyle name="Milliers 4 2 2 3 2 2 2 2 2 2" xfId="16497"/>
    <cellStyle name="Milliers 4 2 2 3 2 2 2 2 3" xfId="12177"/>
    <cellStyle name="Milliers 4 2 2 3 2 2 2 3" xfId="5697"/>
    <cellStyle name="Milliers 4 2 2 3 2 2 2 3 2" xfId="14337"/>
    <cellStyle name="Milliers 4 2 2 3 2 2 2 4" xfId="10017"/>
    <cellStyle name="Milliers 4 2 2 3 2 2 3" xfId="2097"/>
    <cellStyle name="Milliers 4 2 2 3 2 2 3 2" xfId="4257"/>
    <cellStyle name="Milliers 4 2 2 3 2 2 3 2 2" xfId="8577"/>
    <cellStyle name="Milliers 4 2 2 3 2 2 3 2 2 2" xfId="17217"/>
    <cellStyle name="Milliers 4 2 2 3 2 2 3 2 3" xfId="12897"/>
    <cellStyle name="Milliers 4 2 2 3 2 2 3 3" xfId="6417"/>
    <cellStyle name="Milliers 4 2 2 3 2 2 3 3 2" xfId="15057"/>
    <cellStyle name="Milliers 4 2 2 3 2 2 3 4" xfId="10737"/>
    <cellStyle name="Milliers 4 2 2 3 2 2 4" xfId="2817"/>
    <cellStyle name="Milliers 4 2 2 3 2 2 4 2" xfId="7137"/>
    <cellStyle name="Milliers 4 2 2 3 2 2 4 2 2" xfId="15777"/>
    <cellStyle name="Milliers 4 2 2 3 2 2 4 3" xfId="11457"/>
    <cellStyle name="Milliers 4 2 2 3 2 2 5" xfId="4977"/>
    <cellStyle name="Milliers 4 2 2 3 2 2 5 2" xfId="13617"/>
    <cellStyle name="Milliers 4 2 2 3 2 2 6" xfId="9297"/>
    <cellStyle name="Milliers 4 2 2 3 2 3" xfId="1017"/>
    <cellStyle name="Milliers 4 2 2 3 2 3 2" xfId="3177"/>
    <cellStyle name="Milliers 4 2 2 3 2 3 2 2" xfId="7497"/>
    <cellStyle name="Milliers 4 2 2 3 2 3 2 2 2" xfId="16137"/>
    <cellStyle name="Milliers 4 2 2 3 2 3 2 3" xfId="11817"/>
    <cellStyle name="Milliers 4 2 2 3 2 3 3" xfId="5337"/>
    <cellStyle name="Milliers 4 2 2 3 2 3 3 2" xfId="13977"/>
    <cellStyle name="Milliers 4 2 2 3 2 3 4" xfId="9657"/>
    <cellStyle name="Milliers 4 2 2 3 2 4" xfId="1737"/>
    <cellStyle name="Milliers 4 2 2 3 2 4 2" xfId="3897"/>
    <cellStyle name="Milliers 4 2 2 3 2 4 2 2" xfId="8217"/>
    <cellStyle name="Milliers 4 2 2 3 2 4 2 2 2" xfId="16857"/>
    <cellStyle name="Milliers 4 2 2 3 2 4 2 3" xfId="12537"/>
    <cellStyle name="Milliers 4 2 2 3 2 4 3" xfId="6057"/>
    <cellStyle name="Milliers 4 2 2 3 2 4 3 2" xfId="14697"/>
    <cellStyle name="Milliers 4 2 2 3 2 4 4" xfId="10377"/>
    <cellStyle name="Milliers 4 2 2 3 2 5" xfId="2457"/>
    <cellStyle name="Milliers 4 2 2 3 2 5 2" xfId="6777"/>
    <cellStyle name="Milliers 4 2 2 3 2 5 2 2" xfId="15417"/>
    <cellStyle name="Milliers 4 2 2 3 2 5 3" xfId="11097"/>
    <cellStyle name="Milliers 4 2 2 3 2 6" xfId="4617"/>
    <cellStyle name="Milliers 4 2 2 3 2 6 2" xfId="13257"/>
    <cellStyle name="Milliers 4 2 2 3 2 7" xfId="8937"/>
    <cellStyle name="Milliers 4 2 2 3 3" xfId="477"/>
    <cellStyle name="Milliers 4 2 2 3 3 2" xfId="1197"/>
    <cellStyle name="Milliers 4 2 2 3 3 2 2" xfId="3357"/>
    <cellStyle name="Milliers 4 2 2 3 3 2 2 2" xfId="7677"/>
    <cellStyle name="Milliers 4 2 2 3 3 2 2 2 2" xfId="16317"/>
    <cellStyle name="Milliers 4 2 2 3 3 2 2 3" xfId="11997"/>
    <cellStyle name="Milliers 4 2 2 3 3 2 3" xfId="5517"/>
    <cellStyle name="Milliers 4 2 2 3 3 2 3 2" xfId="14157"/>
    <cellStyle name="Milliers 4 2 2 3 3 2 4" xfId="9837"/>
    <cellStyle name="Milliers 4 2 2 3 3 3" xfId="1917"/>
    <cellStyle name="Milliers 4 2 2 3 3 3 2" xfId="4077"/>
    <cellStyle name="Milliers 4 2 2 3 3 3 2 2" xfId="8397"/>
    <cellStyle name="Milliers 4 2 2 3 3 3 2 2 2" xfId="17037"/>
    <cellStyle name="Milliers 4 2 2 3 3 3 2 3" xfId="12717"/>
    <cellStyle name="Milliers 4 2 2 3 3 3 3" xfId="6237"/>
    <cellStyle name="Milliers 4 2 2 3 3 3 3 2" xfId="14877"/>
    <cellStyle name="Milliers 4 2 2 3 3 3 4" xfId="10557"/>
    <cellStyle name="Milliers 4 2 2 3 3 4" xfId="2637"/>
    <cellStyle name="Milliers 4 2 2 3 3 4 2" xfId="6957"/>
    <cellStyle name="Milliers 4 2 2 3 3 4 2 2" xfId="15597"/>
    <cellStyle name="Milliers 4 2 2 3 3 4 3" xfId="11277"/>
    <cellStyle name="Milliers 4 2 2 3 3 5" xfId="4797"/>
    <cellStyle name="Milliers 4 2 2 3 3 5 2" xfId="13437"/>
    <cellStyle name="Milliers 4 2 2 3 3 6" xfId="9117"/>
    <cellStyle name="Milliers 4 2 2 3 4" xfId="837"/>
    <cellStyle name="Milliers 4 2 2 3 4 2" xfId="2997"/>
    <cellStyle name="Milliers 4 2 2 3 4 2 2" xfId="7317"/>
    <cellStyle name="Milliers 4 2 2 3 4 2 2 2" xfId="15957"/>
    <cellStyle name="Milliers 4 2 2 3 4 2 3" xfId="11637"/>
    <cellStyle name="Milliers 4 2 2 3 4 3" xfId="5157"/>
    <cellStyle name="Milliers 4 2 2 3 4 3 2" xfId="13797"/>
    <cellStyle name="Milliers 4 2 2 3 4 4" xfId="9477"/>
    <cellStyle name="Milliers 4 2 2 3 5" xfId="1557"/>
    <cellStyle name="Milliers 4 2 2 3 5 2" xfId="3717"/>
    <cellStyle name="Milliers 4 2 2 3 5 2 2" xfId="8037"/>
    <cellStyle name="Milliers 4 2 2 3 5 2 2 2" xfId="16677"/>
    <cellStyle name="Milliers 4 2 2 3 5 2 3" xfId="12357"/>
    <cellStyle name="Milliers 4 2 2 3 5 3" xfId="5877"/>
    <cellStyle name="Milliers 4 2 2 3 5 3 2" xfId="14517"/>
    <cellStyle name="Milliers 4 2 2 3 5 4" xfId="10197"/>
    <cellStyle name="Milliers 4 2 2 3 6" xfId="2277"/>
    <cellStyle name="Milliers 4 2 2 3 6 2" xfId="6597"/>
    <cellStyle name="Milliers 4 2 2 3 6 2 2" xfId="15237"/>
    <cellStyle name="Milliers 4 2 2 3 6 3" xfId="10917"/>
    <cellStyle name="Milliers 4 2 2 3 7" xfId="4437"/>
    <cellStyle name="Milliers 4 2 2 3 7 2" xfId="13077"/>
    <cellStyle name="Milliers 4 2 2 3 8" xfId="8757"/>
    <cellStyle name="Milliers 4 2 2 4" xfId="207"/>
    <cellStyle name="Milliers 4 2 2 4 2" xfId="567"/>
    <cellStyle name="Milliers 4 2 2 4 2 2" xfId="1287"/>
    <cellStyle name="Milliers 4 2 2 4 2 2 2" xfId="3447"/>
    <cellStyle name="Milliers 4 2 2 4 2 2 2 2" xfId="7767"/>
    <cellStyle name="Milliers 4 2 2 4 2 2 2 2 2" xfId="16407"/>
    <cellStyle name="Milliers 4 2 2 4 2 2 2 3" xfId="12087"/>
    <cellStyle name="Milliers 4 2 2 4 2 2 3" xfId="5607"/>
    <cellStyle name="Milliers 4 2 2 4 2 2 3 2" xfId="14247"/>
    <cellStyle name="Milliers 4 2 2 4 2 2 4" xfId="9927"/>
    <cellStyle name="Milliers 4 2 2 4 2 3" xfId="2007"/>
    <cellStyle name="Milliers 4 2 2 4 2 3 2" xfId="4167"/>
    <cellStyle name="Milliers 4 2 2 4 2 3 2 2" xfId="8487"/>
    <cellStyle name="Milliers 4 2 2 4 2 3 2 2 2" xfId="17127"/>
    <cellStyle name="Milliers 4 2 2 4 2 3 2 3" xfId="12807"/>
    <cellStyle name="Milliers 4 2 2 4 2 3 3" xfId="6327"/>
    <cellStyle name="Milliers 4 2 2 4 2 3 3 2" xfId="14967"/>
    <cellStyle name="Milliers 4 2 2 4 2 3 4" xfId="10647"/>
    <cellStyle name="Milliers 4 2 2 4 2 4" xfId="2727"/>
    <cellStyle name="Milliers 4 2 2 4 2 4 2" xfId="7047"/>
    <cellStyle name="Milliers 4 2 2 4 2 4 2 2" xfId="15687"/>
    <cellStyle name="Milliers 4 2 2 4 2 4 3" xfId="11367"/>
    <cellStyle name="Milliers 4 2 2 4 2 5" xfId="4887"/>
    <cellStyle name="Milliers 4 2 2 4 2 5 2" xfId="13527"/>
    <cellStyle name="Milliers 4 2 2 4 2 6" xfId="9207"/>
    <cellStyle name="Milliers 4 2 2 4 3" xfId="927"/>
    <cellStyle name="Milliers 4 2 2 4 3 2" xfId="3087"/>
    <cellStyle name="Milliers 4 2 2 4 3 2 2" xfId="7407"/>
    <cellStyle name="Milliers 4 2 2 4 3 2 2 2" xfId="16047"/>
    <cellStyle name="Milliers 4 2 2 4 3 2 3" xfId="11727"/>
    <cellStyle name="Milliers 4 2 2 4 3 3" xfId="5247"/>
    <cellStyle name="Milliers 4 2 2 4 3 3 2" xfId="13887"/>
    <cellStyle name="Milliers 4 2 2 4 3 4" xfId="9567"/>
    <cellStyle name="Milliers 4 2 2 4 4" xfId="1647"/>
    <cellStyle name="Milliers 4 2 2 4 4 2" xfId="3807"/>
    <cellStyle name="Milliers 4 2 2 4 4 2 2" xfId="8127"/>
    <cellStyle name="Milliers 4 2 2 4 4 2 2 2" xfId="16767"/>
    <cellStyle name="Milliers 4 2 2 4 4 2 3" xfId="12447"/>
    <cellStyle name="Milliers 4 2 2 4 4 3" xfId="5967"/>
    <cellStyle name="Milliers 4 2 2 4 4 3 2" xfId="14607"/>
    <cellStyle name="Milliers 4 2 2 4 4 4" xfId="10287"/>
    <cellStyle name="Milliers 4 2 2 4 5" xfId="2367"/>
    <cellStyle name="Milliers 4 2 2 4 5 2" xfId="6687"/>
    <cellStyle name="Milliers 4 2 2 4 5 2 2" xfId="15327"/>
    <cellStyle name="Milliers 4 2 2 4 5 3" xfId="11007"/>
    <cellStyle name="Milliers 4 2 2 4 6" xfId="4527"/>
    <cellStyle name="Milliers 4 2 2 4 6 2" xfId="13167"/>
    <cellStyle name="Milliers 4 2 2 4 7" xfId="8847"/>
    <cellStyle name="Milliers 4 2 2 5" xfId="387"/>
    <cellStyle name="Milliers 4 2 2 5 2" xfId="1107"/>
    <cellStyle name="Milliers 4 2 2 5 2 2" xfId="3267"/>
    <cellStyle name="Milliers 4 2 2 5 2 2 2" xfId="7587"/>
    <cellStyle name="Milliers 4 2 2 5 2 2 2 2" xfId="16227"/>
    <cellStyle name="Milliers 4 2 2 5 2 2 3" xfId="11907"/>
    <cellStyle name="Milliers 4 2 2 5 2 3" xfId="5427"/>
    <cellStyle name="Milliers 4 2 2 5 2 3 2" xfId="14067"/>
    <cellStyle name="Milliers 4 2 2 5 2 4" xfId="9747"/>
    <cellStyle name="Milliers 4 2 2 5 3" xfId="1827"/>
    <cellStyle name="Milliers 4 2 2 5 3 2" xfId="3987"/>
    <cellStyle name="Milliers 4 2 2 5 3 2 2" xfId="8307"/>
    <cellStyle name="Milliers 4 2 2 5 3 2 2 2" xfId="16947"/>
    <cellStyle name="Milliers 4 2 2 5 3 2 3" xfId="12627"/>
    <cellStyle name="Milliers 4 2 2 5 3 3" xfId="6147"/>
    <cellStyle name="Milliers 4 2 2 5 3 3 2" xfId="14787"/>
    <cellStyle name="Milliers 4 2 2 5 3 4" xfId="10467"/>
    <cellStyle name="Milliers 4 2 2 5 4" xfId="2547"/>
    <cellStyle name="Milliers 4 2 2 5 4 2" xfId="6867"/>
    <cellStyle name="Milliers 4 2 2 5 4 2 2" xfId="15507"/>
    <cellStyle name="Milliers 4 2 2 5 4 3" xfId="11187"/>
    <cellStyle name="Milliers 4 2 2 5 5" xfId="4707"/>
    <cellStyle name="Milliers 4 2 2 5 5 2" xfId="13347"/>
    <cellStyle name="Milliers 4 2 2 5 6" xfId="9027"/>
    <cellStyle name="Milliers 4 2 2 6" xfId="747"/>
    <cellStyle name="Milliers 4 2 2 6 2" xfId="2907"/>
    <cellStyle name="Milliers 4 2 2 6 2 2" xfId="7227"/>
    <cellStyle name="Milliers 4 2 2 6 2 2 2" xfId="15867"/>
    <cellStyle name="Milliers 4 2 2 6 2 3" xfId="11547"/>
    <cellStyle name="Milliers 4 2 2 6 3" xfId="5067"/>
    <cellStyle name="Milliers 4 2 2 6 3 2" xfId="13707"/>
    <cellStyle name="Milliers 4 2 2 6 4" xfId="9387"/>
    <cellStyle name="Milliers 4 2 2 7" xfId="1467"/>
    <cellStyle name="Milliers 4 2 2 7 2" xfId="3627"/>
    <cellStyle name="Milliers 4 2 2 7 2 2" xfId="7947"/>
    <cellStyle name="Milliers 4 2 2 7 2 2 2" xfId="16587"/>
    <cellStyle name="Milliers 4 2 2 7 2 3" xfId="12267"/>
    <cellStyle name="Milliers 4 2 2 7 3" xfId="5787"/>
    <cellStyle name="Milliers 4 2 2 7 3 2" xfId="14427"/>
    <cellStyle name="Milliers 4 2 2 7 4" xfId="10107"/>
    <cellStyle name="Milliers 4 2 2 8" xfId="2187"/>
    <cellStyle name="Milliers 4 2 2 8 2" xfId="6507"/>
    <cellStyle name="Milliers 4 2 2 8 2 2" xfId="15147"/>
    <cellStyle name="Milliers 4 2 2 8 3" xfId="10827"/>
    <cellStyle name="Milliers 4 2 2 9" xfId="4347"/>
    <cellStyle name="Milliers 4 2 2 9 2" xfId="12987"/>
    <cellStyle name="Milliers 4 2 3" xfId="42"/>
    <cellStyle name="Milliers 4 2 3 10" xfId="8682"/>
    <cellStyle name="Milliers 4 2 3 2" xfId="87"/>
    <cellStyle name="Milliers 4 2 3 2 2" xfId="177"/>
    <cellStyle name="Milliers 4 2 3 2 2 2" xfId="357"/>
    <cellStyle name="Milliers 4 2 3 2 2 2 2" xfId="717"/>
    <cellStyle name="Milliers 4 2 3 2 2 2 2 2" xfId="1437"/>
    <cellStyle name="Milliers 4 2 3 2 2 2 2 2 2" xfId="3597"/>
    <cellStyle name="Milliers 4 2 3 2 2 2 2 2 2 2" xfId="7917"/>
    <cellStyle name="Milliers 4 2 3 2 2 2 2 2 2 2 2" xfId="16557"/>
    <cellStyle name="Milliers 4 2 3 2 2 2 2 2 2 3" xfId="12237"/>
    <cellStyle name="Milliers 4 2 3 2 2 2 2 2 3" xfId="5757"/>
    <cellStyle name="Milliers 4 2 3 2 2 2 2 2 3 2" xfId="14397"/>
    <cellStyle name="Milliers 4 2 3 2 2 2 2 2 4" xfId="10077"/>
    <cellStyle name="Milliers 4 2 3 2 2 2 2 3" xfId="2157"/>
    <cellStyle name="Milliers 4 2 3 2 2 2 2 3 2" xfId="4317"/>
    <cellStyle name="Milliers 4 2 3 2 2 2 2 3 2 2" xfId="8637"/>
    <cellStyle name="Milliers 4 2 3 2 2 2 2 3 2 2 2" xfId="17277"/>
    <cellStyle name="Milliers 4 2 3 2 2 2 2 3 2 3" xfId="12957"/>
    <cellStyle name="Milliers 4 2 3 2 2 2 2 3 3" xfId="6477"/>
    <cellStyle name="Milliers 4 2 3 2 2 2 2 3 3 2" xfId="15117"/>
    <cellStyle name="Milliers 4 2 3 2 2 2 2 3 4" xfId="10797"/>
    <cellStyle name="Milliers 4 2 3 2 2 2 2 4" xfId="2877"/>
    <cellStyle name="Milliers 4 2 3 2 2 2 2 4 2" xfId="7197"/>
    <cellStyle name="Milliers 4 2 3 2 2 2 2 4 2 2" xfId="15837"/>
    <cellStyle name="Milliers 4 2 3 2 2 2 2 4 3" xfId="11517"/>
    <cellStyle name="Milliers 4 2 3 2 2 2 2 5" xfId="5037"/>
    <cellStyle name="Milliers 4 2 3 2 2 2 2 5 2" xfId="13677"/>
    <cellStyle name="Milliers 4 2 3 2 2 2 2 6" xfId="9357"/>
    <cellStyle name="Milliers 4 2 3 2 2 2 3" xfId="1077"/>
    <cellStyle name="Milliers 4 2 3 2 2 2 3 2" xfId="3237"/>
    <cellStyle name="Milliers 4 2 3 2 2 2 3 2 2" xfId="7557"/>
    <cellStyle name="Milliers 4 2 3 2 2 2 3 2 2 2" xfId="16197"/>
    <cellStyle name="Milliers 4 2 3 2 2 2 3 2 3" xfId="11877"/>
    <cellStyle name="Milliers 4 2 3 2 2 2 3 3" xfId="5397"/>
    <cellStyle name="Milliers 4 2 3 2 2 2 3 3 2" xfId="14037"/>
    <cellStyle name="Milliers 4 2 3 2 2 2 3 4" xfId="9717"/>
    <cellStyle name="Milliers 4 2 3 2 2 2 4" xfId="1797"/>
    <cellStyle name="Milliers 4 2 3 2 2 2 4 2" xfId="3957"/>
    <cellStyle name="Milliers 4 2 3 2 2 2 4 2 2" xfId="8277"/>
    <cellStyle name="Milliers 4 2 3 2 2 2 4 2 2 2" xfId="16917"/>
    <cellStyle name="Milliers 4 2 3 2 2 2 4 2 3" xfId="12597"/>
    <cellStyle name="Milliers 4 2 3 2 2 2 4 3" xfId="6117"/>
    <cellStyle name="Milliers 4 2 3 2 2 2 4 3 2" xfId="14757"/>
    <cellStyle name="Milliers 4 2 3 2 2 2 4 4" xfId="10437"/>
    <cellStyle name="Milliers 4 2 3 2 2 2 5" xfId="2517"/>
    <cellStyle name="Milliers 4 2 3 2 2 2 5 2" xfId="6837"/>
    <cellStyle name="Milliers 4 2 3 2 2 2 5 2 2" xfId="15477"/>
    <cellStyle name="Milliers 4 2 3 2 2 2 5 3" xfId="11157"/>
    <cellStyle name="Milliers 4 2 3 2 2 2 6" xfId="4677"/>
    <cellStyle name="Milliers 4 2 3 2 2 2 6 2" xfId="13317"/>
    <cellStyle name="Milliers 4 2 3 2 2 2 7" xfId="8997"/>
    <cellStyle name="Milliers 4 2 3 2 2 3" xfId="537"/>
    <cellStyle name="Milliers 4 2 3 2 2 3 2" xfId="1257"/>
    <cellStyle name="Milliers 4 2 3 2 2 3 2 2" xfId="3417"/>
    <cellStyle name="Milliers 4 2 3 2 2 3 2 2 2" xfId="7737"/>
    <cellStyle name="Milliers 4 2 3 2 2 3 2 2 2 2" xfId="16377"/>
    <cellStyle name="Milliers 4 2 3 2 2 3 2 2 3" xfId="12057"/>
    <cellStyle name="Milliers 4 2 3 2 2 3 2 3" xfId="5577"/>
    <cellStyle name="Milliers 4 2 3 2 2 3 2 3 2" xfId="14217"/>
    <cellStyle name="Milliers 4 2 3 2 2 3 2 4" xfId="9897"/>
    <cellStyle name="Milliers 4 2 3 2 2 3 3" xfId="1977"/>
    <cellStyle name="Milliers 4 2 3 2 2 3 3 2" xfId="4137"/>
    <cellStyle name="Milliers 4 2 3 2 2 3 3 2 2" xfId="8457"/>
    <cellStyle name="Milliers 4 2 3 2 2 3 3 2 2 2" xfId="17097"/>
    <cellStyle name="Milliers 4 2 3 2 2 3 3 2 3" xfId="12777"/>
    <cellStyle name="Milliers 4 2 3 2 2 3 3 3" xfId="6297"/>
    <cellStyle name="Milliers 4 2 3 2 2 3 3 3 2" xfId="14937"/>
    <cellStyle name="Milliers 4 2 3 2 2 3 3 4" xfId="10617"/>
    <cellStyle name="Milliers 4 2 3 2 2 3 4" xfId="2697"/>
    <cellStyle name="Milliers 4 2 3 2 2 3 4 2" xfId="7017"/>
    <cellStyle name="Milliers 4 2 3 2 2 3 4 2 2" xfId="15657"/>
    <cellStyle name="Milliers 4 2 3 2 2 3 4 3" xfId="11337"/>
    <cellStyle name="Milliers 4 2 3 2 2 3 5" xfId="4857"/>
    <cellStyle name="Milliers 4 2 3 2 2 3 5 2" xfId="13497"/>
    <cellStyle name="Milliers 4 2 3 2 2 3 6" xfId="9177"/>
    <cellStyle name="Milliers 4 2 3 2 2 4" xfId="897"/>
    <cellStyle name="Milliers 4 2 3 2 2 4 2" xfId="3057"/>
    <cellStyle name="Milliers 4 2 3 2 2 4 2 2" xfId="7377"/>
    <cellStyle name="Milliers 4 2 3 2 2 4 2 2 2" xfId="16017"/>
    <cellStyle name="Milliers 4 2 3 2 2 4 2 3" xfId="11697"/>
    <cellStyle name="Milliers 4 2 3 2 2 4 3" xfId="5217"/>
    <cellStyle name="Milliers 4 2 3 2 2 4 3 2" xfId="13857"/>
    <cellStyle name="Milliers 4 2 3 2 2 4 4" xfId="9537"/>
    <cellStyle name="Milliers 4 2 3 2 2 5" xfId="1617"/>
    <cellStyle name="Milliers 4 2 3 2 2 5 2" xfId="3777"/>
    <cellStyle name="Milliers 4 2 3 2 2 5 2 2" xfId="8097"/>
    <cellStyle name="Milliers 4 2 3 2 2 5 2 2 2" xfId="16737"/>
    <cellStyle name="Milliers 4 2 3 2 2 5 2 3" xfId="12417"/>
    <cellStyle name="Milliers 4 2 3 2 2 5 3" xfId="5937"/>
    <cellStyle name="Milliers 4 2 3 2 2 5 3 2" xfId="14577"/>
    <cellStyle name="Milliers 4 2 3 2 2 5 4" xfId="10257"/>
    <cellStyle name="Milliers 4 2 3 2 2 6" xfId="2337"/>
    <cellStyle name="Milliers 4 2 3 2 2 6 2" xfId="6657"/>
    <cellStyle name="Milliers 4 2 3 2 2 6 2 2" xfId="15297"/>
    <cellStyle name="Milliers 4 2 3 2 2 6 3" xfId="10977"/>
    <cellStyle name="Milliers 4 2 3 2 2 7" xfId="4497"/>
    <cellStyle name="Milliers 4 2 3 2 2 7 2" xfId="13137"/>
    <cellStyle name="Milliers 4 2 3 2 2 8" xfId="8817"/>
    <cellStyle name="Milliers 4 2 3 2 3" xfId="267"/>
    <cellStyle name="Milliers 4 2 3 2 3 2" xfId="627"/>
    <cellStyle name="Milliers 4 2 3 2 3 2 2" xfId="1347"/>
    <cellStyle name="Milliers 4 2 3 2 3 2 2 2" xfId="3507"/>
    <cellStyle name="Milliers 4 2 3 2 3 2 2 2 2" xfId="7827"/>
    <cellStyle name="Milliers 4 2 3 2 3 2 2 2 2 2" xfId="16467"/>
    <cellStyle name="Milliers 4 2 3 2 3 2 2 2 3" xfId="12147"/>
    <cellStyle name="Milliers 4 2 3 2 3 2 2 3" xfId="5667"/>
    <cellStyle name="Milliers 4 2 3 2 3 2 2 3 2" xfId="14307"/>
    <cellStyle name="Milliers 4 2 3 2 3 2 2 4" xfId="9987"/>
    <cellStyle name="Milliers 4 2 3 2 3 2 3" xfId="2067"/>
    <cellStyle name="Milliers 4 2 3 2 3 2 3 2" xfId="4227"/>
    <cellStyle name="Milliers 4 2 3 2 3 2 3 2 2" xfId="8547"/>
    <cellStyle name="Milliers 4 2 3 2 3 2 3 2 2 2" xfId="17187"/>
    <cellStyle name="Milliers 4 2 3 2 3 2 3 2 3" xfId="12867"/>
    <cellStyle name="Milliers 4 2 3 2 3 2 3 3" xfId="6387"/>
    <cellStyle name="Milliers 4 2 3 2 3 2 3 3 2" xfId="15027"/>
    <cellStyle name="Milliers 4 2 3 2 3 2 3 4" xfId="10707"/>
    <cellStyle name="Milliers 4 2 3 2 3 2 4" xfId="2787"/>
    <cellStyle name="Milliers 4 2 3 2 3 2 4 2" xfId="7107"/>
    <cellStyle name="Milliers 4 2 3 2 3 2 4 2 2" xfId="15747"/>
    <cellStyle name="Milliers 4 2 3 2 3 2 4 3" xfId="11427"/>
    <cellStyle name="Milliers 4 2 3 2 3 2 5" xfId="4947"/>
    <cellStyle name="Milliers 4 2 3 2 3 2 5 2" xfId="13587"/>
    <cellStyle name="Milliers 4 2 3 2 3 2 6" xfId="9267"/>
    <cellStyle name="Milliers 4 2 3 2 3 3" xfId="987"/>
    <cellStyle name="Milliers 4 2 3 2 3 3 2" xfId="3147"/>
    <cellStyle name="Milliers 4 2 3 2 3 3 2 2" xfId="7467"/>
    <cellStyle name="Milliers 4 2 3 2 3 3 2 2 2" xfId="16107"/>
    <cellStyle name="Milliers 4 2 3 2 3 3 2 3" xfId="11787"/>
    <cellStyle name="Milliers 4 2 3 2 3 3 3" xfId="5307"/>
    <cellStyle name="Milliers 4 2 3 2 3 3 3 2" xfId="13947"/>
    <cellStyle name="Milliers 4 2 3 2 3 3 4" xfId="9627"/>
    <cellStyle name="Milliers 4 2 3 2 3 4" xfId="1707"/>
    <cellStyle name="Milliers 4 2 3 2 3 4 2" xfId="3867"/>
    <cellStyle name="Milliers 4 2 3 2 3 4 2 2" xfId="8187"/>
    <cellStyle name="Milliers 4 2 3 2 3 4 2 2 2" xfId="16827"/>
    <cellStyle name="Milliers 4 2 3 2 3 4 2 3" xfId="12507"/>
    <cellStyle name="Milliers 4 2 3 2 3 4 3" xfId="6027"/>
    <cellStyle name="Milliers 4 2 3 2 3 4 3 2" xfId="14667"/>
    <cellStyle name="Milliers 4 2 3 2 3 4 4" xfId="10347"/>
    <cellStyle name="Milliers 4 2 3 2 3 5" xfId="2427"/>
    <cellStyle name="Milliers 4 2 3 2 3 5 2" xfId="6747"/>
    <cellStyle name="Milliers 4 2 3 2 3 5 2 2" xfId="15387"/>
    <cellStyle name="Milliers 4 2 3 2 3 5 3" xfId="11067"/>
    <cellStyle name="Milliers 4 2 3 2 3 6" xfId="4587"/>
    <cellStyle name="Milliers 4 2 3 2 3 6 2" xfId="13227"/>
    <cellStyle name="Milliers 4 2 3 2 3 7" xfId="8907"/>
    <cellStyle name="Milliers 4 2 3 2 4" xfId="447"/>
    <cellStyle name="Milliers 4 2 3 2 4 2" xfId="1167"/>
    <cellStyle name="Milliers 4 2 3 2 4 2 2" xfId="3327"/>
    <cellStyle name="Milliers 4 2 3 2 4 2 2 2" xfId="7647"/>
    <cellStyle name="Milliers 4 2 3 2 4 2 2 2 2" xfId="16287"/>
    <cellStyle name="Milliers 4 2 3 2 4 2 2 3" xfId="11967"/>
    <cellStyle name="Milliers 4 2 3 2 4 2 3" xfId="5487"/>
    <cellStyle name="Milliers 4 2 3 2 4 2 3 2" xfId="14127"/>
    <cellStyle name="Milliers 4 2 3 2 4 2 4" xfId="9807"/>
    <cellStyle name="Milliers 4 2 3 2 4 3" xfId="1887"/>
    <cellStyle name="Milliers 4 2 3 2 4 3 2" xfId="4047"/>
    <cellStyle name="Milliers 4 2 3 2 4 3 2 2" xfId="8367"/>
    <cellStyle name="Milliers 4 2 3 2 4 3 2 2 2" xfId="17007"/>
    <cellStyle name="Milliers 4 2 3 2 4 3 2 3" xfId="12687"/>
    <cellStyle name="Milliers 4 2 3 2 4 3 3" xfId="6207"/>
    <cellStyle name="Milliers 4 2 3 2 4 3 3 2" xfId="14847"/>
    <cellStyle name="Milliers 4 2 3 2 4 3 4" xfId="10527"/>
    <cellStyle name="Milliers 4 2 3 2 4 4" xfId="2607"/>
    <cellStyle name="Milliers 4 2 3 2 4 4 2" xfId="6927"/>
    <cellStyle name="Milliers 4 2 3 2 4 4 2 2" xfId="15567"/>
    <cellStyle name="Milliers 4 2 3 2 4 4 3" xfId="11247"/>
    <cellStyle name="Milliers 4 2 3 2 4 5" xfId="4767"/>
    <cellStyle name="Milliers 4 2 3 2 4 5 2" xfId="13407"/>
    <cellStyle name="Milliers 4 2 3 2 4 6" xfId="9087"/>
    <cellStyle name="Milliers 4 2 3 2 5" xfId="807"/>
    <cellStyle name="Milliers 4 2 3 2 5 2" xfId="2967"/>
    <cellStyle name="Milliers 4 2 3 2 5 2 2" xfId="7287"/>
    <cellStyle name="Milliers 4 2 3 2 5 2 2 2" xfId="15927"/>
    <cellStyle name="Milliers 4 2 3 2 5 2 3" xfId="11607"/>
    <cellStyle name="Milliers 4 2 3 2 5 3" xfId="5127"/>
    <cellStyle name="Milliers 4 2 3 2 5 3 2" xfId="13767"/>
    <cellStyle name="Milliers 4 2 3 2 5 4" xfId="9447"/>
    <cellStyle name="Milliers 4 2 3 2 6" xfId="1527"/>
    <cellStyle name="Milliers 4 2 3 2 6 2" xfId="3687"/>
    <cellStyle name="Milliers 4 2 3 2 6 2 2" xfId="8007"/>
    <cellStyle name="Milliers 4 2 3 2 6 2 2 2" xfId="16647"/>
    <cellStyle name="Milliers 4 2 3 2 6 2 3" xfId="12327"/>
    <cellStyle name="Milliers 4 2 3 2 6 3" xfId="5847"/>
    <cellStyle name="Milliers 4 2 3 2 6 3 2" xfId="14487"/>
    <cellStyle name="Milliers 4 2 3 2 6 4" xfId="10167"/>
    <cellStyle name="Milliers 4 2 3 2 7" xfId="2247"/>
    <cellStyle name="Milliers 4 2 3 2 7 2" xfId="6567"/>
    <cellStyle name="Milliers 4 2 3 2 7 2 2" xfId="15207"/>
    <cellStyle name="Milliers 4 2 3 2 7 3" xfId="10887"/>
    <cellStyle name="Milliers 4 2 3 2 8" xfId="4407"/>
    <cellStyle name="Milliers 4 2 3 2 8 2" xfId="13047"/>
    <cellStyle name="Milliers 4 2 3 2 9" xfId="8727"/>
    <cellStyle name="Milliers 4 2 3 3" xfId="132"/>
    <cellStyle name="Milliers 4 2 3 3 2" xfId="312"/>
    <cellStyle name="Milliers 4 2 3 3 2 2" xfId="672"/>
    <cellStyle name="Milliers 4 2 3 3 2 2 2" xfId="1392"/>
    <cellStyle name="Milliers 4 2 3 3 2 2 2 2" xfId="3552"/>
    <cellStyle name="Milliers 4 2 3 3 2 2 2 2 2" xfId="7872"/>
    <cellStyle name="Milliers 4 2 3 3 2 2 2 2 2 2" xfId="16512"/>
    <cellStyle name="Milliers 4 2 3 3 2 2 2 2 3" xfId="12192"/>
    <cellStyle name="Milliers 4 2 3 3 2 2 2 3" xfId="5712"/>
    <cellStyle name="Milliers 4 2 3 3 2 2 2 3 2" xfId="14352"/>
    <cellStyle name="Milliers 4 2 3 3 2 2 2 4" xfId="10032"/>
    <cellStyle name="Milliers 4 2 3 3 2 2 3" xfId="2112"/>
    <cellStyle name="Milliers 4 2 3 3 2 2 3 2" xfId="4272"/>
    <cellStyle name="Milliers 4 2 3 3 2 2 3 2 2" xfId="8592"/>
    <cellStyle name="Milliers 4 2 3 3 2 2 3 2 2 2" xfId="17232"/>
    <cellStyle name="Milliers 4 2 3 3 2 2 3 2 3" xfId="12912"/>
    <cellStyle name="Milliers 4 2 3 3 2 2 3 3" xfId="6432"/>
    <cellStyle name="Milliers 4 2 3 3 2 2 3 3 2" xfId="15072"/>
    <cellStyle name="Milliers 4 2 3 3 2 2 3 4" xfId="10752"/>
    <cellStyle name="Milliers 4 2 3 3 2 2 4" xfId="2832"/>
    <cellStyle name="Milliers 4 2 3 3 2 2 4 2" xfId="7152"/>
    <cellStyle name="Milliers 4 2 3 3 2 2 4 2 2" xfId="15792"/>
    <cellStyle name="Milliers 4 2 3 3 2 2 4 3" xfId="11472"/>
    <cellStyle name="Milliers 4 2 3 3 2 2 5" xfId="4992"/>
    <cellStyle name="Milliers 4 2 3 3 2 2 5 2" xfId="13632"/>
    <cellStyle name="Milliers 4 2 3 3 2 2 6" xfId="9312"/>
    <cellStyle name="Milliers 4 2 3 3 2 3" xfId="1032"/>
    <cellStyle name="Milliers 4 2 3 3 2 3 2" xfId="3192"/>
    <cellStyle name="Milliers 4 2 3 3 2 3 2 2" xfId="7512"/>
    <cellStyle name="Milliers 4 2 3 3 2 3 2 2 2" xfId="16152"/>
    <cellStyle name="Milliers 4 2 3 3 2 3 2 3" xfId="11832"/>
    <cellStyle name="Milliers 4 2 3 3 2 3 3" xfId="5352"/>
    <cellStyle name="Milliers 4 2 3 3 2 3 3 2" xfId="13992"/>
    <cellStyle name="Milliers 4 2 3 3 2 3 4" xfId="9672"/>
    <cellStyle name="Milliers 4 2 3 3 2 4" xfId="1752"/>
    <cellStyle name="Milliers 4 2 3 3 2 4 2" xfId="3912"/>
    <cellStyle name="Milliers 4 2 3 3 2 4 2 2" xfId="8232"/>
    <cellStyle name="Milliers 4 2 3 3 2 4 2 2 2" xfId="16872"/>
    <cellStyle name="Milliers 4 2 3 3 2 4 2 3" xfId="12552"/>
    <cellStyle name="Milliers 4 2 3 3 2 4 3" xfId="6072"/>
    <cellStyle name="Milliers 4 2 3 3 2 4 3 2" xfId="14712"/>
    <cellStyle name="Milliers 4 2 3 3 2 4 4" xfId="10392"/>
    <cellStyle name="Milliers 4 2 3 3 2 5" xfId="2472"/>
    <cellStyle name="Milliers 4 2 3 3 2 5 2" xfId="6792"/>
    <cellStyle name="Milliers 4 2 3 3 2 5 2 2" xfId="15432"/>
    <cellStyle name="Milliers 4 2 3 3 2 5 3" xfId="11112"/>
    <cellStyle name="Milliers 4 2 3 3 2 6" xfId="4632"/>
    <cellStyle name="Milliers 4 2 3 3 2 6 2" xfId="13272"/>
    <cellStyle name="Milliers 4 2 3 3 2 7" xfId="8952"/>
    <cellStyle name="Milliers 4 2 3 3 3" xfId="492"/>
    <cellStyle name="Milliers 4 2 3 3 3 2" xfId="1212"/>
    <cellStyle name="Milliers 4 2 3 3 3 2 2" xfId="3372"/>
    <cellStyle name="Milliers 4 2 3 3 3 2 2 2" xfId="7692"/>
    <cellStyle name="Milliers 4 2 3 3 3 2 2 2 2" xfId="16332"/>
    <cellStyle name="Milliers 4 2 3 3 3 2 2 3" xfId="12012"/>
    <cellStyle name="Milliers 4 2 3 3 3 2 3" xfId="5532"/>
    <cellStyle name="Milliers 4 2 3 3 3 2 3 2" xfId="14172"/>
    <cellStyle name="Milliers 4 2 3 3 3 2 4" xfId="9852"/>
    <cellStyle name="Milliers 4 2 3 3 3 3" xfId="1932"/>
    <cellStyle name="Milliers 4 2 3 3 3 3 2" xfId="4092"/>
    <cellStyle name="Milliers 4 2 3 3 3 3 2 2" xfId="8412"/>
    <cellStyle name="Milliers 4 2 3 3 3 3 2 2 2" xfId="17052"/>
    <cellStyle name="Milliers 4 2 3 3 3 3 2 3" xfId="12732"/>
    <cellStyle name="Milliers 4 2 3 3 3 3 3" xfId="6252"/>
    <cellStyle name="Milliers 4 2 3 3 3 3 3 2" xfId="14892"/>
    <cellStyle name="Milliers 4 2 3 3 3 3 4" xfId="10572"/>
    <cellStyle name="Milliers 4 2 3 3 3 4" xfId="2652"/>
    <cellStyle name="Milliers 4 2 3 3 3 4 2" xfId="6972"/>
    <cellStyle name="Milliers 4 2 3 3 3 4 2 2" xfId="15612"/>
    <cellStyle name="Milliers 4 2 3 3 3 4 3" xfId="11292"/>
    <cellStyle name="Milliers 4 2 3 3 3 5" xfId="4812"/>
    <cellStyle name="Milliers 4 2 3 3 3 5 2" xfId="13452"/>
    <cellStyle name="Milliers 4 2 3 3 3 6" xfId="9132"/>
    <cellStyle name="Milliers 4 2 3 3 4" xfId="852"/>
    <cellStyle name="Milliers 4 2 3 3 4 2" xfId="3012"/>
    <cellStyle name="Milliers 4 2 3 3 4 2 2" xfId="7332"/>
    <cellStyle name="Milliers 4 2 3 3 4 2 2 2" xfId="15972"/>
    <cellStyle name="Milliers 4 2 3 3 4 2 3" xfId="11652"/>
    <cellStyle name="Milliers 4 2 3 3 4 3" xfId="5172"/>
    <cellStyle name="Milliers 4 2 3 3 4 3 2" xfId="13812"/>
    <cellStyle name="Milliers 4 2 3 3 4 4" xfId="9492"/>
    <cellStyle name="Milliers 4 2 3 3 5" xfId="1572"/>
    <cellStyle name="Milliers 4 2 3 3 5 2" xfId="3732"/>
    <cellStyle name="Milliers 4 2 3 3 5 2 2" xfId="8052"/>
    <cellStyle name="Milliers 4 2 3 3 5 2 2 2" xfId="16692"/>
    <cellStyle name="Milliers 4 2 3 3 5 2 3" xfId="12372"/>
    <cellStyle name="Milliers 4 2 3 3 5 3" xfId="5892"/>
    <cellStyle name="Milliers 4 2 3 3 5 3 2" xfId="14532"/>
    <cellStyle name="Milliers 4 2 3 3 5 4" xfId="10212"/>
    <cellStyle name="Milliers 4 2 3 3 6" xfId="2292"/>
    <cellStyle name="Milliers 4 2 3 3 6 2" xfId="6612"/>
    <cellStyle name="Milliers 4 2 3 3 6 2 2" xfId="15252"/>
    <cellStyle name="Milliers 4 2 3 3 6 3" xfId="10932"/>
    <cellStyle name="Milliers 4 2 3 3 7" xfId="4452"/>
    <cellStyle name="Milliers 4 2 3 3 7 2" xfId="13092"/>
    <cellStyle name="Milliers 4 2 3 3 8" xfId="8772"/>
    <cellStyle name="Milliers 4 2 3 4" xfId="222"/>
    <cellStyle name="Milliers 4 2 3 4 2" xfId="582"/>
    <cellStyle name="Milliers 4 2 3 4 2 2" xfId="1302"/>
    <cellStyle name="Milliers 4 2 3 4 2 2 2" xfId="3462"/>
    <cellStyle name="Milliers 4 2 3 4 2 2 2 2" xfId="7782"/>
    <cellStyle name="Milliers 4 2 3 4 2 2 2 2 2" xfId="16422"/>
    <cellStyle name="Milliers 4 2 3 4 2 2 2 3" xfId="12102"/>
    <cellStyle name="Milliers 4 2 3 4 2 2 3" xfId="5622"/>
    <cellStyle name="Milliers 4 2 3 4 2 2 3 2" xfId="14262"/>
    <cellStyle name="Milliers 4 2 3 4 2 2 4" xfId="9942"/>
    <cellStyle name="Milliers 4 2 3 4 2 3" xfId="2022"/>
    <cellStyle name="Milliers 4 2 3 4 2 3 2" xfId="4182"/>
    <cellStyle name="Milliers 4 2 3 4 2 3 2 2" xfId="8502"/>
    <cellStyle name="Milliers 4 2 3 4 2 3 2 2 2" xfId="17142"/>
    <cellStyle name="Milliers 4 2 3 4 2 3 2 3" xfId="12822"/>
    <cellStyle name="Milliers 4 2 3 4 2 3 3" xfId="6342"/>
    <cellStyle name="Milliers 4 2 3 4 2 3 3 2" xfId="14982"/>
    <cellStyle name="Milliers 4 2 3 4 2 3 4" xfId="10662"/>
    <cellStyle name="Milliers 4 2 3 4 2 4" xfId="2742"/>
    <cellStyle name="Milliers 4 2 3 4 2 4 2" xfId="7062"/>
    <cellStyle name="Milliers 4 2 3 4 2 4 2 2" xfId="15702"/>
    <cellStyle name="Milliers 4 2 3 4 2 4 3" xfId="11382"/>
    <cellStyle name="Milliers 4 2 3 4 2 5" xfId="4902"/>
    <cellStyle name="Milliers 4 2 3 4 2 5 2" xfId="13542"/>
    <cellStyle name="Milliers 4 2 3 4 2 6" xfId="9222"/>
    <cellStyle name="Milliers 4 2 3 4 3" xfId="942"/>
    <cellStyle name="Milliers 4 2 3 4 3 2" xfId="3102"/>
    <cellStyle name="Milliers 4 2 3 4 3 2 2" xfId="7422"/>
    <cellStyle name="Milliers 4 2 3 4 3 2 2 2" xfId="16062"/>
    <cellStyle name="Milliers 4 2 3 4 3 2 3" xfId="11742"/>
    <cellStyle name="Milliers 4 2 3 4 3 3" xfId="5262"/>
    <cellStyle name="Milliers 4 2 3 4 3 3 2" xfId="13902"/>
    <cellStyle name="Milliers 4 2 3 4 3 4" xfId="9582"/>
    <cellStyle name="Milliers 4 2 3 4 4" xfId="1662"/>
    <cellStyle name="Milliers 4 2 3 4 4 2" xfId="3822"/>
    <cellStyle name="Milliers 4 2 3 4 4 2 2" xfId="8142"/>
    <cellStyle name="Milliers 4 2 3 4 4 2 2 2" xfId="16782"/>
    <cellStyle name="Milliers 4 2 3 4 4 2 3" xfId="12462"/>
    <cellStyle name="Milliers 4 2 3 4 4 3" xfId="5982"/>
    <cellStyle name="Milliers 4 2 3 4 4 3 2" xfId="14622"/>
    <cellStyle name="Milliers 4 2 3 4 4 4" xfId="10302"/>
    <cellStyle name="Milliers 4 2 3 4 5" xfId="2382"/>
    <cellStyle name="Milliers 4 2 3 4 5 2" xfId="6702"/>
    <cellStyle name="Milliers 4 2 3 4 5 2 2" xfId="15342"/>
    <cellStyle name="Milliers 4 2 3 4 5 3" xfId="11022"/>
    <cellStyle name="Milliers 4 2 3 4 6" xfId="4542"/>
    <cellStyle name="Milliers 4 2 3 4 6 2" xfId="13182"/>
    <cellStyle name="Milliers 4 2 3 4 7" xfId="8862"/>
    <cellStyle name="Milliers 4 2 3 5" xfId="402"/>
    <cellStyle name="Milliers 4 2 3 5 2" xfId="1122"/>
    <cellStyle name="Milliers 4 2 3 5 2 2" xfId="3282"/>
    <cellStyle name="Milliers 4 2 3 5 2 2 2" xfId="7602"/>
    <cellStyle name="Milliers 4 2 3 5 2 2 2 2" xfId="16242"/>
    <cellStyle name="Milliers 4 2 3 5 2 2 3" xfId="11922"/>
    <cellStyle name="Milliers 4 2 3 5 2 3" xfId="5442"/>
    <cellStyle name="Milliers 4 2 3 5 2 3 2" xfId="14082"/>
    <cellStyle name="Milliers 4 2 3 5 2 4" xfId="9762"/>
    <cellStyle name="Milliers 4 2 3 5 3" xfId="1842"/>
    <cellStyle name="Milliers 4 2 3 5 3 2" xfId="4002"/>
    <cellStyle name="Milliers 4 2 3 5 3 2 2" xfId="8322"/>
    <cellStyle name="Milliers 4 2 3 5 3 2 2 2" xfId="16962"/>
    <cellStyle name="Milliers 4 2 3 5 3 2 3" xfId="12642"/>
    <cellStyle name="Milliers 4 2 3 5 3 3" xfId="6162"/>
    <cellStyle name="Milliers 4 2 3 5 3 3 2" xfId="14802"/>
    <cellStyle name="Milliers 4 2 3 5 3 4" xfId="10482"/>
    <cellStyle name="Milliers 4 2 3 5 4" xfId="2562"/>
    <cellStyle name="Milliers 4 2 3 5 4 2" xfId="6882"/>
    <cellStyle name="Milliers 4 2 3 5 4 2 2" xfId="15522"/>
    <cellStyle name="Milliers 4 2 3 5 4 3" xfId="11202"/>
    <cellStyle name="Milliers 4 2 3 5 5" xfId="4722"/>
    <cellStyle name="Milliers 4 2 3 5 5 2" xfId="13362"/>
    <cellStyle name="Milliers 4 2 3 5 6" xfId="9042"/>
    <cellStyle name="Milliers 4 2 3 6" xfId="762"/>
    <cellStyle name="Milliers 4 2 3 6 2" xfId="2922"/>
    <cellStyle name="Milliers 4 2 3 6 2 2" xfId="7242"/>
    <cellStyle name="Milliers 4 2 3 6 2 2 2" xfId="15882"/>
    <cellStyle name="Milliers 4 2 3 6 2 3" xfId="11562"/>
    <cellStyle name="Milliers 4 2 3 6 3" xfId="5082"/>
    <cellStyle name="Milliers 4 2 3 6 3 2" xfId="13722"/>
    <cellStyle name="Milliers 4 2 3 6 4" xfId="9402"/>
    <cellStyle name="Milliers 4 2 3 7" xfId="1482"/>
    <cellStyle name="Milliers 4 2 3 7 2" xfId="3642"/>
    <cellStyle name="Milliers 4 2 3 7 2 2" xfId="7962"/>
    <cellStyle name="Milliers 4 2 3 7 2 2 2" xfId="16602"/>
    <cellStyle name="Milliers 4 2 3 7 2 3" xfId="12282"/>
    <cellStyle name="Milliers 4 2 3 7 3" xfId="5802"/>
    <cellStyle name="Milliers 4 2 3 7 3 2" xfId="14442"/>
    <cellStyle name="Milliers 4 2 3 7 4" xfId="10122"/>
    <cellStyle name="Milliers 4 2 3 8" xfId="2202"/>
    <cellStyle name="Milliers 4 2 3 8 2" xfId="6522"/>
    <cellStyle name="Milliers 4 2 3 8 2 2" xfId="15162"/>
    <cellStyle name="Milliers 4 2 3 8 3" xfId="10842"/>
    <cellStyle name="Milliers 4 2 3 9" xfId="4362"/>
    <cellStyle name="Milliers 4 2 3 9 2" xfId="13002"/>
    <cellStyle name="Milliers 4 2 4" xfId="57"/>
    <cellStyle name="Milliers 4 2 4 2" xfId="147"/>
    <cellStyle name="Milliers 4 2 4 2 2" xfId="327"/>
    <cellStyle name="Milliers 4 2 4 2 2 2" xfId="687"/>
    <cellStyle name="Milliers 4 2 4 2 2 2 2" xfId="1407"/>
    <cellStyle name="Milliers 4 2 4 2 2 2 2 2" xfId="3567"/>
    <cellStyle name="Milliers 4 2 4 2 2 2 2 2 2" xfId="7887"/>
    <cellStyle name="Milliers 4 2 4 2 2 2 2 2 2 2" xfId="16527"/>
    <cellStyle name="Milliers 4 2 4 2 2 2 2 2 3" xfId="12207"/>
    <cellStyle name="Milliers 4 2 4 2 2 2 2 3" xfId="5727"/>
    <cellStyle name="Milliers 4 2 4 2 2 2 2 3 2" xfId="14367"/>
    <cellStyle name="Milliers 4 2 4 2 2 2 2 4" xfId="10047"/>
    <cellStyle name="Milliers 4 2 4 2 2 2 3" xfId="2127"/>
    <cellStyle name="Milliers 4 2 4 2 2 2 3 2" xfId="4287"/>
    <cellStyle name="Milliers 4 2 4 2 2 2 3 2 2" xfId="8607"/>
    <cellStyle name="Milliers 4 2 4 2 2 2 3 2 2 2" xfId="17247"/>
    <cellStyle name="Milliers 4 2 4 2 2 2 3 2 3" xfId="12927"/>
    <cellStyle name="Milliers 4 2 4 2 2 2 3 3" xfId="6447"/>
    <cellStyle name="Milliers 4 2 4 2 2 2 3 3 2" xfId="15087"/>
    <cellStyle name="Milliers 4 2 4 2 2 2 3 4" xfId="10767"/>
    <cellStyle name="Milliers 4 2 4 2 2 2 4" xfId="2847"/>
    <cellStyle name="Milliers 4 2 4 2 2 2 4 2" xfId="7167"/>
    <cellStyle name="Milliers 4 2 4 2 2 2 4 2 2" xfId="15807"/>
    <cellStyle name="Milliers 4 2 4 2 2 2 4 3" xfId="11487"/>
    <cellStyle name="Milliers 4 2 4 2 2 2 5" xfId="5007"/>
    <cellStyle name="Milliers 4 2 4 2 2 2 5 2" xfId="13647"/>
    <cellStyle name="Milliers 4 2 4 2 2 2 6" xfId="9327"/>
    <cellStyle name="Milliers 4 2 4 2 2 3" xfId="1047"/>
    <cellStyle name="Milliers 4 2 4 2 2 3 2" xfId="3207"/>
    <cellStyle name="Milliers 4 2 4 2 2 3 2 2" xfId="7527"/>
    <cellStyle name="Milliers 4 2 4 2 2 3 2 2 2" xfId="16167"/>
    <cellStyle name="Milliers 4 2 4 2 2 3 2 3" xfId="11847"/>
    <cellStyle name="Milliers 4 2 4 2 2 3 3" xfId="5367"/>
    <cellStyle name="Milliers 4 2 4 2 2 3 3 2" xfId="14007"/>
    <cellStyle name="Milliers 4 2 4 2 2 3 4" xfId="9687"/>
    <cellStyle name="Milliers 4 2 4 2 2 4" xfId="1767"/>
    <cellStyle name="Milliers 4 2 4 2 2 4 2" xfId="3927"/>
    <cellStyle name="Milliers 4 2 4 2 2 4 2 2" xfId="8247"/>
    <cellStyle name="Milliers 4 2 4 2 2 4 2 2 2" xfId="16887"/>
    <cellStyle name="Milliers 4 2 4 2 2 4 2 3" xfId="12567"/>
    <cellStyle name="Milliers 4 2 4 2 2 4 3" xfId="6087"/>
    <cellStyle name="Milliers 4 2 4 2 2 4 3 2" xfId="14727"/>
    <cellStyle name="Milliers 4 2 4 2 2 4 4" xfId="10407"/>
    <cellStyle name="Milliers 4 2 4 2 2 5" xfId="2487"/>
    <cellStyle name="Milliers 4 2 4 2 2 5 2" xfId="6807"/>
    <cellStyle name="Milliers 4 2 4 2 2 5 2 2" xfId="15447"/>
    <cellStyle name="Milliers 4 2 4 2 2 5 3" xfId="11127"/>
    <cellStyle name="Milliers 4 2 4 2 2 6" xfId="4647"/>
    <cellStyle name="Milliers 4 2 4 2 2 6 2" xfId="13287"/>
    <cellStyle name="Milliers 4 2 4 2 2 7" xfId="8967"/>
    <cellStyle name="Milliers 4 2 4 2 3" xfId="507"/>
    <cellStyle name="Milliers 4 2 4 2 3 2" xfId="1227"/>
    <cellStyle name="Milliers 4 2 4 2 3 2 2" xfId="3387"/>
    <cellStyle name="Milliers 4 2 4 2 3 2 2 2" xfId="7707"/>
    <cellStyle name="Milliers 4 2 4 2 3 2 2 2 2" xfId="16347"/>
    <cellStyle name="Milliers 4 2 4 2 3 2 2 3" xfId="12027"/>
    <cellStyle name="Milliers 4 2 4 2 3 2 3" xfId="5547"/>
    <cellStyle name="Milliers 4 2 4 2 3 2 3 2" xfId="14187"/>
    <cellStyle name="Milliers 4 2 4 2 3 2 4" xfId="9867"/>
    <cellStyle name="Milliers 4 2 4 2 3 3" xfId="1947"/>
    <cellStyle name="Milliers 4 2 4 2 3 3 2" xfId="4107"/>
    <cellStyle name="Milliers 4 2 4 2 3 3 2 2" xfId="8427"/>
    <cellStyle name="Milliers 4 2 4 2 3 3 2 2 2" xfId="17067"/>
    <cellStyle name="Milliers 4 2 4 2 3 3 2 3" xfId="12747"/>
    <cellStyle name="Milliers 4 2 4 2 3 3 3" xfId="6267"/>
    <cellStyle name="Milliers 4 2 4 2 3 3 3 2" xfId="14907"/>
    <cellStyle name="Milliers 4 2 4 2 3 3 4" xfId="10587"/>
    <cellStyle name="Milliers 4 2 4 2 3 4" xfId="2667"/>
    <cellStyle name="Milliers 4 2 4 2 3 4 2" xfId="6987"/>
    <cellStyle name="Milliers 4 2 4 2 3 4 2 2" xfId="15627"/>
    <cellStyle name="Milliers 4 2 4 2 3 4 3" xfId="11307"/>
    <cellStyle name="Milliers 4 2 4 2 3 5" xfId="4827"/>
    <cellStyle name="Milliers 4 2 4 2 3 5 2" xfId="13467"/>
    <cellStyle name="Milliers 4 2 4 2 3 6" xfId="9147"/>
    <cellStyle name="Milliers 4 2 4 2 4" xfId="867"/>
    <cellStyle name="Milliers 4 2 4 2 4 2" xfId="3027"/>
    <cellStyle name="Milliers 4 2 4 2 4 2 2" xfId="7347"/>
    <cellStyle name="Milliers 4 2 4 2 4 2 2 2" xfId="15987"/>
    <cellStyle name="Milliers 4 2 4 2 4 2 3" xfId="11667"/>
    <cellStyle name="Milliers 4 2 4 2 4 3" xfId="5187"/>
    <cellStyle name="Milliers 4 2 4 2 4 3 2" xfId="13827"/>
    <cellStyle name="Milliers 4 2 4 2 4 4" xfId="9507"/>
    <cellStyle name="Milliers 4 2 4 2 5" xfId="1587"/>
    <cellStyle name="Milliers 4 2 4 2 5 2" xfId="3747"/>
    <cellStyle name="Milliers 4 2 4 2 5 2 2" xfId="8067"/>
    <cellStyle name="Milliers 4 2 4 2 5 2 2 2" xfId="16707"/>
    <cellStyle name="Milliers 4 2 4 2 5 2 3" xfId="12387"/>
    <cellStyle name="Milliers 4 2 4 2 5 3" xfId="5907"/>
    <cellStyle name="Milliers 4 2 4 2 5 3 2" xfId="14547"/>
    <cellStyle name="Milliers 4 2 4 2 5 4" xfId="10227"/>
    <cellStyle name="Milliers 4 2 4 2 6" xfId="2307"/>
    <cellStyle name="Milliers 4 2 4 2 6 2" xfId="6627"/>
    <cellStyle name="Milliers 4 2 4 2 6 2 2" xfId="15267"/>
    <cellStyle name="Milliers 4 2 4 2 6 3" xfId="10947"/>
    <cellStyle name="Milliers 4 2 4 2 7" xfId="4467"/>
    <cellStyle name="Milliers 4 2 4 2 7 2" xfId="13107"/>
    <cellStyle name="Milliers 4 2 4 2 8" xfId="8787"/>
    <cellStyle name="Milliers 4 2 4 3" xfId="237"/>
    <cellStyle name="Milliers 4 2 4 3 2" xfId="597"/>
    <cellStyle name="Milliers 4 2 4 3 2 2" xfId="1317"/>
    <cellStyle name="Milliers 4 2 4 3 2 2 2" xfId="3477"/>
    <cellStyle name="Milliers 4 2 4 3 2 2 2 2" xfId="7797"/>
    <cellStyle name="Milliers 4 2 4 3 2 2 2 2 2" xfId="16437"/>
    <cellStyle name="Milliers 4 2 4 3 2 2 2 3" xfId="12117"/>
    <cellStyle name="Milliers 4 2 4 3 2 2 3" xfId="5637"/>
    <cellStyle name="Milliers 4 2 4 3 2 2 3 2" xfId="14277"/>
    <cellStyle name="Milliers 4 2 4 3 2 2 4" xfId="9957"/>
    <cellStyle name="Milliers 4 2 4 3 2 3" xfId="2037"/>
    <cellStyle name="Milliers 4 2 4 3 2 3 2" xfId="4197"/>
    <cellStyle name="Milliers 4 2 4 3 2 3 2 2" xfId="8517"/>
    <cellStyle name="Milliers 4 2 4 3 2 3 2 2 2" xfId="17157"/>
    <cellStyle name="Milliers 4 2 4 3 2 3 2 3" xfId="12837"/>
    <cellStyle name="Milliers 4 2 4 3 2 3 3" xfId="6357"/>
    <cellStyle name="Milliers 4 2 4 3 2 3 3 2" xfId="14997"/>
    <cellStyle name="Milliers 4 2 4 3 2 3 4" xfId="10677"/>
    <cellStyle name="Milliers 4 2 4 3 2 4" xfId="2757"/>
    <cellStyle name="Milliers 4 2 4 3 2 4 2" xfId="7077"/>
    <cellStyle name="Milliers 4 2 4 3 2 4 2 2" xfId="15717"/>
    <cellStyle name="Milliers 4 2 4 3 2 4 3" xfId="11397"/>
    <cellStyle name="Milliers 4 2 4 3 2 5" xfId="4917"/>
    <cellStyle name="Milliers 4 2 4 3 2 5 2" xfId="13557"/>
    <cellStyle name="Milliers 4 2 4 3 2 6" xfId="9237"/>
    <cellStyle name="Milliers 4 2 4 3 3" xfId="957"/>
    <cellStyle name="Milliers 4 2 4 3 3 2" xfId="3117"/>
    <cellStyle name="Milliers 4 2 4 3 3 2 2" xfId="7437"/>
    <cellStyle name="Milliers 4 2 4 3 3 2 2 2" xfId="16077"/>
    <cellStyle name="Milliers 4 2 4 3 3 2 3" xfId="11757"/>
    <cellStyle name="Milliers 4 2 4 3 3 3" xfId="5277"/>
    <cellStyle name="Milliers 4 2 4 3 3 3 2" xfId="13917"/>
    <cellStyle name="Milliers 4 2 4 3 3 4" xfId="9597"/>
    <cellStyle name="Milliers 4 2 4 3 4" xfId="1677"/>
    <cellStyle name="Milliers 4 2 4 3 4 2" xfId="3837"/>
    <cellStyle name="Milliers 4 2 4 3 4 2 2" xfId="8157"/>
    <cellStyle name="Milliers 4 2 4 3 4 2 2 2" xfId="16797"/>
    <cellStyle name="Milliers 4 2 4 3 4 2 3" xfId="12477"/>
    <cellStyle name="Milliers 4 2 4 3 4 3" xfId="5997"/>
    <cellStyle name="Milliers 4 2 4 3 4 3 2" xfId="14637"/>
    <cellStyle name="Milliers 4 2 4 3 4 4" xfId="10317"/>
    <cellStyle name="Milliers 4 2 4 3 5" xfId="2397"/>
    <cellStyle name="Milliers 4 2 4 3 5 2" xfId="6717"/>
    <cellStyle name="Milliers 4 2 4 3 5 2 2" xfId="15357"/>
    <cellStyle name="Milliers 4 2 4 3 5 3" xfId="11037"/>
    <cellStyle name="Milliers 4 2 4 3 6" xfId="4557"/>
    <cellStyle name="Milliers 4 2 4 3 6 2" xfId="13197"/>
    <cellStyle name="Milliers 4 2 4 3 7" xfId="8877"/>
    <cellStyle name="Milliers 4 2 4 4" xfId="417"/>
    <cellStyle name="Milliers 4 2 4 4 2" xfId="1137"/>
    <cellStyle name="Milliers 4 2 4 4 2 2" xfId="3297"/>
    <cellStyle name="Milliers 4 2 4 4 2 2 2" xfId="7617"/>
    <cellStyle name="Milliers 4 2 4 4 2 2 2 2" xfId="16257"/>
    <cellStyle name="Milliers 4 2 4 4 2 2 3" xfId="11937"/>
    <cellStyle name="Milliers 4 2 4 4 2 3" xfId="5457"/>
    <cellStyle name="Milliers 4 2 4 4 2 3 2" xfId="14097"/>
    <cellStyle name="Milliers 4 2 4 4 2 4" xfId="9777"/>
    <cellStyle name="Milliers 4 2 4 4 3" xfId="1857"/>
    <cellStyle name="Milliers 4 2 4 4 3 2" xfId="4017"/>
    <cellStyle name="Milliers 4 2 4 4 3 2 2" xfId="8337"/>
    <cellStyle name="Milliers 4 2 4 4 3 2 2 2" xfId="16977"/>
    <cellStyle name="Milliers 4 2 4 4 3 2 3" xfId="12657"/>
    <cellStyle name="Milliers 4 2 4 4 3 3" xfId="6177"/>
    <cellStyle name="Milliers 4 2 4 4 3 3 2" xfId="14817"/>
    <cellStyle name="Milliers 4 2 4 4 3 4" xfId="10497"/>
    <cellStyle name="Milliers 4 2 4 4 4" xfId="2577"/>
    <cellStyle name="Milliers 4 2 4 4 4 2" xfId="6897"/>
    <cellStyle name="Milliers 4 2 4 4 4 2 2" xfId="15537"/>
    <cellStyle name="Milliers 4 2 4 4 4 3" xfId="11217"/>
    <cellStyle name="Milliers 4 2 4 4 5" xfId="4737"/>
    <cellStyle name="Milliers 4 2 4 4 5 2" xfId="13377"/>
    <cellStyle name="Milliers 4 2 4 4 6" xfId="9057"/>
    <cellStyle name="Milliers 4 2 4 5" xfId="777"/>
    <cellStyle name="Milliers 4 2 4 5 2" xfId="2937"/>
    <cellStyle name="Milliers 4 2 4 5 2 2" xfId="7257"/>
    <cellStyle name="Milliers 4 2 4 5 2 2 2" xfId="15897"/>
    <cellStyle name="Milliers 4 2 4 5 2 3" xfId="11577"/>
    <cellStyle name="Milliers 4 2 4 5 3" xfId="5097"/>
    <cellStyle name="Milliers 4 2 4 5 3 2" xfId="13737"/>
    <cellStyle name="Milliers 4 2 4 5 4" xfId="9417"/>
    <cellStyle name="Milliers 4 2 4 6" xfId="1497"/>
    <cellStyle name="Milliers 4 2 4 6 2" xfId="3657"/>
    <cellStyle name="Milliers 4 2 4 6 2 2" xfId="7977"/>
    <cellStyle name="Milliers 4 2 4 6 2 2 2" xfId="16617"/>
    <cellStyle name="Milliers 4 2 4 6 2 3" xfId="12297"/>
    <cellStyle name="Milliers 4 2 4 6 3" xfId="5817"/>
    <cellStyle name="Milliers 4 2 4 6 3 2" xfId="14457"/>
    <cellStyle name="Milliers 4 2 4 6 4" xfId="10137"/>
    <cellStyle name="Milliers 4 2 4 7" xfId="2217"/>
    <cellStyle name="Milliers 4 2 4 7 2" xfId="6537"/>
    <cellStyle name="Milliers 4 2 4 7 2 2" xfId="15177"/>
    <cellStyle name="Milliers 4 2 4 7 3" xfId="10857"/>
    <cellStyle name="Milliers 4 2 4 8" xfId="4377"/>
    <cellStyle name="Milliers 4 2 4 8 2" xfId="13017"/>
    <cellStyle name="Milliers 4 2 4 9" xfId="8697"/>
    <cellStyle name="Milliers 4 2 5" xfId="102"/>
    <cellStyle name="Milliers 4 2 5 2" xfId="282"/>
    <cellStyle name="Milliers 4 2 5 2 2" xfId="642"/>
    <cellStyle name="Milliers 4 2 5 2 2 2" xfId="1362"/>
    <cellStyle name="Milliers 4 2 5 2 2 2 2" xfId="3522"/>
    <cellStyle name="Milliers 4 2 5 2 2 2 2 2" xfId="7842"/>
    <cellStyle name="Milliers 4 2 5 2 2 2 2 2 2" xfId="16482"/>
    <cellStyle name="Milliers 4 2 5 2 2 2 2 3" xfId="12162"/>
    <cellStyle name="Milliers 4 2 5 2 2 2 3" xfId="5682"/>
    <cellStyle name="Milliers 4 2 5 2 2 2 3 2" xfId="14322"/>
    <cellStyle name="Milliers 4 2 5 2 2 2 4" xfId="10002"/>
    <cellStyle name="Milliers 4 2 5 2 2 3" xfId="2082"/>
    <cellStyle name="Milliers 4 2 5 2 2 3 2" xfId="4242"/>
    <cellStyle name="Milliers 4 2 5 2 2 3 2 2" xfId="8562"/>
    <cellStyle name="Milliers 4 2 5 2 2 3 2 2 2" xfId="17202"/>
    <cellStyle name="Milliers 4 2 5 2 2 3 2 3" xfId="12882"/>
    <cellStyle name="Milliers 4 2 5 2 2 3 3" xfId="6402"/>
    <cellStyle name="Milliers 4 2 5 2 2 3 3 2" xfId="15042"/>
    <cellStyle name="Milliers 4 2 5 2 2 3 4" xfId="10722"/>
    <cellStyle name="Milliers 4 2 5 2 2 4" xfId="2802"/>
    <cellStyle name="Milliers 4 2 5 2 2 4 2" xfId="7122"/>
    <cellStyle name="Milliers 4 2 5 2 2 4 2 2" xfId="15762"/>
    <cellStyle name="Milliers 4 2 5 2 2 4 3" xfId="11442"/>
    <cellStyle name="Milliers 4 2 5 2 2 5" xfId="4962"/>
    <cellStyle name="Milliers 4 2 5 2 2 5 2" xfId="13602"/>
    <cellStyle name="Milliers 4 2 5 2 2 6" xfId="9282"/>
    <cellStyle name="Milliers 4 2 5 2 3" xfId="1002"/>
    <cellStyle name="Milliers 4 2 5 2 3 2" xfId="3162"/>
    <cellStyle name="Milliers 4 2 5 2 3 2 2" xfId="7482"/>
    <cellStyle name="Milliers 4 2 5 2 3 2 2 2" xfId="16122"/>
    <cellStyle name="Milliers 4 2 5 2 3 2 3" xfId="11802"/>
    <cellStyle name="Milliers 4 2 5 2 3 3" xfId="5322"/>
    <cellStyle name="Milliers 4 2 5 2 3 3 2" xfId="13962"/>
    <cellStyle name="Milliers 4 2 5 2 3 4" xfId="9642"/>
    <cellStyle name="Milliers 4 2 5 2 4" xfId="1722"/>
    <cellStyle name="Milliers 4 2 5 2 4 2" xfId="3882"/>
    <cellStyle name="Milliers 4 2 5 2 4 2 2" xfId="8202"/>
    <cellStyle name="Milliers 4 2 5 2 4 2 2 2" xfId="16842"/>
    <cellStyle name="Milliers 4 2 5 2 4 2 3" xfId="12522"/>
    <cellStyle name="Milliers 4 2 5 2 4 3" xfId="6042"/>
    <cellStyle name="Milliers 4 2 5 2 4 3 2" xfId="14682"/>
    <cellStyle name="Milliers 4 2 5 2 4 4" xfId="10362"/>
    <cellStyle name="Milliers 4 2 5 2 5" xfId="2442"/>
    <cellStyle name="Milliers 4 2 5 2 5 2" xfId="6762"/>
    <cellStyle name="Milliers 4 2 5 2 5 2 2" xfId="15402"/>
    <cellStyle name="Milliers 4 2 5 2 5 3" xfId="11082"/>
    <cellStyle name="Milliers 4 2 5 2 6" xfId="4602"/>
    <cellStyle name="Milliers 4 2 5 2 6 2" xfId="13242"/>
    <cellStyle name="Milliers 4 2 5 2 7" xfId="8922"/>
    <cellStyle name="Milliers 4 2 5 3" xfId="462"/>
    <cellStyle name="Milliers 4 2 5 3 2" xfId="1182"/>
    <cellStyle name="Milliers 4 2 5 3 2 2" xfId="3342"/>
    <cellStyle name="Milliers 4 2 5 3 2 2 2" xfId="7662"/>
    <cellStyle name="Milliers 4 2 5 3 2 2 2 2" xfId="16302"/>
    <cellStyle name="Milliers 4 2 5 3 2 2 3" xfId="11982"/>
    <cellStyle name="Milliers 4 2 5 3 2 3" xfId="5502"/>
    <cellStyle name="Milliers 4 2 5 3 2 3 2" xfId="14142"/>
    <cellStyle name="Milliers 4 2 5 3 2 4" xfId="9822"/>
    <cellStyle name="Milliers 4 2 5 3 3" xfId="1902"/>
    <cellStyle name="Milliers 4 2 5 3 3 2" xfId="4062"/>
    <cellStyle name="Milliers 4 2 5 3 3 2 2" xfId="8382"/>
    <cellStyle name="Milliers 4 2 5 3 3 2 2 2" xfId="17022"/>
    <cellStyle name="Milliers 4 2 5 3 3 2 3" xfId="12702"/>
    <cellStyle name="Milliers 4 2 5 3 3 3" xfId="6222"/>
    <cellStyle name="Milliers 4 2 5 3 3 3 2" xfId="14862"/>
    <cellStyle name="Milliers 4 2 5 3 3 4" xfId="10542"/>
    <cellStyle name="Milliers 4 2 5 3 4" xfId="2622"/>
    <cellStyle name="Milliers 4 2 5 3 4 2" xfId="6942"/>
    <cellStyle name="Milliers 4 2 5 3 4 2 2" xfId="15582"/>
    <cellStyle name="Milliers 4 2 5 3 4 3" xfId="11262"/>
    <cellStyle name="Milliers 4 2 5 3 5" xfId="4782"/>
    <cellStyle name="Milliers 4 2 5 3 5 2" xfId="13422"/>
    <cellStyle name="Milliers 4 2 5 3 6" xfId="9102"/>
    <cellStyle name="Milliers 4 2 5 4" xfId="822"/>
    <cellStyle name="Milliers 4 2 5 4 2" xfId="2982"/>
    <cellStyle name="Milliers 4 2 5 4 2 2" xfId="7302"/>
    <cellStyle name="Milliers 4 2 5 4 2 2 2" xfId="15942"/>
    <cellStyle name="Milliers 4 2 5 4 2 3" xfId="11622"/>
    <cellStyle name="Milliers 4 2 5 4 3" xfId="5142"/>
    <cellStyle name="Milliers 4 2 5 4 3 2" xfId="13782"/>
    <cellStyle name="Milliers 4 2 5 4 4" xfId="9462"/>
    <cellStyle name="Milliers 4 2 5 5" xfId="1542"/>
    <cellStyle name="Milliers 4 2 5 5 2" xfId="3702"/>
    <cellStyle name="Milliers 4 2 5 5 2 2" xfId="8022"/>
    <cellStyle name="Milliers 4 2 5 5 2 2 2" xfId="16662"/>
    <cellStyle name="Milliers 4 2 5 5 2 3" xfId="12342"/>
    <cellStyle name="Milliers 4 2 5 5 3" xfId="5862"/>
    <cellStyle name="Milliers 4 2 5 5 3 2" xfId="14502"/>
    <cellStyle name="Milliers 4 2 5 5 4" xfId="10182"/>
    <cellStyle name="Milliers 4 2 5 6" xfId="2262"/>
    <cellStyle name="Milliers 4 2 5 6 2" xfId="6582"/>
    <cellStyle name="Milliers 4 2 5 6 2 2" xfId="15222"/>
    <cellStyle name="Milliers 4 2 5 6 3" xfId="10902"/>
    <cellStyle name="Milliers 4 2 5 7" xfId="4422"/>
    <cellStyle name="Milliers 4 2 5 7 2" xfId="13062"/>
    <cellStyle name="Milliers 4 2 5 8" xfId="8742"/>
    <cellStyle name="Milliers 4 2 6" xfId="192"/>
    <cellStyle name="Milliers 4 2 6 2" xfId="552"/>
    <cellStyle name="Milliers 4 2 6 2 2" xfId="1272"/>
    <cellStyle name="Milliers 4 2 6 2 2 2" xfId="3432"/>
    <cellStyle name="Milliers 4 2 6 2 2 2 2" xfId="7752"/>
    <cellStyle name="Milliers 4 2 6 2 2 2 2 2" xfId="16392"/>
    <cellStyle name="Milliers 4 2 6 2 2 2 3" xfId="12072"/>
    <cellStyle name="Milliers 4 2 6 2 2 3" xfId="5592"/>
    <cellStyle name="Milliers 4 2 6 2 2 3 2" xfId="14232"/>
    <cellStyle name="Milliers 4 2 6 2 2 4" xfId="9912"/>
    <cellStyle name="Milliers 4 2 6 2 3" xfId="1992"/>
    <cellStyle name="Milliers 4 2 6 2 3 2" xfId="4152"/>
    <cellStyle name="Milliers 4 2 6 2 3 2 2" xfId="8472"/>
    <cellStyle name="Milliers 4 2 6 2 3 2 2 2" xfId="17112"/>
    <cellStyle name="Milliers 4 2 6 2 3 2 3" xfId="12792"/>
    <cellStyle name="Milliers 4 2 6 2 3 3" xfId="6312"/>
    <cellStyle name="Milliers 4 2 6 2 3 3 2" xfId="14952"/>
    <cellStyle name="Milliers 4 2 6 2 3 4" xfId="10632"/>
    <cellStyle name="Milliers 4 2 6 2 4" xfId="2712"/>
    <cellStyle name="Milliers 4 2 6 2 4 2" xfId="7032"/>
    <cellStyle name="Milliers 4 2 6 2 4 2 2" xfId="15672"/>
    <cellStyle name="Milliers 4 2 6 2 4 3" xfId="11352"/>
    <cellStyle name="Milliers 4 2 6 2 5" xfId="4872"/>
    <cellStyle name="Milliers 4 2 6 2 5 2" xfId="13512"/>
    <cellStyle name="Milliers 4 2 6 2 6" xfId="9192"/>
    <cellStyle name="Milliers 4 2 6 3" xfId="912"/>
    <cellStyle name="Milliers 4 2 6 3 2" xfId="3072"/>
    <cellStyle name="Milliers 4 2 6 3 2 2" xfId="7392"/>
    <cellStyle name="Milliers 4 2 6 3 2 2 2" xfId="16032"/>
    <cellStyle name="Milliers 4 2 6 3 2 3" xfId="11712"/>
    <cellStyle name="Milliers 4 2 6 3 3" xfId="5232"/>
    <cellStyle name="Milliers 4 2 6 3 3 2" xfId="13872"/>
    <cellStyle name="Milliers 4 2 6 3 4" xfId="9552"/>
    <cellStyle name="Milliers 4 2 6 4" xfId="1632"/>
    <cellStyle name="Milliers 4 2 6 4 2" xfId="3792"/>
    <cellStyle name="Milliers 4 2 6 4 2 2" xfId="8112"/>
    <cellStyle name="Milliers 4 2 6 4 2 2 2" xfId="16752"/>
    <cellStyle name="Milliers 4 2 6 4 2 3" xfId="12432"/>
    <cellStyle name="Milliers 4 2 6 4 3" xfId="5952"/>
    <cellStyle name="Milliers 4 2 6 4 3 2" xfId="14592"/>
    <cellStyle name="Milliers 4 2 6 4 4" xfId="10272"/>
    <cellStyle name="Milliers 4 2 6 5" xfId="2352"/>
    <cellStyle name="Milliers 4 2 6 5 2" xfId="6672"/>
    <cellStyle name="Milliers 4 2 6 5 2 2" xfId="15312"/>
    <cellStyle name="Milliers 4 2 6 5 3" xfId="10992"/>
    <cellStyle name="Milliers 4 2 6 6" xfId="4512"/>
    <cellStyle name="Milliers 4 2 6 6 2" xfId="13152"/>
    <cellStyle name="Milliers 4 2 6 7" xfId="8832"/>
    <cellStyle name="Milliers 4 2 7" xfId="372"/>
    <cellStyle name="Milliers 4 2 7 2" xfId="1092"/>
    <cellStyle name="Milliers 4 2 7 2 2" xfId="3252"/>
    <cellStyle name="Milliers 4 2 7 2 2 2" xfId="7572"/>
    <cellStyle name="Milliers 4 2 7 2 2 2 2" xfId="16212"/>
    <cellStyle name="Milliers 4 2 7 2 2 3" xfId="11892"/>
    <cellStyle name="Milliers 4 2 7 2 3" xfId="5412"/>
    <cellStyle name="Milliers 4 2 7 2 3 2" xfId="14052"/>
    <cellStyle name="Milliers 4 2 7 2 4" xfId="9732"/>
    <cellStyle name="Milliers 4 2 7 3" xfId="1812"/>
    <cellStyle name="Milliers 4 2 7 3 2" xfId="3972"/>
    <cellStyle name="Milliers 4 2 7 3 2 2" xfId="8292"/>
    <cellStyle name="Milliers 4 2 7 3 2 2 2" xfId="16932"/>
    <cellStyle name="Milliers 4 2 7 3 2 3" xfId="12612"/>
    <cellStyle name="Milliers 4 2 7 3 3" xfId="6132"/>
    <cellStyle name="Milliers 4 2 7 3 3 2" xfId="14772"/>
    <cellStyle name="Milliers 4 2 7 3 4" xfId="10452"/>
    <cellStyle name="Milliers 4 2 7 4" xfId="2532"/>
    <cellStyle name="Milliers 4 2 7 4 2" xfId="6852"/>
    <cellStyle name="Milliers 4 2 7 4 2 2" xfId="15492"/>
    <cellStyle name="Milliers 4 2 7 4 3" xfId="11172"/>
    <cellStyle name="Milliers 4 2 7 5" xfId="4692"/>
    <cellStyle name="Milliers 4 2 7 5 2" xfId="13332"/>
    <cellStyle name="Milliers 4 2 7 6" xfId="9012"/>
    <cellStyle name="Milliers 4 2 8" xfId="732"/>
    <cellStyle name="Milliers 4 2 8 2" xfId="2892"/>
    <cellStyle name="Milliers 4 2 8 2 2" xfId="7212"/>
    <cellStyle name="Milliers 4 2 8 2 2 2" xfId="15852"/>
    <cellStyle name="Milliers 4 2 8 2 3" xfId="11532"/>
    <cellStyle name="Milliers 4 2 8 3" xfId="5052"/>
    <cellStyle name="Milliers 4 2 8 3 2" xfId="13692"/>
    <cellStyle name="Milliers 4 2 8 4" xfId="9372"/>
    <cellStyle name="Milliers 4 2 9" xfId="1452"/>
    <cellStyle name="Milliers 4 2 9 2" xfId="3612"/>
    <cellStyle name="Milliers 4 2 9 2 2" xfId="7932"/>
    <cellStyle name="Milliers 4 2 9 2 2 2" xfId="16572"/>
    <cellStyle name="Milliers 4 2 9 2 3" xfId="12252"/>
    <cellStyle name="Milliers 4 2 9 3" xfId="5772"/>
    <cellStyle name="Milliers 4 2 9 3 2" xfId="14412"/>
    <cellStyle name="Milliers 4 2 9 4" xfId="10092"/>
    <cellStyle name="Milliers 4 3" xfId="21"/>
    <cellStyle name="Milliers 4 3 10" xfId="8661"/>
    <cellStyle name="Milliers 4 3 2" xfId="66"/>
    <cellStyle name="Milliers 4 3 2 2" xfId="156"/>
    <cellStyle name="Milliers 4 3 2 2 2" xfId="336"/>
    <cellStyle name="Milliers 4 3 2 2 2 2" xfId="696"/>
    <cellStyle name="Milliers 4 3 2 2 2 2 2" xfId="1416"/>
    <cellStyle name="Milliers 4 3 2 2 2 2 2 2" xfId="3576"/>
    <cellStyle name="Milliers 4 3 2 2 2 2 2 2 2" xfId="7896"/>
    <cellStyle name="Milliers 4 3 2 2 2 2 2 2 2 2" xfId="16536"/>
    <cellStyle name="Milliers 4 3 2 2 2 2 2 2 3" xfId="12216"/>
    <cellStyle name="Milliers 4 3 2 2 2 2 2 3" xfId="5736"/>
    <cellStyle name="Milliers 4 3 2 2 2 2 2 3 2" xfId="14376"/>
    <cellStyle name="Milliers 4 3 2 2 2 2 2 4" xfId="10056"/>
    <cellStyle name="Milliers 4 3 2 2 2 2 3" xfId="2136"/>
    <cellStyle name="Milliers 4 3 2 2 2 2 3 2" xfId="4296"/>
    <cellStyle name="Milliers 4 3 2 2 2 2 3 2 2" xfId="8616"/>
    <cellStyle name="Milliers 4 3 2 2 2 2 3 2 2 2" xfId="17256"/>
    <cellStyle name="Milliers 4 3 2 2 2 2 3 2 3" xfId="12936"/>
    <cellStyle name="Milliers 4 3 2 2 2 2 3 3" xfId="6456"/>
    <cellStyle name="Milliers 4 3 2 2 2 2 3 3 2" xfId="15096"/>
    <cellStyle name="Milliers 4 3 2 2 2 2 3 4" xfId="10776"/>
    <cellStyle name="Milliers 4 3 2 2 2 2 4" xfId="2856"/>
    <cellStyle name="Milliers 4 3 2 2 2 2 4 2" xfId="7176"/>
    <cellStyle name="Milliers 4 3 2 2 2 2 4 2 2" xfId="15816"/>
    <cellStyle name="Milliers 4 3 2 2 2 2 4 3" xfId="11496"/>
    <cellStyle name="Milliers 4 3 2 2 2 2 5" xfId="5016"/>
    <cellStyle name="Milliers 4 3 2 2 2 2 5 2" xfId="13656"/>
    <cellStyle name="Milliers 4 3 2 2 2 2 6" xfId="9336"/>
    <cellStyle name="Milliers 4 3 2 2 2 3" xfId="1056"/>
    <cellStyle name="Milliers 4 3 2 2 2 3 2" xfId="3216"/>
    <cellStyle name="Milliers 4 3 2 2 2 3 2 2" xfId="7536"/>
    <cellStyle name="Milliers 4 3 2 2 2 3 2 2 2" xfId="16176"/>
    <cellStyle name="Milliers 4 3 2 2 2 3 2 3" xfId="11856"/>
    <cellStyle name="Milliers 4 3 2 2 2 3 3" xfId="5376"/>
    <cellStyle name="Milliers 4 3 2 2 2 3 3 2" xfId="14016"/>
    <cellStyle name="Milliers 4 3 2 2 2 3 4" xfId="9696"/>
    <cellStyle name="Milliers 4 3 2 2 2 4" xfId="1776"/>
    <cellStyle name="Milliers 4 3 2 2 2 4 2" xfId="3936"/>
    <cellStyle name="Milliers 4 3 2 2 2 4 2 2" xfId="8256"/>
    <cellStyle name="Milliers 4 3 2 2 2 4 2 2 2" xfId="16896"/>
    <cellStyle name="Milliers 4 3 2 2 2 4 2 3" xfId="12576"/>
    <cellStyle name="Milliers 4 3 2 2 2 4 3" xfId="6096"/>
    <cellStyle name="Milliers 4 3 2 2 2 4 3 2" xfId="14736"/>
    <cellStyle name="Milliers 4 3 2 2 2 4 4" xfId="10416"/>
    <cellStyle name="Milliers 4 3 2 2 2 5" xfId="2496"/>
    <cellStyle name="Milliers 4 3 2 2 2 5 2" xfId="6816"/>
    <cellStyle name="Milliers 4 3 2 2 2 5 2 2" xfId="15456"/>
    <cellStyle name="Milliers 4 3 2 2 2 5 3" xfId="11136"/>
    <cellStyle name="Milliers 4 3 2 2 2 6" xfId="4656"/>
    <cellStyle name="Milliers 4 3 2 2 2 6 2" xfId="13296"/>
    <cellStyle name="Milliers 4 3 2 2 2 7" xfId="8976"/>
    <cellStyle name="Milliers 4 3 2 2 3" xfId="516"/>
    <cellStyle name="Milliers 4 3 2 2 3 2" xfId="1236"/>
    <cellStyle name="Milliers 4 3 2 2 3 2 2" xfId="3396"/>
    <cellStyle name="Milliers 4 3 2 2 3 2 2 2" xfId="7716"/>
    <cellStyle name="Milliers 4 3 2 2 3 2 2 2 2" xfId="16356"/>
    <cellStyle name="Milliers 4 3 2 2 3 2 2 3" xfId="12036"/>
    <cellStyle name="Milliers 4 3 2 2 3 2 3" xfId="5556"/>
    <cellStyle name="Milliers 4 3 2 2 3 2 3 2" xfId="14196"/>
    <cellStyle name="Milliers 4 3 2 2 3 2 4" xfId="9876"/>
    <cellStyle name="Milliers 4 3 2 2 3 3" xfId="1956"/>
    <cellStyle name="Milliers 4 3 2 2 3 3 2" xfId="4116"/>
    <cellStyle name="Milliers 4 3 2 2 3 3 2 2" xfId="8436"/>
    <cellStyle name="Milliers 4 3 2 2 3 3 2 2 2" xfId="17076"/>
    <cellStyle name="Milliers 4 3 2 2 3 3 2 3" xfId="12756"/>
    <cellStyle name="Milliers 4 3 2 2 3 3 3" xfId="6276"/>
    <cellStyle name="Milliers 4 3 2 2 3 3 3 2" xfId="14916"/>
    <cellStyle name="Milliers 4 3 2 2 3 3 4" xfId="10596"/>
    <cellStyle name="Milliers 4 3 2 2 3 4" xfId="2676"/>
    <cellStyle name="Milliers 4 3 2 2 3 4 2" xfId="6996"/>
    <cellStyle name="Milliers 4 3 2 2 3 4 2 2" xfId="15636"/>
    <cellStyle name="Milliers 4 3 2 2 3 4 3" xfId="11316"/>
    <cellStyle name="Milliers 4 3 2 2 3 5" xfId="4836"/>
    <cellStyle name="Milliers 4 3 2 2 3 5 2" xfId="13476"/>
    <cellStyle name="Milliers 4 3 2 2 3 6" xfId="9156"/>
    <cellStyle name="Milliers 4 3 2 2 4" xfId="876"/>
    <cellStyle name="Milliers 4 3 2 2 4 2" xfId="3036"/>
    <cellStyle name="Milliers 4 3 2 2 4 2 2" xfId="7356"/>
    <cellStyle name="Milliers 4 3 2 2 4 2 2 2" xfId="15996"/>
    <cellStyle name="Milliers 4 3 2 2 4 2 3" xfId="11676"/>
    <cellStyle name="Milliers 4 3 2 2 4 3" xfId="5196"/>
    <cellStyle name="Milliers 4 3 2 2 4 3 2" xfId="13836"/>
    <cellStyle name="Milliers 4 3 2 2 4 4" xfId="9516"/>
    <cellStyle name="Milliers 4 3 2 2 5" xfId="1596"/>
    <cellStyle name="Milliers 4 3 2 2 5 2" xfId="3756"/>
    <cellStyle name="Milliers 4 3 2 2 5 2 2" xfId="8076"/>
    <cellStyle name="Milliers 4 3 2 2 5 2 2 2" xfId="16716"/>
    <cellStyle name="Milliers 4 3 2 2 5 2 3" xfId="12396"/>
    <cellStyle name="Milliers 4 3 2 2 5 3" xfId="5916"/>
    <cellStyle name="Milliers 4 3 2 2 5 3 2" xfId="14556"/>
    <cellStyle name="Milliers 4 3 2 2 5 4" xfId="10236"/>
    <cellStyle name="Milliers 4 3 2 2 6" xfId="2316"/>
    <cellStyle name="Milliers 4 3 2 2 6 2" xfId="6636"/>
    <cellStyle name="Milliers 4 3 2 2 6 2 2" xfId="15276"/>
    <cellStyle name="Milliers 4 3 2 2 6 3" xfId="10956"/>
    <cellStyle name="Milliers 4 3 2 2 7" xfId="4476"/>
    <cellStyle name="Milliers 4 3 2 2 7 2" xfId="13116"/>
    <cellStyle name="Milliers 4 3 2 2 8" xfId="8796"/>
    <cellStyle name="Milliers 4 3 2 3" xfId="246"/>
    <cellStyle name="Milliers 4 3 2 3 2" xfId="606"/>
    <cellStyle name="Milliers 4 3 2 3 2 2" xfId="1326"/>
    <cellStyle name="Milliers 4 3 2 3 2 2 2" xfId="3486"/>
    <cellStyle name="Milliers 4 3 2 3 2 2 2 2" xfId="7806"/>
    <cellStyle name="Milliers 4 3 2 3 2 2 2 2 2" xfId="16446"/>
    <cellStyle name="Milliers 4 3 2 3 2 2 2 3" xfId="12126"/>
    <cellStyle name="Milliers 4 3 2 3 2 2 3" xfId="5646"/>
    <cellStyle name="Milliers 4 3 2 3 2 2 3 2" xfId="14286"/>
    <cellStyle name="Milliers 4 3 2 3 2 2 4" xfId="9966"/>
    <cellStyle name="Milliers 4 3 2 3 2 3" xfId="2046"/>
    <cellStyle name="Milliers 4 3 2 3 2 3 2" xfId="4206"/>
    <cellStyle name="Milliers 4 3 2 3 2 3 2 2" xfId="8526"/>
    <cellStyle name="Milliers 4 3 2 3 2 3 2 2 2" xfId="17166"/>
    <cellStyle name="Milliers 4 3 2 3 2 3 2 3" xfId="12846"/>
    <cellStyle name="Milliers 4 3 2 3 2 3 3" xfId="6366"/>
    <cellStyle name="Milliers 4 3 2 3 2 3 3 2" xfId="15006"/>
    <cellStyle name="Milliers 4 3 2 3 2 3 4" xfId="10686"/>
    <cellStyle name="Milliers 4 3 2 3 2 4" xfId="2766"/>
    <cellStyle name="Milliers 4 3 2 3 2 4 2" xfId="7086"/>
    <cellStyle name="Milliers 4 3 2 3 2 4 2 2" xfId="15726"/>
    <cellStyle name="Milliers 4 3 2 3 2 4 3" xfId="11406"/>
    <cellStyle name="Milliers 4 3 2 3 2 5" xfId="4926"/>
    <cellStyle name="Milliers 4 3 2 3 2 5 2" xfId="13566"/>
    <cellStyle name="Milliers 4 3 2 3 2 6" xfId="9246"/>
    <cellStyle name="Milliers 4 3 2 3 3" xfId="966"/>
    <cellStyle name="Milliers 4 3 2 3 3 2" xfId="3126"/>
    <cellStyle name="Milliers 4 3 2 3 3 2 2" xfId="7446"/>
    <cellStyle name="Milliers 4 3 2 3 3 2 2 2" xfId="16086"/>
    <cellStyle name="Milliers 4 3 2 3 3 2 3" xfId="11766"/>
    <cellStyle name="Milliers 4 3 2 3 3 3" xfId="5286"/>
    <cellStyle name="Milliers 4 3 2 3 3 3 2" xfId="13926"/>
    <cellStyle name="Milliers 4 3 2 3 3 4" xfId="9606"/>
    <cellStyle name="Milliers 4 3 2 3 4" xfId="1686"/>
    <cellStyle name="Milliers 4 3 2 3 4 2" xfId="3846"/>
    <cellStyle name="Milliers 4 3 2 3 4 2 2" xfId="8166"/>
    <cellStyle name="Milliers 4 3 2 3 4 2 2 2" xfId="16806"/>
    <cellStyle name="Milliers 4 3 2 3 4 2 3" xfId="12486"/>
    <cellStyle name="Milliers 4 3 2 3 4 3" xfId="6006"/>
    <cellStyle name="Milliers 4 3 2 3 4 3 2" xfId="14646"/>
    <cellStyle name="Milliers 4 3 2 3 4 4" xfId="10326"/>
    <cellStyle name="Milliers 4 3 2 3 5" xfId="2406"/>
    <cellStyle name="Milliers 4 3 2 3 5 2" xfId="6726"/>
    <cellStyle name="Milliers 4 3 2 3 5 2 2" xfId="15366"/>
    <cellStyle name="Milliers 4 3 2 3 5 3" xfId="11046"/>
    <cellStyle name="Milliers 4 3 2 3 6" xfId="4566"/>
    <cellStyle name="Milliers 4 3 2 3 6 2" xfId="13206"/>
    <cellStyle name="Milliers 4 3 2 3 7" xfId="8886"/>
    <cellStyle name="Milliers 4 3 2 4" xfId="426"/>
    <cellStyle name="Milliers 4 3 2 4 2" xfId="1146"/>
    <cellStyle name="Milliers 4 3 2 4 2 2" xfId="3306"/>
    <cellStyle name="Milliers 4 3 2 4 2 2 2" xfId="7626"/>
    <cellStyle name="Milliers 4 3 2 4 2 2 2 2" xfId="16266"/>
    <cellStyle name="Milliers 4 3 2 4 2 2 3" xfId="11946"/>
    <cellStyle name="Milliers 4 3 2 4 2 3" xfId="5466"/>
    <cellStyle name="Milliers 4 3 2 4 2 3 2" xfId="14106"/>
    <cellStyle name="Milliers 4 3 2 4 2 4" xfId="9786"/>
    <cellStyle name="Milliers 4 3 2 4 3" xfId="1866"/>
    <cellStyle name="Milliers 4 3 2 4 3 2" xfId="4026"/>
    <cellStyle name="Milliers 4 3 2 4 3 2 2" xfId="8346"/>
    <cellStyle name="Milliers 4 3 2 4 3 2 2 2" xfId="16986"/>
    <cellStyle name="Milliers 4 3 2 4 3 2 3" xfId="12666"/>
    <cellStyle name="Milliers 4 3 2 4 3 3" xfId="6186"/>
    <cellStyle name="Milliers 4 3 2 4 3 3 2" xfId="14826"/>
    <cellStyle name="Milliers 4 3 2 4 3 4" xfId="10506"/>
    <cellStyle name="Milliers 4 3 2 4 4" xfId="2586"/>
    <cellStyle name="Milliers 4 3 2 4 4 2" xfId="6906"/>
    <cellStyle name="Milliers 4 3 2 4 4 2 2" xfId="15546"/>
    <cellStyle name="Milliers 4 3 2 4 4 3" xfId="11226"/>
    <cellStyle name="Milliers 4 3 2 4 5" xfId="4746"/>
    <cellStyle name="Milliers 4 3 2 4 5 2" xfId="13386"/>
    <cellStyle name="Milliers 4 3 2 4 6" xfId="9066"/>
    <cellStyle name="Milliers 4 3 2 5" xfId="786"/>
    <cellStyle name="Milliers 4 3 2 5 2" xfId="2946"/>
    <cellStyle name="Milliers 4 3 2 5 2 2" xfId="7266"/>
    <cellStyle name="Milliers 4 3 2 5 2 2 2" xfId="15906"/>
    <cellStyle name="Milliers 4 3 2 5 2 3" xfId="11586"/>
    <cellStyle name="Milliers 4 3 2 5 3" xfId="5106"/>
    <cellStyle name="Milliers 4 3 2 5 3 2" xfId="13746"/>
    <cellStyle name="Milliers 4 3 2 5 4" xfId="9426"/>
    <cellStyle name="Milliers 4 3 2 6" xfId="1506"/>
    <cellStyle name="Milliers 4 3 2 6 2" xfId="3666"/>
    <cellStyle name="Milliers 4 3 2 6 2 2" xfId="7986"/>
    <cellStyle name="Milliers 4 3 2 6 2 2 2" xfId="16626"/>
    <cellStyle name="Milliers 4 3 2 6 2 3" xfId="12306"/>
    <cellStyle name="Milliers 4 3 2 6 3" xfId="5826"/>
    <cellStyle name="Milliers 4 3 2 6 3 2" xfId="14466"/>
    <cellStyle name="Milliers 4 3 2 6 4" xfId="10146"/>
    <cellStyle name="Milliers 4 3 2 7" xfId="2226"/>
    <cellStyle name="Milliers 4 3 2 7 2" xfId="6546"/>
    <cellStyle name="Milliers 4 3 2 7 2 2" xfId="15186"/>
    <cellStyle name="Milliers 4 3 2 7 3" xfId="10866"/>
    <cellStyle name="Milliers 4 3 2 8" xfId="4386"/>
    <cellStyle name="Milliers 4 3 2 8 2" xfId="13026"/>
    <cellStyle name="Milliers 4 3 2 9" xfId="8706"/>
    <cellStyle name="Milliers 4 3 3" xfId="111"/>
    <cellStyle name="Milliers 4 3 3 2" xfId="291"/>
    <cellStyle name="Milliers 4 3 3 2 2" xfId="651"/>
    <cellStyle name="Milliers 4 3 3 2 2 2" xfId="1371"/>
    <cellStyle name="Milliers 4 3 3 2 2 2 2" xfId="3531"/>
    <cellStyle name="Milliers 4 3 3 2 2 2 2 2" xfId="7851"/>
    <cellStyle name="Milliers 4 3 3 2 2 2 2 2 2" xfId="16491"/>
    <cellStyle name="Milliers 4 3 3 2 2 2 2 3" xfId="12171"/>
    <cellStyle name="Milliers 4 3 3 2 2 2 3" xfId="5691"/>
    <cellStyle name="Milliers 4 3 3 2 2 2 3 2" xfId="14331"/>
    <cellStyle name="Milliers 4 3 3 2 2 2 4" xfId="10011"/>
    <cellStyle name="Milliers 4 3 3 2 2 3" xfId="2091"/>
    <cellStyle name="Milliers 4 3 3 2 2 3 2" xfId="4251"/>
    <cellStyle name="Milliers 4 3 3 2 2 3 2 2" xfId="8571"/>
    <cellStyle name="Milliers 4 3 3 2 2 3 2 2 2" xfId="17211"/>
    <cellStyle name="Milliers 4 3 3 2 2 3 2 3" xfId="12891"/>
    <cellStyle name="Milliers 4 3 3 2 2 3 3" xfId="6411"/>
    <cellStyle name="Milliers 4 3 3 2 2 3 3 2" xfId="15051"/>
    <cellStyle name="Milliers 4 3 3 2 2 3 4" xfId="10731"/>
    <cellStyle name="Milliers 4 3 3 2 2 4" xfId="2811"/>
    <cellStyle name="Milliers 4 3 3 2 2 4 2" xfId="7131"/>
    <cellStyle name="Milliers 4 3 3 2 2 4 2 2" xfId="15771"/>
    <cellStyle name="Milliers 4 3 3 2 2 4 3" xfId="11451"/>
    <cellStyle name="Milliers 4 3 3 2 2 5" xfId="4971"/>
    <cellStyle name="Milliers 4 3 3 2 2 5 2" xfId="13611"/>
    <cellStyle name="Milliers 4 3 3 2 2 6" xfId="9291"/>
    <cellStyle name="Milliers 4 3 3 2 3" xfId="1011"/>
    <cellStyle name="Milliers 4 3 3 2 3 2" xfId="3171"/>
    <cellStyle name="Milliers 4 3 3 2 3 2 2" xfId="7491"/>
    <cellStyle name="Milliers 4 3 3 2 3 2 2 2" xfId="16131"/>
    <cellStyle name="Milliers 4 3 3 2 3 2 3" xfId="11811"/>
    <cellStyle name="Milliers 4 3 3 2 3 3" xfId="5331"/>
    <cellStyle name="Milliers 4 3 3 2 3 3 2" xfId="13971"/>
    <cellStyle name="Milliers 4 3 3 2 3 4" xfId="9651"/>
    <cellStyle name="Milliers 4 3 3 2 4" xfId="1731"/>
    <cellStyle name="Milliers 4 3 3 2 4 2" xfId="3891"/>
    <cellStyle name="Milliers 4 3 3 2 4 2 2" xfId="8211"/>
    <cellStyle name="Milliers 4 3 3 2 4 2 2 2" xfId="16851"/>
    <cellStyle name="Milliers 4 3 3 2 4 2 3" xfId="12531"/>
    <cellStyle name="Milliers 4 3 3 2 4 3" xfId="6051"/>
    <cellStyle name="Milliers 4 3 3 2 4 3 2" xfId="14691"/>
    <cellStyle name="Milliers 4 3 3 2 4 4" xfId="10371"/>
    <cellStyle name="Milliers 4 3 3 2 5" xfId="2451"/>
    <cellStyle name="Milliers 4 3 3 2 5 2" xfId="6771"/>
    <cellStyle name="Milliers 4 3 3 2 5 2 2" xfId="15411"/>
    <cellStyle name="Milliers 4 3 3 2 5 3" xfId="11091"/>
    <cellStyle name="Milliers 4 3 3 2 6" xfId="4611"/>
    <cellStyle name="Milliers 4 3 3 2 6 2" xfId="13251"/>
    <cellStyle name="Milliers 4 3 3 2 7" xfId="8931"/>
    <cellStyle name="Milliers 4 3 3 3" xfId="471"/>
    <cellStyle name="Milliers 4 3 3 3 2" xfId="1191"/>
    <cellStyle name="Milliers 4 3 3 3 2 2" xfId="3351"/>
    <cellStyle name="Milliers 4 3 3 3 2 2 2" xfId="7671"/>
    <cellStyle name="Milliers 4 3 3 3 2 2 2 2" xfId="16311"/>
    <cellStyle name="Milliers 4 3 3 3 2 2 3" xfId="11991"/>
    <cellStyle name="Milliers 4 3 3 3 2 3" xfId="5511"/>
    <cellStyle name="Milliers 4 3 3 3 2 3 2" xfId="14151"/>
    <cellStyle name="Milliers 4 3 3 3 2 4" xfId="9831"/>
    <cellStyle name="Milliers 4 3 3 3 3" xfId="1911"/>
    <cellStyle name="Milliers 4 3 3 3 3 2" xfId="4071"/>
    <cellStyle name="Milliers 4 3 3 3 3 2 2" xfId="8391"/>
    <cellStyle name="Milliers 4 3 3 3 3 2 2 2" xfId="17031"/>
    <cellStyle name="Milliers 4 3 3 3 3 2 3" xfId="12711"/>
    <cellStyle name="Milliers 4 3 3 3 3 3" xfId="6231"/>
    <cellStyle name="Milliers 4 3 3 3 3 3 2" xfId="14871"/>
    <cellStyle name="Milliers 4 3 3 3 3 4" xfId="10551"/>
    <cellStyle name="Milliers 4 3 3 3 4" xfId="2631"/>
    <cellStyle name="Milliers 4 3 3 3 4 2" xfId="6951"/>
    <cellStyle name="Milliers 4 3 3 3 4 2 2" xfId="15591"/>
    <cellStyle name="Milliers 4 3 3 3 4 3" xfId="11271"/>
    <cellStyle name="Milliers 4 3 3 3 5" xfId="4791"/>
    <cellStyle name="Milliers 4 3 3 3 5 2" xfId="13431"/>
    <cellStyle name="Milliers 4 3 3 3 6" xfId="9111"/>
    <cellStyle name="Milliers 4 3 3 4" xfId="831"/>
    <cellStyle name="Milliers 4 3 3 4 2" xfId="2991"/>
    <cellStyle name="Milliers 4 3 3 4 2 2" xfId="7311"/>
    <cellStyle name="Milliers 4 3 3 4 2 2 2" xfId="15951"/>
    <cellStyle name="Milliers 4 3 3 4 2 3" xfId="11631"/>
    <cellStyle name="Milliers 4 3 3 4 3" xfId="5151"/>
    <cellStyle name="Milliers 4 3 3 4 3 2" xfId="13791"/>
    <cellStyle name="Milliers 4 3 3 4 4" xfId="9471"/>
    <cellStyle name="Milliers 4 3 3 5" xfId="1551"/>
    <cellStyle name="Milliers 4 3 3 5 2" xfId="3711"/>
    <cellStyle name="Milliers 4 3 3 5 2 2" xfId="8031"/>
    <cellStyle name="Milliers 4 3 3 5 2 2 2" xfId="16671"/>
    <cellStyle name="Milliers 4 3 3 5 2 3" xfId="12351"/>
    <cellStyle name="Milliers 4 3 3 5 3" xfId="5871"/>
    <cellStyle name="Milliers 4 3 3 5 3 2" xfId="14511"/>
    <cellStyle name="Milliers 4 3 3 5 4" xfId="10191"/>
    <cellStyle name="Milliers 4 3 3 6" xfId="2271"/>
    <cellStyle name="Milliers 4 3 3 6 2" xfId="6591"/>
    <cellStyle name="Milliers 4 3 3 6 2 2" xfId="15231"/>
    <cellStyle name="Milliers 4 3 3 6 3" xfId="10911"/>
    <cellStyle name="Milliers 4 3 3 7" xfId="4431"/>
    <cellStyle name="Milliers 4 3 3 7 2" xfId="13071"/>
    <cellStyle name="Milliers 4 3 3 8" xfId="8751"/>
    <cellStyle name="Milliers 4 3 4" xfId="201"/>
    <cellStyle name="Milliers 4 3 4 2" xfId="561"/>
    <cellStyle name="Milliers 4 3 4 2 2" xfId="1281"/>
    <cellStyle name="Milliers 4 3 4 2 2 2" xfId="3441"/>
    <cellStyle name="Milliers 4 3 4 2 2 2 2" xfId="7761"/>
    <cellStyle name="Milliers 4 3 4 2 2 2 2 2" xfId="16401"/>
    <cellStyle name="Milliers 4 3 4 2 2 2 3" xfId="12081"/>
    <cellStyle name="Milliers 4 3 4 2 2 3" xfId="5601"/>
    <cellStyle name="Milliers 4 3 4 2 2 3 2" xfId="14241"/>
    <cellStyle name="Milliers 4 3 4 2 2 4" xfId="9921"/>
    <cellStyle name="Milliers 4 3 4 2 3" xfId="2001"/>
    <cellStyle name="Milliers 4 3 4 2 3 2" xfId="4161"/>
    <cellStyle name="Milliers 4 3 4 2 3 2 2" xfId="8481"/>
    <cellStyle name="Milliers 4 3 4 2 3 2 2 2" xfId="17121"/>
    <cellStyle name="Milliers 4 3 4 2 3 2 3" xfId="12801"/>
    <cellStyle name="Milliers 4 3 4 2 3 3" xfId="6321"/>
    <cellStyle name="Milliers 4 3 4 2 3 3 2" xfId="14961"/>
    <cellStyle name="Milliers 4 3 4 2 3 4" xfId="10641"/>
    <cellStyle name="Milliers 4 3 4 2 4" xfId="2721"/>
    <cellStyle name="Milliers 4 3 4 2 4 2" xfId="7041"/>
    <cellStyle name="Milliers 4 3 4 2 4 2 2" xfId="15681"/>
    <cellStyle name="Milliers 4 3 4 2 4 3" xfId="11361"/>
    <cellStyle name="Milliers 4 3 4 2 5" xfId="4881"/>
    <cellStyle name="Milliers 4 3 4 2 5 2" xfId="13521"/>
    <cellStyle name="Milliers 4 3 4 2 6" xfId="9201"/>
    <cellStyle name="Milliers 4 3 4 3" xfId="921"/>
    <cellStyle name="Milliers 4 3 4 3 2" xfId="3081"/>
    <cellStyle name="Milliers 4 3 4 3 2 2" xfId="7401"/>
    <cellStyle name="Milliers 4 3 4 3 2 2 2" xfId="16041"/>
    <cellStyle name="Milliers 4 3 4 3 2 3" xfId="11721"/>
    <cellStyle name="Milliers 4 3 4 3 3" xfId="5241"/>
    <cellStyle name="Milliers 4 3 4 3 3 2" xfId="13881"/>
    <cellStyle name="Milliers 4 3 4 3 4" xfId="9561"/>
    <cellStyle name="Milliers 4 3 4 4" xfId="1641"/>
    <cellStyle name="Milliers 4 3 4 4 2" xfId="3801"/>
    <cellStyle name="Milliers 4 3 4 4 2 2" xfId="8121"/>
    <cellStyle name="Milliers 4 3 4 4 2 2 2" xfId="16761"/>
    <cellStyle name="Milliers 4 3 4 4 2 3" xfId="12441"/>
    <cellStyle name="Milliers 4 3 4 4 3" xfId="5961"/>
    <cellStyle name="Milliers 4 3 4 4 3 2" xfId="14601"/>
    <cellStyle name="Milliers 4 3 4 4 4" xfId="10281"/>
    <cellStyle name="Milliers 4 3 4 5" xfId="2361"/>
    <cellStyle name="Milliers 4 3 4 5 2" xfId="6681"/>
    <cellStyle name="Milliers 4 3 4 5 2 2" xfId="15321"/>
    <cellStyle name="Milliers 4 3 4 5 3" xfId="11001"/>
    <cellStyle name="Milliers 4 3 4 6" xfId="4521"/>
    <cellStyle name="Milliers 4 3 4 6 2" xfId="13161"/>
    <cellStyle name="Milliers 4 3 4 7" xfId="8841"/>
    <cellStyle name="Milliers 4 3 5" xfId="381"/>
    <cellStyle name="Milliers 4 3 5 2" xfId="1101"/>
    <cellStyle name="Milliers 4 3 5 2 2" xfId="3261"/>
    <cellStyle name="Milliers 4 3 5 2 2 2" xfId="7581"/>
    <cellStyle name="Milliers 4 3 5 2 2 2 2" xfId="16221"/>
    <cellStyle name="Milliers 4 3 5 2 2 3" xfId="11901"/>
    <cellStyle name="Milliers 4 3 5 2 3" xfId="5421"/>
    <cellStyle name="Milliers 4 3 5 2 3 2" xfId="14061"/>
    <cellStyle name="Milliers 4 3 5 2 4" xfId="9741"/>
    <cellStyle name="Milliers 4 3 5 3" xfId="1821"/>
    <cellStyle name="Milliers 4 3 5 3 2" xfId="3981"/>
    <cellStyle name="Milliers 4 3 5 3 2 2" xfId="8301"/>
    <cellStyle name="Milliers 4 3 5 3 2 2 2" xfId="16941"/>
    <cellStyle name="Milliers 4 3 5 3 2 3" xfId="12621"/>
    <cellStyle name="Milliers 4 3 5 3 3" xfId="6141"/>
    <cellStyle name="Milliers 4 3 5 3 3 2" xfId="14781"/>
    <cellStyle name="Milliers 4 3 5 3 4" xfId="10461"/>
    <cellStyle name="Milliers 4 3 5 4" xfId="2541"/>
    <cellStyle name="Milliers 4 3 5 4 2" xfId="6861"/>
    <cellStyle name="Milliers 4 3 5 4 2 2" xfId="15501"/>
    <cellStyle name="Milliers 4 3 5 4 3" xfId="11181"/>
    <cellStyle name="Milliers 4 3 5 5" xfId="4701"/>
    <cellStyle name="Milliers 4 3 5 5 2" xfId="13341"/>
    <cellStyle name="Milliers 4 3 5 6" xfId="9021"/>
    <cellStyle name="Milliers 4 3 6" xfId="741"/>
    <cellStyle name="Milliers 4 3 6 2" xfId="2901"/>
    <cellStyle name="Milliers 4 3 6 2 2" xfId="7221"/>
    <cellStyle name="Milliers 4 3 6 2 2 2" xfId="15861"/>
    <cellStyle name="Milliers 4 3 6 2 3" xfId="11541"/>
    <cellStyle name="Milliers 4 3 6 3" xfId="5061"/>
    <cellStyle name="Milliers 4 3 6 3 2" xfId="13701"/>
    <cellStyle name="Milliers 4 3 6 4" xfId="9381"/>
    <cellStyle name="Milliers 4 3 7" xfId="1461"/>
    <cellStyle name="Milliers 4 3 7 2" xfId="3621"/>
    <cellStyle name="Milliers 4 3 7 2 2" xfId="7941"/>
    <cellStyle name="Milliers 4 3 7 2 2 2" xfId="16581"/>
    <cellStyle name="Milliers 4 3 7 2 3" xfId="12261"/>
    <cellStyle name="Milliers 4 3 7 3" xfId="5781"/>
    <cellStyle name="Milliers 4 3 7 3 2" xfId="14421"/>
    <cellStyle name="Milliers 4 3 7 4" xfId="10101"/>
    <cellStyle name="Milliers 4 3 8" xfId="2181"/>
    <cellStyle name="Milliers 4 3 8 2" xfId="6501"/>
    <cellStyle name="Milliers 4 3 8 2 2" xfId="15141"/>
    <cellStyle name="Milliers 4 3 8 3" xfId="10821"/>
    <cellStyle name="Milliers 4 3 9" xfId="4341"/>
    <cellStyle name="Milliers 4 3 9 2" xfId="12981"/>
    <cellStyle name="Milliers 4 4" xfId="36"/>
    <cellStyle name="Milliers 4 4 10" xfId="8676"/>
    <cellStyle name="Milliers 4 4 2" xfId="81"/>
    <cellStyle name="Milliers 4 4 2 2" xfId="171"/>
    <cellStyle name="Milliers 4 4 2 2 2" xfId="351"/>
    <cellStyle name="Milliers 4 4 2 2 2 2" xfId="711"/>
    <cellStyle name="Milliers 4 4 2 2 2 2 2" xfId="1431"/>
    <cellStyle name="Milliers 4 4 2 2 2 2 2 2" xfId="3591"/>
    <cellStyle name="Milliers 4 4 2 2 2 2 2 2 2" xfId="7911"/>
    <cellStyle name="Milliers 4 4 2 2 2 2 2 2 2 2" xfId="16551"/>
    <cellStyle name="Milliers 4 4 2 2 2 2 2 2 3" xfId="12231"/>
    <cellStyle name="Milliers 4 4 2 2 2 2 2 3" xfId="5751"/>
    <cellStyle name="Milliers 4 4 2 2 2 2 2 3 2" xfId="14391"/>
    <cellStyle name="Milliers 4 4 2 2 2 2 2 4" xfId="10071"/>
    <cellStyle name="Milliers 4 4 2 2 2 2 3" xfId="2151"/>
    <cellStyle name="Milliers 4 4 2 2 2 2 3 2" xfId="4311"/>
    <cellStyle name="Milliers 4 4 2 2 2 2 3 2 2" xfId="8631"/>
    <cellStyle name="Milliers 4 4 2 2 2 2 3 2 2 2" xfId="17271"/>
    <cellStyle name="Milliers 4 4 2 2 2 2 3 2 3" xfId="12951"/>
    <cellStyle name="Milliers 4 4 2 2 2 2 3 3" xfId="6471"/>
    <cellStyle name="Milliers 4 4 2 2 2 2 3 3 2" xfId="15111"/>
    <cellStyle name="Milliers 4 4 2 2 2 2 3 4" xfId="10791"/>
    <cellStyle name="Milliers 4 4 2 2 2 2 4" xfId="2871"/>
    <cellStyle name="Milliers 4 4 2 2 2 2 4 2" xfId="7191"/>
    <cellStyle name="Milliers 4 4 2 2 2 2 4 2 2" xfId="15831"/>
    <cellStyle name="Milliers 4 4 2 2 2 2 4 3" xfId="11511"/>
    <cellStyle name="Milliers 4 4 2 2 2 2 5" xfId="5031"/>
    <cellStyle name="Milliers 4 4 2 2 2 2 5 2" xfId="13671"/>
    <cellStyle name="Milliers 4 4 2 2 2 2 6" xfId="9351"/>
    <cellStyle name="Milliers 4 4 2 2 2 3" xfId="1071"/>
    <cellStyle name="Milliers 4 4 2 2 2 3 2" xfId="3231"/>
    <cellStyle name="Milliers 4 4 2 2 2 3 2 2" xfId="7551"/>
    <cellStyle name="Milliers 4 4 2 2 2 3 2 2 2" xfId="16191"/>
    <cellStyle name="Milliers 4 4 2 2 2 3 2 3" xfId="11871"/>
    <cellStyle name="Milliers 4 4 2 2 2 3 3" xfId="5391"/>
    <cellStyle name="Milliers 4 4 2 2 2 3 3 2" xfId="14031"/>
    <cellStyle name="Milliers 4 4 2 2 2 3 4" xfId="9711"/>
    <cellStyle name="Milliers 4 4 2 2 2 4" xfId="1791"/>
    <cellStyle name="Milliers 4 4 2 2 2 4 2" xfId="3951"/>
    <cellStyle name="Milliers 4 4 2 2 2 4 2 2" xfId="8271"/>
    <cellStyle name="Milliers 4 4 2 2 2 4 2 2 2" xfId="16911"/>
    <cellStyle name="Milliers 4 4 2 2 2 4 2 3" xfId="12591"/>
    <cellStyle name="Milliers 4 4 2 2 2 4 3" xfId="6111"/>
    <cellStyle name="Milliers 4 4 2 2 2 4 3 2" xfId="14751"/>
    <cellStyle name="Milliers 4 4 2 2 2 4 4" xfId="10431"/>
    <cellStyle name="Milliers 4 4 2 2 2 5" xfId="2511"/>
    <cellStyle name="Milliers 4 4 2 2 2 5 2" xfId="6831"/>
    <cellStyle name="Milliers 4 4 2 2 2 5 2 2" xfId="15471"/>
    <cellStyle name="Milliers 4 4 2 2 2 5 3" xfId="11151"/>
    <cellStyle name="Milliers 4 4 2 2 2 6" xfId="4671"/>
    <cellStyle name="Milliers 4 4 2 2 2 6 2" xfId="13311"/>
    <cellStyle name="Milliers 4 4 2 2 2 7" xfId="8991"/>
    <cellStyle name="Milliers 4 4 2 2 3" xfId="531"/>
    <cellStyle name="Milliers 4 4 2 2 3 2" xfId="1251"/>
    <cellStyle name="Milliers 4 4 2 2 3 2 2" xfId="3411"/>
    <cellStyle name="Milliers 4 4 2 2 3 2 2 2" xfId="7731"/>
    <cellStyle name="Milliers 4 4 2 2 3 2 2 2 2" xfId="16371"/>
    <cellStyle name="Milliers 4 4 2 2 3 2 2 3" xfId="12051"/>
    <cellStyle name="Milliers 4 4 2 2 3 2 3" xfId="5571"/>
    <cellStyle name="Milliers 4 4 2 2 3 2 3 2" xfId="14211"/>
    <cellStyle name="Milliers 4 4 2 2 3 2 4" xfId="9891"/>
    <cellStyle name="Milliers 4 4 2 2 3 3" xfId="1971"/>
    <cellStyle name="Milliers 4 4 2 2 3 3 2" xfId="4131"/>
    <cellStyle name="Milliers 4 4 2 2 3 3 2 2" xfId="8451"/>
    <cellStyle name="Milliers 4 4 2 2 3 3 2 2 2" xfId="17091"/>
    <cellStyle name="Milliers 4 4 2 2 3 3 2 3" xfId="12771"/>
    <cellStyle name="Milliers 4 4 2 2 3 3 3" xfId="6291"/>
    <cellStyle name="Milliers 4 4 2 2 3 3 3 2" xfId="14931"/>
    <cellStyle name="Milliers 4 4 2 2 3 3 4" xfId="10611"/>
    <cellStyle name="Milliers 4 4 2 2 3 4" xfId="2691"/>
    <cellStyle name="Milliers 4 4 2 2 3 4 2" xfId="7011"/>
    <cellStyle name="Milliers 4 4 2 2 3 4 2 2" xfId="15651"/>
    <cellStyle name="Milliers 4 4 2 2 3 4 3" xfId="11331"/>
    <cellStyle name="Milliers 4 4 2 2 3 5" xfId="4851"/>
    <cellStyle name="Milliers 4 4 2 2 3 5 2" xfId="13491"/>
    <cellStyle name="Milliers 4 4 2 2 3 6" xfId="9171"/>
    <cellStyle name="Milliers 4 4 2 2 4" xfId="891"/>
    <cellStyle name="Milliers 4 4 2 2 4 2" xfId="3051"/>
    <cellStyle name="Milliers 4 4 2 2 4 2 2" xfId="7371"/>
    <cellStyle name="Milliers 4 4 2 2 4 2 2 2" xfId="16011"/>
    <cellStyle name="Milliers 4 4 2 2 4 2 3" xfId="11691"/>
    <cellStyle name="Milliers 4 4 2 2 4 3" xfId="5211"/>
    <cellStyle name="Milliers 4 4 2 2 4 3 2" xfId="13851"/>
    <cellStyle name="Milliers 4 4 2 2 4 4" xfId="9531"/>
    <cellStyle name="Milliers 4 4 2 2 5" xfId="1611"/>
    <cellStyle name="Milliers 4 4 2 2 5 2" xfId="3771"/>
    <cellStyle name="Milliers 4 4 2 2 5 2 2" xfId="8091"/>
    <cellStyle name="Milliers 4 4 2 2 5 2 2 2" xfId="16731"/>
    <cellStyle name="Milliers 4 4 2 2 5 2 3" xfId="12411"/>
    <cellStyle name="Milliers 4 4 2 2 5 3" xfId="5931"/>
    <cellStyle name="Milliers 4 4 2 2 5 3 2" xfId="14571"/>
    <cellStyle name="Milliers 4 4 2 2 5 4" xfId="10251"/>
    <cellStyle name="Milliers 4 4 2 2 6" xfId="2331"/>
    <cellStyle name="Milliers 4 4 2 2 6 2" xfId="6651"/>
    <cellStyle name="Milliers 4 4 2 2 6 2 2" xfId="15291"/>
    <cellStyle name="Milliers 4 4 2 2 6 3" xfId="10971"/>
    <cellStyle name="Milliers 4 4 2 2 7" xfId="4491"/>
    <cellStyle name="Milliers 4 4 2 2 7 2" xfId="13131"/>
    <cellStyle name="Milliers 4 4 2 2 8" xfId="8811"/>
    <cellStyle name="Milliers 4 4 2 3" xfId="261"/>
    <cellStyle name="Milliers 4 4 2 3 2" xfId="621"/>
    <cellStyle name="Milliers 4 4 2 3 2 2" xfId="1341"/>
    <cellStyle name="Milliers 4 4 2 3 2 2 2" xfId="3501"/>
    <cellStyle name="Milliers 4 4 2 3 2 2 2 2" xfId="7821"/>
    <cellStyle name="Milliers 4 4 2 3 2 2 2 2 2" xfId="16461"/>
    <cellStyle name="Milliers 4 4 2 3 2 2 2 3" xfId="12141"/>
    <cellStyle name="Milliers 4 4 2 3 2 2 3" xfId="5661"/>
    <cellStyle name="Milliers 4 4 2 3 2 2 3 2" xfId="14301"/>
    <cellStyle name="Milliers 4 4 2 3 2 2 4" xfId="9981"/>
    <cellStyle name="Milliers 4 4 2 3 2 3" xfId="2061"/>
    <cellStyle name="Milliers 4 4 2 3 2 3 2" xfId="4221"/>
    <cellStyle name="Milliers 4 4 2 3 2 3 2 2" xfId="8541"/>
    <cellStyle name="Milliers 4 4 2 3 2 3 2 2 2" xfId="17181"/>
    <cellStyle name="Milliers 4 4 2 3 2 3 2 3" xfId="12861"/>
    <cellStyle name="Milliers 4 4 2 3 2 3 3" xfId="6381"/>
    <cellStyle name="Milliers 4 4 2 3 2 3 3 2" xfId="15021"/>
    <cellStyle name="Milliers 4 4 2 3 2 3 4" xfId="10701"/>
    <cellStyle name="Milliers 4 4 2 3 2 4" xfId="2781"/>
    <cellStyle name="Milliers 4 4 2 3 2 4 2" xfId="7101"/>
    <cellStyle name="Milliers 4 4 2 3 2 4 2 2" xfId="15741"/>
    <cellStyle name="Milliers 4 4 2 3 2 4 3" xfId="11421"/>
    <cellStyle name="Milliers 4 4 2 3 2 5" xfId="4941"/>
    <cellStyle name="Milliers 4 4 2 3 2 5 2" xfId="13581"/>
    <cellStyle name="Milliers 4 4 2 3 2 6" xfId="9261"/>
    <cellStyle name="Milliers 4 4 2 3 3" xfId="981"/>
    <cellStyle name="Milliers 4 4 2 3 3 2" xfId="3141"/>
    <cellStyle name="Milliers 4 4 2 3 3 2 2" xfId="7461"/>
    <cellStyle name="Milliers 4 4 2 3 3 2 2 2" xfId="16101"/>
    <cellStyle name="Milliers 4 4 2 3 3 2 3" xfId="11781"/>
    <cellStyle name="Milliers 4 4 2 3 3 3" xfId="5301"/>
    <cellStyle name="Milliers 4 4 2 3 3 3 2" xfId="13941"/>
    <cellStyle name="Milliers 4 4 2 3 3 4" xfId="9621"/>
    <cellStyle name="Milliers 4 4 2 3 4" xfId="1701"/>
    <cellStyle name="Milliers 4 4 2 3 4 2" xfId="3861"/>
    <cellStyle name="Milliers 4 4 2 3 4 2 2" xfId="8181"/>
    <cellStyle name="Milliers 4 4 2 3 4 2 2 2" xfId="16821"/>
    <cellStyle name="Milliers 4 4 2 3 4 2 3" xfId="12501"/>
    <cellStyle name="Milliers 4 4 2 3 4 3" xfId="6021"/>
    <cellStyle name="Milliers 4 4 2 3 4 3 2" xfId="14661"/>
    <cellStyle name="Milliers 4 4 2 3 4 4" xfId="10341"/>
    <cellStyle name="Milliers 4 4 2 3 5" xfId="2421"/>
    <cellStyle name="Milliers 4 4 2 3 5 2" xfId="6741"/>
    <cellStyle name="Milliers 4 4 2 3 5 2 2" xfId="15381"/>
    <cellStyle name="Milliers 4 4 2 3 5 3" xfId="11061"/>
    <cellStyle name="Milliers 4 4 2 3 6" xfId="4581"/>
    <cellStyle name="Milliers 4 4 2 3 6 2" xfId="13221"/>
    <cellStyle name="Milliers 4 4 2 3 7" xfId="8901"/>
    <cellStyle name="Milliers 4 4 2 4" xfId="441"/>
    <cellStyle name="Milliers 4 4 2 4 2" xfId="1161"/>
    <cellStyle name="Milliers 4 4 2 4 2 2" xfId="3321"/>
    <cellStyle name="Milliers 4 4 2 4 2 2 2" xfId="7641"/>
    <cellStyle name="Milliers 4 4 2 4 2 2 2 2" xfId="16281"/>
    <cellStyle name="Milliers 4 4 2 4 2 2 3" xfId="11961"/>
    <cellStyle name="Milliers 4 4 2 4 2 3" xfId="5481"/>
    <cellStyle name="Milliers 4 4 2 4 2 3 2" xfId="14121"/>
    <cellStyle name="Milliers 4 4 2 4 2 4" xfId="9801"/>
    <cellStyle name="Milliers 4 4 2 4 3" xfId="1881"/>
    <cellStyle name="Milliers 4 4 2 4 3 2" xfId="4041"/>
    <cellStyle name="Milliers 4 4 2 4 3 2 2" xfId="8361"/>
    <cellStyle name="Milliers 4 4 2 4 3 2 2 2" xfId="17001"/>
    <cellStyle name="Milliers 4 4 2 4 3 2 3" xfId="12681"/>
    <cellStyle name="Milliers 4 4 2 4 3 3" xfId="6201"/>
    <cellStyle name="Milliers 4 4 2 4 3 3 2" xfId="14841"/>
    <cellStyle name="Milliers 4 4 2 4 3 4" xfId="10521"/>
    <cellStyle name="Milliers 4 4 2 4 4" xfId="2601"/>
    <cellStyle name="Milliers 4 4 2 4 4 2" xfId="6921"/>
    <cellStyle name="Milliers 4 4 2 4 4 2 2" xfId="15561"/>
    <cellStyle name="Milliers 4 4 2 4 4 3" xfId="11241"/>
    <cellStyle name="Milliers 4 4 2 4 5" xfId="4761"/>
    <cellStyle name="Milliers 4 4 2 4 5 2" xfId="13401"/>
    <cellStyle name="Milliers 4 4 2 4 6" xfId="9081"/>
    <cellStyle name="Milliers 4 4 2 5" xfId="801"/>
    <cellStyle name="Milliers 4 4 2 5 2" xfId="2961"/>
    <cellStyle name="Milliers 4 4 2 5 2 2" xfId="7281"/>
    <cellStyle name="Milliers 4 4 2 5 2 2 2" xfId="15921"/>
    <cellStyle name="Milliers 4 4 2 5 2 3" xfId="11601"/>
    <cellStyle name="Milliers 4 4 2 5 3" xfId="5121"/>
    <cellStyle name="Milliers 4 4 2 5 3 2" xfId="13761"/>
    <cellStyle name="Milliers 4 4 2 5 4" xfId="9441"/>
    <cellStyle name="Milliers 4 4 2 6" xfId="1521"/>
    <cellStyle name="Milliers 4 4 2 6 2" xfId="3681"/>
    <cellStyle name="Milliers 4 4 2 6 2 2" xfId="8001"/>
    <cellStyle name="Milliers 4 4 2 6 2 2 2" xfId="16641"/>
    <cellStyle name="Milliers 4 4 2 6 2 3" xfId="12321"/>
    <cellStyle name="Milliers 4 4 2 6 3" xfId="5841"/>
    <cellStyle name="Milliers 4 4 2 6 3 2" xfId="14481"/>
    <cellStyle name="Milliers 4 4 2 6 4" xfId="10161"/>
    <cellStyle name="Milliers 4 4 2 7" xfId="2241"/>
    <cellStyle name="Milliers 4 4 2 7 2" xfId="6561"/>
    <cellStyle name="Milliers 4 4 2 7 2 2" xfId="15201"/>
    <cellStyle name="Milliers 4 4 2 7 3" xfId="10881"/>
    <cellStyle name="Milliers 4 4 2 8" xfId="4401"/>
    <cellStyle name="Milliers 4 4 2 8 2" xfId="13041"/>
    <cellStyle name="Milliers 4 4 2 9" xfId="8721"/>
    <cellStyle name="Milliers 4 4 3" xfId="126"/>
    <cellStyle name="Milliers 4 4 3 2" xfId="306"/>
    <cellStyle name="Milliers 4 4 3 2 2" xfId="666"/>
    <cellStyle name="Milliers 4 4 3 2 2 2" xfId="1386"/>
    <cellStyle name="Milliers 4 4 3 2 2 2 2" xfId="3546"/>
    <cellStyle name="Milliers 4 4 3 2 2 2 2 2" xfId="7866"/>
    <cellStyle name="Milliers 4 4 3 2 2 2 2 2 2" xfId="16506"/>
    <cellStyle name="Milliers 4 4 3 2 2 2 2 3" xfId="12186"/>
    <cellStyle name="Milliers 4 4 3 2 2 2 3" xfId="5706"/>
    <cellStyle name="Milliers 4 4 3 2 2 2 3 2" xfId="14346"/>
    <cellStyle name="Milliers 4 4 3 2 2 2 4" xfId="10026"/>
    <cellStyle name="Milliers 4 4 3 2 2 3" xfId="2106"/>
    <cellStyle name="Milliers 4 4 3 2 2 3 2" xfId="4266"/>
    <cellStyle name="Milliers 4 4 3 2 2 3 2 2" xfId="8586"/>
    <cellStyle name="Milliers 4 4 3 2 2 3 2 2 2" xfId="17226"/>
    <cellStyle name="Milliers 4 4 3 2 2 3 2 3" xfId="12906"/>
    <cellStyle name="Milliers 4 4 3 2 2 3 3" xfId="6426"/>
    <cellStyle name="Milliers 4 4 3 2 2 3 3 2" xfId="15066"/>
    <cellStyle name="Milliers 4 4 3 2 2 3 4" xfId="10746"/>
    <cellStyle name="Milliers 4 4 3 2 2 4" xfId="2826"/>
    <cellStyle name="Milliers 4 4 3 2 2 4 2" xfId="7146"/>
    <cellStyle name="Milliers 4 4 3 2 2 4 2 2" xfId="15786"/>
    <cellStyle name="Milliers 4 4 3 2 2 4 3" xfId="11466"/>
    <cellStyle name="Milliers 4 4 3 2 2 5" xfId="4986"/>
    <cellStyle name="Milliers 4 4 3 2 2 5 2" xfId="13626"/>
    <cellStyle name="Milliers 4 4 3 2 2 6" xfId="9306"/>
    <cellStyle name="Milliers 4 4 3 2 3" xfId="1026"/>
    <cellStyle name="Milliers 4 4 3 2 3 2" xfId="3186"/>
    <cellStyle name="Milliers 4 4 3 2 3 2 2" xfId="7506"/>
    <cellStyle name="Milliers 4 4 3 2 3 2 2 2" xfId="16146"/>
    <cellStyle name="Milliers 4 4 3 2 3 2 3" xfId="11826"/>
    <cellStyle name="Milliers 4 4 3 2 3 3" xfId="5346"/>
    <cellStyle name="Milliers 4 4 3 2 3 3 2" xfId="13986"/>
    <cellStyle name="Milliers 4 4 3 2 3 4" xfId="9666"/>
    <cellStyle name="Milliers 4 4 3 2 4" xfId="1746"/>
    <cellStyle name="Milliers 4 4 3 2 4 2" xfId="3906"/>
    <cellStyle name="Milliers 4 4 3 2 4 2 2" xfId="8226"/>
    <cellStyle name="Milliers 4 4 3 2 4 2 2 2" xfId="16866"/>
    <cellStyle name="Milliers 4 4 3 2 4 2 3" xfId="12546"/>
    <cellStyle name="Milliers 4 4 3 2 4 3" xfId="6066"/>
    <cellStyle name="Milliers 4 4 3 2 4 3 2" xfId="14706"/>
    <cellStyle name="Milliers 4 4 3 2 4 4" xfId="10386"/>
    <cellStyle name="Milliers 4 4 3 2 5" xfId="2466"/>
    <cellStyle name="Milliers 4 4 3 2 5 2" xfId="6786"/>
    <cellStyle name="Milliers 4 4 3 2 5 2 2" xfId="15426"/>
    <cellStyle name="Milliers 4 4 3 2 5 3" xfId="11106"/>
    <cellStyle name="Milliers 4 4 3 2 6" xfId="4626"/>
    <cellStyle name="Milliers 4 4 3 2 6 2" xfId="13266"/>
    <cellStyle name="Milliers 4 4 3 2 7" xfId="8946"/>
    <cellStyle name="Milliers 4 4 3 3" xfId="486"/>
    <cellStyle name="Milliers 4 4 3 3 2" xfId="1206"/>
    <cellStyle name="Milliers 4 4 3 3 2 2" xfId="3366"/>
    <cellStyle name="Milliers 4 4 3 3 2 2 2" xfId="7686"/>
    <cellStyle name="Milliers 4 4 3 3 2 2 2 2" xfId="16326"/>
    <cellStyle name="Milliers 4 4 3 3 2 2 3" xfId="12006"/>
    <cellStyle name="Milliers 4 4 3 3 2 3" xfId="5526"/>
    <cellStyle name="Milliers 4 4 3 3 2 3 2" xfId="14166"/>
    <cellStyle name="Milliers 4 4 3 3 2 4" xfId="9846"/>
    <cellStyle name="Milliers 4 4 3 3 3" xfId="1926"/>
    <cellStyle name="Milliers 4 4 3 3 3 2" xfId="4086"/>
    <cellStyle name="Milliers 4 4 3 3 3 2 2" xfId="8406"/>
    <cellStyle name="Milliers 4 4 3 3 3 2 2 2" xfId="17046"/>
    <cellStyle name="Milliers 4 4 3 3 3 2 3" xfId="12726"/>
    <cellStyle name="Milliers 4 4 3 3 3 3" xfId="6246"/>
    <cellStyle name="Milliers 4 4 3 3 3 3 2" xfId="14886"/>
    <cellStyle name="Milliers 4 4 3 3 3 4" xfId="10566"/>
    <cellStyle name="Milliers 4 4 3 3 4" xfId="2646"/>
    <cellStyle name="Milliers 4 4 3 3 4 2" xfId="6966"/>
    <cellStyle name="Milliers 4 4 3 3 4 2 2" xfId="15606"/>
    <cellStyle name="Milliers 4 4 3 3 4 3" xfId="11286"/>
    <cellStyle name="Milliers 4 4 3 3 5" xfId="4806"/>
    <cellStyle name="Milliers 4 4 3 3 5 2" xfId="13446"/>
    <cellStyle name="Milliers 4 4 3 3 6" xfId="9126"/>
    <cellStyle name="Milliers 4 4 3 4" xfId="846"/>
    <cellStyle name="Milliers 4 4 3 4 2" xfId="3006"/>
    <cellStyle name="Milliers 4 4 3 4 2 2" xfId="7326"/>
    <cellStyle name="Milliers 4 4 3 4 2 2 2" xfId="15966"/>
    <cellStyle name="Milliers 4 4 3 4 2 3" xfId="11646"/>
    <cellStyle name="Milliers 4 4 3 4 3" xfId="5166"/>
    <cellStyle name="Milliers 4 4 3 4 3 2" xfId="13806"/>
    <cellStyle name="Milliers 4 4 3 4 4" xfId="9486"/>
    <cellStyle name="Milliers 4 4 3 5" xfId="1566"/>
    <cellStyle name="Milliers 4 4 3 5 2" xfId="3726"/>
    <cellStyle name="Milliers 4 4 3 5 2 2" xfId="8046"/>
    <cellStyle name="Milliers 4 4 3 5 2 2 2" xfId="16686"/>
    <cellStyle name="Milliers 4 4 3 5 2 3" xfId="12366"/>
    <cellStyle name="Milliers 4 4 3 5 3" xfId="5886"/>
    <cellStyle name="Milliers 4 4 3 5 3 2" xfId="14526"/>
    <cellStyle name="Milliers 4 4 3 5 4" xfId="10206"/>
    <cellStyle name="Milliers 4 4 3 6" xfId="2286"/>
    <cellStyle name="Milliers 4 4 3 6 2" xfId="6606"/>
    <cellStyle name="Milliers 4 4 3 6 2 2" xfId="15246"/>
    <cellStyle name="Milliers 4 4 3 6 3" xfId="10926"/>
    <cellStyle name="Milliers 4 4 3 7" xfId="4446"/>
    <cellStyle name="Milliers 4 4 3 7 2" xfId="13086"/>
    <cellStyle name="Milliers 4 4 3 8" xfId="8766"/>
    <cellStyle name="Milliers 4 4 4" xfId="216"/>
    <cellStyle name="Milliers 4 4 4 2" xfId="576"/>
    <cellStyle name="Milliers 4 4 4 2 2" xfId="1296"/>
    <cellStyle name="Milliers 4 4 4 2 2 2" xfId="3456"/>
    <cellStyle name="Milliers 4 4 4 2 2 2 2" xfId="7776"/>
    <cellStyle name="Milliers 4 4 4 2 2 2 2 2" xfId="16416"/>
    <cellStyle name="Milliers 4 4 4 2 2 2 3" xfId="12096"/>
    <cellStyle name="Milliers 4 4 4 2 2 3" xfId="5616"/>
    <cellStyle name="Milliers 4 4 4 2 2 3 2" xfId="14256"/>
    <cellStyle name="Milliers 4 4 4 2 2 4" xfId="9936"/>
    <cellStyle name="Milliers 4 4 4 2 3" xfId="2016"/>
    <cellStyle name="Milliers 4 4 4 2 3 2" xfId="4176"/>
    <cellStyle name="Milliers 4 4 4 2 3 2 2" xfId="8496"/>
    <cellStyle name="Milliers 4 4 4 2 3 2 2 2" xfId="17136"/>
    <cellStyle name="Milliers 4 4 4 2 3 2 3" xfId="12816"/>
    <cellStyle name="Milliers 4 4 4 2 3 3" xfId="6336"/>
    <cellStyle name="Milliers 4 4 4 2 3 3 2" xfId="14976"/>
    <cellStyle name="Milliers 4 4 4 2 3 4" xfId="10656"/>
    <cellStyle name="Milliers 4 4 4 2 4" xfId="2736"/>
    <cellStyle name="Milliers 4 4 4 2 4 2" xfId="7056"/>
    <cellStyle name="Milliers 4 4 4 2 4 2 2" xfId="15696"/>
    <cellStyle name="Milliers 4 4 4 2 4 3" xfId="11376"/>
    <cellStyle name="Milliers 4 4 4 2 5" xfId="4896"/>
    <cellStyle name="Milliers 4 4 4 2 5 2" xfId="13536"/>
    <cellStyle name="Milliers 4 4 4 2 6" xfId="9216"/>
    <cellStyle name="Milliers 4 4 4 3" xfId="936"/>
    <cellStyle name="Milliers 4 4 4 3 2" xfId="3096"/>
    <cellStyle name="Milliers 4 4 4 3 2 2" xfId="7416"/>
    <cellStyle name="Milliers 4 4 4 3 2 2 2" xfId="16056"/>
    <cellStyle name="Milliers 4 4 4 3 2 3" xfId="11736"/>
    <cellStyle name="Milliers 4 4 4 3 3" xfId="5256"/>
    <cellStyle name="Milliers 4 4 4 3 3 2" xfId="13896"/>
    <cellStyle name="Milliers 4 4 4 3 4" xfId="9576"/>
    <cellStyle name="Milliers 4 4 4 4" xfId="1656"/>
    <cellStyle name="Milliers 4 4 4 4 2" xfId="3816"/>
    <cellStyle name="Milliers 4 4 4 4 2 2" xfId="8136"/>
    <cellStyle name="Milliers 4 4 4 4 2 2 2" xfId="16776"/>
    <cellStyle name="Milliers 4 4 4 4 2 3" xfId="12456"/>
    <cellStyle name="Milliers 4 4 4 4 3" xfId="5976"/>
    <cellStyle name="Milliers 4 4 4 4 3 2" xfId="14616"/>
    <cellStyle name="Milliers 4 4 4 4 4" xfId="10296"/>
    <cellStyle name="Milliers 4 4 4 5" xfId="2376"/>
    <cellStyle name="Milliers 4 4 4 5 2" xfId="6696"/>
    <cellStyle name="Milliers 4 4 4 5 2 2" xfId="15336"/>
    <cellStyle name="Milliers 4 4 4 5 3" xfId="11016"/>
    <cellStyle name="Milliers 4 4 4 6" xfId="4536"/>
    <cellStyle name="Milliers 4 4 4 6 2" xfId="13176"/>
    <cellStyle name="Milliers 4 4 4 7" xfId="8856"/>
    <cellStyle name="Milliers 4 4 5" xfId="396"/>
    <cellStyle name="Milliers 4 4 5 2" xfId="1116"/>
    <cellStyle name="Milliers 4 4 5 2 2" xfId="3276"/>
    <cellStyle name="Milliers 4 4 5 2 2 2" xfId="7596"/>
    <cellStyle name="Milliers 4 4 5 2 2 2 2" xfId="16236"/>
    <cellStyle name="Milliers 4 4 5 2 2 3" xfId="11916"/>
    <cellStyle name="Milliers 4 4 5 2 3" xfId="5436"/>
    <cellStyle name="Milliers 4 4 5 2 3 2" xfId="14076"/>
    <cellStyle name="Milliers 4 4 5 2 4" xfId="9756"/>
    <cellStyle name="Milliers 4 4 5 3" xfId="1836"/>
    <cellStyle name="Milliers 4 4 5 3 2" xfId="3996"/>
    <cellStyle name="Milliers 4 4 5 3 2 2" xfId="8316"/>
    <cellStyle name="Milliers 4 4 5 3 2 2 2" xfId="16956"/>
    <cellStyle name="Milliers 4 4 5 3 2 3" xfId="12636"/>
    <cellStyle name="Milliers 4 4 5 3 3" xfId="6156"/>
    <cellStyle name="Milliers 4 4 5 3 3 2" xfId="14796"/>
    <cellStyle name="Milliers 4 4 5 3 4" xfId="10476"/>
    <cellStyle name="Milliers 4 4 5 4" xfId="2556"/>
    <cellStyle name="Milliers 4 4 5 4 2" xfId="6876"/>
    <cellStyle name="Milliers 4 4 5 4 2 2" xfId="15516"/>
    <cellStyle name="Milliers 4 4 5 4 3" xfId="11196"/>
    <cellStyle name="Milliers 4 4 5 5" xfId="4716"/>
    <cellStyle name="Milliers 4 4 5 5 2" xfId="13356"/>
    <cellStyle name="Milliers 4 4 5 6" xfId="9036"/>
    <cellStyle name="Milliers 4 4 6" xfId="756"/>
    <cellStyle name="Milliers 4 4 6 2" xfId="2916"/>
    <cellStyle name="Milliers 4 4 6 2 2" xfId="7236"/>
    <cellStyle name="Milliers 4 4 6 2 2 2" xfId="15876"/>
    <cellStyle name="Milliers 4 4 6 2 3" xfId="11556"/>
    <cellStyle name="Milliers 4 4 6 3" xfId="5076"/>
    <cellStyle name="Milliers 4 4 6 3 2" xfId="13716"/>
    <cellStyle name="Milliers 4 4 6 4" xfId="9396"/>
    <cellStyle name="Milliers 4 4 7" xfId="1476"/>
    <cellStyle name="Milliers 4 4 7 2" xfId="3636"/>
    <cellStyle name="Milliers 4 4 7 2 2" xfId="7956"/>
    <cellStyle name="Milliers 4 4 7 2 2 2" xfId="16596"/>
    <cellStyle name="Milliers 4 4 7 2 3" xfId="12276"/>
    <cellStyle name="Milliers 4 4 7 3" xfId="5796"/>
    <cellStyle name="Milliers 4 4 7 3 2" xfId="14436"/>
    <cellStyle name="Milliers 4 4 7 4" xfId="10116"/>
    <cellStyle name="Milliers 4 4 8" xfId="2196"/>
    <cellStyle name="Milliers 4 4 8 2" xfId="6516"/>
    <cellStyle name="Milliers 4 4 8 2 2" xfId="15156"/>
    <cellStyle name="Milliers 4 4 8 3" xfId="10836"/>
    <cellStyle name="Milliers 4 4 9" xfId="4356"/>
    <cellStyle name="Milliers 4 4 9 2" xfId="12996"/>
    <cellStyle name="Milliers 4 5" xfId="51"/>
    <cellStyle name="Milliers 4 5 2" xfId="141"/>
    <cellStyle name="Milliers 4 5 2 2" xfId="321"/>
    <cellStyle name="Milliers 4 5 2 2 2" xfId="681"/>
    <cellStyle name="Milliers 4 5 2 2 2 2" xfId="1401"/>
    <cellStyle name="Milliers 4 5 2 2 2 2 2" xfId="3561"/>
    <cellStyle name="Milliers 4 5 2 2 2 2 2 2" xfId="7881"/>
    <cellStyle name="Milliers 4 5 2 2 2 2 2 2 2" xfId="16521"/>
    <cellStyle name="Milliers 4 5 2 2 2 2 2 3" xfId="12201"/>
    <cellStyle name="Milliers 4 5 2 2 2 2 3" xfId="5721"/>
    <cellStyle name="Milliers 4 5 2 2 2 2 3 2" xfId="14361"/>
    <cellStyle name="Milliers 4 5 2 2 2 2 4" xfId="10041"/>
    <cellStyle name="Milliers 4 5 2 2 2 3" xfId="2121"/>
    <cellStyle name="Milliers 4 5 2 2 2 3 2" xfId="4281"/>
    <cellStyle name="Milliers 4 5 2 2 2 3 2 2" xfId="8601"/>
    <cellStyle name="Milliers 4 5 2 2 2 3 2 2 2" xfId="17241"/>
    <cellStyle name="Milliers 4 5 2 2 2 3 2 3" xfId="12921"/>
    <cellStyle name="Milliers 4 5 2 2 2 3 3" xfId="6441"/>
    <cellStyle name="Milliers 4 5 2 2 2 3 3 2" xfId="15081"/>
    <cellStyle name="Milliers 4 5 2 2 2 3 4" xfId="10761"/>
    <cellStyle name="Milliers 4 5 2 2 2 4" xfId="2841"/>
    <cellStyle name="Milliers 4 5 2 2 2 4 2" xfId="7161"/>
    <cellStyle name="Milliers 4 5 2 2 2 4 2 2" xfId="15801"/>
    <cellStyle name="Milliers 4 5 2 2 2 4 3" xfId="11481"/>
    <cellStyle name="Milliers 4 5 2 2 2 5" xfId="5001"/>
    <cellStyle name="Milliers 4 5 2 2 2 5 2" xfId="13641"/>
    <cellStyle name="Milliers 4 5 2 2 2 6" xfId="9321"/>
    <cellStyle name="Milliers 4 5 2 2 3" xfId="1041"/>
    <cellStyle name="Milliers 4 5 2 2 3 2" xfId="3201"/>
    <cellStyle name="Milliers 4 5 2 2 3 2 2" xfId="7521"/>
    <cellStyle name="Milliers 4 5 2 2 3 2 2 2" xfId="16161"/>
    <cellStyle name="Milliers 4 5 2 2 3 2 3" xfId="11841"/>
    <cellStyle name="Milliers 4 5 2 2 3 3" xfId="5361"/>
    <cellStyle name="Milliers 4 5 2 2 3 3 2" xfId="14001"/>
    <cellStyle name="Milliers 4 5 2 2 3 4" xfId="9681"/>
    <cellStyle name="Milliers 4 5 2 2 4" xfId="1761"/>
    <cellStyle name="Milliers 4 5 2 2 4 2" xfId="3921"/>
    <cellStyle name="Milliers 4 5 2 2 4 2 2" xfId="8241"/>
    <cellStyle name="Milliers 4 5 2 2 4 2 2 2" xfId="16881"/>
    <cellStyle name="Milliers 4 5 2 2 4 2 3" xfId="12561"/>
    <cellStyle name="Milliers 4 5 2 2 4 3" xfId="6081"/>
    <cellStyle name="Milliers 4 5 2 2 4 3 2" xfId="14721"/>
    <cellStyle name="Milliers 4 5 2 2 4 4" xfId="10401"/>
    <cellStyle name="Milliers 4 5 2 2 5" xfId="2481"/>
    <cellStyle name="Milliers 4 5 2 2 5 2" xfId="6801"/>
    <cellStyle name="Milliers 4 5 2 2 5 2 2" xfId="15441"/>
    <cellStyle name="Milliers 4 5 2 2 5 3" xfId="11121"/>
    <cellStyle name="Milliers 4 5 2 2 6" xfId="4641"/>
    <cellStyle name="Milliers 4 5 2 2 6 2" xfId="13281"/>
    <cellStyle name="Milliers 4 5 2 2 7" xfId="8961"/>
    <cellStyle name="Milliers 4 5 2 3" xfId="501"/>
    <cellStyle name="Milliers 4 5 2 3 2" xfId="1221"/>
    <cellStyle name="Milliers 4 5 2 3 2 2" xfId="3381"/>
    <cellStyle name="Milliers 4 5 2 3 2 2 2" xfId="7701"/>
    <cellStyle name="Milliers 4 5 2 3 2 2 2 2" xfId="16341"/>
    <cellStyle name="Milliers 4 5 2 3 2 2 3" xfId="12021"/>
    <cellStyle name="Milliers 4 5 2 3 2 3" xfId="5541"/>
    <cellStyle name="Milliers 4 5 2 3 2 3 2" xfId="14181"/>
    <cellStyle name="Milliers 4 5 2 3 2 4" xfId="9861"/>
    <cellStyle name="Milliers 4 5 2 3 3" xfId="1941"/>
    <cellStyle name="Milliers 4 5 2 3 3 2" xfId="4101"/>
    <cellStyle name="Milliers 4 5 2 3 3 2 2" xfId="8421"/>
    <cellStyle name="Milliers 4 5 2 3 3 2 2 2" xfId="17061"/>
    <cellStyle name="Milliers 4 5 2 3 3 2 3" xfId="12741"/>
    <cellStyle name="Milliers 4 5 2 3 3 3" xfId="6261"/>
    <cellStyle name="Milliers 4 5 2 3 3 3 2" xfId="14901"/>
    <cellStyle name="Milliers 4 5 2 3 3 4" xfId="10581"/>
    <cellStyle name="Milliers 4 5 2 3 4" xfId="2661"/>
    <cellStyle name="Milliers 4 5 2 3 4 2" xfId="6981"/>
    <cellStyle name="Milliers 4 5 2 3 4 2 2" xfId="15621"/>
    <cellStyle name="Milliers 4 5 2 3 4 3" xfId="11301"/>
    <cellStyle name="Milliers 4 5 2 3 5" xfId="4821"/>
    <cellStyle name="Milliers 4 5 2 3 5 2" xfId="13461"/>
    <cellStyle name="Milliers 4 5 2 3 6" xfId="9141"/>
    <cellStyle name="Milliers 4 5 2 4" xfId="861"/>
    <cellStyle name="Milliers 4 5 2 4 2" xfId="3021"/>
    <cellStyle name="Milliers 4 5 2 4 2 2" xfId="7341"/>
    <cellStyle name="Milliers 4 5 2 4 2 2 2" xfId="15981"/>
    <cellStyle name="Milliers 4 5 2 4 2 3" xfId="11661"/>
    <cellStyle name="Milliers 4 5 2 4 3" xfId="5181"/>
    <cellStyle name="Milliers 4 5 2 4 3 2" xfId="13821"/>
    <cellStyle name="Milliers 4 5 2 4 4" xfId="9501"/>
    <cellStyle name="Milliers 4 5 2 5" xfId="1581"/>
    <cellStyle name="Milliers 4 5 2 5 2" xfId="3741"/>
    <cellStyle name="Milliers 4 5 2 5 2 2" xfId="8061"/>
    <cellStyle name="Milliers 4 5 2 5 2 2 2" xfId="16701"/>
    <cellStyle name="Milliers 4 5 2 5 2 3" xfId="12381"/>
    <cellStyle name="Milliers 4 5 2 5 3" xfId="5901"/>
    <cellStyle name="Milliers 4 5 2 5 3 2" xfId="14541"/>
    <cellStyle name="Milliers 4 5 2 5 4" xfId="10221"/>
    <cellStyle name="Milliers 4 5 2 6" xfId="2301"/>
    <cellStyle name="Milliers 4 5 2 6 2" xfId="6621"/>
    <cellStyle name="Milliers 4 5 2 6 2 2" xfId="15261"/>
    <cellStyle name="Milliers 4 5 2 6 3" xfId="10941"/>
    <cellStyle name="Milliers 4 5 2 7" xfId="4461"/>
    <cellStyle name="Milliers 4 5 2 7 2" xfId="13101"/>
    <cellStyle name="Milliers 4 5 2 8" xfId="8781"/>
    <cellStyle name="Milliers 4 5 3" xfId="231"/>
    <cellStyle name="Milliers 4 5 3 2" xfId="591"/>
    <cellStyle name="Milliers 4 5 3 2 2" xfId="1311"/>
    <cellStyle name="Milliers 4 5 3 2 2 2" xfId="3471"/>
    <cellStyle name="Milliers 4 5 3 2 2 2 2" xfId="7791"/>
    <cellStyle name="Milliers 4 5 3 2 2 2 2 2" xfId="16431"/>
    <cellStyle name="Milliers 4 5 3 2 2 2 3" xfId="12111"/>
    <cellStyle name="Milliers 4 5 3 2 2 3" xfId="5631"/>
    <cellStyle name="Milliers 4 5 3 2 2 3 2" xfId="14271"/>
    <cellStyle name="Milliers 4 5 3 2 2 4" xfId="9951"/>
    <cellStyle name="Milliers 4 5 3 2 3" xfId="2031"/>
    <cellStyle name="Milliers 4 5 3 2 3 2" xfId="4191"/>
    <cellStyle name="Milliers 4 5 3 2 3 2 2" xfId="8511"/>
    <cellStyle name="Milliers 4 5 3 2 3 2 2 2" xfId="17151"/>
    <cellStyle name="Milliers 4 5 3 2 3 2 3" xfId="12831"/>
    <cellStyle name="Milliers 4 5 3 2 3 3" xfId="6351"/>
    <cellStyle name="Milliers 4 5 3 2 3 3 2" xfId="14991"/>
    <cellStyle name="Milliers 4 5 3 2 3 4" xfId="10671"/>
    <cellStyle name="Milliers 4 5 3 2 4" xfId="2751"/>
    <cellStyle name="Milliers 4 5 3 2 4 2" xfId="7071"/>
    <cellStyle name="Milliers 4 5 3 2 4 2 2" xfId="15711"/>
    <cellStyle name="Milliers 4 5 3 2 4 3" xfId="11391"/>
    <cellStyle name="Milliers 4 5 3 2 5" xfId="4911"/>
    <cellStyle name="Milliers 4 5 3 2 5 2" xfId="13551"/>
    <cellStyle name="Milliers 4 5 3 2 6" xfId="9231"/>
    <cellStyle name="Milliers 4 5 3 3" xfId="951"/>
    <cellStyle name="Milliers 4 5 3 3 2" xfId="3111"/>
    <cellStyle name="Milliers 4 5 3 3 2 2" xfId="7431"/>
    <cellStyle name="Milliers 4 5 3 3 2 2 2" xfId="16071"/>
    <cellStyle name="Milliers 4 5 3 3 2 3" xfId="11751"/>
    <cellStyle name="Milliers 4 5 3 3 3" xfId="5271"/>
    <cellStyle name="Milliers 4 5 3 3 3 2" xfId="13911"/>
    <cellStyle name="Milliers 4 5 3 3 4" xfId="9591"/>
    <cellStyle name="Milliers 4 5 3 4" xfId="1671"/>
    <cellStyle name="Milliers 4 5 3 4 2" xfId="3831"/>
    <cellStyle name="Milliers 4 5 3 4 2 2" xfId="8151"/>
    <cellStyle name="Milliers 4 5 3 4 2 2 2" xfId="16791"/>
    <cellStyle name="Milliers 4 5 3 4 2 3" xfId="12471"/>
    <cellStyle name="Milliers 4 5 3 4 3" xfId="5991"/>
    <cellStyle name="Milliers 4 5 3 4 3 2" xfId="14631"/>
    <cellStyle name="Milliers 4 5 3 4 4" xfId="10311"/>
    <cellStyle name="Milliers 4 5 3 5" xfId="2391"/>
    <cellStyle name="Milliers 4 5 3 5 2" xfId="6711"/>
    <cellStyle name="Milliers 4 5 3 5 2 2" xfId="15351"/>
    <cellStyle name="Milliers 4 5 3 5 3" xfId="11031"/>
    <cellStyle name="Milliers 4 5 3 6" xfId="4551"/>
    <cellStyle name="Milliers 4 5 3 6 2" xfId="13191"/>
    <cellStyle name="Milliers 4 5 3 7" xfId="8871"/>
    <cellStyle name="Milliers 4 5 4" xfId="411"/>
    <cellStyle name="Milliers 4 5 4 2" xfId="1131"/>
    <cellStyle name="Milliers 4 5 4 2 2" xfId="3291"/>
    <cellStyle name="Milliers 4 5 4 2 2 2" xfId="7611"/>
    <cellStyle name="Milliers 4 5 4 2 2 2 2" xfId="16251"/>
    <cellStyle name="Milliers 4 5 4 2 2 3" xfId="11931"/>
    <cellStyle name="Milliers 4 5 4 2 3" xfId="5451"/>
    <cellStyle name="Milliers 4 5 4 2 3 2" xfId="14091"/>
    <cellStyle name="Milliers 4 5 4 2 4" xfId="9771"/>
    <cellStyle name="Milliers 4 5 4 3" xfId="1851"/>
    <cellStyle name="Milliers 4 5 4 3 2" xfId="4011"/>
    <cellStyle name="Milliers 4 5 4 3 2 2" xfId="8331"/>
    <cellStyle name="Milliers 4 5 4 3 2 2 2" xfId="16971"/>
    <cellStyle name="Milliers 4 5 4 3 2 3" xfId="12651"/>
    <cellStyle name="Milliers 4 5 4 3 3" xfId="6171"/>
    <cellStyle name="Milliers 4 5 4 3 3 2" xfId="14811"/>
    <cellStyle name="Milliers 4 5 4 3 4" xfId="10491"/>
    <cellStyle name="Milliers 4 5 4 4" xfId="2571"/>
    <cellStyle name="Milliers 4 5 4 4 2" xfId="6891"/>
    <cellStyle name="Milliers 4 5 4 4 2 2" xfId="15531"/>
    <cellStyle name="Milliers 4 5 4 4 3" xfId="11211"/>
    <cellStyle name="Milliers 4 5 4 5" xfId="4731"/>
    <cellStyle name="Milliers 4 5 4 5 2" xfId="13371"/>
    <cellStyle name="Milliers 4 5 4 6" xfId="9051"/>
    <cellStyle name="Milliers 4 5 5" xfId="771"/>
    <cellStyle name="Milliers 4 5 5 2" xfId="2931"/>
    <cellStyle name="Milliers 4 5 5 2 2" xfId="7251"/>
    <cellStyle name="Milliers 4 5 5 2 2 2" xfId="15891"/>
    <cellStyle name="Milliers 4 5 5 2 3" xfId="11571"/>
    <cellStyle name="Milliers 4 5 5 3" xfId="5091"/>
    <cellStyle name="Milliers 4 5 5 3 2" xfId="13731"/>
    <cellStyle name="Milliers 4 5 5 4" xfId="9411"/>
    <cellStyle name="Milliers 4 5 6" xfId="1491"/>
    <cellStyle name="Milliers 4 5 6 2" xfId="3651"/>
    <cellStyle name="Milliers 4 5 6 2 2" xfId="7971"/>
    <cellStyle name="Milliers 4 5 6 2 2 2" xfId="16611"/>
    <cellStyle name="Milliers 4 5 6 2 3" xfId="12291"/>
    <cellStyle name="Milliers 4 5 6 3" xfId="5811"/>
    <cellStyle name="Milliers 4 5 6 3 2" xfId="14451"/>
    <cellStyle name="Milliers 4 5 6 4" xfId="10131"/>
    <cellStyle name="Milliers 4 5 7" xfId="2211"/>
    <cellStyle name="Milliers 4 5 7 2" xfId="6531"/>
    <cellStyle name="Milliers 4 5 7 2 2" xfId="15171"/>
    <cellStyle name="Milliers 4 5 7 3" xfId="10851"/>
    <cellStyle name="Milliers 4 5 8" xfId="4371"/>
    <cellStyle name="Milliers 4 5 8 2" xfId="13011"/>
    <cellStyle name="Milliers 4 5 9" xfId="8691"/>
    <cellStyle name="Milliers 4 6" xfId="96"/>
    <cellStyle name="Milliers 4 6 2" xfId="276"/>
    <cellStyle name="Milliers 4 6 2 2" xfId="636"/>
    <cellStyle name="Milliers 4 6 2 2 2" xfId="1356"/>
    <cellStyle name="Milliers 4 6 2 2 2 2" xfId="3516"/>
    <cellStyle name="Milliers 4 6 2 2 2 2 2" xfId="7836"/>
    <cellStyle name="Milliers 4 6 2 2 2 2 2 2" xfId="16476"/>
    <cellStyle name="Milliers 4 6 2 2 2 2 3" xfId="12156"/>
    <cellStyle name="Milliers 4 6 2 2 2 3" xfId="5676"/>
    <cellStyle name="Milliers 4 6 2 2 2 3 2" xfId="14316"/>
    <cellStyle name="Milliers 4 6 2 2 2 4" xfId="9996"/>
    <cellStyle name="Milliers 4 6 2 2 3" xfId="2076"/>
    <cellStyle name="Milliers 4 6 2 2 3 2" xfId="4236"/>
    <cellStyle name="Milliers 4 6 2 2 3 2 2" xfId="8556"/>
    <cellStyle name="Milliers 4 6 2 2 3 2 2 2" xfId="17196"/>
    <cellStyle name="Milliers 4 6 2 2 3 2 3" xfId="12876"/>
    <cellStyle name="Milliers 4 6 2 2 3 3" xfId="6396"/>
    <cellStyle name="Milliers 4 6 2 2 3 3 2" xfId="15036"/>
    <cellStyle name="Milliers 4 6 2 2 3 4" xfId="10716"/>
    <cellStyle name="Milliers 4 6 2 2 4" xfId="2796"/>
    <cellStyle name="Milliers 4 6 2 2 4 2" xfId="7116"/>
    <cellStyle name="Milliers 4 6 2 2 4 2 2" xfId="15756"/>
    <cellStyle name="Milliers 4 6 2 2 4 3" xfId="11436"/>
    <cellStyle name="Milliers 4 6 2 2 5" xfId="4956"/>
    <cellStyle name="Milliers 4 6 2 2 5 2" xfId="13596"/>
    <cellStyle name="Milliers 4 6 2 2 6" xfId="9276"/>
    <cellStyle name="Milliers 4 6 2 3" xfId="996"/>
    <cellStyle name="Milliers 4 6 2 3 2" xfId="3156"/>
    <cellStyle name="Milliers 4 6 2 3 2 2" xfId="7476"/>
    <cellStyle name="Milliers 4 6 2 3 2 2 2" xfId="16116"/>
    <cellStyle name="Milliers 4 6 2 3 2 3" xfId="11796"/>
    <cellStyle name="Milliers 4 6 2 3 3" xfId="5316"/>
    <cellStyle name="Milliers 4 6 2 3 3 2" xfId="13956"/>
    <cellStyle name="Milliers 4 6 2 3 4" xfId="9636"/>
    <cellStyle name="Milliers 4 6 2 4" xfId="1716"/>
    <cellStyle name="Milliers 4 6 2 4 2" xfId="3876"/>
    <cellStyle name="Milliers 4 6 2 4 2 2" xfId="8196"/>
    <cellStyle name="Milliers 4 6 2 4 2 2 2" xfId="16836"/>
    <cellStyle name="Milliers 4 6 2 4 2 3" xfId="12516"/>
    <cellStyle name="Milliers 4 6 2 4 3" xfId="6036"/>
    <cellStyle name="Milliers 4 6 2 4 3 2" xfId="14676"/>
    <cellStyle name="Milliers 4 6 2 4 4" xfId="10356"/>
    <cellStyle name="Milliers 4 6 2 5" xfId="2436"/>
    <cellStyle name="Milliers 4 6 2 5 2" xfId="6756"/>
    <cellStyle name="Milliers 4 6 2 5 2 2" xfId="15396"/>
    <cellStyle name="Milliers 4 6 2 5 3" xfId="11076"/>
    <cellStyle name="Milliers 4 6 2 6" xfId="4596"/>
    <cellStyle name="Milliers 4 6 2 6 2" xfId="13236"/>
    <cellStyle name="Milliers 4 6 2 7" xfId="8916"/>
    <cellStyle name="Milliers 4 6 3" xfId="456"/>
    <cellStyle name="Milliers 4 6 3 2" xfId="1176"/>
    <cellStyle name="Milliers 4 6 3 2 2" xfId="3336"/>
    <cellStyle name="Milliers 4 6 3 2 2 2" xfId="7656"/>
    <cellStyle name="Milliers 4 6 3 2 2 2 2" xfId="16296"/>
    <cellStyle name="Milliers 4 6 3 2 2 3" xfId="11976"/>
    <cellStyle name="Milliers 4 6 3 2 3" xfId="5496"/>
    <cellStyle name="Milliers 4 6 3 2 3 2" xfId="14136"/>
    <cellStyle name="Milliers 4 6 3 2 4" xfId="9816"/>
    <cellStyle name="Milliers 4 6 3 3" xfId="1896"/>
    <cellStyle name="Milliers 4 6 3 3 2" xfId="4056"/>
    <cellStyle name="Milliers 4 6 3 3 2 2" xfId="8376"/>
    <cellStyle name="Milliers 4 6 3 3 2 2 2" xfId="17016"/>
    <cellStyle name="Milliers 4 6 3 3 2 3" xfId="12696"/>
    <cellStyle name="Milliers 4 6 3 3 3" xfId="6216"/>
    <cellStyle name="Milliers 4 6 3 3 3 2" xfId="14856"/>
    <cellStyle name="Milliers 4 6 3 3 4" xfId="10536"/>
    <cellStyle name="Milliers 4 6 3 4" xfId="2616"/>
    <cellStyle name="Milliers 4 6 3 4 2" xfId="6936"/>
    <cellStyle name="Milliers 4 6 3 4 2 2" xfId="15576"/>
    <cellStyle name="Milliers 4 6 3 4 3" xfId="11256"/>
    <cellStyle name="Milliers 4 6 3 5" xfId="4776"/>
    <cellStyle name="Milliers 4 6 3 5 2" xfId="13416"/>
    <cellStyle name="Milliers 4 6 3 6" xfId="9096"/>
    <cellStyle name="Milliers 4 6 4" xfId="816"/>
    <cellStyle name="Milliers 4 6 4 2" xfId="2976"/>
    <cellStyle name="Milliers 4 6 4 2 2" xfId="7296"/>
    <cellStyle name="Milliers 4 6 4 2 2 2" xfId="15936"/>
    <cellStyle name="Milliers 4 6 4 2 3" xfId="11616"/>
    <cellStyle name="Milliers 4 6 4 3" xfId="5136"/>
    <cellStyle name="Milliers 4 6 4 3 2" xfId="13776"/>
    <cellStyle name="Milliers 4 6 4 4" xfId="9456"/>
    <cellStyle name="Milliers 4 6 5" xfId="1536"/>
    <cellStyle name="Milliers 4 6 5 2" xfId="3696"/>
    <cellStyle name="Milliers 4 6 5 2 2" xfId="8016"/>
    <cellStyle name="Milliers 4 6 5 2 2 2" xfId="16656"/>
    <cellStyle name="Milliers 4 6 5 2 3" xfId="12336"/>
    <cellStyle name="Milliers 4 6 5 3" xfId="5856"/>
    <cellStyle name="Milliers 4 6 5 3 2" xfId="14496"/>
    <cellStyle name="Milliers 4 6 5 4" xfId="10176"/>
    <cellStyle name="Milliers 4 6 6" xfId="2256"/>
    <cellStyle name="Milliers 4 6 6 2" xfId="6576"/>
    <cellStyle name="Milliers 4 6 6 2 2" xfId="15216"/>
    <cellStyle name="Milliers 4 6 6 3" xfId="10896"/>
    <cellStyle name="Milliers 4 6 7" xfId="4416"/>
    <cellStyle name="Milliers 4 6 7 2" xfId="13056"/>
    <cellStyle name="Milliers 4 6 8" xfId="8736"/>
    <cellStyle name="Milliers 4 7" xfId="186"/>
    <cellStyle name="Milliers 4 7 2" xfId="546"/>
    <cellStyle name="Milliers 4 7 2 2" xfId="1266"/>
    <cellStyle name="Milliers 4 7 2 2 2" xfId="3426"/>
    <cellStyle name="Milliers 4 7 2 2 2 2" xfId="7746"/>
    <cellStyle name="Milliers 4 7 2 2 2 2 2" xfId="16386"/>
    <cellStyle name="Milliers 4 7 2 2 2 3" xfId="12066"/>
    <cellStyle name="Milliers 4 7 2 2 3" xfId="5586"/>
    <cellStyle name="Milliers 4 7 2 2 3 2" xfId="14226"/>
    <cellStyle name="Milliers 4 7 2 2 4" xfId="9906"/>
    <cellStyle name="Milliers 4 7 2 3" xfId="1986"/>
    <cellStyle name="Milliers 4 7 2 3 2" xfId="4146"/>
    <cellStyle name="Milliers 4 7 2 3 2 2" xfId="8466"/>
    <cellStyle name="Milliers 4 7 2 3 2 2 2" xfId="17106"/>
    <cellStyle name="Milliers 4 7 2 3 2 3" xfId="12786"/>
    <cellStyle name="Milliers 4 7 2 3 3" xfId="6306"/>
    <cellStyle name="Milliers 4 7 2 3 3 2" xfId="14946"/>
    <cellStyle name="Milliers 4 7 2 3 4" xfId="10626"/>
    <cellStyle name="Milliers 4 7 2 4" xfId="2706"/>
    <cellStyle name="Milliers 4 7 2 4 2" xfId="7026"/>
    <cellStyle name="Milliers 4 7 2 4 2 2" xfId="15666"/>
    <cellStyle name="Milliers 4 7 2 4 3" xfId="11346"/>
    <cellStyle name="Milliers 4 7 2 5" xfId="4866"/>
    <cellStyle name="Milliers 4 7 2 5 2" xfId="13506"/>
    <cellStyle name="Milliers 4 7 2 6" xfId="9186"/>
    <cellStyle name="Milliers 4 7 3" xfId="906"/>
    <cellStyle name="Milliers 4 7 3 2" xfId="3066"/>
    <cellStyle name="Milliers 4 7 3 2 2" xfId="7386"/>
    <cellStyle name="Milliers 4 7 3 2 2 2" xfId="16026"/>
    <cellStyle name="Milliers 4 7 3 2 3" xfId="11706"/>
    <cellStyle name="Milliers 4 7 3 3" xfId="5226"/>
    <cellStyle name="Milliers 4 7 3 3 2" xfId="13866"/>
    <cellStyle name="Milliers 4 7 3 4" xfId="9546"/>
    <cellStyle name="Milliers 4 7 4" xfId="1626"/>
    <cellStyle name="Milliers 4 7 4 2" xfId="3786"/>
    <cellStyle name="Milliers 4 7 4 2 2" xfId="8106"/>
    <cellStyle name="Milliers 4 7 4 2 2 2" xfId="16746"/>
    <cellStyle name="Milliers 4 7 4 2 3" xfId="12426"/>
    <cellStyle name="Milliers 4 7 4 3" xfId="5946"/>
    <cellStyle name="Milliers 4 7 4 3 2" xfId="14586"/>
    <cellStyle name="Milliers 4 7 4 4" xfId="10266"/>
    <cellStyle name="Milliers 4 7 5" xfId="2346"/>
    <cellStyle name="Milliers 4 7 5 2" xfId="6666"/>
    <cellStyle name="Milliers 4 7 5 2 2" xfId="15306"/>
    <cellStyle name="Milliers 4 7 5 3" xfId="10986"/>
    <cellStyle name="Milliers 4 7 6" xfId="4506"/>
    <cellStyle name="Milliers 4 7 6 2" xfId="13146"/>
    <cellStyle name="Milliers 4 7 7" xfId="8826"/>
    <cellStyle name="Milliers 4 8" xfId="366"/>
    <cellStyle name="Milliers 4 8 2" xfId="1086"/>
    <cellStyle name="Milliers 4 8 2 2" xfId="3246"/>
    <cellStyle name="Milliers 4 8 2 2 2" xfId="7566"/>
    <cellStyle name="Milliers 4 8 2 2 2 2" xfId="16206"/>
    <cellStyle name="Milliers 4 8 2 2 3" xfId="11886"/>
    <cellStyle name="Milliers 4 8 2 3" xfId="5406"/>
    <cellStyle name="Milliers 4 8 2 3 2" xfId="14046"/>
    <cellStyle name="Milliers 4 8 2 4" xfId="9726"/>
    <cellStyle name="Milliers 4 8 3" xfId="1806"/>
    <cellStyle name="Milliers 4 8 3 2" xfId="3966"/>
    <cellStyle name="Milliers 4 8 3 2 2" xfId="8286"/>
    <cellStyle name="Milliers 4 8 3 2 2 2" xfId="16926"/>
    <cellStyle name="Milliers 4 8 3 2 3" xfId="12606"/>
    <cellStyle name="Milliers 4 8 3 3" xfId="6126"/>
    <cellStyle name="Milliers 4 8 3 3 2" xfId="14766"/>
    <cellStyle name="Milliers 4 8 3 4" xfId="10446"/>
    <cellStyle name="Milliers 4 8 4" xfId="2526"/>
    <cellStyle name="Milliers 4 8 4 2" xfId="6846"/>
    <cellStyle name="Milliers 4 8 4 2 2" xfId="15486"/>
    <cellStyle name="Milliers 4 8 4 3" xfId="11166"/>
    <cellStyle name="Milliers 4 8 5" xfId="4686"/>
    <cellStyle name="Milliers 4 8 5 2" xfId="13326"/>
    <cellStyle name="Milliers 4 8 6" xfId="9006"/>
    <cellStyle name="Milliers 4 9" xfId="726"/>
    <cellStyle name="Milliers 4 9 2" xfId="2886"/>
    <cellStyle name="Milliers 4 9 2 2" xfId="7206"/>
    <cellStyle name="Milliers 4 9 2 2 2" xfId="15846"/>
    <cellStyle name="Milliers 4 9 2 3" xfId="11526"/>
    <cellStyle name="Milliers 4 9 3" xfId="5046"/>
    <cellStyle name="Milliers 4 9 3 2" xfId="13686"/>
    <cellStyle name="Milliers 4 9 4" xfId="9366"/>
    <cellStyle name="Milliers 5" xfId="9"/>
    <cellStyle name="Milliers 5 10" xfId="2169"/>
    <cellStyle name="Milliers 5 10 2" xfId="6489"/>
    <cellStyle name="Milliers 5 10 2 2" xfId="15129"/>
    <cellStyle name="Milliers 5 10 3" xfId="10809"/>
    <cellStyle name="Milliers 5 11" xfId="4329"/>
    <cellStyle name="Milliers 5 11 2" xfId="12969"/>
    <cellStyle name="Milliers 5 12" xfId="8649"/>
    <cellStyle name="Milliers 5 2" xfId="24"/>
    <cellStyle name="Milliers 5 2 10" xfId="8664"/>
    <cellStyle name="Milliers 5 2 2" xfId="69"/>
    <cellStyle name="Milliers 5 2 2 2" xfId="159"/>
    <cellStyle name="Milliers 5 2 2 2 2" xfId="339"/>
    <cellStyle name="Milliers 5 2 2 2 2 2" xfId="699"/>
    <cellStyle name="Milliers 5 2 2 2 2 2 2" xfId="1419"/>
    <cellStyle name="Milliers 5 2 2 2 2 2 2 2" xfId="3579"/>
    <cellStyle name="Milliers 5 2 2 2 2 2 2 2 2" xfId="7899"/>
    <cellStyle name="Milliers 5 2 2 2 2 2 2 2 2 2" xfId="16539"/>
    <cellStyle name="Milliers 5 2 2 2 2 2 2 2 3" xfId="12219"/>
    <cellStyle name="Milliers 5 2 2 2 2 2 2 3" xfId="5739"/>
    <cellStyle name="Milliers 5 2 2 2 2 2 2 3 2" xfId="14379"/>
    <cellStyle name="Milliers 5 2 2 2 2 2 2 4" xfId="10059"/>
    <cellStyle name="Milliers 5 2 2 2 2 2 3" xfId="2139"/>
    <cellStyle name="Milliers 5 2 2 2 2 2 3 2" xfId="4299"/>
    <cellStyle name="Milliers 5 2 2 2 2 2 3 2 2" xfId="8619"/>
    <cellStyle name="Milliers 5 2 2 2 2 2 3 2 2 2" xfId="17259"/>
    <cellStyle name="Milliers 5 2 2 2 2 2 3 2 3" xfId="12939"/>
    <cellStyle name="Milliers 5 2 2 2 2 2 3 3" xfId="6459"/>
    <cellStyle name="Milliers 5 2 2 2 2 2 3 3 2" xfId="15099"/>
    <cellStyle name="Milliers 5 2 2 2 2 2 3 4" xfId="10779"/>
    <cellStyle name="Milliers 5 2 2 2 2 2 4" xfId="2859"/>
    <cellStyle name="Milliers 5 2 2 2 2 2 4 2" xfId="7179"/>
    <cellStyle name="Milliers 5 2 2 2 2 2 4 2 2" xfId="15819"/>
    <cellStyle name="Milliers 5 2 2 2 2 2 4 3" xfId="11499"/>
    <cellStyle name="Milliers 5 2 2 2 2 2 5" xfId="5019"/>
    <cellStyle name="Milliers 5 2 2 2 2 2 5 2" xfId="13659"/>
    <cellStyle name="Milliers 5 2 2 2 2 2 6" xfId="9339"/>
    <cellStyle name="Milliers 5 2 2 2 2 3" xfId="1059"/>
    <cellStyle name="Milliers 5 2 2 2 2 3 2" xfId="3219"/>
    <cellStyle name="Milliers 5 2 2 2 2 3 2 2" xfId="7539"/>
    <cellStyle name="Milliers 5 2 2 2 2 3 2 2 2" xfId="16179"/>
    <cellStyle name="Milliers 5 2 2 2 2 3 2 3" xfId="11859"/>
    <cellStyle name="Milliers 5 2 2 2 2 3 3" xfId="5379"/>
    <cellStyle name="Milliers 5 2 2 2 2 3 3 2" xfId="14019"/>
    <cellStyle name="Milliers 5 2 2 2 2 3 4" xfId="9699"/>
    <cellStyle name="Milliers 5 2 2 2 2 4" xfId="1779"/>
    <cellStyle name="Milliers 5 2 2 2 2 4 2" xfId="3939"/>
    <cellStyle name="Milliers 5 2 2 2 2 4 2 2" xfId="8259"/>
    <cellStyle name="Milliers 5 2 2 2 2 4 2 2 2" xfId="16899"/>
    <cellStyle name="Milliers 5 2 2 2 2 4 2 3" xfId="12579"/>
    <cellStyle name="Milliers 5 2 2 2 2 4 3" xfId="6099"/>
    <cellStyle name="Milliers 5 2 2 2 2 4 3 2" xfId="14739"/>
    <cellStyle name="Milliers 5 2 2 2 2 4 4" xfId="10419"/>
    <cellStyle name="Milliers 5 2 2 2 2 5" xfId="2499"/>
    <cellStyle name="Milliers 5 2 2 2 2 5 2" xfId="6819"/>
    <cellStyle name="Milliers 5 2 2 2 2 5 2 2" xfId="15459"/>
    <cellStyle name="Milliers 5 2 2 2 2 5 3" xfId="11139"/>
    <cellStyle name="Milliers 5 2 2 2 2 6" xfId="4659"/>
    <cellStyle name="Milliers 5 2 2 2 2 6 2" xfId="13299"/>
    <cellStyle name="Milliers 5 2 2 2 2 7" xfId="8979"/>
    <cellStyle name="Milliers 5 2 2 2 3" xfId="519"/>
    <cellStyle name="Milliers 5 2 2 2 3 2" xfId="1239"/>
    <cellStyle name="Milliers 5 2 2 2 3 2 2" xfId="3399"/>
    <cellStyle name="Milliers 5 2 2 2 3 2 2 2" xfId="7719"/>
    <cellStyle name="Milliers 5 2 2 2 3 2 2 2 2" xfId="16359"/>
    <cellStyle name="Milliers 5 2 2 2 3 2 2 3" xfId="12039"/>
    <cellStyle name="Milliers 5 2 2 2 3 2 3" xfId="5559"/>
    <cellStyle name="Milliers 5 2 2 2 3 2 3 2" xfId="14199"/>
    <cellStyle name="Milliers 5 2 2 2 3 2 4" xfId="9879"/>
    <cellStyle name="Milliers 5 2 2 2 3 3" xfId="1959"/>
    <cellStyle name="Milliers 5 2 2 2 3 3 2" xfId="4119"/>
    <cellStyle name="Milliers 5 2 2 2 3 3 2 2" xfId="8439"/>
    <cellStyle name="Milliers 5 2 2 2 3 3 2 2 2" xfId="17079"/>
    <cellStyle name="Milliers 5 2 2 2 3 3 2 3" xfId="12759"/>
    <cellStyle name="Milliers 5 2 2 2 3 3 3" xfId="6279"/>
    <cellStyle name="Milliers 5 2 2 2 3 3 3 2" xfId="14919"/>
    <cellStyle name="Milliers 5 2 2 2 3 3 4" xfId="10599"/>
    <cellStyle name="Milliers 5 2 2 2 3 4" xfId="2679"/>
    <cellStyle name="Milliers 5 2 2 2 3 4 2" xfId="6999"/>
    <cellStyle name="Milliers 5 2 2 2 3 4 2 2" xfId="15639"/>
    <cellStyle name="Milliers 5 2 2 2 3 4 3" xfId="11319"/>
    <cellStyle name="Milliers 5 2 2 2 3 5" xfId="4839"/>
    <cellStyle name="Milliers 5 2 2 2 3 5 2" xfId="13479"/>
    <cellStyle name="Milliers 5 2 2 2 3 6" xfId="9159"/>
    <cellStyle name="Milliers 5 2 2 2 4" xfId="879"/>
    <cellStyle name="Milliers 5 2 2 2 4 2" xfId="3039"/>
    <cellStyle name="Milliers 5 2 2 2 4 2 2" xfId="7359"/>
    <cellStyle name="Milliers 5 2 2 2 4 2 2 2" xfId="15999"/>
    <cellStyle name="Milliers 5 2 2 2 4 2 3" xfId="11679"/>
    <cellStyle name="Milliers 5 2 2 2 4 3" xfId="5199"/>
    <cellStyle name="Milliers 5 2 2 2 4 3 2" xfId="13839"/>
    <cellStyle name="Milliers 5 2 2 2 4 4" xfId="9519"/>
    <cellStyle name="Milliers 5 2 2 2 5" xfId="1599"/>
    <cellStyle name="Milliers 5 2 2 2 5 2" xfId="3759"/>
    <cellStyle name="Milliers 5 2 2 2 5 2 2" xfId="8079"/>
    <cellStyle name="Milliers 5 2 2 2 5 2 2 2" xfId="16719"/>
    <cellStyle name="Milliers 5 2 2 2 5 2 3" xfId="12399"/>
    <cellStyle name="Milliers 5 2 2 2 5 3" xfId="5919"/>
    <cellStyle name="Milliers 5 2 2 2 5 3 2" xfId="14559"/>
    <cellStyle name="Milliers 5 2 2 2 5 4" xfId="10239"/>
    <cellStyle name="Milliers 5 2 2 2 6" xfId="2319"/>
    <cellStyle name="Milliers 5 2 2 2 6 2" xfId="6639"/>
    <cellStyle name="Milliers 5 2 2 2 6 2 2" xfId="15279"/>
    <cellStyle name="Milliers 5 2 2 2 6 3" xfId="10959"/>
    <cellStyle name="Milliers 5 2 2 2 7" xfId="4479"/>
    <cellStyle name="Milliers 5 2 2 2 7 2" xfId="13119"/>
    <cellStyle name="Milliers 5 2 2 2 8" xfId="8799"/>
    <cellStyle name="Milliers 5 2 2 3" xfId="249"/>
    <cellStyle name="Milliers 5 2 2 3 2" xfId="609"/>
    <cellStyle name="Milliers 5 2 2 3 2 2" xfId="1329"/>
    <cellStyle name="Milliers 5 2 2 3 2 2 2" xfId="3489"/>
    <cellStyle name="Milliers 5 2 2 3 2 2 2 2" xfId="7809"/>
    <cellStyle name="Milliers 5 2 2 3 2 2 2 2 2" xfId="16449"/>
    <cellStyle name="Milliers 5 2 2 3 2 2 2 3" xfId="12129"/>
    <cellStyle name="Milliers 5 2 2 3 2 2 3" xfId="5649"/>
    <cellStyle name="Milliers 5 2 2 3 2 2 3 2" xfId="14289"/>
    <cellStyle name="Milliers 5 2 2 3 2 2 4" xfId="9969"/>
    <cellStyle name="Milliers 5 2 2 3 2 3" xfId="2049"/>
    <cellStyle name="Milliers 5 2 2 3 2 3 2" xfId="4209"/>
    <cellStyle name="Milliers 5 2 2 3 2 3 2 2" xfId="8529"/>
    <cellStyle name="Milliers 5 2 2 3 2 3 2 2 2" xfId="17169"/>
    <cellStyle name="Milliers 5 2 2 3 2 3 2 3" xfId="12849"/>
    <cellStyle name="Milliers 5 2 2 3 2 3 3" xfId="6369"/>
    <cellStyle name="Milliers 5 2 2 3 2 3 3 2" xfId="15009"/>
    <cellStyle name="Milliers 5 2 2 3 2 3 4" xfId="10689"/>
    <cellStyle name="Milliers 5 2 2 3 2 4" xfId="2769"/>
    <cellStyle name="Milliers 5 2 2 3 2 4 2" xfId="7089"/>
    <cellStyle name="Milliers 5 2 2 3 2 4 2 2" xfId="15729"/>
    <cellStyle name="Milliers 5 2 2 3 2 4 3" xfId="11409"/>
    <cellStyle name="Milliers 5 2 2 3 2 5" xfId="4929"/>
    <cellStyle name="Milliers 5 2 2 3 2 5 2" xfId="13569"/>
    <cellStyle name="Milliers 5 2 2 3 2 6" xfId="9249"/>
    <cellStyle name="Milliers 5 2 2 3 3" xfId="969"/>
    <cellStyle name="Milliers 5 2 2 3 3 2" xfId="3129"/>
    <cellStyle name="Milliers 5 2 2 3 3 2 2" xfId="7449"/>
    <cellStyle name="Milliers 5 2 2 3 3 2 2 2" xfId="16089"/>
    <cellStyle name="Milliers 5 2 2 3 3 2 3" xfId="11769"/>
    <cellStyle name="Milliers 5 2 2 3 3 3" xfId="5289"/>
    <cellStyle name="Milliers 5 2 2 3 3 3 2" xfId="13929"/>
    <cellStyle name="Milliers 5 2 2 3 3 4" xfId="9609"/>
    <cellStyle name="Milliers 5 2 2 3 4" xfId="1689"/>
    <cellStyle name="Milliers 5 2 2 3 4 2" xfId="3849"/>
    <cellStyle name="Milliers 5 2 2 3 4 2 2" xfId="8169"/>
    <cellStyle name="Milliers 5 2 2 3 4 2 2 2" xfId="16809"/>
    <cellStyle name="Milliers 5 2 2 3 4 2 3" xfId="12489"/>
    <cellStyle name="Milliers 5 2 2 3 4 3" xfId="6009"/>
    <cellStyle name="Milliers 5 2 2 3 4 3 2" xfId="14649"/>
    <cellStyle name="Milliers 5 2 2 3 4 4" xfId="10329"/>
    <cellStyle name="Milliers 5 2 2 3 5" xfId="2409"/>
    <cellStyle name="Milliers 5 2 2 3 5 2" xfId="6729"/>
    <cellStyle name="Milliers 5 2 2 3 5 2 2" xfId="15369"/>
    <cellStyle name="Milliers 5 2 2 3 5 3" xfId="11049"/>
    <cellStyle name="Milliers 5 2 2 3 6" xfId="4569"/>
    <cellStyle name="Milliers 5 2 2 3 6 2" xfId="13209"/>
    <cellStyle name="Milliers 5 2 2 3 7" xfId="8889"/>
    <cellStyle name="Milliers 5 2 2 4" xfId="429"/>
    <cellStyle name="Milliers 5 2 2 4 2" xfId="1149"/>
    <cellStyle name="Milliers 5 2 2 4 2 2" xfId="3309"/>
    <cellStyle name="Milliers 5 2 2 4 2 2 2" xfId="7629"/>
    <cellStyle name="Milliers 5 2 2 4 2 2 2 2" xfId="16269"/>
    <cellStyle name="Milliers 5 2 2 4 2 2 3" xfId="11949"/>
    <cellStyle name="Milliers 5 2 2 4 2 3" xfId="5469"/>
    <cellStyle name="Milliers 5 2 2 4 2 3 2" xfId="14109"/>
    <cellStyle name="Milliers 5 2 2 4 2 4" xfId="9789"/>
    <cellStyle name="Milliers 5 2 2 4 3" xfId="1869"/>
    <cellStyle name="Milliers 5 2 2 4 3 2" xfId="4029"/>
    <cellStyle name="Milliers 5 2 2 4 3 2 2" xfId="8349"/>
    <cellStyle name="Milliers 5 2 2 4 3 2 2 2" xfId="16989"/>
    <cellStyle name="Milliers 5 2 2 4 3 2 3" xfId="12669"/>
    <cellStyle name="Milliers 5 2 2 4 3 3" xfId="6189"/>
    <cellStyle name="Milliers 5 2 2 4 3 3 2" xfId="14829"/>
    <cellStyle name="Milliers 5 2 2 4 3 4" xfId="10509"/>
    <cellStyle name="Milliers 5 2 2 4 4" xfId="2589"/>
    <cellStyle name="Milliers 5 2 2 4 4 2" xfId="6909"/>
    <cellStyle name="Milliers 5 2 2 4 4 2 2" xfId="15549"/>
    <cellStyle name="Milliers 5 2 2 4 4 3" xfId="11229"/>
    <cellStyle name="Milliers 5 2 2 4 5" xfId="4749"/>
    <cellStyle name="Milliers 5 2 2 4 5 2" xfId="13389"/>
    <cellStyle name="Milliers 5 2 2 4 6" xfId="9069"/>
    <cellStyle name="Milliers 5 2 2 5" xfId="789"/>
    <cellStyle name="Milliers 5 2 2 5 2" xfId="2949"/>
    <cellStyle name="Milliers 5 2 2 5 2 2" xfId="7269"/>
    <cellStyle name="Milliers 5 2 2 5 2 2 2" xfId="15909"/>
    <cellStyle name="Milliers 5 2 2 5 2 3" xfId="11589"/>
    <cellStyle name="Milliers 5 2 2 5 3" xfId="5109"/>
    <cellStyle name="Milliers 5 2 2 5 3 2" xfId="13749"/>
    <cellStyle name="Milliers 5 2 2 5 4" xfId="9429"/>
    <cellStyle name="Milliers 5 2 2 6" xfId="1509"/>
    <cellStyle name="Milliers 5 2 2 6 2" xfId="3669"/>
    <cellStyle name="Milliers 5 2 2 6 2 2" xfId="7989"/>
    <cellStyle name="Milliers 5 2 2 6 2 2 2" xfId="16629"/>
    <cellStyle name="Milliers 5 2 2 6 2 3" xfId="12309"/>
    <cellStyle name="Milliers 5 2 2 6 3" xfId="5829"/>
    <cellStyle name="Milliers 5 2 2 6 3 2" xfId="14469"/>
    <cellStyle name="Milliers 5 2 2 6 4" xfId="10149"/>
    <cellStyle name="Milliers 5 2 2 7" xfId="2229"/>
    <cellStyle name="Milliers 5 2 2 7 2" xfId="6549"/>
    <cellStyle name="Milliers 5 2 2 7 2 2" xfId="15189"/>
    <cellStyle name="Milliers 5 2 2 7 3" xfId="10869"/>
    <cellStyle name="Milliers 5 2 2 8" xfId="4389"/>
    <cellStyle name="Milliers 5 2 2 8 2" xfId="13029"/>
    <cellStyle name="Milliers 5 2 2 9" xfId="8709"/>
    <cellStyle name="Milliers 5 2 3" xfId="114"/>
    <cellStyle name="Milliers 5 2 3 2" xfId="294"/>
    <cellStyle name="Milliers 5 2 3 2 2" xfId="654"/>
    <cellStyle name="Milliers 5 2 3 2 2 2" xfId="1374"/>
    <cellStyle name="Milliers 5 2 3 2 2 2 2" xfId="3534"/>
    <cellStyle name="Milliers 5 2 3 2 2 2 2 2" xfId="7854"/>
    <cellStyle name="Milliers 5 2 3 2 2 2 2 2 2" xfId="16494"/>
    <cellStyle name="Milliers 5 2 3 2 2 2 2 3" xfId="12174"/>
    <cellStyle name="Milliers 5 2 3 2 2 2 3" xfId="5694"/>
    <cellStyle name="Milliers 5 2 3 2 2 2 3 2" xfId="14334"/>
    <cellStyle name="Milliers 5 2 3 2 2 2 4" xfId="10014"/>
    <cellStyle name="Milliers 5 2 3 2 2 3" xfId="2094"/>
    <cellStyle name="Milliers 5 2 3 2 2 3 2" xfId="4254"/>
    <cellStyle name="Milliers 5 2 3 2 2 3 2 2" xfId="8574"/>
    <cellStyle name="Milliers 5 2 3 2 2 3 2 2 2" xfId="17214"/>
    <cellStyle name="Milliers 5 2 3 2 2 3 2 3" xfId="12894"/>
    <cellStyle name="Milliers 5 2 3 2 2 3 3" xfId="6414"/>
    <cellStyle name="Milliers 5 2 3 2 2 3 3 2" xfId="15054"/>
    <cellStyle name="Milliers 5 2 3 2 2 3 4" xfId="10734"/>
    <cellStyle name="Milliers 5 2 3 2 2 4" xfId="2814"/>
    <cellStyle name="Milliers 5 2 3 2 2 4 2" xfId="7134"/>
    <cellStyle name="Milliers 5 2 3 2 2 4 2 2" xfId="15774"/>
    <cellStyle name="Milliers 5 2 3 2 2 4 3" xfId="11454"/>
    <cellStyle name="Milliers 5 2 3 2 2 5" xfId="4974"/>
    <cellStyle name="Milliers 5 2 3 2 2 5 2" xfId="13614"/>
    <cellStyle name="Milliers 5 2 3 2 2 6" xfId="9294"/>
    <cellStyle name="Milliers 5 2 3 2 3" xfId="1014"/>
    <cellStyle name="Milliers 5 2 3 2 3 2" xfId="3174"/>
    <cellStyle name="Milliers 5 2 3 2 3 2 2" xfId="7494"/>
    <cellStyle name="Milliers 5 2 3 2 3 2 2 2" xfId="16134"/>
    <cellStyle name="Milliers 5 2 3 2 3 2 3" xfId="11814"/>
    <cellStyle name="Milliers 5 2 3 2 3 3" xfId="5334"/>
    <cellStyle name="Milliers 5 2 3 2 3 3 2" xfId="13974"/>
    <cellStyle name="Milliers 5 2 3 2 3 4" xfId="9654"/>
    <cellStyle name="Milliers 5 2 3 2 4" xfId="1734"/>
    <cellStyle name="Milliers 5 2 3 2 4 2" xfId="3894"/>
    <cellStyle name="Milliers 5 2 3 2 4 2 2" xfId="8214"/>
    <cellStyle name="Milliers 5 2 3 2 4 2 2 2" xfId="16854"/>
    <cellStyle name="Milliers 5 2 3 2 4 2 3" xfId="12534"/>
    <cellStyle name="Milliers 5 2 3 2 4 3" xfId="6054"/>
    <cellStyle name="Milliers 5 2 3 2 4 3 2" xfId="14694"/>
    <cellStyle name="Milliers 5 2 3 2 4 4" xfId="10374"/>
    <cellStyle name="Milliers 5 2 3 2 5" xfId="2454"/>
    <cellStyle name="Milliers 5 2 3 2 5 2" xfId="6774"/>
    <cellStyle name="Milliers 5 2 3 2 5 2 2" xfId="15414"/>
    <cellStyle name="Milliers 5 2 3 2 5 3" xfId="11094"/>
    <cellStyle name="Milliers 5 2 3 2 6" xfId="4614"/>
    <cellStyle name="Milliers 5 2 3 2 6 2" xfId="13254"/>
    <cellStyle name="Milliers 5 2 3 2 7" xfId="8934"/>
    <cellStyle name="Milliers 5 2 3 3" xfId="474"/>
    <cellStyle name="Milliers 5 2 3 3 2" xfId="1194"/>
    <cellStyle name="Milliers 5 2 3 3 2 2" xfId="3354"/>
    <cellStyle name="Milliers 5 2 3 3 2 2 2" xfId="7674"/>
    <cellStyle name="Milliers 5 2 3 3 2 2 2 2" xfId="16314"/>
    <cellStyle name="Milliers 5 2 3 3 2 2 3" xfId="11994"/>
    <cellStyle name="Milliers 5 2 3 3 2 3" xfId="5514"/>
    <cellStyle name="Milliers 5 2 3 3 2 3 2" xfId="14154"/>
    <cellStyle name="Milliers 5 2 3 3 2 4" xfId="9834"/>
    <cellStyle name="Milliers 5 2 3 3 3" xfId="1914"/>
    <cellStyle name="Milliers 5 2 3 3 3 2" xfId="4074"/>
    <cellStyle name="Milliers 5 2 3 3 3 2 2" xfId="8394"/>
    <cellStyle name="Milliers 5 2 3 3 3 2 2 2" xfId="17034"/>
    <cellStyle name="Milliers 5 2 3 3 3 2 3" xfId="12714"/>
    <cellStyle name="Milliers 5 2 3 3 3 3" xfId="6234"/>
    <cellStyle name="Milliers 5 2 3 3 3 3 2" xfId="14874"/>
    <cellStyle name="Milliers 5 2 3 3 3 4" xfId="10554"/>
    <cellStyle name="Milliers 5 2 3 3 4" xfId="2634"/>
    <cellStyle name="Milliers 5 2 3 3 4 2" xfId="6954"/>
    <cellStyle name="Milliers 5 2 3 3 4 2 2" xfId="15594"/>
    <cellStyle name="Milliers 5 2 3 3 4 3" xfId="11274"/>
    <cellStyle name="Milliers 5 2 3 3 5" xfId="4794"/>
    <cellStyle name="Milliers 5 2 3 3 5 2" xfId="13434"/>
    <cellStyle name="Milliers 5 2 3 3 6" xfId="9114"/>
    <cellStyle name="Milliers 5 2 3 4" xfId="834"/>
    <cellStyle name="Milliers 5 2 3 4 2" xfId="2994"/>
    <cellStyle name="Milliers 5 2 3 4 2 2" xfId="7314"/>
    <cellStyle name="Milliers 5 2 3 4 2 2 2" xfId="15954"/>
    <cellStyle name="Milliers 5 2 3 4 2 3" xfId="11634"/>
    <cellStyle name="Milliers 5 2 3 4 3" xfId="5154"/>
    <cellStyle name="Milliers 5 2 3 4 3 2" xfId="13794"/>
    <cellStyle name="Milliers 5 2 3 4 4" xfId="9474"/>
    <cellStyle name="Milliers 5 2 3 5" xfId="1554"/>
    <cellStyle name="Milliers 5 2 3 5 2" xfId="3714"/>
    <cellStyle name="Milliers 5 2 3 5 2 2" xfId="8034"/>
    <cellStyle name="Milliers 5 2 3 5 2 2 2" xfId="16674"/>
    <cellStyle name="Milliers 5 2 3 5 2 3" xfId="12354"/>
    <cellStyle name="Milliers 5 2 3 5 3" xfId="5874"/>
    <cellStyle name="Milliers 5 2 3 5 3 2" xfId="14514"/>
    <cellStyle name="Milliers 5 2 3 5 4" xfId="10194"/>
    <cellStyle name="Milliers 5 2 3 6" xfId="2274"/>
    <cellStyle name="Milliers 5 2 3 6 2" xfId="6594"/>
    <cellStyle name="Milliers 5 2 3 6 2 2" xfId="15234"/>
    <cellStyle name="Milliers 5 2 3 6 3" xfId="10914"/>
    <cellStyle name="Milliers 5 2 3 7" xfId="4434"/>
    <cellStyle name="Milliers 5 2 3 7 2" xfId="13074"/>
    <cellStyle name="Milliers 5 2 3 8" xfId="8754"/>
    <cellStyle name="Milliers 5 2 4" xfId="204"/>
    <cellStyle name="Milliers 5 2 4 2" xfId="564"/>
    <cellStyle name="Milliers 5 2 4 2 2" xfId="1284"/>
    <cellStyle name="Milliers 5 2 4 2 2 2" xfId="3444"/>
    <cellStyle name="Milliers 5 2 4 2 2 2 2" xfId="7764"/>
    <cellStyle name="Milliers 5 2 4 2 2 2 2 2" xfId="16404"/>
    <cellStyle name="Milliers 5 2 4 2 2 2 3" xfId="12084"/>
    <cellStyle name="Milliers 5 2 4 2 2 3" xfId="5604"/>
    <cellStyle name="Milliers 5 2 4 2 2 3 2" xfId="14244"/>
    <cellStyle name="Milliers 5 2 4 2 2 4" xfId="9924"/>
    <cellStyle name="Milliers 5 2 4 2 3" xfId="2004"/>
    <cellStyle name="Milliers 5 2 4 2 3 2" xfId="4164"/>
    <cellStyle name="Milliers 5 2 4 2 3 2 2" xfId="8484"/>
    <cellStyle name="Milliers 5 2 4 2 3 2 2 2" xfId="17124"/>
    <cellStyle name="Milliers 5 2 4 2 3 2 3" xfId="12804"/>
    <cellStyle name="Milliers 5 2 4 2 3 3" xfId="6324"/>
    <cellStyle name="Milliers 5 2 4 2 3 3 2" xfId="14964"/>
    <cellStyle name="Milliers 5 2 4 2 3 4" xfId="10644"/>
    <cellStyle name="Milliers 5 2 4 2 4" xfId="2724"/>
    <cellStyle name="Milliers 5 2 4 2 4 2" xfId="7044"/>
    <cellStyle name="Milliers 5 2 4 2 4 2 2" xfId="15684"/>
    <cellStyle name="Milliers 5 2 4 2 4 3" xfId="11364"/>
    <cellStyle name="Milliers 5 2 4 2 5" xfId="4884"/>
    <cellStyle name="Milliers 5 2 4 2 5 2" xfId="13524"/>
    <cellStyle name="Milliers 5 2 4 2 6" xfId="9204"/>
    <cellStyle name="Milliers 5 2 4 3" xfId="924"/>
    <cellStyle name="Milliers 5 2 4 3 2" xfId="3084"/>
    <cellStyle name="Milliers 5 2 4 3 2 2" xfId="7404"/>
    <cellStyle name="Milliers 5 2 4 3 2 2 2" xfId="16044"/>
    <cellStyle name="Milliers 5 2 4 3 2 3" xfId="11724"/>
    <cellStyle name="Milliers 5 2 4 3 3" xfId="5244"/>
    <cellStyle name="Milliers 5 2 4 3 3 2" xfId="13884"/>
    <cellStyle name="Milliers 5 2 4 3 4" xfId="9564"/>
    <cellStyle name="Milliers 5 2 4 4" xfId="1644"/>
    <cellStyle name="Milliers 5 2 4 4 2" xfId="3804"/>
    <cellStyle name="Milliers 5 2 4 4 2 2" xfId="8124"/>
    <cellStyle name="Milliers 5 2 4 4 2 2 2" xfId="16764"/>
    <cellStyle name="Milliers 5 2 4 4 2 3" xfId="12444"/>
    <cellStyle name="Milliers 5 2 4 4 3" xfId="5964"/>
    <cellStyle name="Milliers 5 2 4 4 3 2" xfId="14604"/>
    <cellStyle name="Milliers 5 2 4 4 4" xfId="10284"/>
    <cellStyle name="Milliers 5 2 4 5" xfId="2364"/>
    <cellStyle name="Milliers 5 2 4 5 2" xfId="6684"/>
    <cellStyle name="Milliers 5 2 4 5 2 2" xfId="15324"/>
    <cellStyle name="Milliers 5 2 4 5 3" xfId="11004"/>
    <cellStyle name="Milliers 5 2 4 6" xfId="4524"/>
    <cellStyle name="Milliers 5 2 4 6 2" xfId="13164"/>
    <cellStyle name="Milliers 5 2 4 7" xfId="8844"/>
    <cellStyle name="Milliers 5 2 5" xfId="384"/>
    <cellStyle name="Milliers 5 2 5 2" xfId="1104"/>
    <cellStyle name="Milliers 5 2 5 2 2" xfId="3264"/>
    <cellStyle name="Milliers 5 2 5 2 2 2" xfId="7584"/>
    <cellStyle name="Milliers 5 2 5 2 2 2 2" xfId="16224"/>
    <cellStyle name="Milliers 5 2 5 2 2 3" xfId="11904"/>
    <cellStyle name="Milliers 5 2 5 2 3" xfId="5424"/>
    <cellStyle name="Milliers 5 2 5 2 3 2" xfId="14064"/>
    <cellStyle name="Milliers 5 2 5 2 4" xfId="9744"/>
    <cellStyle name="Milliers 5 2 5 3" xfId="1824"/>
    <cellStyle name="Milliers 5 2 5 3 2" xfId="3984"/>
    <cellStyle name="Milliers 5 2 5 3 2 2" xfId="8304"/>
    <cellStyle name="Milliers 5 2 5 3 2 2 2" xfId="16944"/>
    <cellStyle name="Milliers 5 2 5 3 2 3" xfId="12624"/>
    <cellStyle name="Milliers 5 2 5 3 3" xfId="6144"/>
    <cellStyle name="Milliers 5 2 5 3 3 2" xfId="14784"/>
    <cellStyle name="Milliers 5 2 5 3 4" xfId="10464"/>
    <cellStyle name="Milliers 5 2 5 4" xfId="2544"/>
    <cellStyle name="Milliers 5 2 5 4 2" xfId="6864"/>
    <cellStyle name="Milliers 5 2 5 4 2 2" xfId="15504"/>
    <cellStyle name="Milliers 5 2 5 4 3" xfId="11184"/>
    <cellStyle name="Milliers 5 2 5 5" xfId="4704"/>
    <cellStyle name="Milliers 5 2 5 5 2" xfId="13344"/>
    <cellStyle name="Milliers 5 2 5 6" xfId="9024"/>
    <cellStyle name="Milliers 5 2 6" xfId="744"/>
    <cellStyle name="Milliers 5 2 6 2" xfId="2904"/>
    <cellStyle name="Milliers 5 2 6 2 2" xfId="7224"/>
    <cellStyle name="Milliers 5 2 6 2 2 2" xfId="15864"/>
    <cellStyle name="Milliers 5 2 6 2 3" xfId="11544"/>
    <cellStyle name="Milliers 5 2 6 3" xfId="5064"/>
    <cellStyle name="Milliers 5 2 6 3 2" xfId="13704"/>
    <cellStyle name="Milliers 5 2 6 4" xfId="9384"/>
    <cellStyle name="Milliers 5 2 7" xfId="1464"/>
    <cellStyle name="Milliers 5 2 7 2" xfId="3624"/>
    <cellStyle name="Milliers 5 2 7 2 2" xfId="7944"/>
    <cellStyle name="Milliers 5 2 7 2 2 2" xfId="16584"/>
    <cellStyle name="Milliers 5 2 7 2 3" xfId="12264"/>
    <cellStyle name="Milliers 5 2 7 3" xfId="5784"/>
    <cellStyle name="Milliers 5 2 7 3 2" xfId="14424"/>
    <cellStyle name="Milliers 5 2 7 4" xfId="10104"/>
    <cellStyle name="Milliers 5 2 8" xfId="2184"/>
    <cellStyle name="Milliers 5 2 8 2" xfId="6504"/>
    <cellStyle name="Milliers 5 2 8 2 2" xfId="15144"/>
    <cellStyle name="Milliers 5 2 8 3" xfId="10824"/>
    <cellStyle name="Milliers 5 2 9" xfId="4344"/>
    <cellStyle name="Milliers 5 2 9 2" xfId="12984"/>
    <cellStyle name="Milliers 5 3" xfId="39"/>
    <cellStyle name="Milliers 5 3 10" xfId="8679"/>
    <cellStyle name="Milliers 5 3 2" xfId="84"/>
    <cellStyle name="Milliers 5 3 2 2" xfId="174"/>
    <cellStyle name="Milliers 5 3 2 2 2" xfId="354"/>
    <cellStyle name="Milliers 5 3 2 2 2 2" xfId="714"/>
    <cellStyle name="Milliers 5 3 2 2 2 2 2" xfId="1434"/>
    <cellStyle name="Milliers 5 3 2 2 2 2 2 2" xfId="3594"/>
    <cellStyle name="Milliers 5 3 2 2 2 2 2 2 2" xfId="7914"/>
    <cellStyle name="Milliers 5 3 2 2 2 2 2 2 2 2" xfId="16554"/>
    <cellStyle name="Milliers 5 3 2 2 2 2 2 2 3" xfId="12234"/>
    <cellStyle name="Milliers 5 3 2 2 2 2 2 3" xfId="5754"/>
    <cellStyle name="Milliers 5 3 2 2 2 2 2 3 2" xfId="14394"/>
    <cellStyle name="Milliers 5 3 2 2 2 2 2 4" xfId="10074"/>
    <cellStyle name="Milliers 5 3 2 2 2 2 3" xfId="2154"/>
    <cellStyle name="Milliers 5 3 2 2 2 2 3 2" xfId="4314"/>
    <cellStyle name="Milliers 5 3 2 2 2 2 3 2 2" xfId="8634"/>
    <cellStyle name="Milliers 5 3 2 2 2 2 3 2 2 2" xfId="17274"/>
    <cellStyle name="Milliers 5 3 2 2 2 2 3 2 3" xfId="12954"/>
    <cellStyle name="Milliers 5 3 2 2 2 2 3 3" xfId="6474"/>
    <cellStyle name="Milliers 5 3 2 2 2 2 3 3 2" xfId="15114"/>
    <cellStyle name="Milliers 5 3 2 2 2 2 3 4" xfId="10794"/>
    <cellStyle name="Milliers 5 3 2 2 2 2 4" xfId="2874"/>
    <cellStyle name="Milliers 5 3 2 2 2 2 4 2" xfId="7194"/>
    <cellStyle name="Milliers 5 3 2 2 2 2 4 2 2" xfId="15834"/>
    <cellStyle name="Milliers 5 3 2 2 2 2 4 3" xfId="11514"/>
    <cellStyle name="Milliers 5 3 2 2 2 2 5" xfId="5034"/>
    <cellStyle name="Milliers 5 3 2 2 2 2 5 2" xfId="13674"/>
    <cellStyle name="Milliers 5 3 2 2 2 2 6" xfId="9354"/>
    <cellStyle name="Milliers 5 3 2 2 2 3" xfId="1074"/>
    <cellStyle name="Milliers 5 3 2 2 2 3 2" xfId="3234"/>
    <cellStyle name="Milliers 5 3 2 2 2 3 2 2" xfId="7554"/>
    <cellStyle name="Milliers 5 3 2 2 2 3 2 2 2" xfId="16194"/>
    <cellStyle name="Milliers 5 3 2 2 2 3 2 3" xfId="11874"/>
    <cellStyle name="Milliers 5 3 2 2 2 3 3" xfId="5394"/>
    <cellStyle name="Milliers 5 3 2 2 2 3 3 2" xfId="14034"/>
    <cellStyle name="Milliers 5 3 2 2 2 3 4" xfId="9714"/>
    <cellStyle name="Milliers 5 3 2 2 2 4" xfId="1794"/>
    <cellStyle name="Milliers 5 3 2 2 2 4 2" xfId="3954"/>
    <cellStyle name="Milliers 5 3 2 2 2 4 2 2" xfId="8274"/>
    <cellStyle name="Milliers 5 3 2 2 2 4 2 2 2" xfId="16914"/>
    <cellStyle name="Milliers 5 3 2 2 2 4 2 3" xfId="12594"/>
    <cellStyle name="Milliers 5 3 2 2 2 4 3" xfId="6114"/>
    <cellStyle name="Milliers 5 3 2 2 2 4 3 2" xfId="14754"/>
    <cellStyle name="Milliers 5 3 2 2 2 4 4" xfId="10434"/>
    <cellStyle name="Milliers 5 3 2 2 2 5" xfId="2514"/>
    <cellStyle name="Milliers 5 3 2 2 2 5 2" xfId="6834"/>
    <cellStyle name="Milliers 5 3 2 2 2 5 2 2" xfId="15474"/>
    <cellStyle name="Milliers 5 3 2 2 2 5 3" xfId="11154"/>
    <cellStyle name="Milliers 5 3 2 2 2 6" xfId="4674"/>
    <cellStyle name="Milliers 5 3 2 2 2 6 2" xfId="13314"/>
    <cellStyle name="Milliers 5 3 2 2 2 7" xfId="8994"/>
    <cellStyle name="Milliers 5 3 2 2 3" xfId="534"/>
    <cellStyle name="Milliers 5 3 2 2 3 2" xfId="1254"/>
    <cellStyle name="Milliers 5 3 2 2 3 2 2" xfId="3414"/>
    <cellStyle name="Milliers 5 3 2 2 3 2 2 2" xfId="7734"/>
    <cellStyle name="Milliers 5 3 2 2 3 2 2 2 2" xfId="16374"/>
    <cellStyle name="Milliers 5 3 2 2 3 2 2 3" xfId="12054"/>
    <cellStyle name="Milliers 5 3 2 2 3 2 3" xfId="5574"/>
    <cellStyle name="Milliers 5 3 2 2 3 2 3 2" xfId="14214"/>
    <cellStyle name="Milliers 5 3 2 2 3 2 4" xfId="9894"/>
    <cellStyle name="Milliers 5 3 2 2 3 3" xfId="1974"/>
    <cellStyle name="Milliers 5 3 2 2 3 3 2" xfId="4134"/>
    <cellStyle name="Milliers 5 3 2 2 3 3 2 2" xfId="8454"/>
    <cellStyle name="Milliers 5 3 2 2 3 3 2 2 2" xfId="17094"/>
    <cellStyle name="Milliers 5 3 2 2 3 3 2 3" xfId="12774"/>
    <cellStyle name="Milliers 5 3 2 2 3 3 3" xfId="6294"/>
    <cellStyle name="Milliers 5 3 2 2 3 3 3 2" xfId="14934"/>
    <cellStyle name="Milliers 5 3 2 2 3 3 4" xfId="10614"/>
    <cellStyle name="Milliers 5 3 2 2 3 4" xfId="2694"/>
    <cellStyle name="Milliers 5 3 2 2 3 4 2" xfId="7014"/>
    <cellStyle name="Milliers 5 3 2 2 3 4 2 2" xfId="15654"/>
    <cellStyle name="Milliers 5 3 2 2 3 4 3" xfId="11334"/>
    <cellStyle name="Milliers 5 3 2 2 3 5" xfId="4854"/>
    <cellStyle name="Milliers 5 3 2 2 3 5 2" xfId="13494"/>
    <cellStyle name="Milliers 5 3 2 2 3 6" xfId="9174"/>
    <cellStyle name="Milliers 5 3 2 2 4" xfId="894"/>
    <cellStyle name="Milliers 5 3 2 2 4 2" xfId="3054"/>
    <cellStyle name="Milliers 5 3 2 2 4 2 2" xfId="7374"/>
    <cellStyle name="Milliers 5 3 2 2 4 2 2 2" xfId="16014"/>
    <cellStyle name="Milliers 5 3 2 2 4 2 3" xfId="11694"/>
    <cellStyle name="Milliers 5 3 2 2 4 3" xfId="5214"/>
    <cellStyle name="Milliers 5 3 2 2 4 3 2" xfId="13854"/>
    <cellStyle name="Milliers 5 3 2 2 4 4" xfId="9534"/>
    <cellStyle name="Milliers 5 3 2 2 5" xfId="1614"/>
    <cellStyle name="Milliers 5 3 2 2 5 2" xfId="3774"/>
    <cellStyle name="Milliers 5 3 2 2 5 2 2" xfId="8094"/>
    <cellStyle name="Milliers 5 3 2 2 5 2 2 2" xfId="16734"/>
    <cellStyle name="Milliers 5 3 2 2 5 2 3" xfId="12414"/>
    <cellStyle name="Milliers 5 3 2 2 5 3" xfId="5934"/>
    <cellStyle name="Milliers 5 3 2 2 5 3 2" xfId="14574"/>
    <cellStyle name="Milliers 5 3 2 2 5 4" xfId="10254"/>
    <cellStyle name="Milliers 5 3 2 2 6" xfId="2334"/>
    <cellStyle name="Milliers 5 3 2 2 6 2" xfId="6654"/>
    <cellStyle name="Milliers 5 3 2 2 6 2 2" xfId="15294"/>
    <cellStyle name="Milliers 5 3 2 2 6 3" xfId="10974"/>
    <cellStyle name="Milliers 5 3 2 2 7" xfId="4494"/>
    <cellStyle name="Milliers 5 3 2 2 7 2" xfId="13134"/>
    <cellStyle name="Milliers 5 3 2 2 8" xfId="8814"/>
    <cellStyle name="Milliers 5 3 2 3" xfId="264"/>
    <cellStyle name="Milliers 5 3 2 3 2" xfId="624"/>
    <cellStyle name="Milliers 5 3 2 3 2 2" xfId="1344"/>
    <cellStyle name="Milliers 5 3 2 3 2 2 2" xfId="3504"/>
    <cellStyle name="Milliers 5 3 2 3 2 2 2 2" xfId="7824"/>
    <cellStyle name="Milliers 5 3 2 3 2 2 2 2 2" xfId="16464"/>
    <cellStyle name="Milliers 5 3 2 3 2 2 2 3" xfId="12144"/>
    <cellStyle name="Milliers 5 3 2 3 2 2 3" xfId="5664"/>
    <cellStyle name="Milliers 5 3 2 3 2 2 3 2" xfId="14304"/>
    <cellStyle name="Milliers 5 3 2 3 2 2 4" xfId="9984"/>
    <cellStyle name="Milliers 5 3 2 3 2 3" xfId="2064"/>
    <cellStyle name="Milliers 5 3 2 3 2 3 2" xfId="4224"/>
    <cellStyle name="Milliers 5 3 2 3 2 3 2 2" xfId="8544"/>
    <cellStyle name="Milliers 5 3 2 3 2 3 2 2 2" xfId="17184"/>
    <cellStyle name="Milliers 5 3 2 3 2 3 2 3" xfId="12864"/>
    <cellStyle name="Milliers 5 3 2 3 2 3 3" xfId="6384"/>
    <cellStyle name="Milliers 5 3 2 3 2 3 3 2" xfId="15024"/>
    <cellStyle name="Milliers 5 3 2 3 2 3 4" xfId="10704"/>
    <cellStyle name="Milliers 5 3 2 3 2 4" xfId="2784"/>
    <cellStyle name="Milliers 5 3 2 3 2 4 2" xfId="7104"/>
    <cellStyle name="Milliers 5 3 2 3 2 4 2 2" xfId="15744"/>
    <cellStyle name="Milliers 5 3 2 3 2 4 3" xfId="11424"/>
    <cellStyle name="Milliers 5 3 2 3 2 5" xfId="4944"/>
    <cellStyle name="Milliers 5 3 2 3 2 5 2" xfId="13584"/>
    <cellStyle name="Milliers 5 3 2 3 2 6" xfId="9264"/>
    <cellStyle name="Milliers 5 3 2 3 3" xfId="984"/>
    <cellStyle name="Milliers 5 3 2 3 3 2" xfId="3144"/>
    <cellStyle name="Milliers 5 3 2 3 3 2 2" xfId="7464"/>
    <cellStyle name="Milliers 5 3 2 3 3 2 2 2" xfId="16104"/>
    <cellStyle name="Milliers 5 3 2 3 3 2 3" xfId="11784"/>
    <cellStyle name="Milliers 5 3 2 3 3 3" xfId="5304"/>
    <cellStyle name="Milliers 5 3 2 3 3 3 2" xfId="13944"/>
    <cellStyle name="Milliers 5 3 2 3 3 4" xfId="9624"/>
    <cellStyle name="Milliers 5 3 2 3 4" xfId="1704"/>
    <cellStyle name="Milliers 5 3 2 3 4 2" xfId="3864"/>
    <cellStyle name="Milliers 5 3 2 3 4 2 2" xfId="8184"/>
    <cellStyle name="Milliers 5 3 2 3 4 2 2 2" xfId="16824"/>
    <cellStyle name="Milliers 5 3 2 3 4 2 3" xfId="12504"/>
    <cellStyle name="Milliers 5 3 2 3 4 3" xfId="6024"/>
    <cellStyle name="Milliers 5 3 2 3 4 3 2" xfId="14664"/>
    <cellStyle name="Milliers 5 3 2 3 4 4" xfId="10344"/>
    <cellStyle name="Milliers 5 3 2 3 5" xfId="2424"/>
    <cellStyle name="Milliers 5 3 2 3 5 2" xfId="6744"/>
    <cellStyle name="Milliers 5 3 2 3 5 2 2" xfId="15384"/>
    <cellStyle name="Milliers 5 3 2 3 5 3" xfId="11064"/>
    <cellStyle name="Milliers 5 3 2 3 6" xfId="4584"/>
    <cellStyle name="Milliers 5 3 2 3 6 2" xfId="13224"/>
    <cellStyle name="Milliers 5 3 2 3 7" xfId="8904"/>
    <cellStyle name="Milliers 5 3 2 4" xfId="444"/>
    <cellStyle name="Milliers 5 3 2 4 2" xfId="1164"/>
    <cellStyle name="Milliers 5 3 2 4 2 2" xfId="3324"/>
    <cellStyle name="Milliers 5 3 2 4 2 2 2" xfId="7644"/>
    <cellStyle name="Milliers 5 3 2 4 2 2 2 2" xfId="16284"/>
    <cellStyle name="Milliers 5 3 2 4 2 2 3" xfId="11964"/>
    <cellStyle name="Milliers 5 3 2 4 2 3" xfId="5484"/>
    <cellStyle name="Milliers 5 3 2 4 2 3 2" xfId="14124"/>
    <cellStyle name="Milliers 5 3 2 4 2 4" xfId="9804"/>
    <cellStyle name="Milliers 5 3 2 4 3" xfId="1884"/>
    <cellStyle name="Milliers 5 3 2 4 3 2" xfId="4044"/>
    <cellStyle name="Milliers 5 3 2 4 3 2 2" xfId="8364"/>
    <cellStyle name="Milliers 5 3 2 4 3 2 2 2" xfId="17004"/>
    <cellStyle name="Milliers 5 3 2 4 3 2 3" xfId="12684"/>
    <cellStyle name="Milliers 5 3 2 4 3 3" xfId="6204"/>
    <cellStyle name="Milliers 5 3 2 4 3 3 2" xfId="14844"/>
    <cellStyle name="Milliers 5 3 2 4 3 4" xfId="10524"/>
    <cellStyle name="Milliers 5 3 2 4 4" xfId="2604"/>
    <cellStyle name="Milliers 5 3 2 4 4 2" xfId="6924"/>
    <cellStyle name="Milliers 5 3 2 4 4 2 2" xfId="15564"/>
    <cellStyle name="Milliers 5 3 2 4 4 3" xfId="11244"/>
    <cellStyle name="Milliers 5 3 2 4 5" xfId="4764"/>
    <cellStyle name="Milliers 5 3 2 4 5 2" xfId="13404"/>
    <cellStyle name="Milliers 5 3 2 4 6" xfId="9084"/>
    <cellStyle name="Milliers 5 3 2 5" xfId="804"/>
    <cellStyle name="Milliers 5 3 2 5 2" xfId="2964"/>
    <cellStyle name="Milliers 5 3 2 5 2 2" xfId="7284"/>
    <cellStyle name="Milliers 5 3 2 5 2 2 2" xfId="15924"/>
    <cellStyle name="Milliers 5 3 2 5 2 3" xfId="11604"/>
    <cellStyle name="Milliers 5 3 2 5 3" xfId="5124"/>
    <cellStyle name="Milliers 5 3 2 5 3 2" xfId="13764"/>
    <cellStyle name="Milliers 5 3 2 5 4" xfId="9444"/>
    <cellStyle name="Milliers 5 3 2 6" xfId="1524"/>
    <cellStyle name="Milliers 5 3 2 6 2" xfId="3684"/>
    <cellStyle name="Milliers 5 3 2 6 2 2" xfId="8004"/>
    <cellStyle name="Milliers 5 3 2 6 2 2 2" xfId="16644"/>
    <cellStyle name="Milliers 5 3 2 6 2 3" xfId="12324"/>
    <cellStyle name="Milliers 5 3 2 6 3" xfId="5844"/>
    <cellStyle name="Milliers 5 3 2 6 3 2" xfId="14484"/>
    <cellStyle name="Milliers 5 3 2 6 4" xfId="10164"/>
    <cellStyle name="Milliers 5 3 2 7" xfId="2244"/>
    <cellStyle name="Milliers 5 3 2 7 2" xfId="6564"/>
    <cellStyle name="Milliers 5 3 2 7 2 2" xfId="15204"/>
    <cellStyle name="Milliers 5 3 2 7 3" xfId="10884"/>
    <cellStyle name="Milliers 5 3 2 8" xfId="4404"/>
    <cellStyle name="Milliers 5 3 2 8 2" xfId="13044"/>
    <cellStyle name="Milliers 5 3 2 9" xfId="8724"/>
    <cellStyle name="Milliers 5 3 3" xfId="129"/>
    <cellStyle name="Milliers 5 3 3 2" xfId="309"/>
    <cellStyle name="Milliers 5 3 3 2 2" xfId="669"/>
    <cellStyle name="Milliers 5 3 3 2 2 2" xfId="1389"/>
    <cellStyle name="Milliers 5 3 3 2 2 2 2" xfId="3549"/>
    <cellStyle name="Milliers 5 3 3 2 2 2 2 2" xfId="7869"/>
    <cellStyle name="Milliers 5 3 3 2 2 2 2 2 2" xfId="16509"/>
    <cellStyle name="Milliers 5 3 3 2 2 2 2 3" xfId="12189"/>
    <cellStyle name="Milliers 5 3 3 2 2 2 3" xfId="5709"/>
    <cellStyle name="Milliers 5 3 3 2 2 2 3 2" xfId="14349"/>
    <cellStyle name="Milliers 5 3 3 2 2 2 4" xfId="10029"/>
    <cellStyle name="Milliers 5 3 3 2 2 3" xfId="2109"/>
    <cellStyle name="Milliers 5 3 3 2 2 3 2" xfId="4269"/>
    <cellStyle name="Milliers 5 3 3 2 2 3 2 2" xfId="8589"/>
    <cellStyle name="Milliers 5 3 3 2 2 3 2 2 2" xfId="17229"/>
    <cellStyle name="Milliers 5 3 3 2 2 3 2 3" xfId="12909"/>
    <cellStyle name="Milliers 5 3 3 2 2 3 3" xfId="6429"/>
    <cellStyle name="Milliers 5 3 3 2 2 3 3 2" xfId="15069"/>
    <cellStyle name="Milliers 5 3 3 2 2 3 4" xfId="10749"/>
    <cellStyle name="Milliers 5 3 3 2 2 4" xfId="2829"/>
    <cellStyle name="Milliers 5 3 3 2 2 4 2" xfId="7149"/>
    <cellStyle name="Milliers 5 3 3 2 2 4 2 2" xfId="15789"/>
    <cellStyle name="Milliers 5 3 3 2 2 4 3" xfId="11469"/>
    <cellStyle name="Milliers 5 3 3 2 2 5" xfId="4989"/>
    <cellStyle name="Milliers 5 3 3 2 2 5 2" xfId="13629"/>
    <cellStyle name="Milliers 5 3 3 2 2 6" xfId="9309"/>
    <cellStyle name="Milliers 5 3 3 2 3" xfId="1029"/>
    <cellStyle name="Milliers 5 3 3 2 3 2" xfId="3189"/>
    <cellStyle name="Milliers 5 3 3 2 3 2 2" xfId="7509"/>
    <cellStyle name="Milliers 5 3 3 2 3 2 2 2" xfId="16149"/>
    <cellStyle name="Milliers 5 3 3 2 3 2 3" xfId="11829"/>
    <cellStyle name="Milliers 5 3 3 2 3 3" xfId="5349"/>
    <cellStyle name="Milliers 5 3 3 2 3 3 2" xfId="13989"/>
    <cellStyle name="Milliers 5 3 3 2 3 4" xfId="9669"/>
    <cellStyle name="Milliers 5 3 3 2 4" xfId="1749"/>
    <cellStyle name="Milliers 5 3 3 2 4 2" xfId="3909"/>
    <cellStyle name="Milliers 5 3 3 2 4 2 2" xfId="8229"/>
    <cellStyle name="Milliers 5 3 3 2 4 2 2 2" xfId="16869"/>
    <cellStyle name="Milliers 5 3 3 2 4 2 3" xfId="12549"/>
    <cellStyle name="Milliers 5 3 3 2 4 3" xfId="6069"/>
    <cellStyle name="Milliers 5 3 3 2 4 3 2" xfId="14709"/>
    <cellStyle name="Milliers 5 3 3 2 4 4" xfId="10389"/>
    <cellStyle name="Milliers 5 3 3 2 5" xfId="2469"/>
    <cellStyle name="Milliers 5 3 3 2 5 2" xfId="6789"/>
    <cellStyle name="Milliers 5 3 3 2 5 2 2" xfId="15429"/>
    <cellStyle name="Milliers 5 3 3 2 5 3" xfId="11109"/>
    <cellStyle name="Milliers 5 3 3 2 6" xfId="4629"/>
    <cellStyle name="Milliers 5 3 3 2 6 2" xfId="13269"/>
    <cellStyle name="Milliers 5 3 3 2 7" xfId="8949"/>
    <cellStyle name="Milliers 5 3 3 3" xfId="489"/>
    <cellStyle name="Milliers 5 3 3 3 2" xfId="1209"/>
    <cellStyle name="Milliers 5 3 3 3 2 2" xfId="3369"/>
    <cellStyle name="Milliers 5 3 3 3 2 2 2" xfId="7689"/>
    <cellStyle name="Milliers 5 3 3 3 2 2 2 2" xfId="16329"/>
    <cellStyle name="Milliers 5 3 3 3 2 2 3" xfId="12009"/>
    <cellStyle name="Milliers 5 3 3 3 2 3" xfId="5529"/>
    <cellStyle name="Milliers 5 3 3 3 2 3 2" xfId="14169"/>
    <cellStyle name="Milliers 5 3 3 3 2 4" xfId="9849"/>
    <cellStyle name="Milliers 5 3 3 3 3" xfId="1929"/>
    <cellStyle name="Milliers 5 3 3 3 3 2" xfId="4089"/>
    <cellStyle name="Milliers 5 3 3 3 3 2 2" xfId="8409"/>
    <cellStyle name="Milliers 5 3 3 3 3 2 2 2" xfId="17049"/>
    <cellStyle name="Milliers 5 3 3 3 3 2 3" xfId="12729"/>
    <cellStyle name="Milliers 5 3 3 3 3 3" xfId="6249"/>
    <cellStyle name="Milliers 5 3 3 3 3 3 2" xfId="14889"/>
    <cellStyle name="Milliers 5 3 3 3 3 4" xfId="10569"/>
    <cellStyle name="Milliers 5 3 3 3 4" xfId="2649"/>
    <cellStyle name="Milliers 5 3 3 3 4 2" xfId="6969"/>
    <cellStyle name="Milliers 5 3 3 3 4 2 2" xfId="15609"/>
    <cellStyle name="Milliers 5 3 3 3 4 3" xfId="11289"/>
    <cellStyle name="Milliers 5 3 3 3 5" xfId="4809"/>
    <cellStyle name="Milliers 5 3 3 3 5 2" xfId="13449"/>
    <cellStyle name="Milliers 5 3 3 3 6" xfId="9129"/>
    <cellStyle name="Milliers 5 3 3 4" xfId="849"/>
    <cellStyle name="Milliers 5 3 3 4 2" xfId="3009"/>
    <cellStyle name="Milliers 5 3 3 4 2 2" xfId="7329"/>
    <cellStyle name="Milliers 5 3 3 4 2 2 2" xfId="15969"/>
    <cellStyle name="Milliers 5 3 3 4 2 3" xfId="11649"/>
    <cellStyle name="Milliers 5 3 3 4 3" xfId="5169"/>
    <cellStyle name="Milliers 5 3 3 4 3 2" xfId="13809"/>
    <cellStyle name="Milliers 5 3 3 4 4" xfId="9489"/>
    <cellStyle name="Milliers 5 3 3 5" xfId="1569"/>
    <cellStyle name="Milliers 5 3 3 5 2" xfId="3729"/>
    <cellStyle name="Milliers 5 3 3 5 2 2" xfId="8049"/>
    <cellStyle name="Milliers 5 3 3 5 2 2 2" xfId="16689"/>
    <cellStyle name="Milliers 5 3 3 5 2 3" xfId="12369"/>
    <cellStyle name="Milliers 5 3 3 5 3" xfId="5889"/>
    <cellStyle name="Milliers 5 3 3 5 3 2" xfId="14529"/>
    <cellStyle name="Milliers 5 3 3 5 4" xfId="10209"/>
    <cellStyle name="Milliers 5 3 3 6" xfId="2289"/>
    <cellStyle name="Milliers 5 3 3 6 2" xfId="6609"/>
    <cellStyle name="Milliers 5 3 3 6 2 2" xfId="15249"/>
    <cellStyle name="Milliers 5 3 3 6 3" xfId="10929"/>
    <cellStyle name="Milliers 5 3 3 7" xfId="4449"/>
    <cellStyle name="Milliers 5 3 3 7 2" xfId="13089"/>
    <cellStyle name="Milliers 5 3 3 8" xfId="8769"/>
    <cellStyle name="Milliers 5 3 4" xfId="219"/>
    <cellStyle name="Milliers 5 3 4 2" xfId="579"/>
    <cellStyle name="Milliers 5 3 4 2 2" xfId="1299"/>
    <cellStyle name="Milliers 5 3 4 2 2 2" xfId="3459"/>
    <cellStyle name="Milliers 5 3 4 2 2 2 2" xfId="7779"/>
    <cellStyle name="Milliers 5 3 4 2 2 2 2 2" xfId="16419"/>
    <cellStyle name="Milliers 5 3 4 2 2 2 3" xfId="12099"/>
    <cellStyle name="Milliers 5 3 4 2 2 3" xfId="5619"/>
    <cellStyle name="Milliers 5 3 4 2 2 3 2" xfId="14259"/>
    <cellStyle name="Milliers 5 3 4 2 2 4" xfId="9939"/>
    <cellStyle name="Milliers 5 3 4 2 3" xfId="2019"/>
    <cellStyle name="Milliers 5 3 4 2 3 2" xfId="4179"/>
    <cellStyle name="Milliers 5 3 4 2 3 2 2" xfId="8499"/>
    <cellStyle name="Milliers 5 3 4 2 3 2 2 2" xfId="17139"/>
    <cellStyle name="Milliers 5 3 4 2 3 2 3" xfId="12819"/>
    <cellStyle name="Milliers 5 3 4 2 3 3" xfId="6339"/>
    <cellStyle name="Milliers 5 3 4 2 3 3 2" xfId="14979"/>
    <cellStyle name="Milliers 5 3 4 2 3 4" xfId="10659"/>
    <cellStyle name="Milliers 5 3 4 2 4" xfId="2739"/>
    <cellStyle name="Milliers 5 3 4 2 4 2" xfId="7059"/>
    <cellStyle name="Milliers 5 3 4 2 4 2 2" xfId="15699"/>
    <cellStyle name="Milliers 5 3 4 2 4 3" xfId="11379"/>
    <cellStyle name="Milliers 5 3 4 2 5" xfId="4899"/>
    <cellStyle name="Milliers 5 3 4 2 5 2" xfId="13539"/>
    <cellStyle name="Milliers 5 3 4 2 6" xfId="9219"/>
    <cellStyle name="Milliers 5 3 4 3" xfId="939"/>
    <cellStyle name="Milliers 5 3 4 3 2" xfId="3099"/>
    <cellStyle name="Milliers 5 3 4 3 2 2" xfId="7419"/>
    <cellStyle name="Milliers 5 3 4 3 2 2 2" xfId="16059"/>
    <cellStyle name="Milliers 5 3 4 3 2 3" xfId="11739"/>
    <cellStyle name="Milliers 5 3 4 3 3" xfId="5259"/>
    <cellStyle name="Milliers 5 3 4 3 3 2" xfId="13899"/>
    <cellStyle name="Milliers 5 3 4 3 4" xfId="9579"/>
    <cellStyle name="Milliers 5 3 4 4" xfId="1659"/>
    <cellStyle name="Milliers 5 3 4 4 2" xfId="3819"/>
    <cellStyle name="Milliers 5 3 4 4 2 2" xfId="8139"/>
    <cellStyle name="Milliers 5 3 4 4 2 2 2" xfId="16779"/>
    <cellStyle name="Milliers 5 3 4 4 2 3" xfId="12459"/>
    <cellStyle name="Milliers 5 3 4 4 3" xfId="5979"/>
    <cellStyle name="Milliers 5 3 4 4 3 2" xfId="14619"/>
    <cellStyle name="Milliers 5 3 4 4 4" xfId="10299"/>
    <cellStyle name="Milliers 5 3 4 5" xfId="2379"/>
    <cellStyle name="Milliers 5 3 4 5 2" xfId="6699"/>
    <cellStyle name="Milliers 5 3 4 5 2 2" xfId="15339"/>
    <cellStyle name="Milliers 5 3 4 5 3" xfId="11019"/>
    <cellStyle name="Milliers 5 3 4 6" xfId="4539"/>
    <cellStyle name="Milliers 5 3 4 6 2" xfId="13179"/>
    <cellStyle name="Milliers 5 3 4 7" xfId="8859"/>
    <cellStyle name="Milliers 5 3 5" xfId="399"/>
    <cellStyle name="Milliers 5 3 5 2" xfId="1119"/>
    <cellStyle name="Milliers 5 3 5 2 2" xfId="3279"/>
    <cellStyle name="Milliers 5 3 5 2 2 2" xfId="7599"/>
    <cellStyle name="Milliers 5 3 5 2 2 2 2" xfId="16239"/>
    <cellStyle name="Milliers 5 3 5 2 2 3" xfId="11919"/>
    <cellStyle name="Milliers 5 3 5 2 3" xfId="5439"/>
    <cellStyle name="Milliers 5 3 5 2 3 2" xfId="14079"/>
    <cellStyle name="Milliers 5 3 5 2 4" xfId="9759"/>
    <cellStyle name="Milliers 5 3 5 3" xfId="1839"/>
    <cellStyle name="Milliers 5 3 5 3 2" xfId="3999"/>
    <cellStyle name="Milliers 5 3 5 3 2 2" xfId="8319"/>
    <cellStyle name="Milliers 5 3 5 3 2 2 2" xfId="16959"/>
    <cellStyle name="Milliers 5 3 5 3 2 3" xfId="12639"/>
    <cellStyle name="Milliers 5 3 5 3 3" xfId="6159"/>
    <cellStyle name="Milliers 5 3 5 3 3 2" xfId="14799"/>
    <cellStyle name="Milliers 5 3 5 3 4" xfId="10479"/>
    <cellStyle name="Milliers 5 3 5 4" xfId="2559"/>
    <cellStyle name="Milliers 5 3 5 4 2" xfId="6879"/>
    <cellStyle name="Milliers 5 3 5 4 2 2" xfId="15519"/>
    <cellStyle name="Milliers 5 3 5 4 3" xfId="11199"/>
    <cellStyle name="Milliers 5 3 5 5" xfId="4719"/>
    <cellStyle name="Milliers 5 3 5 5 2" xfId="13359"/>
    <cellStyle name="Milliers 5 3 5 6" xfId="9039"/>
    <cellStyle name="Milliers 5 3 6" xfId="759"/>
    <cellStyle name="Milliers 5 3 6 2" xfId="2919"/>
    <cellStyle name="Milliers 5 3 6 2 2" xfId="7239"/>
    <cellStyle name="Milliers 5 3 6 2 2 2" xfId="15879"/>
    <cellStyle name="Milliers 5 3 6 2 3" xfId="11559"/>
    <cellStyle name="Milliers 5 3 6 3" xfId="5079"/>
    <cellStyle name="Milliers 5 3 6 3 2" xfId="13719"/>
    <cellStyle name="Milliers 5 3 6 4" xfId="9399"/>
    <cellStyle name="Milliers 5 3 7" xfId="1479"/>
    <cellStyle name="Milliers 5 3 7 2" xfId="3639"/>
    <cellStyle name="Milliers 5 3 7 2 2" xfId="7959"/>
    <cellStyle name="Milliers 5 3 7 2 2 2" xfId="16599"/>
    <cellStyle name="Milliers 5 3 7 2 3" xfId="12279"/>
    <cellStyle name="Milliers 5 3 7 3" xfId="5799"/>
    <cellStyle name="Milliers 5 3 7 3 2" xfId="14439"/>
    <cellStyle name="Milliers 5 3 7 4" xfId="10119"/>
    <cellStyle name="Milliers 5 3 8" xfId="2199"/>
    <cellStyle name="Milliers 5 3 8 2" xfId="6519"/>
    <cellStyle name="Milliers 5 3 8 2 2" xfId="15159"/>
    <cellStyle name="Milliers 5 3 8 3" xfId="10839"/>
    <cellStyle name="Milliers 5 3 9" xfId="4359"/>
    <cellStyle name="Milliers 5 3 9 2" xfId="12999"/>
    <cellStyle name="Milliers 5 4" xfId="54"/>
    <cellStyle name="Milliers 5 4 2" xfId="144"/>
    <cellStyle name="Milliers 5 4 2 2" xfId="324"/>
    <cellStyle name="Milliers 5 4 2 2 2" xfId="684"/>
    <cellStyle name="Milliers 5 4 2 2 2 2" xfId="1404"/>
    <cellStyle name="Milliers 5 4 2 2 2 2 2" xfId="3564"/>
    <cellStyle name="Milliers 5 4 2 2 2 2 2 2" xfId="7884"/>
    <cellStyle name="Milliers 5 4 2 2 2 2 2 2 2" xfId="16524"/>
    <cellStyle name="Milliers 5 4 2 2 2 2 2 3" xfId="12204"/>
    <cellStyle name="Milliers 5 4 2 2 2 2 3" xfId="5724"/>
    <cellStyle name="Milliers 5 4 2 2 2 2 3 2" xfId="14364"/>
    <cellStyle name="Milliers 5 4 2 2 2 2 4" xfId="10044"/>
    <cellStyle name="Milliers 5 4 2 2 2 3" xfId="2124"/>
    <cellStyle name="Milliers 5 4 2 2 2 3 2" xfId="4284"/>
    <cellStyle name="Milliers 5 4 2 2 2 3 2 2" xfId="8604"/>
    <cellStyle name="Milliers 5 4 2 2 2 3 2 2 2" xfId="17244"/>
    <cellStyle name="Milliers 5 4 2 2 2 3 2 3" xfId="12924"/>
    <cellStyle name="Milliers 5 4 2 2 2 3 3" xfId="6444"/>
    <cellStyle name="Milliers 5 4 2 2 2 3 3 2" xfId="15084"/>
    <cellStyle name="Milliers 5 4 2 2 2 3 4" xfId="10764"/>
    <cellStyle name="Milliers 5 4 2 2 2 4" xfId="2844"/>
    <cellStyle name="Milliers 5 4 2 2 2 4 2" xfId="7164"/>
    <cellStyle name="Milliers 5 4 2 2 2 4 2 2" xfId="15804"/>
    <cellStyle name="Milliers 5 4 2 2 2 4 3" xfId="11484"/>
    <cellStyle name="Milliers 5 4 2 2 2 5" xfId="5004"/>
    <cellStyle name="Milliers 5 4 2 2 2 5 2" xfId="13644"/>
    <cellStyle name="Milliers 5 4 2 2 2 6" xfId="9324"/>
    <cellStyle name="Milliers 5 4 2 2 3" xfId="1044"/>
    <cellStyle name="Milliers 5 4 2 2 3 2" xfId="3204"/>
    <cellStyle name="Milliers 5 4 2 2 3 2 2" xfId="7524"/>
    <cellStyle name="Milliers 5 4 2 2 3 2 2 2" xfId="16164"/>
    <cellStyle name="Milliers 5 4 2 2 3 2 3" xfId="11844"/>
    <cellStyle name="Milliers 5 4 2 2 3 3" xfId="5364"/>
    <cellStyle name="Milliers 5 4 2 2 3 3 2" xfId="14004"/>
    <cellStyle name="Milliers 5 4 2 2 3 4" xfId="9684"/>
    <cellStyle name="Milliers 5 4 2 2 4" xfId="1764"/>
    <cellStyle name="Milliers 5 4 2 2 4 2" xfId="3924"/>
    <cellStyle name="Milliers 5 4 2 2 4 2 2" xfId="8244"/>
    <cellStyle name="Milliers 5 4 2 2 4 2 2 2" xfId="16884"/>
    <cellStyle name="Milliers 5 4 2 2 4 2 3" xfId="12564"/>
    <cellStyle name="Milliers 5 4 2 2 4 3" xfId="6084"/>
    <cellStyle name="Milliers 5 4 2 2 4 3 2" xfId="14724"/>
    <cellStyle name="Milliers 5 4 2 2 4 4" xfId="10404"/>
    <cellStyle name="Milliers 5 4 2 2 5" xfId="2484"/>
    <cellStyle name="Milliers 5 4 2 2 5 2" xfId="6804"/>
    <cellStyle name="Milliers 5 4 2 2 5 2 2" xfId="15444"/>
    <cellStyle name="Milliers 5 4 2 2 5 3" xfId="11124"/>
    <cellStyle name="Milliers 5 4 2 2 6" xfId="4644"/>
    <cellStyle name="Milliers 5 4 2 2 6 2" xfId="13284"/>
    <cellStyle name="Milliers 5 4 2 2 7" xfId="8964"/>
    <cellStyle name="Milliers 5 4 2 3" xfId="504"/>
    <cellStyle name="Milliers 5 4 2 3 2" xfId="1224"/>
    <cellStyle name="Milliers 5 4 2 3 2 2" xfId="3384"/>
    <cellStyle name="Milliers 5 4 2 3 2 2 2" xfId="7704"/>
    <cellStyle name="Milliers 5 4 2 3 2 2 2 2" xfId="16344"/>
    <cellStyle name="Milliers 5 4 2 3 2 2 3" xfId="12024"/>
    <cellStyle name="Milliers 5 4 2 3 2 3" xfId="5544"/>
    <cellStyle name="Milliers 5 4 2 3 2 3 2" xfId="14184"/>
    <cellStyle name="Milliers 5 4 2 3 2 4" xfId="9864"/>
    <cellStyle name="Milliers 5 4 2 3 3" xfId="1944"/>
    <cellStyle name="Milliers 5 4 2 3 3 2" xfId="4104"/>
    <cellStyle name="Milliers 5 4 2 3 3 2 2" xfId="8424"/>
    <cellStyle name="Milliers 5 4 2 3 3 2 2 2" xfId="17064"/>
    <cellStyle name="Milliers 5 4 2 3 3 2 3" xfId="12744"/>
    <cellStyle name="Milliers 5 4 2 3 3 3" xfId="6264"/>
    <cellStyle name="Milliers 5 4 2 3 3 3 2" xfId="14904"/>
    <cellStyle name="Milliers 5 4 2 3 3 4" xfId="10584"/>
    <cellStyle name="Milliers 5 4 2 3 4" xfId="2664"/>
    <cellStyle name="Milliers 5 4 2 3 4 2" xfId="6984"/>
    <cellStyle name="Milliers 5 4 2 3 4 2 2" xfId="15624"/>
    <cellStyle name="Milliers 5 4 2 3 4 3" xfId="11304"/>
    <cellStyle name="Milliers 5 4 2 3 5" xfId="4824"/>
    <cellStyle name="Milliers 5 4 2 3 5 2" xfId="13464"/>
    <cellStyle name="Milliers 5 4 2 3 6" xfId="9144"/>
    <cellStyle name="Milliers 5 4 2 4" xfId="864"/>
    <cellStyle name="Milliers 5 4 2 4 2" xfId="3024"/>
    <cellStyle name="Milliers 5 4 2 4 2 2" xfId="7344"/>
    <cellStyle name="Milliers 5 4 2 4 2 2 2" xfId="15984"/>
    <cellStyle name="Milliers 5 4 2 4 2 3" xfId="11664"/>
    <cellStyle name="Milliers 5 4 2 4 3" xfId="5184"/>
    <cellStyle name="Milliers 5 4 2 4 3 2" xfId="13824"/>
    <cellStyle name="Milliers 5 4 2 4 4" xfId="9504"/>
    <cellStyle name="Milliers 5 4 2 5" xfId="1584"/>
    <cellStyle name="Milliers 5 4 2 5 2" xfId="3744"/>
    <cellStyle name="Milliers 5 4 2 5 2 2" xfId="8064"/>
    <cellStyle name="Milliers 5 4 2 5 2 2 2" xfId="16704"/>
    <cellStyle name="Milliers 5 4 2 5 2 3" xfId="12384"/>
    <cellStyle name="Milliers 5 4 2 5 3" xfId="5904"/>
    <cellStyle name="Milliers 5 4 2 5 3 2" xfId="14544"/>
    <cellStyle name="Milliers 5 4 2 5 4" xfId="10224"/>
    <cellStyle name="Milliers 5 4 2 6" xfId="2304"/>
    <cellStyle name="Milliers 5 4 2 6 2" xfId="6624"/>
    <cellStyle name="Milliers 5 4 2 6 2 2" xfId="15264"/>
    <cellStyle name="Milliers 5 4 2 6 3" xfId="10944"/>
    <cellStyle name="Milliers 5 4 2 7" xfId="4464"/>
    <cellStyle name="Milliers 5 4 2 7 2" xfId="13104"/>
    <cellStyle name="Milliers 5 4 2 8" xfId="8784"/>
    <cellStyle name="Milliers 5 4 3" xfId="234"/>
    <cellStyle name="Milliers 5 4 3 2" xfId="594"/>
    <cellStyle name="Milliers 5 4 3 2 2" xfId="1314"/>
    <cellStyle name="Milliers 5 4 3 2 2 2" xfId="3474"/>
    <cellStyle name="Milliers 5 4 3 2 2 2 2" xfId="7794"/>
    <cellStyle name="Milliers 5 4 3 2 2 2 2 2" xfId="16434"/>
    <cellStyle name="Milliers 5 4 3 2 2 2 3" xfId="12114"/>
    <cellStyle name="Milliers 5 4 3 2 2 3" xfId="5634"/>
    <cellStyle name="Milliers 5 4 3 2 2 3 2" xfId="14274"/>
    <cellStyle name="Milliers 5 4 3 2 2 4" xfId="9954"/>
    <cellStyle name="Milliers 5 4 3 2 3" xfId="2034"/>
    <cellStyle name="Milliers 5 4 3 2 3 2" xfId="4194"/>
    <cellStyle name="Milliers 5 4 3 2 3 2 2" xfId="8514"/>
    <cellStyle name="Milliers 5 4 3 2 3 2 2 2" xfId="17154"/>
    <cellStyle name="Milliers 5 4 3 2 3 2 3" xfId="12834"/>
    <cellStyle name="Milliers 5 4 3 2 3 3" xfId="6354"/>
    <cellStyle name="Milliers 5 4 3 2 3 3 2" xfId="14994"/>
    <cellStyle name="Milliers 5 4 3 2 3 4" xfId="10674"/>
    <cellStyle name="Milliers 5 4 3 2 4" xfId="2754"/>
    <cellStyle name="Milliers 5 4 3 2 4 2" xfId="7074"/>
    <cellStyle name="Milliers 5 4 3 2 4 2 2" xfId="15714"/>
    <cellStyle name="Milliers 5 4 3 2 4 3" xfId="11394"/>
    <cellStyle name="Milliers 5 4 3 2 5" xfId="4914"/>
    <cellStyle name="Milliers 5 4 3 2 5 2" xfId="13554"/>
    <cellStyle name="Milliers 5 4 3 2 6" xfId="9234"/>
    <cellStyle name="Milliers 5 4 3 3" xfId="954"/>
    <cellStyle name="Milliers 5 4 3 3 2" xfId="3114"/>
    <cellStyle name="Milliers 5 4 3 3 2 2" xfId="7434"/>
    <cellStyle name="Milliers 5 4 3 3 2 2 2" xfId="16074"/>
    <cellStyle name="Milliers 5 4 3 3 2 3" xfId="11754"/>
    <cellStyle name="Milliers 5 4 3 3 3" xfId="5274"/>
    <cellStyle name="Milliers 5 4 3 3 3 2" xfId="13914"/>
    <cellStyle name="Milliers 5 4 3 3 4" xfId="9594"/>
    <cellStyle name="Milliers 5 4 3 4" xfId="1674"/>
    <cellStyle name="Milliers 5 4 3 4 2" xfId="3834"/>
    <cellStyle name="Milliers 5 4 3 4 2 2" xfId="8154"/>
    <cellStyle name="Milliers 5 4 3 4 2 2 2" xfId="16794"/>
    <cellStyle name="Milliers 5 4 3 4 2 3" xfId="12474"/>
    <cellStyle name="Milliers 5 4 3 4 3" xfId="5994"/>
    <cellStyle name="Milliers 5 4 3 4 3 2" xfId="14634"/>
    <cellStyle name="Milliers 5 4 3 4 4" xfId="10314"/>
    <cellStyle name="Milliers 5 4 3 5" xfId="2394"/>
    <cellStyle name="Milliers 5 4 3 5 2" xfId="6714"/>
    <cellStyle name="Milliers 5 4 3 5 2 2" xfId="15354"/>
    <cellStyle name="Milliers 5 4 3 5 3" xfId="11034"/>
    <cellStyle name="Milliers 5 4 3 6" xfId="4554"/>
    <cellStyle name="Milliers 5 4 3 6 2" xfId="13194"/>
    <cellStyle name="Milliers 5 4 3 7" xfId="8874"/>
    <cellStyle name="Milliers 5 4 4" xfId="414"/>
    <cellStyle name="Milliers 5 4 4 2" xfId="1134"/>
    <cellStyle name="Milliers 5 4 4 2 2" xfId="3294"/>
    <cellStyle name="Milliers 5 4 4 2 2 2" xfId="7614"/>
    <cellStyle name="Milliers 5 4 4 2 2 2 2" xfId="16254"/>
    <cellStyle name="Milliers 5 4 4 2 2 3" xfId="11934"/>
    <cellStyle name="Milliers 5 4 4 2 3" xfId="5454"/>
    <cellStyle name="Milliers 5 4 4 2 3 2" xfId="14094"/>
    <cellStyle name="Milliers 5 4 4 2 4" xfId="9774"/>
    <cellStyle name="Milliers 5 4 4 3" xfId="1854"/>
    <cellStyle name="Milliers 5 4 4 3 2" xfId="4014"/>
    <cellStyle name="Milliers 5 4 4 3 2 2" xfId="8334"/>
    <cellStyle name="Milliers 5 4 4 3 2 2 2" xfId="16974"/>
    <cellStyle name="Milliers 5 4 4 3 2 3" xfId="12654"/>
    <cellStyle name="Milliers 5 4 4 3 3" xfId="6174"/>
    <cellStyle name="Milliers 5 4 4 3 3 2" xfId="14814"/>
    <cellStyle name="Milliers 5 4 4 3 4" xfId="10494"/>
    <cellStyle name="Milliers 5 4 4 4" xfId="2574"/>
    <cellStyle name="Milliers 5 4 4 4 2" xfId="6894"/>
    <cellStyle name="Milliers 5 4 4 4 2 2" xfId="15534"/>
    <cellStyle name="Milliers 5 4 4 4 3" xfId="11214"/>
    <cellStyle name="Milliers 5 4 4 5" xfId="4734"/>
    <cellStyle name="Milliers 5 4 4 5 2" xfId="13374"/>
    <cellStyle name="Milliers 5 4 4 6" xfId="9054"/>
    <cellStyle name="Milliers 5 4 5" xfId="774"/>
    <cellStyle name="Milliers 5 4 5 2" xfId="2934"/>
    <cellStyle name="Milliers 5 4 5 2 2" xfId="7254"/>
    <cellStyle name="Milliers 5 4 5 2 2 2" xfId="15894"/>
    <cellStyle name="Milliers 5 4 5 2 3" xfId="11574"/>
    <cellStyle name="Milliers 5 4 5 3" xfId="5094"/>
    <cellStyle name="Milliers 5 4 5 3 2" xfId="13734"/>
    <cellStyle name="Milliers 5 4 5 4" xfId="9414"/>
    <cellStyle name="Milliers 5 4 6" xfId="1494"/>
    <cellStyle name="Milliers 5 4 6 2" xfId="3654"/>
    <cellStyle name="Milliers 5 4 6 2 2" xfId="7974"/>
    <cellStyle name="Milliers 5 4 6 2 2 2" xfId="16614"/>
    <cellStyle name="Milliers 5 4 6 2 3" xfId="12294"/>
    <cellStyle name="Milliers 5 4 6 3" xfId="5814"/>
    <cellStyle name="Milliers 5 4 6 3 2" xfId="14454"/>
    <cellStyle name="Milliers 5 4 6 4" xfId="10134"/>
    <cellStyle name="Milliers 5 4 7" xfId="2214"/>
    <cellStyle name="Milliers 5 4 7 2" xfId="6534"/>
    <cellStyle name="Milliers 5 4 7 2 2" xfId="15174"/>
    <cellStyle name="Milliers 5 4 7 3" xfId="10854"/>
    <cellStyle name="Milliers 5 4 8" xfId="4374"/>
    <cellStyle name="Milliers 5 4 8 2" xfId="13014"/>
    <cellStyle name="Milliers 5 4 9" xfId="8694"/>
    <cellStyle name="Milliers 5 5" xfId="99"/>
    <cellStyle name="Milliers 5 5 2" xfId="279"/>
    <cellStyle name="Milliers 5 5 2 2" xfId="639"/>
    <cellStyle name="Milliers 5 5 2 2 2" xfId="1359"/>
    <cellStyle name="Milliers 5 5 2 2 2 2" xfId="3519"/>
    <cellStyle name="Milliers 5 5 2 2 2 2 2" xfId="7839"/>
    <cellStyle name="Milliers 5 5 2 2 2 2 2 2" xfId="16479"/>
    <cellStyle name="Milliers 5 5 2 2 2 2 3" xfId="12159"/>
    <cellStyle name="Milliers 5 5 2 2 2 3" xfId="5679"/>
    <cellStyle name="Milliers 5 5 2 2 2 3 2" xfId="14319"/>
    <cellStyle name="Milliers 5 5 2 2 2 4" xfId="9999"/>
    <cellStyle name="Milliers 5 5 2 2 3" xfId="2079"/>
    <cellStyle name="Milliers 5 5 2 2 3 2" xfId="4239"/>
    <cellStyle name="Milliers 5 5 2 2 3 2 2" xfId="8559"/>
    <cellStyle name="Milliers 5 5 2 2 3 2 2 2" xfId="17199"/>
    <cellStyle name="Milliers 5 5 2 2 3 2 3" xfId="12879"/>
    <cellStyle name="Milliers 5 5 2 2 3 3" xfId="6399"/>
    <cellStyle name="Milliers 5 5 2 2 3 3 2" xfId="15039"/>
    <cellStyle name="Milliers 5 5 2 2 3 4" xfId="10719"/>
    <cellStyle name="Milliers 5 5 2 2 4" xfId="2799"/>
    <cellStyle name="Milliers 5 5 2 2 4 2" xfId="7119"/>
    <cellStyle name="Milliers 5 5 2 2 4 2 2" xfId="15759"/>
    <cellStyle name="Milliers 5 5 2 2 4 3" xfId="11439"/>
    <cellStyle name="Milliers 5 5 2 2 5" xfId="4959"/>
    <cellStyle name="Milliers 5 5 2 2 5 2" xfId="13599"/>
    <cellStyle name="Milliers 5 5 2 2 6" xfId="9279"/>
    <cellStyle name="Milliers 5 5 2 3" xfId="999"/>
    <cellStyle name="Milliers 5 5 2 3 2" xfId="3159"/>
    <cellStyle name="Milliers 5 5 2 3 2 2" xfId="7479"/>
    <cellStyle name="Milliers 5 5 2 3 2 2 2" xfId="16119"/>
    <cellStyle name="Milliers 5 5 2 3 2 3" xfId="11799"/>
    <cellStyle name="Milliers 5 5 2 3 3" xfId="5319"/>
    <cellStyle name="Milliers 5 5 2 3 3 2" xfId="13959"/>
    <cellStyle name="Milliers 5 5 2 3 4" xfId="9639"/>
    <cellStyle name="Milliers 5 5 2 4" xfId="1719"/>
    <cellStyle name="Milliers 5 5 2 4 2" xfId="3879"/>
    <cellStyle name="Milliers 5 5 2 4 2 2" xfId="8199"/>
    <cellStyle name="Milliers 5 5 2 4 2 2 2" xfId="16839"/>
    <cellStyle name="Milliers 5 5 2 4 2 3" xfId="12519"/>
    <cellStyle name="Milliers 5 5 2 4 3" xfId="6039"/>
    <cellStyle name="Milliers 5 5 2 4 3 2" xfId="14679"/>
    <cellStyle name="Milliers 5 5 2 4 4" xfId="10359"/>
    <cellStyle name="Milliers 5 5 2 5" xfId="2439"/>
    <cellStyle name="Milliers 5 5 2 5 2" xfId="6759"/>
    <cellStyle name="Milliers 5 5 2 5 2 2" xfId="15399"/>
    <cellStyle name="Milliers 5 5 2 5 3" xfId="11079"/>
    <cellStyle name="Milliers 5 5 2 6" xfId="4599"/>
    <cellStyle name="Milliers 5 5 2 6 2" xfId="13239"/>
    <cellStyle name="Milliers 5 5 2 7" xfId="8919"/>
    <cellStyle name="Milliers 5 5 3" xfId="459"/>
    <cellStyle name="Milliers 5 5 3 2" xfId="1179"/>
    <cellStyle name="Milliers 5 5 3 2 2" xfId="3339"/>
    <cellStyle name="Milliers 5 5 3 2 2 2" xfId="7659"/>
    <cellStyle name="Milliers 5 5 3 2 2 2 2" xfId="16299"/>
    <cellStyle name="Milliers 5 5 3 2 2 3" xfId="11979"/>
    <cellStyle name="Milliers 5 5 3 2 3" xfId="5499"/>
    <cellStyle name="Milliers 5 5 3 2 3 2" xfId="14139"/>
    <cellStyle name="Milliers 5 5 3 2 4" xfId="9819"/>
    <cellStyle name="Milliers 5 5 3 3" xfId="1899"/>
    <cellStyle name="Milliers 5 5 3 3 2" xfId="4059"/>
    <cellStyle name="Milliers 5 5 3 3 2 2" xfId="8379"/>
    <cellStyle name="Milliers 5 5 3 3 2 2 2" xfId="17019"/>
    <cellStyle name="Milliers 5 5 3 3 2 3" xfId="12699"/>
    <cellStyle name="Milliers 5 5 3 3 3" xfId="6219"/>
    <cellStyle name="Milliers 5 5 3 3 3 2" xfId="14859"/>
    <cellStyle name="Milliers 5 5 3 3 4" xfId="10539"/>
    <cellStyle name="Milliers 5 5 3 4" xfId="2619"/>
    <cellStyle name="Milliers 5 5 3 4 2" xfId="6939"/>
    <cellStyle name="Milliers 5 5 3 4 2 2" xfId="15579"/>
    <cellStyle name="Milliers 5 5 3 4 3" xfId="11259"/>
    <cellStyle name="Milliers 5 5 3 5" xfId="4779"/>
    <cellStyle name="Milliers 5 5 3 5 2" xfId="13419"/>
    <cellStyle name="Milliers 5 5 3 6" xfId="9099"/>
    <cellStyle name="Milliers 5 5 4" xfId="819"/>
    <cellStyle name="Milliers 5 5 4 2" xfId="2979"/>
    <cellStyle name="Milliers 5 5 4 2 2" xfId="7299"/>
    <cellStyle name="Milliers 5 5 4 2 2 2" xfId="15939"/>
    <cellStyle name="Milliers 5 5 4 2 3" xfId="11619"/>
    <cellStyle name="Milliers 5 5 4 3" xfId="5139"/>
    <cellStyle name="Milliers 5 5 4 3 2" xfId="13779"/>
    <cellStyle name="Milliers 5 5 4 4" xfId="9459"/>
    <cellStyle name="Milliers 5 5 5" xfId="1539"/>
    <cellStyle name="Milliers 5 5 5 2" xfId="3699"/>
    <cellStyle name="Milliers 5 5 5 2 2" xfId="8019"/>
    <cellStyle name="Milliers 5 5 5 2 2 2" xfId="16659"/>
    <cellStyle name="Milliers 5 5 5 2 3" xfId="12339"/>
    <cellStyle name="Milliers 5 5 5 3" xfId="5859"/>
    <cellStyle name="Milliers 5 5 5 3 2" xfId="14499"/>
    <cellStyle name="Milliers 5 5 5 4" xfId="10179"/>
    <cellStyle name="Milliers 5 5 6" xfId="2259"/>
    <cellStyle name="Milliers 5 5 6 2" xfId="6579"/>
    <cellStyle name="Milliers 5 5 6 2 2" xfId="15219"/>
    <cellStyle name="Milliers 5 5 6 3" xfId="10899"/>
    <cellStyle name="Milliers 5 5 7" xfId="4419"/>
    <cellStyle name="Milliers 5 5 7 2" xfId="13059"/>
    <cellStyle name="Milliers 5 5 8" xfId="8739"/>
    <cellStyle name="Milliers 5 6" xfId="189"/>
    <cellStyle name="Milliers 5 6 2" xfId="549"/>
    <cellStyle name="Milliers 5 6 2 2" xfId="1269"/>
    <cellStyle name="Milliers 5 6 2 2 2" xfId="3429"/>
    <cellStyle name="Milliers 5 6 2 2 2 2" xfId="7749"/>
    <cellStyle name="Milliers 5 6 2 2 2 2 2" xfId="16389"/>
    <cellStyle name="Milliers 5 6 2 2 2 3" xfId="12069"/>
    <cellStyle name="Milliers 5 6 2 2 3" xfId="5589"/>
    <cellStyle name="Milliers 5 6 2 2 3 2" xfId="14229"/>
    <cellStyle name="Milliers 5 6 2 2 4" xfId="9909"/>
    <cellStyle name="Milliers 5 6 2 3" xfId="1989"/>
    <cellStyle name="Milliers 5 6 2 3 2" xfId="4149"/>
    <cellStyle name="Milliers 5 6 2 3 2 2" xfId="8469"/>
    <cellStyle name="Milliers 5 6 2 3 2 2 2" xfId="17109"/>
    <cellStyle name="Milliers 5 6 2 3 2 3" xfId="12789"/>
    <cellStyle name="Milliers 5 6 2 3 3" xfId="6309"/>
    <cellStyle name="Milliers 5 6 2 3 3 2" xfId="14949"/>
    <cellStyle name="Milliers 5 6 2 3 4" xfId="10629"/>
    <cellStyle name="Milliers 5 6 2 4" xfId="2709"/>
    <cellStyle name="Milliers 5 6 2 4 2" xfId="7029"/>
    <cellStyle name="Milliers 5 6 2 4 2 2" xfId="15669"/>
    <cellStyle name="Milliers 5 6 2 4 3" xfId="11349"/>
    <cellStyle name="Milliers 5 6 2 5" xfId="4869"/>
    <cellStyle name="Milliers 5 6 2 5 2" xfId="13509"/>
    <cellStyle name="Milliers 5 6 2 6" xfId="9189"/>
    <cellStyle name="Milliers 5 6 3" xfId="909"/>
    <cellStyle name="Milliers 5 6 3 2" xfId="3069"/>
    <cellStyle name="Milliers 5 6 3 2 2" xfId="7389"/>
    <cellStyle name="Milliers 5 6 3 2 2 2" xfId="16029"/>
    <cellStyle name="Milliers 5 6 3 2 3" xfId="11709"/>
    <cellStyle name="Milliers 5 6 3 3" xfId="5229"/>
    <cellStyle name="Milliers 5 6 3 3 2" xfId="13869"/>
    <cellStyle name="Milliers 5 6 3 4" xfId="9549"/>
    <cellStyle name="Milliers 5 6 4" xfId="1629"/>
    <cellStyle name="Milliers 5 6 4 2" xfId="3789"/>
    <cellStyle name="Milliers 5 6 4 2 2" xfId="8109"/>
    <cellStyle name="Milliers 5 6 4 2 2 2" xfId="16749"/>
    <cellStyle name="Milliers 5 6 4 2 3" xfId="12429"/>
    <cellStyle name="Milliers 5 6 4 3" xfId="5949"/>
    <cellStyle name="Milliers 5 6 4 3 2" xfId="14589"/>
    <cellStyle name="Milliers 5 6 4 4" xfId="10269"/>
    <cellStyle name="Milliers 5 6 5" xfId="2349"/>
    <cellStyle name="Milliers 5 6 5 2" xfId="6669"/>
    <cellStyle name="Milliers 5 6 5 2 2" xfId="15309"/>
    <cellStyle name="Milliers 5 6 5 3" xfId="10989"/>
    <cellStyle name="Milliers 5 6 6" xfId="4509"/>
    <cellStyle name="Milliers 5 6 6 2" xfId="13149"/>
    <cellStyle name="Milliers 5 6 7" xfId="8829"/>
    <cellStyle name="Milliers 5 7" xfId="369"/>
    <cellStyle name="Milliers 5 7 2" xfId="1089"/>
    <cellStyle name="Milliers 5 7 2 2" xfId="3249"/>
    <cellStyle name="Milliers 5 7 2 2 2" xfId="7569"/>
    <cellStyle name="Milliers 5 7 2 2 2 2" xfId="16209"/>
    <cellStyle name="Milliers 5 7 2 2 3" xfId="11889"/>
    <cellStyle name="Milliers 5 7 2 3" xfId="5409"/>
    <cellStyle name="Milliers 5 7 2 3 2" xfId="14049"/>
    <cellStyle name="Milliers 5 7 2 4" xfId="9729"/>
    <cellStyle name="Milliers 5 7 3" xfId="1809"/>
    <cellStyle name="Milliers 5 7 3 2" xfId="3969"/>
    <cellStyle name="Milliers 5 7 3 2 2" xfId="8289"/>
    <cellStyle name="Milliers 5 7 3 2 2 2" xfId="16929"/>
    <cellStyle name="Milliers 5 7 3 2 3" xfId="12609"/>
    <cellStyle name="Milliers 5 7 3 3" xfId="6129"/>
    <cellStyle name="Milliers 5 7 3 3 2" xfId="14769"/>
    <cellStyle name="Milliers 5 7 3 4" xfId="10449"/>
    <cellStyle name="Milliers 5 7 4" xfId="2529"/>
    <cellStyle name="Milliers 5 7 4 2" xfId="6849"/>
    <cellStyle name="Milliers 5 7 4 2 2" xfId="15489"/>
    <cellStyle name="Milliers 5 7 4 3" xfId="11169"/>
    <cellStyle name="Milliers 5 7 5" xfId="4689"/>
    <cellStyle name="Milliers 5 7 5 2" xfId="13329"/>
    <cellStyle name="Milliers 5 7 6" xfId="9009"/>
    <cellStyle name="Milliers 5 8" xfId="729"/>
    <cellStyle name="Milliers 5 8 2" xfId="2889"/>
    <cellStyle name="Milliers 5 8 2 2" xfId="7209"/>
    <cellStyle name="Milliers 5 8 2 2 2" xfId="15849"/>
    <cellStyle name="Milliers 5 8 2 3" xfId="11529"/>
    <cellStyle name="Milliers 5 8 3" xfId="5049"/>
    <cellStyle name="Milliers 5 8 3 2" xfId="13689"/>
    <cellStyle name="Milliers 5 8 4" xfId="9369"/>
    <cellStyle name="Milliers 5 9" xfId="1449"/>
    <cellStyle name="Milliers 5 9 2" xfId="3609"/>
    <cellStyle name="Milliers 5 9 2 2" xfId="7929"/>
    <cellStyle name="Milliers 5 9 2 2 2" xfId="16569"/>
    <cellStyle name="Milliers 5 9 2 3" xfId="12249"/>
    <cellStyle name="Milliers 5 9 3" xfId="5769"/>
    <cellStyle name="Milliers 5 9 3 2" xfId="14409"/>
    <cellStyle name="Milliers 5 9 4" xfId="10089"/>
    <cellStyle name="Milliers 6" xfId="15"/>
    <cellStyle name="Milliers 6 10" xfId="2175"/>
    <cellStyle name="Milliers 6 10 2" xfId="6495"/>
    <cellStyle name="Milliers 6 10 2 2" xfId="15135"/>
    <cellStyle name="Milliers 6 10 3" xfId="10815"/>
    <cellStyle name="Milliers 6 11" xfId="4335"/>
    <cellStyle name="Milliers 6 11 2" xfId="12975"/>
    <cellStyle name="Milliers 6 12" xfId="8655"/>
    <cellStyle name="Milliers 6 2" xfId="30"/>
    <cellStyle name="Milliers 6 2 10" xfId="8670"/>
    <cellStyle name="Milliers 6 2 2" xfId="75"/>
    <cellStyle name="Milliers 6 2 2 2" xfId="165"/>
    <cellStyle name="Milliers 6 2 2 2 2" xfId="345"/>
    <cellStyle name="Milliers 6 2 2 2 2 2" xfId="705"/>
    <cellStyle name="Milliers 6 2 2 2 2 2 2" xfId="1425"/>
    <cellStyle name="Milliers 6 2 2 2 2 2 2 2" xfId="3585"/>
    <cellStyle name="Milliers 6 2 2 2 2 2 2 2 2" xfId="7905"/>
    <cellStyle name="Milliers 6 2 2 2 2 2 2 2 2 2" xfId="16545"/>
    <cellStyle name="Milliers 6 2 2 2 2 2 2 2 3" xfId="12225"/>
    <cellStyle name="Milliers 6 2 2 2 2 2 2 3" xfId="5745"/>
    <cellStyle name="Milliers 6 2 2 2 2 2 2 3 2" xfId="14385"/>
    <cellStyle name="Milliers 6 2 2 2 2 2 2 4" xfId="10065"/>
    <cellStyle name="Milliers 6 2 2 2 2 2 3" xfId="2145"/>
    <cellStyle name="Milliers 6 2 2 2 2 2 3 2" xfId="4305"/>
    <cellStyle name="Milliers 6 2 2 2 2 2 3 2 2" xfId="8625"/>
    <cellStyle name="Milliers 6 2 2 2 2 2 3 2 2 2" xfId="17265"/>
    <cellStyle name="Milliers 6 2 2 2 2 2 3 2 3" xfId="12945"/>
    <cellStyle name="Milliers 6 2 2 2 2 2 3 3" xfId="6465"/>
    <cellStyle name="Milliers 6 2 2 2 2 2 3 3 2" xfId="15105"/>
    <cellStyle name="Milliers 6 2 2 2 2 2 3 4" xfId="10785"/>
    <cellStyle name="Milliers 6 2 2 2 2 2 4" xfId="2865"/>
    <cellStyle name="Milliers 6 2 2 2 2 2 4 2" xfId="7185"/>
    <cellStyle name="Milliers 6 2 2 2 2 2 4 2 2" xfId="15825"/>
    <cellStyle name="Milliers 6 2 2 2 2 2 4 3" xfId="11505"/>
    <cellStyle name="Milliers 6 2 2 2 2 2 5" xfId="5025"/>
    <cellStyle name="Milliers 6 2 2 2 2 2 5 2" xfId="13665"/>
    <cellStyle name="Milliers 6 2 2 2 2 2 6" xfId="9345"/>
    <cellStyle name="Milliers 6 2 2 2 2 3" xfId="1065"/>
    <cellStyle name="Milliers 6 2 2 2 2 3 2" xfId="3225"/>
    <cellStyle name="Milliers 6 2 2 2 2 3 2 2" xfId="7545"/>
    <cellStyle name="Milliers 6 2 2 2 2 3 2 2 2" xfId="16185"/>
    <cellStyle name="Milliers 6 2 2 2 2 3 2 3" xfId="11865"/>
    <cellStyle name="Milliers 6 2 2 2 2 3 3" xfId="5385"/>
    <cellStyle name="Milliers 6 2 2 2 2 3 3 2" xfId="14025"/>
    <cellStyle name="Milliers 6 2 2 2 2 3 4" xfId="9705"/>
    <cellStyle name="Milliers 6 2 2 2 2 4" xfId="1785"/>
    <cellStyle name="Milliers 6 2 2 2 2 4 2" xfId="3945"/>
    <cellStyle name="Milliers 6 2 2 2 2 4 2 2" xfId="8265"/>
    <cellStyle name="Milliers 6 2 2 2 2 4 2 2 2" xfId="16905"/>
    <cellStyle name="Milliers 6 2 2 2 2 4 2 3" xfId="12585"/>
    <cellStyle name="Milliers 6 2 2 2 2 4 3" xfId="6105"/>
    <cellStyle name="Milliers 6 2 2 2 2 4 3 2" xfId="14745"/>
    <cellStyle name="Milliers 6 2 2 2 2 4 4" xfId="10425"/>
    <cellStyle name="Milliers 6 2 2 2 2 5" xfId="2505"/>
    <cellStyle name="Milliers 6 2 2 2 2 5 2" xfId="6825"/>
    <cellStyle name="Milliers 6 2 2 2 2 5 2 2" xfId="15465"/>
    <cellStyle name="Milliers 6 2 2 2 2 5 3" xfId="11145"/>
    <cellStyle name="Milliers 6 2 2 2 2 6" xfId="4665"/>
    <cellStyle name="Milliers 6 2 2 2 2 6 2" xfId="13305"/>
    <cellStyle name="Milliers 6 2 2 2 2 7" xfId="8985"/>
    <cellStyle name="Milliers 6 2 2 2 3" xfId="525"/>
    <cellStyle name="Milliers 6 2 2 2 3 2" xfId="1245"/>
    <cellStyle name="Milliers 6 2 2 2 3 2 2" xfId="3405"/>
    <cellStyle name="Milliers 6 2 2 2 3 2 2 2" xfId="7725"/>
    <cellStyle name="Milliers 6 2 2 2 3 2 2 2 2" xfId="16365"/>
    <cellStyle name="Milliers 6 2 2 2 3 2 2 3" xfId="12045"/>
    <cellStyle name="Milliers 6 2 2 2 3 2 3" xfId="5565"/>
    <cellStyle name="Milliers 6 2 2 2 3 2 3 2" xfId="14205"/>
    <cellStyle name="Milliers 6 2 2 2 3 2 4" xfId="9885"/>
    <cellStyle name="Milliers 6 2 2 2 3 3" xfId="1965"/>
    <cellStyle name="Milliers 6 2 2 2 3 3 2" xfId="4125"/>
    <cellStyle name="Milliers 6 2 2 2 3 3 2 2" xfId="8445"/>
    <cellStyle name="Milliers 6 2 2 2 3 3 2 2 2" xfId="17085"/>
    <cellStyle name="Milliers 6 2 2 2 3 3 2 3" xfId="12765"/>
    <cellStyle name="Milliers 6 2 2 2 3 3 3" xfId="6285"/>
    <cellStyle name="Milliers 6 2 2 2 3 3 3 2" xfId="14925"/>
    <cellStyle name="Milliers 6 2 2 2 3 3 4" xfId="10605"/>
    <cellStyle name="Milliers 6 2 2 2 3 4" xfId="2685"/>
    <cellStyle name="Milliers 6 2 2 2 3 4 2" xfId="7005"/>
    <cellStyle name="Milliers 6 2 2 2 3 4 2 2" xfId="15645"/>
    <cellStyle name="Milliers 6 2 2 2 3 4 3" xfId="11325"/>
    <cellStyle name="Milliers 6 2 2 2 3 5" xfId="4845"/>
    <cellStyle name="Milliers 6 2 2 2 3 5 2" xfId="13485"/>
    <cellStyle name="Milliers 6 2 2 2 3 6" xfId="9165"/>
    <cellStyle name="Milliers 6 2 2 2 4" xfId="885"/>
    <cellStyle name="Milliers 6 2 2 2 4 2" xfId="3045"/>
    <cellStyle name="Milliers 6 2 2 2 4 2 2" xfId="7365"/>
    <cellStyle name="Milliers 6 2 2 2 4 2 2 2" xfId="16005"/>
    <cellStyle name="Milliers 6 2 2 2 4 2 3" xfId="11685"/>
    <cellStyle name="Milliers 6 2 2 2 4 3" xfId="5205"/>
    <cellStyle name="Milliers 6 2 2 2 4 3 2" xfId="13845"/>
    <cellStyle name="Milliers 6 2 2 2 4 4" xfId="9525"/>
    <cellStyle name="Milliers 6 2 2 2 5" xfId="1605"/>
    <cellStyle name="Milliers 6 2 2 2 5 2" xfId="3765"/>
    <cellStyle name="Milliers 6 2 2 2 5 2 2" xfId="8085"/>
    <cellStyle name="Milliers 6 2 2 2 5 2 2 2" xfId="16725"/>
    <cellStyle name="Milliers 6 2 2 2 5 2 3" xfId="12405"/>
    <cellStyle name="Milliers 6 2 2 2 5 3" xfId="5925"/>
    <cellStyle name="Milliers 6 2 2 2 5 3 2" xfId="14565"/>
    <cellStyle name="Milliers 6 2 2 2 5 4" xfId="10245"/>
    <cellStyle name="Milliers 6 2 2 2 6" xfId="2325"/>
    <cellStyle name="Milliers 6 2 2 2 6 2" xfId="6645"/>
    <cellStyle name="Milliers 6 2 2 2 6 2 2" xfId="15285"/>
    <cellStyle name="Milliers 6 2 2 2 6 3" xfId="10965"/>
    <cellStyle name="Milliers 6 2 2 2 7" xfId="4485"/>
    <cellStyle name="Milliers 6 2 2 2 7 2" xfId="13125"/>
    <cellStyle name="Milliers 6 2 2 2 8" xfId="8805"/>
    <cellStyle name="Milliers 6 2 2 3" xfId="255"/>
    <cellStyle name="Milliers 6 2 2 3 2" xfId="615"/>
    <cellStyle name="Milliers 6 2 2 3 2 2" xfId="1335"/>
    <cellStyle name="Milliers 6 2 2 3 2 2 2" xfId="3495"/>
    <cellStyle name="Milliers 6 2 2 3 2 2 2 2" xfId="7815"/>
    <cellStyle name="Milliers 6 2 2 3 2 2 2 2 2" xfId="16455"/>
    <cellStyle name="Milliers 6 2 2 3 2 2 2 3" xfId="12135"/>
    <cellStyle name="Milliers 6 2 2 3 2 2 3" xfId="5655"/>
    <cellStyle name="Milliers 6 2 2 3 2 2 3 2" xfId="14295"/>
    <cellStyle name="Milliers 6 2 2 3 2 2 4" xfId="9975"/>
    <cellStyle name="Milliers 6 2 2 3 2 3" xfId="2055"/>
    <cellStyle name="Milliers 6 2 2 3 2 3 2" xfId="4215"/>
    <cellStyle name="Milliers 6 2 2 3 2 3 2 2" xfId="8535"/>
    <cellStyle name="Milliers 6 2 2 3 2 3 2 2 2" xfId="17175"/>
    <cellStyle name="Milliers 6 2 2 3 2 3 2 3" xfId="12855"/>
    <cellStyle name="Milliers 6 2 2 3 2 3 3" xfId="6375"/>
    <cellStyle name="Milliers 6 2 2 3 2 3 3 2" xfId="15015"/>
    <cellStyle name="Milliers 6 2 2 3 2 3 4" xfId="10695"/>
    <cellStyle name="Milliers 6 2 2 3 2 4" xfId="2775"/>
    <cellStyle name="Milliers 6 2 2 3 2 4 2" xfId="7095"/>
    <cellStyle name="Milliers 6 2 2 3 2 4 2 2" xfId="15735"/>
    <cellStyle name="Milliers 6 2 2 3 2 4 3" xfId="11415"/>
    <cellStyle name="Milliers 6 2 2 3 2 5" xfId="4935"/>
    <cellStyle name="Milliers 6 2 2 3 2 5 2" xfId="13575"/>
    <cellStyle name="Milliers 6 2 2 3 2 6" xfId="9255"/>
    <cellStyle name="Milliers 6 2 2 3 3" xfId="975"/>
    <cellStyle name="Milliers 6 2 2 3 3 2" xfId="3135"/>
    <cellStyle name="Milliers 6 2 2 3 3 2 2" xfId="7455"/>
    <cellStyle name="Milliers 6 2 2 3 3 2 2 2" xfId="16095"/>
    <cellStyle name="Milliers 6 2 2 3 3 2 3" xfId="11775"/>
    <cellStyle name="Milliers 6 2 2 3 3 3" xfId="5295"/>
    <cellStyle name="Milliers 6 2 2 3 3 3 2" xfId="13935"/>
    <cellStyle name="Milliers 6 2 2 3 3 4" xfId="9615"/>
    <cellStyle name="Milliers 6 2 2 3 4" xfId="1695"/>
    <cellStyle name="Milliers 6 2 2 3 4 2" xfId="3855"/>
    <cellStyle name="Milliers 6 2 2 3 4 2 2" xfId="8175"/>
    <cellStyle name="Milliers 6 2 2 3 4 2 2 2" xfId="16815"/>
    <cellStyle name="Milliers 6 2 2 3 4 2 3" xfId="12495"/>
    <cellStyle name="Milliers 6 2 2 3 4 3" xfId="6015"/>
    <cellStyle name="Milliers 6 2 2 3 4 3 2" xfId="14655"/>
    <cellStyle name="Milliers 6 2 2 3 4 4" xfId="10335"/>
    <cellStyle name="Milliers 6 2 2 3 5" xfId="2415"/>
    <cellStyle name="Milliers 6 2 2 3 5 2" xfId="6735"/>
    <cellStyle name="Milliers 6 2 2 3 5 2 2" xfId="15375"/>
    <cellStyle name="Milliers 6 2 2 3 5 3" xfId="11055"/>
    <cellStyle name="Milliers 6 2 2 3 6" xfId="4575"/>
    <cellStyle name="Milliers 6 2 2 3 6 2" xfId="13215"/>
    <cellStyle name="Milliers 6 2 2 3 7" xfId="8895"/>
    <cellStyle name="Milliers 6 2 2 4" xfId="435"/>
    <cellStyle name="Milliers 6 2 2 4 2" xfId="1155"/>
    <cellStyle name="Milliers 6 2 2 4 2 2" xfId="3315"/>
    <cellStyle name="Milliers 6 2 2 4 2 2 2" xfId="7635"/>
    <cellStyle name="Milliers 6 2 2 4 2 2 2 2" xfId="16275"/>
    <cellStyle name="Milliers 6 2 2 4 2 2 3" xfId="11955"/>
    <cellStyle name="Milliers 6 2 2 4 2 3" xfId="5475"/>
    <cellStyle name="Milliers 6 2 2 4 2 3 2" xfId="14115"/>
    <cellStyle name="Milliers 6 2 2 4 2 4" xfId="9795"/>
    <cellStyle name="Milliers 6 2 2 4 3" xfId="1875"/>
    <cellStyle name="Milliers 6 2 2 4 3 2" xfId="4035"/>
    <cellStyle name="Milliers 6 2 2 4 3 2 2" xfId="8355"/>
    <cellStyle name="Milliers 6 2 2 4 3 2 2 2" xfId="16995"/>
    <cellStyle name="Milliers 6 2 2 4 3 2 3" xfId="12675"/>
    <cellStyle name="Milliers 6 2 2 4 3 3" xfId="6195"/>
    <cellStyle name="Milliers 6 2 2 4 3 3 2" xfId="14835"/>
    <cellStyle name="Milliers 6 2 2 4 3 4" xfId="10515"/>
    <cellStyle name="Milliers 6 2 2 4 4" xfId="2595"/>
    <cellStyle name="Milliers 6 2 2 4 4 2" xfId="6915"/>
    <cellStyle name="Milliers 6 2 2 4 4 2 2" xfId="15555"/>
    <cellStyle name="Milliers 6 2 2 4 4 3" xfId="11235"/>
    <cellStyle name="Milliers 6 2 2 4 5" xfId="4755"/>
    <cellStyle name="Milliers 6 2 2 4 5 2" xfId="13395"/>
    <cellStyle name="Milliers 6 2 2 4 6" xfId="9075"/>
    <cellStyle name="Milliers 6 2 2 5" xfId="795"/>
    <cellStyle name="Milliers 6 2 2 5 2" xfId="2955"/>
    <cellStyle name="Milliers 6 2 2 5 2 2" xfId="7275"/>
    <cellStyle name="Milliers 6 2 2 5 2 2 2" xfId="15915"/>
    <cellStyle name="Milliers 6 2 2 5 2 3" xfId="11595"/>
    <cellStyle name="Milliers 6 2 2 5 3" xfId="5115"/>
    <cellStyle name="Milliers 6 2 2 5 3 2" xfId="13755"/>
    <cellStyle name="Milliers 6 2 2 5 4" xfId="9435"/>
    <cellStyle name="Milliers 6 2 2 6" xfId="1515"/>
    <cellStyle name="Milliers 6 2 2 6 2" xfId="3675"/>
    <cellStyle name="Milliers 6 2 2 6 2 2" xfId="7995"/>
    <cellStyle name="Milliers 6 2 2 6 2 2 2" xfId="16635"/>
    <cellStyle name="Milliers 6 2 2 6 2 3" xfId="12315"/>
    <cellStyle name="Milliers 6 2 2 6 3" xfId="5835"/>
    <cellStyle name="Milliers 6 2 2 6 3 2" xfId="14475"/>
    <cellStyle name="Milliers 6 2 2 6 4" xfId="10155"/>
    <cellStyle name="Milliers 6 2 2 7" xfId="2235"/>
    <cellStyle name="Milliers 6 2 2 7 2" xfId="6555"/>
    <cellStyle name="Milliers 6 2 2 7 2 2" xfId="15195"/>
    <cellStyle name="Milliers 6 2 2 7 3" xfId="10875"/>
    <cellStyle name="Milliers 6 2 2 8" xfId="4395"/>
    <cellStyle name="Milliers 6 2 2 8 2" xfId="13035"/>
    <cellStyle name="Milliers 6 2 2 9" xfId="8715"/>
    <cellStyle name="Milliers 6 2 3" xfId="120"/>
    <cellStyle name="Milliers 6 2 3 2" xfId="300"/>
    <cellStyle name="Milliers 6 2 3 2 2" xfId="660"/>
    <cellStyle name="Milliers 6 2 3 2 2 2" xfId="1380"/>
    <cellStyle name="Milliers 6 2 3 2 2 2 2" xfId="3540"/>
    <cellStyle name="Milliers 6 2 3 2 2 2 2 2" xfId="7860"/>
    <cellStyle name="Milliers 6 2 3 2 2 2 2 2 2" xfId="16500"/>
    <cellStyle name="Milliers 6 2 3 2 2 2 2 3" xfId="12180"/>
    <cellStyle name="Milliers 6 2 3 2 2 2 3" xfId="5700"/>
    <cellStyle name="Milliers 6 2 3 2 2 2 3 2" xfId="14340"/>
    <cellStyle name="Milliers 6 2 3 2 2 2 4" xfId="10020"/>
    <cellStyle name="Milliers 6 2 3 2 2 3" xfId="2100"/>
    <cellStyle name="Milliers 6 2 3 2 2 3 2" xfId="4260"/>
    <cellStyle name="Milliers 6 2 3 2 2 3 2 2" xfId="8580"/>
    <cellStyle name="Milliers 6 2 3 2 2 3 2 2 2" xfId="17220"/>
    <cellStyle name="Milliers 6 2 3 2 2 3 2 3" xfId="12900"/>
    <cellStyle name="Milliers 6 2 3 2 2 3 3" xfId="6420"/>
    <cellStyle name="Milliers 6 2 3 2 2 3 3 2" xfId="15060"/>
    <cellStyle name="Milliers 6 2 3 2 2 3 4" xfId="10740"/>
    <cellStyle name="Milliers 6 2 3 2 2 4" xfId="2820"/>
    <cellStyle name="Milliers 6 2 3 2 2 4 2" xfId="7140"/>
    <cellStyle name="Milliers 6 2 3 2 2 4 2 2" xfId="15780"/>
    <cellStyle name="Milliers 6 2 3 2 2 4 3" xfId="11460"/>
    <cellStyle name="Milliers 6 2 3 2 2 5" xfId="4980"/>
    <cellStyle name="Milliers 6 2 3 2 2 5 2" xfId="13620"/>
    <cellStyle name="Milliers 6 2 3 2 2 6" xfId="9300"/>
    <cellStyle name="Milliers 6 2 3 2 3" xfId="1020"/>
    <cellStyle name="Milliers 6 2 3 2 3 2" xfId="3180"/>
    <cellStyle name="Milliers 6 2 3 2 3 2 2" xfId="7500"/>
    <cellStyle name="Milliers 6 2 3 2 3 2 2 2" xfId="16140"/>
    <cellStyle name="Milliers 6 2 3 2 3 2 3" xfId="11820"/>
    <cellStyle name="Milliers 6 2 3 2 3 3" xfId="5340"/>
    <cellStyle name="Milliers 6 2 3 2 3 3 2" xfId="13980"/>
    <cellStyle name="Milliers 6 2 3 2 3 4" xfId="9660"/>
    <cellStyle name="Milliers 6 2 3 2 4" xfId="1740"/>
    <cellStyle name="Milliers 6 2 3 2 4 2" xfId="3900"/>
    <cellStyle name="Milliers 6 2 3 2 4 2 2" xfId="8220"/>
    <cellStyle name="Milliers 6 2 3 2 4 2 2 2" xfId="16860"/>
    <cellStyle name="Milliers 6 2 3 2 4 2 3" xfId="12540"/>
    <cellStyle name="Milliers 6 2 3 2 4 3" xfId="6060"/>
    <cellStyle name="Milliers 6 2 3 2 4 3 2" xfId="14700"/>
    <cellStyle name="Milliers 6 2 3 2 4 4" xfId="10380"/>
    <cellStyle name="Milliers 6 2 3 2 5" xfId="2460"/>
    <cellStyle name="Milliers 6 2 3 2 5 2" xfId="6780"/>
    <cellStyle name="Milliers 6 2 3 2 5 2 2" xfId="15420"/>
    <cellStyle name="Milliers 6 2 3 2 5 3" xfId="11100"/>
    <cellStyle name="Milliers 6 2 3 2 6" xfId="4620"/>
    <cellStyle name="Milliers 6 2 3 2 6 2" xfId="13260"/>
    <cellStyle name="Milliers 6 2 3 2 7" xfId="8940"/>
    <cellStyle name="Milliers 6 2 3 3" xfId="480"/>
    <cellStyle name="Milliers 6 2 3 3 2" xfId="1200"/>
    <cellStyle name="Milliers 6 2 3 3 2 2" xfId="3360"/>
    <cellStyle name="Milliers 6 2 3 3 2 2 2" xfId="7680"/>
    <cellStyle name="Milliers 6 2 3 3 2 2 2 2" xfId="16320"/>
    <cellStyle name="Milliers 6 2 3 3 2 2 3" xfId="12000"/>
    <cellStyle name="Milliers 6 2 3 3 2 3" xfId="5520"/>
    <cellStyle name="Milliers 6 2 3 3 2 3 2" xfId="14160"/>
    <cellStyle name="Milliers 6 2 3 3 2 4" xfId="9840"/>
    <cellStyle name="Milliers 6 2 3 3 3" xfId="1920"/>
    <cellStyle name="Milliers 6 2 3 3 3 2" xfId="4080"/>
    <cellStyle name="Milliers 6 2 3 3 3 2 2" xfId="8400"/>
    <cellStyle name="Milliers 6 2 3 3 3 2 2 2" xfId="17040"/>
    <cellStyle name="Milliers 6 2 3 3 3 2 3" xfId="12720"/>
    <cellStyle name="Milliers 6 2 3 3 3 3" xfId="6240"/>
    <cellStyle name="Milliers 6 2 3 3 3 3 2" xfId="14880"/>
    <cellStyle name="Milliers 6 2 3 3 3 4" xfId="10560"/>
    <cellStyle name="Milliers 6 2 3 3 4" xfId="2640"/>
    <cellStyle name="Milliers 6 2 3 3 4 2" xfId="6960"/>
    <cellStyle name="Milliers 6 2 3 3 4 2 2" xfId="15600"/>
    <cellStyle name="Milliers 6 2 3 3 4 3" xfId="11280"/>
    <cellStyle name="Milliers 6 2 3 3 5" xfId="4800"/>
    <cellStyle name="Milliers 6 2 3 3 5 2" xfId="13440"/>
    <cellStyle name="Milliers 6 2 3 3 6" xfId="9120"/>
    <cellStyle name="Milliers 6 2 3 4" xfId="840"/>
    <cellStyle name="Milliers 6 2 3 4 2" xfId="3000"/>
    <cellStyle name="Milliers 6 2 3 4 2 2" xfId="7320"/>
    <cellStyle name="Milliers 6 2 3 4 2 2 2" xfId="15960"/>
    <cellStyle name="Milliers 6 2 3 4 2 3" xfId="11640"/>
    <cellStyle name="Milliers 6 2 3 4 3" xfId="5160"/>
    <cellStyle name="Milliers 6 2 3 4 3 2" xfId="13800"/>
    <cellStyle name="Milliers 6 2 3 4 4" xfId="9480"/>
    <cellStyle name="Milliers 6 2 3 5" xfId="1560"/>
    <cellStyle name="Milliers 6 2 3 5 2" xfId="3720"/>
    <cellStyle name="Milliers 6 2 3 5 2 2" xfId="8040"/>
    <cellStyle name="Milliers 6 2 3 5 2 2 2" xfId="16680"/>
    <cellStyle name="Milliers 6 2 3 5 2 3" xfId="12360"/>
    <cellStyle name="Milliers 6 2 3 5 3" xfId="5880"/>
    <cellStyle name="Milliers 6 2 3 5 3 2" xfId="14520"/>
    <cellStyle name="Milliers 6 2 3 5 4" xfId="10200"/>
    <cellStyle name="Milliers 6 2 3 6" xfId="2280"/>
    <cellStyle name="Milliers 6 2 3 6 2" xfId="6600"/>
    <cellStyle name="Milliers 6 2 3 6 2 2" xfId="15240"/>
    <cellStyle name="Milliers 6 2 3 6 3" xfId="10920"/>
    <cellStyle name="Milliers 6 2 3 7" xfId="4440"/>
    <cellStyle name="Milliers 6 2 3 7 2" xfId="13080"/>
    <cellStyle name="Milliers 6 2 3 8" xfId="8760"/>
    <cellStyle name="Milliers 6 2 4" xfId="210"/>
    <cellStyle name="Milliers 6 2 4 2" xfId="570"/>
    <cellStyle name="Milliers 6 2 4 2 2" xfId="1290"/>
    <cellStyle name="Milliers 6 2 4 2 2 2" xfId="3450"/>
    <cellStyle name="Milliers 6 2 4 2 2 2 2" xfId="7770"/>
    <cellStyle name="Milliers 6 2 4 2 2 2 2 2" xfId="16410"/>
    <cellStyle name="Milliers 6 2 4 2 2 2 3" xfId="12090"/>
    <cellStyle name="Milliers 6 2 4 2 2 3" xfId="5610"/>
    <cellStyle name="Milliers 6 2 4 2 2 3 2" xfId="14250"/>
    <cellStyle name="Milliers 6 2 4 2 2 4" xfId="9930"/>
    <cellStyle name="Milliers 6 2 4 2 3" xfId="2010"/>
    <cellStyle name="Milliers 6 2 4 2 3 2" xfId="4170"/>
    <cellStyle name="Milliers 6 2 4 2 3 2 2" xfId="8490"/>
    <cellStyle name="Milliers 6 2 4 2 3 2 2 2" xfId="17130"/>
    <cellStyle name="Milliers 6 2 4 2 3 2 3" xfId="12810"/>
    <cellStyle name="Milliers 6 2 4 2 3 3" xfId="6330"/>
    <cellStyle name="Milliers 6 2 4 2 3 3 2" xfId="14970"/>
    <cellStyle name="Milliers 6 2 4 2 3 4" xfId="10650"/>
    <cellStyle name="Milliers 6 2 4 2 4" xfId="2730"/>
    <cellStyle name="Milliers 6 2 4 2 4 2" xfId="7050"/>
    <cellStyle name="Milliers 6 2 4 2 4 2 2" xfId="15690"/>
    <cellStyle name="Milliers 6 2 4 2 4 3" xfId="11370"/>
    <cellStyle name="Milliers 6 2 4 2 5" xfId="4890"/>
    <cellStyle name="Milliers 6 2 4 2 5 2" xfId="13530"/>
    <cellStyle name="Milliers 6 2 4 2 6" xfId="9210"/>
    <cellStyle name="Milliers 6 2 4 3" xfId="930"/>
    <cellStyle name="Milliers 6 2 4 3 2" xfId="3090"/>
    <cellStyle name="Milliers 6 2 4 3 2 2" xfId="7410"/>
    <cellStyle name="Milliers 6 2 4 3 2 2 2" xfId="16050"/>
    <cellStyle name="Milliers 6 2 4 3 2 3" xfId="11730"/>
    <cellStyle name="Milliers 6 2 4 3 3" xfId="5250"/>
    <cellStyle name="Milliers 6 2 4 3 3 2" xfId="13890"/>
    <cellStyle name="Milliers 6 2 4 3 4" xfId="9570"/>
    <cellStyle name="Milliers 6 2 4 4" xfId="1650"/>
    <cellStyle name="Milliers 6 2 4 4 2" xfId="3810"/>
    <cellStyle name="Milliers 6 2 4 4 2 2" xfId="8130"/>
    <cellStyle name="Milliers 6 2 4 4 2 2 2" xfId="16770"/>
    <cellStyle name="Milliers 6 2 4 4 2 3" xfId="12450"/>
    <cellStyle name="Milliers 6 2 4 4 3" xfId="5970"/>
    <cellStyle name="Milliers 6 2 4 4 3 2" xfId="14610"/>
    <cellStyle name="Milliers 6 2 4 4 4" xfId="10290"/>
    <cellStyle name="Milliers 6 2 4 5" xfId="2370"/>
    <cellStyle name="Milliers 6 2 4 5 2" xfId="6690"/>
    <cellStyle name="Milliers 6 2 4 5 2 2" xfId="15330"/>
    <cellStyle name="Milliers 6 2 4 5 3" xfId="11010"/>
    <cellStyle name="Milliers 6 2 4 6" xfId="4530"/>
    <cellStyle name="Milliers 6 2 4 6 2" xfId="13170"/>
    <cellStyle name="Milliers 6 2 4 7" xfId="8850"/>
    <cellStyle name="Milliers 6 2 5" xfId="390"/>
    <cellStyle name="Milliers 6 2 5 2" xfId="1110"/>
    <cellStyle name="Milliers 6 2 5 2 2" xfId="3270"/>
    <cellStyle name="Milliers 6 2 5 2 2 2" xfId="7590"/>
    <cellStyle name="Milliers 6 2 5 2 2 2 2" xfId="16230"/>
    <cellStyle name="Milliers 6 2 5 2 2 3" xfId="11910"/>
    <cellStyle name="Milliers 6 2 5 2 3" xfId="5430"/>
    <cellStyle name="Milliers 6 2 5 2 3 2" xfId="14070"/>
    <cellStyle name="Milliers 6 2 5 2 4" xfId="9750"/>
    <cellStyle name="Milliers 6 2 5 3" xfId="1830"/>
    <cellStyle name="Milliers 6 2 5 3 2" xfId="3990"/>
    <cellStyle name="Milliers 6 2 5 3 2 2" xfId="8310"/>
    <cellStyle name="Milliers 6 2 5 3 2 2 2" xfId="16950"/>
    <cellStyle name="Milliers 6 2 5 3 2 3" xfId="12630"/>
    <cellStyle name="Milliers 6 2 5 3 3" xfId="6150"/>
    <cellStyle name="Milliers 6 2 5 3 3 2" xfId="14790"/>
    <cellStyle name="Milliers 6 2 5 3 4" xfId="10470"/>
    <cellStyle name="Milliers 6 2 5 4" xfId="2550"/>
    <cellStyle name="Milliers 6 2 5 4 2" xfId="6870"/>
    <cellStyle name="Milliers 6 2 5 4 2 2" xfId="15510"/>
    <cellStyle name="Milliers 6 2 5 4 3" xfId="11190"/>
    <cellStyle name="Milliers 6 2 5 5" xfId="4710"/>
    <cellStyle name="Milliers 6 2 5 5 2" xfId="13350"/>
    <cellStyle name="Milliers 6 2 5 6" xfId="9030"/>
    <cellStyle name="Milliers 6 2 6" xfId="750"/>
    <cellStyle name="Milliers 6 2 6 2" xfId="2910"/>
    <cellStyle name="Milliers 6 2 6 2 2" xfId="7230"/>
    <cellStyle name="Milliers 6 2 6 2 2 2" xfId="15870"/>
    <cellStyle name="Milliers 6 2 6 2 3" xfId="11550"/>
    <cellStyle name="Milliers 6 2 6 3" xfId="5070"/>
    <cellStyle name="Milliers 6 2 6 3 2" xfId="13710"/>
    <cellStyle name="Milliers 6 2 6 4" xfId="9390"/>
    <cellStyle name="Milliers 6 2 7" xfId="1470"/>
    <cellStyle name="Milliers 6 2 7 2" xfId="3630"/>
    <cellStyle name="Milliers 6 2 7 2 2" xfId="7950"/>
    <cellStyle name="Milliers 6 2 7 2 2 2" xfId="16590"/>
    <cellStyle name="Milliers 6 2 7 2 3" xfId="12270"/>
    <cellStyle name="Milliers 6 2 7 3" xfId="5790"/>
    <cellStyle name="Milliers 6 2 7 3 2" xfId="14430"/>
    <cellStyle name="Milliers 6 2 7 4" xfId="10110"/>
    <cellStyle name="Milliers 6 2 8" xfId="2190"/>
    <cellStyle name="Milliers 6 2 8 2" xfId="6510"/>
    <cellStyle name="Milliers 6 2 8 2 2" xfId="15150"/>
    <cellStyle name="Milliers 6 2 8 3" xfId="10830"/>
    <cellStyle name="Milliers 6 2 9" xfId="4350"/>
    <cellStyle name="Milliers 6 2 9 2" xfId="12990"/>
    <cellStyle name="Milliers 6 3" xfId="45"/>
    <cellStyle name="Milliers 6 3 10" xfId="8685"/>
    <cellStyle name="Milliers 6 3 2" xfId="90"/>
    <cellStyle name="Milliers 6 3 2 2" xfId="180"/>
    <cellStyle name="Milliers 6 3 2 2 2" xfId="360"/>
    <cellStyle name="Milliers 6 3 2 2 2 2" xfId="720"/>
    <cellStyle name="Milliers 6 3 2 2 2 2 2" xfId="1440"/>
    <cellStyle name="Milliers 6 3 2 2 2 2 2 2" xfId="3600"/>
    <cellStyle name="Milliers 6 3 2 2 2 2 2 2 2" xfId="7920"/>
    <cellStyle name="Milliers 6 3 2 2 2 2 2 2 2 2" xfId="16560"/>
    <cellStyle name="Milliers 6 3 2 2 2 2 2 2 3" xfId="12240"/>
    <cellStyle name="Milliers 6 3 2 2 2 2 2 3" xfId="5760"/>
    <cellStyle name="Milliers 6 3 2 2 2 2 2 3 2" xfId="14400"/>
    <cellStyle name="Milliers 6 3 2 2 2 2 2 4" xfId="10080"/>
    <cellStyle name="Milliers 6 3 2 2 2 2 3" xfId="2160"/>
    <cellStyle name="Milliers 6 3 2 2 2 2 3 2" xfId="4320"/>
    <cellStyle name="Milliers 6 3 2 2 2 2 3 2 2" xfId="8640"/>
    <cellStyle name="Milliers 6 3 2 2 2 2 3 2 2 2" xfId="17280"/>
    <cellStyle name="Milliers 6 3 2 2 2 2 3 2 3" xfId="12960"/>
    <cellStyle name="Milliers 6 3 2 2 2 2 3 3" xfId="6480"/>
    <cellStyle name="Milliers 6 3 2 2 2 2 3 3 2" xfId="15120"/>
    <cellStyle name="Milliers 6 3 2 2 2 2 3 4" xfId="10800"/>
    <cellStyle name="Milliers 6 3 2 2 2 2 4" xfId="2880"/>
    <cellStyle name="Milliers 6 3 2 2 2 2 4 2" xfId="7200"/>
    <cellStyle name="Milliers 6 3 2 2 2 2 4 2 2" xfId="15840"/>
    <cellStyle name="Milliers 6 3 2 2 2 2 4 3" xfId="11520"/>
    <cellStyle name="Milliers 6 3 2 2 2 2 5" xfId="5040"/>
    <cellStyle name="Milliers 6 3 2 2 2 2 5 2" xfId="13680"/>
    <cellStyle name="Milliers 6 3 2 2 2 2 6" xfId="9360"/>
    <cellStyle name="Milliers 6 3 2 2 2 3" xfId="1080"/>
    <cellStyle name="Milliers 6 3 2 2 2 3 2" xfId="3240"/>
    <cellStyle name="Milliers 6 3 2 2 2 3 2 2" xfId="7560"/>
    <cellStyle name="Milliers 6 3 2 2 2 3 2 2 2" xfId="16200"/>
    <cellStyle name="Milliers 6 3 2 2 2 3 2 3" xfId="11880"/>
    <cellStyle name="Milliers 6 3 2 2 2 3 3" xfId="5400"/>
    <cellStyle name="Milliers 6 3 2 2 2 3 3 2" xfId="14040"/>
    <cellStyle name="Milliers 6 3 2 2 2 3 4" xfId="9720"/>
    <cellStyle name="Milliers 6 3 2 2 2 4" xfId="1800"/>
    <cellStyle name="Milliers 6 3 2 2 2 4 2" xfId="3960"/>
    <cellStyle name="Milliers 6 3 2 2 2 4 2 2" xfId="8280"/>
    <cellStyle name="Milliers 6 3 2 2 2 4 2 2 2" xfId="16920"/>
    <cellStyle name="Milliers 6 3 2 2 2 4 2 3" xfId="12600"/>
    <cellStyle name="Milliers 6 3 2 2 2 4 3" xfId="6120"/>
    <cellStyle name="Milliers 6 3 2 2 2 4 3 2" xfId="14760"/>
    <cellStyle name="Milliers 6 3 2 2 2 4 4" xfId="10440"/>
    <cellStyle name="Milliers 6 3 2 2 2 5" xfId="2520"/>
    <cellStyle name="Milliers 6 3 2 2 2 5 2" xfId="6840"/>
    <cellStyle name="Milliers 6 3 2 2 2 5 2 2" xfId="15480"/>
    <cellStyle name="Milliers 6 3 2 2 2 5 3" xfId="11160"/>
    <cellStyle name="Milliers 6 3 2 2 2 6" xfId="4680"/>
    <cellStyle name="Milliers 6 3 2 2 2 6 2" xfId="13320"/>
    <cellStyle name="Milliers 6 3 2 2 2 7" xfId="9000"/>
    <cellStyle name="Milliers 6 3 2 2 3" xfId="540"/>
    <cellStyle name="Milliers 6 3 2 2 3 2" xfId="1260"/>
    <cellStyle name="Milliers 6 3 2 2 3 2 2" xfId="3420"/>
    <cellStyle name="Milliers 6 3 2 2 3 2 2 2" xfId="7740"/>
    <cellStyle name="Milliers 6 3 2 2 3 2 2 2 2" xfId="16380"/>
    <cellStyle name="Milliers 6 3 2 2 3 2 2 3" xfId="12060"/>
    <cellStyle name="Milliers 6 3 2 2 3 2 3" xfId="5580"/>
    <cellStyle name="Milliers 6 3 2 2 3 2 3 2" xfId="14220"/>
    <cellStyle name="Milliers 6 3 2 2 3 2 4" xfId="9900"/>
    <cellStyle name="Milliers 6 3 2 2 3 3" xfId="1980"/>
    <cellStyle name="Milliers 6 3 2 2 3 3 2" xfId="4140"/>
    <cellStyle name="Milliers 6 3 2 2 3 3 2 2" xfId="8460"/>
    <cellStyle name="Milliers 6 3 2 2 3 3 2 2 2" xfId="17100"/>
    <cellStyle name="Milliers 6 3 2 2 3 3 2 3" xfId="12780"/>
    <cellStyle name="Milliers 6 3 2 2 3 3 3" xfId="6300"/>
    <cellStyle name="Milliers 6 3 2 2 3 3 3 2" xfId="14940"/>
    <cellStyle name="Milliers 6 3 2 2 3 3 4" xfId="10620"/>
    <cellStyle name="Milliers 6 3 2 2 3 4" xfId="2700"/>
    <cellStyle name="Milliers 6 3 2 2 3 4 2" xfId="7020"/>
    <cellStyle name="Milliers 6 3 2 2 3 4 2 2" xfId="15660"/>
    <cellStyle name="Milliers 6 3 2 2 3 4 3" xfId="11340"/>
    <cellStyle name="Milliers 6 3 2 2 3 5" xfId="4860"/>
    <cellStyle name="Milliers 6 3 2 2 3 5 2" xfId="13500"/>
    <cellStyle name="Milliers 6 3 2 2 3 6" xfId="9180"/>
    <cellStyle name="Milliers 6 3 2 2 4" xfId="900"/>
    <cellStyle name="Milliers 6 3 2 2 4 2" xfId="3060"/>
    <cellStyle name="Milliers 6 3 2 2 4 2 2" xfId="7380"/>
    <cellStyle name="Milliers 6 3 2 2 4 2 2 2" xfId="16020"/>
    <cellStyle name="Milliers 6 3 2 2 4 2 3" xfId="11700"/>
    <cellStyle name="Milliers 6 3 2 2 4 3" xfId="5220"/>
    <cellStyle name="Milliers 6 3 2 2 4 3 2" xfId="13860"/>
    <cellStyle name="Milliers 6 3 2 2 4 4" xfId="9540"/>
    <cellStyle name="Milliers 6 3 2 2 5" xfId="1620"/>
    <cellStyle name="Milliers 6 3 2 2 5 2" xfId="3780"/>
    <cellStyle name="Milliers 6 3 2 2 5 2 2" xfId="8100"/>
    <cellStyle name="Milliers 6 3 2 2 5 2 2 2" xfId="16740"/>
    <cellStyle name="Milliers 6 3 2 2 5 2 3" xfId="12420"/>
    <cellStyle name="Milliers 6 3 2 2 5 3" xfId="5940"/>
    <cellStyle name="Milliers 6 3 2 2 5 3 2" xfId="14580"/>
    <cellStyle name="Milliers 6 3 2 2 5 4" xfId="10260"/>
    <cellStyle name="Milliers 6 3 2 2 6" xfId="2340"/>
    <cellStyle name="Milliers 6 3 2 2 6 2" xfId="6660"/>
    <cellStyle name="Milliers 6 3 2 2 6 2 2" xfId="15300"/>
    <cellStyle name="Milliers 6 3 2 2 6 3" xfId="10980"/>
    <cellStyle name="Milliers 6 3 2 2 7" xfId="4500"/>
    <cellStyle name="Milliers 6 3 2 2 7 2" xfId="13140"/>
    <cellStyle name="Milliers 6 3 2 2 8" xfId="8820"/>
    <cellStyle name="Milliers 6 3 2 3" xfId="270"/>
    <cellStyle name="Milliers 6 3 2 3 2" xfId="630"/>
    <cellStyle name="Milliers 6 3 2 3 2 2" xfId="1350"/>
    <cellStyle name="Milliers 6 3 2 3 2 2 2" xfId="3510"/>
    <cellStyle name="Milliers 6 3 2 3 2 2 2 2" xfId="7830"/>
    <cellStyle name="Milliers 6 3 2 3 2 2 2 2 2" xfId="16470"/>
    <cellStyle name="Milliers 6 3 2 3 2 2 2 3" xfId="12150"/>
    <cellStyle name="Milliers 6 3 2 3 2 2 3" xfId="5670"/>
    <cellStyle name="Milliers 6 3 2 3 2 2 3 2" xfId="14310"/>
    <cellStyle name="Milliers 6 3 2 3 2 2 4" xfId="9990"/>
    <cellStyle name="Milliers 6 3 2 3 2 3" xfId="2070"/>
    <cellStyle name="Milliers 6 3 2 3 2 3 2" xfId="4230"/>
    <cellStyle name="Milliers 6 3 2 3 2 3 2 2" xfId="8550"/>
    <cellStyle name="Milliers 6 3 2 3 2 3 2 2 2" xfId="17190"/>
    <cellStyle name="Milliers 6 3 2 3 2 3 2 3" xfId="12870"/>
    <cellStyle name="Milliers 6 3 2 3 2 3 3" xfId="6390"/>
    <cellStyle name="Milliers 6 3 2 3 2 3 3 2" xfId="15030"/>
    <cellStyle name="Milliers 6 3 2 3 2 3 4" xfId="10710"/>
    <cellStyle name="Milliers 6 3 2 3 2 4" xfId="2790"/>
    <cellStyle name="Milliers 6 3 2 3 2 4 2" xfId="7110"/>
    <cellStyle name="Milliers 6 3 2 3 2 4 2 2" xfId="15750"/>
    <cellStyle name="Milliers 6 3 2 3 2 4 3" xfId="11430"/>
    <cellStyle name="Milliers 6 3 2 3 2 5" xfId="4950"/>
    <cellStyle name="Milliers 6 3 2 3 2 5 2" xfId="13590"/>
    <cellStyle name="Milliers 6 3 2 3 2 6" xfId="9270"/>
    <cellStyle name="Milliers 6 3 2 3 3" xfId="990"/>
    <cellStyle name="Milliers 6 3 2 3 3 2" xfId="3150"/>
    <cellStyle name="Milliers 6 3 2 3 3 2 2" xfId="7470"/>
    <cellStyle name="Milliers 6 3 2 3 3 2 2 2" xfId="16110"/>
    <cellStyle name="Milliers 6 3 2 3 3 2 3" xfId="11790"/>
    <cellStyle name="Milliers 6 3 2 3 3 3" xfId="5310"/>
    <cellStyle name="Milliers 6 3 2 3 3 3 2" xfId="13950"/>
    <cellStyle name="Milliers 6 3 2 3 3 4" xfId="9630"/>
    <cellStyle name="Milliers 6 3 2 3 4" xfId="1710"/>
    <cellStyle name="Milliers 6 3 2 3 4 2" xfId="3870"/>
    <cellStyle name="Milliers 6 3 2 3 4 2 2" xfId="8190"/>
    <cellStyle name="Milliers 6 3 2 3 4 2 2 2" xfId="16830"/>
    <cellStyle name="Milliers 6 3 2 3 4 2 3" xfId="12510"/>
    <cellStyle name="Milliers 6 3 2 3 4 3" xfId="6030"/>
    <cellStyle name="Milliers 6 3 2 3 4 3 2" xfId="14670"/>
    <cellStyle name="Milliers 6 3 2 3 4 4" xfId="10350"/>
    <cellStyle name="Milliers 6 3 2 3 5" xfId="2430"/>
    <cellStyle name="Milliers 6 3 2 3 5 2" xfId="6750"/>
    <cellStyle name="Milliers 6 3 2 3 5 2 2" xfId="15390"/>
    <cellStyle name="Milliers 6 3 2 3 5 3" xfId="11070"/>
    <cellStyle name="Milliers 6 3 2 3 6" xfId="4590"/>
    <cellStyle name="Milliers 6 3 2 3 6 2" xfId="13230"/>
    <cellStyle name="Milliers 6 3 2 3 7" xfId="8910"/>
    <cellStyle name="Milliers 6 3 2 4" xfId="450"/>
    <cellStyle name="Milliers 6 3 2 4 2" xfId="1170"/>
    <cellStyle name="Milliers 6 3 2 4 2 2" xfId="3330"/>
    <cellStyle name="Milliers 6 3 2 4 2 2 2" xfId="7650"/>
    <cellStyle name="Milliers 6 3 2 4 2 2 2 2" xfId="16290"/>
    <cellStyle name="Milliers 6 3 2 4 2 2 3" xfId="11970"/>
    <cellStyle name="Milliers 6 3 2 4 2 3" xfId="5490"/>
    <cellStyle name="Milliers 6 3 2 4 2 3 2" xfId="14130"/>
    <cellStyle name="Milliers 6 3 2 4 2 4" xfId="9810"/>
    <cellStyle name="Milliers 6 3 2 4 3" xfId="1890"/>
    <cellStyle name="Milliers 6 3 2 4 3 2" xfId="4050"/>
    <cellStyle name="Milliers 6 3 2 4 3 2 2" xfId="8370"/>
    <cellStyle name="Milliers 6 3 2 4 3 2 2 2" xfId="17010"/>
    <cellStyle name="Milliers 6 3 2 4 3 2 3" xfId="12690"/>
    <cellStyle name="Milliers 6 3 2 4 3 3" xfId="6210"/>
    <cellStyle name="Milliers 6 3 2 4 3 3 2" xfId="14850"/>
    <cellStyle name="Milliers 6 3 2 4 3 4" xfId="10530"/>
    <cellStyle name="Milliers 6 3 2 4 4" xfId="2610"/>
    <cellStyle name="Milliers 6 3 2 4 4 2" xfId="6930"/>
    <cellStyle name="Milliers 6 3 2 4 4 2 2" xfId="15570"/>
    <cellStyle name="Milliers 6 3 2 4 4 3" xfId="11250"/>
    <cellStyle name="Milliers 6 3 2 4 5" xfId="4770"/>
    <cellStyle name="Milliers 6 3 2 4 5 2" xfId="13410"/>
    <cellStyle name="Milliers 6 3 2 4 6" xfId="9090"/>
    <cellStyle name="Milliers 6 3 2 5" xfId="810"/>
    <cellStyle name="Milliers 6 3 2 5 2" xfId="2970"/>
    <cellStyle name="Milliers 6 3 2 5 2 2" xfId="7290"/>
    <cellStyle name="Milliers 6 3 2 5 2 2 2" xfId="15930"/>
    <cellStyle name="Milliers 6 3 2 5 2 3" xfId="11610"/>
    <cellStyle name="Milliers 6 3 2 5 3" xfId="5130"/>
    <cellStyle name="Milliers 6 3 2 5 3 2" xfId="13770"/>
    <cellStyle name="Milliers 6 3 2 5 4" xfId="9450"/>
    <cellStyle name="Milliers 6 3 2 6" xfId="1530"/>
    <cellStyle name="Milliers 6 3 2 6 2" xfId="3690"/>
    <cellStyle name="Milliers 6 3 2 6 2 2" xfId="8010"/>
    <cellStyle name="Milliers 6 3 2 6 2 2 2" xfId="16650"/>
    <cellStyle name="Milliers 6 3 2 6 2 3" xfId="12330"/>
    <cellStyle name="Milliers 6 3 2 6 3" xfId="5850"/>
    <cellStyle name="Milliers 6 3 2 6 3 2" xfId="14490"/>
    <cellStyle name="Milliers 6 3 2 6 4" xfId="10170"/>
    <cellStyle name="Milliers 6 3 2 7" xfId="2250"/>
    <cellStyle name="Milliers 6 3 2 7 2" xfId="6570"/>
    <cellStyle name="Milliers 6 3 2 7 2 2" xfId="15210"/>
    <cellStyle name="Milliers 6 3 2 7 3" xfId="10890"/>
    <cellStyle name="Milliers 6 3 2 8" xfId="4410"/>
    <cellStyle name="Milliers 6 3 2 8 2" xfId="13050"/>
    <cellStyle name="Milliers 6 3 2 9" xfId="8730"/>
    <cellStyle name="Milliers 6 3 3" xfId="135"/>
    <cellStyle name="Milliers 6 3 3 2" xfId="315"/>
    <cellStyle name="Milliers 6 3 3 2 2" xfId="675"/>
    <cellStyle name="Milliers 6 3 3 2 2 2" xfId="1395"/>
    <cellStyle name="Milliers 6 3 3 2 2 2 2" xfId="3555"/>
    <cellStyle name="Milliers 6 3 3 2 2 2 2 2" xfId="7875"/>
    <cellStyle name="Milliers 6 3 3 2 2 2 2 2 2" xfId="16515"/>
    <cellStyle name="Milliers 6 3 3 2 2 2 2 3" xfId="12195"/>
    <cellStyle name="Milliers 6 3 3 2 2 2 3" xfId="5715"/>
    <cellStyle name="Milliers 6 3 3 2 2 2 3 2" xfId="14355"/>
    <cellStyle name="Milliers 6 3 3 2 2 2 4" xfId="10035"/>
    <cellStyle name="Milliers 6 3 3 2 2 3" xfId="2115"/>
    <cellStyle name="Milliers 6 3 3 2 2 3 2" xfId="4275"/>
    <cellStyle name="Milliers 6 3 3 2 2 3 2 2" xfId="8595"/>
    <cellStyle name="Milliers 6 3 3 2 2 3 2 2 2" xfId="17235"/>
    <cellStyle name="Milliers 6 3 3 2 2 3 2 3" xfId="12915"/>
    <cellStyle name="Milliers 6 3 3 2 2 3 3" xfId="6435"/>
    <cellStyle name="Milliers 6 3 3 2 2 3 3 2" xfId="15075"/>
    <cellStyle name="Milliers 6 3 3 2 2 3 4" xfId="10755"/>
    <cellStyle name="Milliers 6 3 3 2 2 4" xfId="2835"/>
    <cellStyle name="Milliers 6 3 3 2 2 4 2" xfId="7155"/>
    <cellStyle name="Milliers 6 3 3 2 2 4 2 2" xfId="15795"/>
    <cellStyle name="Milliers 6 3 3 2 2 4 3" xfId="11475"/>
    <cellStyle name="Milliers 6 3 3 2 2 5" xfId="4995"/>
    <cellStyle name="Milliers 6 3 3 2 2 5 2" xfId="13635"/>
    <cellStyle name="Milliers 6 3 3 2 2 6" xfId="9315"/>
    <cellStyle name="Milliers 6 3 3 2 3" xfId="1035"/>
    <cellStyle name="Milliers 6 3 3 2 3 2" xfId="3195"/>
    <cellStyle name="Milliers 6 3 3 2 3 2 2" xfId="7515"/>
    <cellStyle name="Milliers 6 3 3 2 3 2 2 2" xfId="16155"/>
    <cellStyle name="Milliers 6 3 3 2 3 2 3" xfId="11835"/>
    <cellStyle name="Milliers 6 3 3 2 3 3" xfId="5355"/>
    <cellStyle name="Milliers 6 3 3 2 3 3 2" xfId="13995"/>
    <cellStyle name="Milliers 6 3 3 2 3 4" xfId="9675"/>
    <cellStyle name="Milliers 6 3 3 2 4" xfId="1755"/>
    <cellStyle name="Milliers 6 3 3 2 4 2" xfId="3915"/>
    <cellStyle name="Milliers 6 3 3 2 4 2 2" xfId="8235"/>
    <cellStyle name="Milliers 6 3 3 2 4 2 2 2" xfId="16875"/>
    <cellStyle name="Milliers 6 3 3 2 4 2 3" xfId="12555"/>
    <cellStyle name="Milliers 6 3 3 2 4 3" xfId="6075"/>
    <cellStyle name="Milliers 6 3 3 2 4 3 2" xfId="14715"/>
    <cellStyle name="Milliers 6 3 3 2 4 4" xfId="10395"/>
    <cellStyle name="Milliers 6 3 3 2 5" xfId="2475"/>
    <cellStyle name="Milliers 6 3 3 2 5 2" xfId="6795"/>
    <cellStyle name="Milliers 6 3 3 2 5 2 2" xfId="15435"/>
    <cellStyle name="Milliers 6 3 3 2 5 3" xfId="11115"/>
    <cellStyle name="Milliers 6 3 3 2 6" xfId="4635"/>
    <cellStyle name="Milliers 6 3 3 2 6 2" xfId="13275"/>
    <cellStyle name="Milliers 6 3 3 2 7" xfId="8955"/>
    <cellStyle name="Milliers 6 3 3 3" xfId="495"/>
    <cellStyle name="Milliers 6 3 3 3 2" xfId="1215"/>
    <cellStyle name="Milliers 6 3 3 3 2 2" xfId="3375"/>
    <cellStyle name="Milliers 6 3 3 3 2 2 2" xfId="7695"/>
    <cellStyle name="Milliers 6 3 3 3 2 2 2 2" xfId="16335"/>
    <cellStyle name="Milliers 6 3 3 3 2 2 3" xfId="12015"/>
    <cellStyle name="Milliers 6 3 3 3 2 3" xfId="5535"/>
    <cellStyle name="Milliers 6 3 3 3 2 3 2" xfId="14175"/>
    <cellStyle name="Milliers 6 3 3 3 2 4" xfId="9855"/>
    <cellStyle name="Milliers 6 3 3 3 3" xfId="1935"/>
    <cellStyle name="Milliers 6 3 3 3 3 2" xfId="4095"/>
    <cellStyle name="Milliers 6 3 3 3 3 2 2" xfId="8415"/>
    <cellStyle name="Milliers 6 3 3 3 3 2 2 2" xfId="17055"/>
    <cellStyle name="Milliers 6 3 3 3 3 2 3" xfId="12735"/>
    <cellStyle name="Milliers 6 3 3 3 3 3" xfId="6255"/>
    <cellStyle name="Milliers 6 3 3 3 3 3 2" xfId="14895"/>
    <cellStyle name="Milliers 6 3 3 3 3 4" xfId="10575"/>
    <cellStyle name="Milliers 6 3 3 3 4" xfId="2655"/>
    <cellStyle name="Milliers 6 3 3 3 4 2" xfId="6975"/>
    <cellStyle name="Milliers 6 3 3 3 4 2 2" xfId="15615"/>
    <cellStyle name="Milliers 6 3 3 3 4 3" xfId="11295"/>
    <cellStyle name="Milliers 6 3 3 3 5" xfId="4815"/>
    <cellStyle name="Milliers 6 3 3 3 5 2" xfId="13455"/>
    <cellStyle name="Milliers 6 3 3 3 6" xfId="9135"/>
    <cellStyle name="Milliers 6 3 3 4" xfId="855"/>
    <cellStyle name="Milliers 6 3 3 4 2" xfId="3015"/>
    <cellStyle name="Milliers 6 3 3 4 2 2" xfId="7335"/>
    <cellStyle name="Milliers 6 3 3 4 2 2 2" xfId="15975"/>
    <cellStyle name="Milliers 6 3 3 4 2 3" xfId="11655"/>
    <cellStyle name="Milliers 6 3 3 4 3" xfId="5175"/>
    <cellStyle name="Milliers 6 3 3 4 3 2" xfId="13815"/>
    <cellStyle name="Milliers 6 3 3 4 4" xfId="9495"/>
    <cellStyle name="Milliers 6 3 3 5" xfId="1575"/>
    <cellStyle name="Milliers 6 3 3 5 2" xfId="3735"/>
    <cellStyle name="Milliers 6 3 3 5 2 2" xfId="8055"/>
    <cellStyle name="Milliers 6 3 3 5 2 2 2" xfId="16695"/>
    <cellStyle name="Milliers 6 3 3 5 2 3" xfId="12375"/>
    <cellStyle name="Milliers 6 3 3 5 3" xfId="5895"/>
    <cellStyle name="Milliers 6 3 3 5 3 2" xfId="14535"/>
    <cellStyle name="Milliers 6 3 3 5 4" xfId="10215"/>
    <cellStyle name="Milliers 6 3 3 6" xfId="2295"/>
    <cellStyle name="Milliers 6 3 3 6 2" xfId="6615"/>
    <cellStyle name="Milliers 6 3 3 6 2 2" xfId="15255"/>
    <cellStyle name="Milliers 6 3 3 6 3" xfId="10935"/>
    <cellStyle name="Milliers 6 3 3 7" xfId="4455"/>
    <cellStyle name="Milliers 6 3 3 7 2" xfId="13095"/>
    <cellStyle name="Milliers 6 3 3 8" xfId="8775"/>
    <cellStyle name="Milliers 6 3 4" xfId="225"/>
    <cellStyle name="Milliers 6 3 4 2" xfId="585"/>
    <cellStyle name="Milliers 6 3 4 2 2" xfId="1305"/>
    <cellStyle name="Milliers 6 3 4 2 2 2" xfId="3465"/>
    <cellStyle name="Milliers 6 3 4 2 2 2 2" xfId="7785"/>
    <cellStyle name="Milliers 6 3 4 2 2 2 2 2" xfId="16425"/>
    <cellStyle name="Milliers 6 3 4 2 2 2 3" xfId="12105"/>
    <cellStyle name="Milliers 6 3 4 2 2 3" xfId="5625"/>
    <cellStyle name="Milliers 6 3 4 2 2 3 2" xfId="14265"/>
    <cellStyle name="Milliers 6 3 4 2 2 4" xfId="9945"/>
    <cellStyle name="Milliers 6 3 4 2 3" xfId="2025"/>
    <cellStyle name="Milliers 6 3 4 2 3 2" xfId="4185"/>
    <cellStyle name="Milliers 6 3 4 2 3 2 2" xfId="8505"/>
    <cellStyle name="Milliers 6 3 4 2 3 2 2 2" xfId="17145"/>
    <cellStyle name="Milliers 6 3 4 2 3 2 3" xfId="12825"/>
    <cellStyle name="Milliers 6 3 4 2 3 3" xfId="6345"/>
    <cellStyle name="Milliers 6 3 4 2 3 3 2" xfId="14985"/>
    <cellStyle name="Milliers 6 3 4 2 3 4" xfId="10665"/>
    <cellStyle name="Milliers 6 3 4 2 4" xfId="2745"/>
    <cellStyle name="Milliers 6 3 4 2 4 2" xfId="7065"/>
    <cellStyle name="Milliers 6 3 4 2 4 2 2" xfId="15705"/>
    <cellStyle name="Milliers 6 3 4 2 4 3" xfId="11385"/>
    <cellStyle name="Milliers 6 3 4 2 5" xfId="4905"/>
    <cellStyle name="Milliers 6 3 4 2 5 2" xfId="13545"/>
    <cellStyle name="Milliers 6 3 4 2 6" xfId="9225"/>
    <cellStyle name="Milliers 6 3 4 3" xfId="945"/>
    <cellStyle name="Milliers 6 3 4 3 2" xfId="3105"/>
    <cellStyle name="Milliers 6 3 4 3 2 2" xfId="7425"/>
    <cellStyle name="Milliers 6 3 4 3 2 2 2" xfId="16065"/>
    <cellStyle name="Milliers 6 3 4 3 2 3" xfId="11745"/>
    <cellStyle name="Milliers 6 3 4 3 3" xfId="5265"/>
    <cellStyle name="Milliers 6 3 4 3 3 2" xfId="13905"/>
    <cellStyle name="Milliers 6 3 4 3 4" xfId="9585"/>
    <cellStyle name="Milliers 6 3 4 4" xfId="1665"/>
    <cellStyle name="Milliers 6 3 4 4 2" xfId="3825"/>
    <cellStyle name="Milliers 6 3 4 4 2 2" xfId="8145"/>
    <cellStyle name="Milliers 6 3 4 4 2 2 2" xfId="16785"/>
    <cellStyle name="Milliers 6 3 4 4 2 3" xfId="12465"/>
    <cellStyle name="Milliers 6 3 4 4 3" xfId="5985"/>
    <cellStyle name="Milliers 6 3 4 4 3 2" xfId="14625"/>
    <cellStyle name="Milliers 6 3 4 4 4" xfId="10305"/>
    <cellStyle name="Milliers 6 3 4 5" xfId="2385"/>
    <cellStyle name="Milliers 6 3 4 5 2" xfId="6705"/>
    <cellStyle name="Milliers 6 3 4 5 2 2" xfId="15345"/>
    <cellStyle name="Milliers 6 3 4 5 3" xfId="11025"/>
    <cellStyle name="Milliers 6 3 4 6" xfId="4545"/>
    <cellStyle name="Milliers 6 3 4 6 2" xfId="13185"/>
    <cellStyle name="Milliers 6 3 4 7" xfId="8865"/>
    <cellStyle name="Milliers 6 3 5" xfId="405"/>
    <cellStyle name="Milliers 6 3 5 2" xfId="1125"/>
    <cellStyle name="Milliers 6 3 5 2 2" xfId="3285"/>
    <cellStyle name="Milliers 6 3 5 2 2 2" xfId="7605"/>
    <cellStyle name="Milliers 6 3 5 2 2 2 2" xfId="16245"/>
    <cellStyle name="Milliers 6 3 5 2 2 3" xfId="11925"/>
    <cellStyle name="Milliers 6 3 5 2 3" xfId="5445"/>
    <cellStyle name="Milliers 6 3 5 2 3 2" xfId="14085"/>
    <cellStyle name="Milliers 6 3 5 2 4" xfId="9765"/>
    <cellStyle name="Milliers 6 3 5 3" xfId="1845"/>
    <cellStyle name="Milliers 6 3 5 3 2" xfId="4005"/>
    <cellStyle name="Milliers 6 3 5 3 2 2" xfId="8325"/>
    <cellStyle name="Milliers 6 3 5 3 2 2 2" xfId="16965"/>
    <cellStyle name="Milliers 6 3 5 3 2 3" xfId="12645"/>
    <cellStyle name="Milliers 6 3 5 3 3" xfId="6165"/>
    <cellStyle name="Milliers 6 3 5 3 3 2" xfId="14805"/>
    <cellStyle name="Milliers 6 3 5 3 4" xfId="10485"/>
    <cellStyle name="Milliers 6 3 5 4" xfId="2565"/>
    <cellStyle name="Milliers 6 3 5 4 2" xfId="6885"/>
    <cellStyle name="Milliers 6 3 5 4 2 2" xfId="15525"/>
    <cellStyle name="Milliers 6 3 5 4 3" xfId="11205"/>
    <cellStyle name="Milliers 6 3 5 5" xfId="4725"/>
    <cellStyle name="Milliers 6 3 5 5 2" xfId="13365"/>
    <cellStyle name="Milliers 6 3 5 6" xfId="9045"/>
    <cellStyle name="Milliers 6 3 6" xfId="765"/>
    <cellStyle name="Milliers 6 3 6 2" xfId="2925"/>
    <cellStyle name="Milliers 6 3 6 2 2" xfId="7245"/>
    <cellStyle name="Milliers 6 3 6 2 2 2" xfId="15885"/>
    <cellStyle name="Milliers 6 3 6 2 3" xfId="11565"/>
    <cellStyle name="Milliers 6 3 6 3" xfId="5085"/>
    <cellStyle name="Milliers 6 3 6 3 2" xfId="13725"/>
    <cellStyle name="Milliers 6 3 6 4" xfId="9405"/>
    <cellStyle name="Milliers 6 3 7" xfId="1485"/>
    <cellStyle name="Milliers 6 3 7 2" xfId="3645"/>
    <cellStyle name="Milliers 6 3 7 2 2" xfId="7965"/>
    <cellStyle name="Milliers 6 3 7 2 2 2" xfId="16605"/>
    <cellStyle name="Milliers 6 3 7 2 3" xfId="12285"/>
    <cellStyle name="Milliers 6 3 7 3" xfId="5805"/>
    <cellStyle name="Milliers 6 3 7 3 2" xfId="14445"/>
    <cellStyle name="Milliers 6 3 7 4" xfId="10125"/>
    <cellStyle name="Milliers 6 3 8" xfId="2205"/>
    <cellStyle name="Milliers 6 3 8 2" xfId="6525"/>
    <cellStyle name="Milliers 6 3 8 2 2" xfId="15165"/>
    <cellStyle name="Milliers 6 3 8 3" xfId="10845"/>
    <cellStyle name="Milliers 6 3 9" xfId="4365"/>
    <cellStyle name="Milliers 6 3 9 2" xfId="13005"/>
    <cellStyle name="Milliers 6 4" xfId="60"/>
    <cellStyle name="Milliers 6 4 2" xfId="150"/>
    <cellStyle name="Milliers 6 4 2 2" xfId="330"/>
    <cellStyle name="Milliers 6 4 2 2 2" xfId="690"/>
    <cellStyle name="Milliers 6 4 2 2 2 2" xfId="1410"/>
    <cellStyle name="Milliers 6 4 2 2 2 2 2" xfId="3570"/>
    <cellStyle name="Milliers 6 4 2 2 2 2 2 2" xfId="7890"/>
    <cellStyle name="Milliers 6 4 2 2 2 2 2 2 2" xfId="16530"/>
    <cellStyle name="Milliers 6 4 2 2 2 2 2 3" xfId="12210"/>
    <cellStyle name="Milliers 6 4 2 2 2 2 3" xfId="5730"/>
    <cellStyle name="Milliers 6 4 2 2 2 2 3 2" xfId="14370"/>
    <cellStyle name="Milliers 6 4 2 2 2 2 4" xfId="10050"/>
    <cellStyle name="Milliers 6 4 2 2 2 3" xfId="2130"/>
    <cellStyle name="Milliers 6 4 2 2 2 3 2" xfId="4290"/>
    <cellStyle name="Milliers 6 4 2 2 2 3 2 2" xfId="8610"/>
    <cellStyle name="Milliers 6 4 2 2 2 3 2 2 2" xfId="17250"/>
    <cellStyle name="Milliers 6 4 2 2 2 3 2 3" xfId="12930"/>
    <cellStyle name="Milliers 6 4 2 2 2 3 3" xfId="6450"/>
    <cellStyle name="Milliers 6 4 2 2 2 3 3 2" xfId="15090"/>
    <cellStyle name="Milliers 6 4 2 2 2 3 4" xfId="10770"/>
    <cellStyle name="Milliers 6 4 2 2 2 4" xfId="2850"/>
    <cellStyle name="Milliers 6 4 2 2 2 4 2" xfId="7170"/>
    <cellStyle name="Milliers 6 4 2 2 2 4 2 2" xfId="15810"/>
    <cellStyle name="Milliers 6 4 2 2 2 4 3" xfId="11490"/>
    <cellStyle name="Milliers 6 4 2 2 2 5" xfId="5010"/>
    <cellStyle name="Milliers 6 4 2 2 2 5 2" xfId="13650"/>
    <cellStyle name="Milliers 6 4 2 2 2 6" xfId="9330"/>
    <cellStyle name="Milliers 6 4 2 2 3" xfId="1050"/>
    <cellStyle name="Milliers 6 4 2 2 3 2" xfId="3210"/>
    <cellStyle name="Milliers 6 4 2 2 3 2 2" xfId="7530"/>
    <cellStyle name="Milliers 6 4 2 2 3 2 2 2" xfId="16170"/>
    <cellStyle name="Milliers 6 4 2 2 3 2 3" xfId="11850"/>
    <cellStyle name="Milliers 6 4 2 2 3 3" xfId="5370"/>
    <cellStyle name="Milliers 6 4 2 2 3 3 2" xfId="14010"/>
    <cellStyle name="Milliers 6 4 2 2 3 4" xfId="9690"/>
    <cellStyle name="Milliers 6 4 2 2 4" xfId="1770"/>
    <cellStyle name="Milliers 6 4 2 2 4 2" xfId="3930"/>
    <cellStyle name="Milliers 6 4 2 2 4 2 2" xfId="8250"/>
    <cellStyle name="Milliers 6 4 2 2 4 2 2 2" xfId="16890"/>
    <cellStyle name="Milliers 6 4 2 2 4 2 3" xfId="12570"/>
    <cellStyle name="Milliers 6 4 2 2 4 3" xfId="6090"/>
    <cellStyle name="Milliers 6 4 2 2 4 3 2" xfId="14730"/>
    <cellStyle name="Milliers 6 4 2 2 4 4" xfId="10410"/>
    <cellStyle name="Milliers 6 4 2 2 5" xfId="2490"/>
    <cellStyle name="Milliers 6 4 2 2 5 2" xfId="6810"/>
    <cellStyle name="Milliers 6 4 2 2 5 2 2" xfId="15450"/>
    <cellStyle name="Milliers 6 4 2 2 5 3" xfId="11130"/>
    <cellStyle name="Milliers 6 4 2 2 6" xfId="4650"/>
    <cellStyle name="Milliers 6 4 2 2 6 2" xfId="13290"/>
    <cellStyle name="Milliers 6 4 2 2 7" xfId="8970"/>
    <cellStyle name="Milliers 6 4 2 3" xfId="510"/>
    <cellStyle name="Milliers 6 4 2 3 2" xfId="1230"/>
    <cellStyle name="Milliers 6 4 2 3 2 2" xfId="3390"/>
    <cellStyle name="Milliers 6 4 2 3 2 2 2" xfId="7710"/>
    <cellStyle name="Milliers 6 4 2 3 2 2 2 2" xfId="16350"/>
    <cellStyle name="Milliers 6 4 2 3 2 2 3" xfId="12030"/>
    <cellStyle name="Milliers 6 4 2 3 2 3" xfId="5550"/>
    <cellStyle name="Milliers 6 4 2 3 2 3 2" xfId="14190"/>
    <cellStyle name="Milliers 6 4 2 3 2 4" xfId="9870"/>
    <cellStyle name="Milliers 6 4 2 3 3" xfId="1950"/>
    <cellStyle name="Milliers 6 4 2 3 3 2" xfId="4110"/>
    <cellStyle name="Milliers 6 4 2 3 3 2 2" xfId="8430"/>
    <cellStyle name="Milliers 6 4 2 3 3 2 2 2" xfId="17070"/>
    <cellStyle name="Milliers 6 4 2 3 3 2 3" xfId="12750"/>
    <cellStyle name="Milliers 6 4 2 3 3 3" xfId="6270"/>
    <cellStyle name="Milliers 6 4 2 3 3 3 2" xfId="14910"/>
    <cellStyle name="Milliers 6 4 2 3 3 4" xfId="10590"/>
    <cellStyle name="Milliers 6 4 2 3 4" xfId="2670"/>
    <cellStyle name="Milliers 6 4 2 3 4 2" xfId="6990"/>
    <cellStyle name="Milliers 6 4 2 3 4 2 2" xfId="15630"/>
    <cellStyle name="Milliers 6 4 2 3 4 3" xfId="11310"/>
    <cellStyle name="Milliers 6 4 2 3 5" xfId="4830"/>
    <cellStyle name="Milliers 6 4 2 3 5 2" xfId="13470"/>
    <cellStyle name="Milliers 6 4 2 3 6" xfId="9150"/>
    <cellStyle name="Milliers 6 4 2 4" xfId="870"/>
    <cellStyle name="Milliers 6 4 2 4 2" xfId="3030"/>
    <cellStyle name="Milliers 6 4 2 4 2 2" xfId="7350"/>
    <cellStyle name="Milliers 6 4 2 4 2 2 2" xfId="15990"/>
    <cellStyle name="Milliers 6 4 2 4 2 3" xfId="11670"/>
    <cellStyle name="Milliers 6 4 2 4 3" xfId="5190"/>
    <cellStyle name="Milliers 6 4 2 4 3 2" xfId="13830"/>
    <cellStyle name="Milliers 6 4 2 4 4" xfId="9510"/>
    <cellStyle name="Milliers 6 4 2 5" xfId="1590"/>
    <cellStyle name="Milliers 6 4 2 5 2" xfId="3750"/>
    <cellStyle name="Milliers 6 4 2 5 2 2" xfId="8070"/>
    <cellStyle name="Milliers 6 4 2 5 2 2 2" xfId="16710"/>
    <cellStyle name="Milliers 6 4 2 5 2 3" xfId="12390"/>
    <cellStyle name="Milliers 6 4 2 5 3" xfId="5910"/>
    <cellStyle name="Milliers 6 4 2 5 3 2" xfId="14550"/>
    <cellStyle name="Milliers 6 4 2 5 4" xfId="10230"/>
    <cellStyle name="Milliers 6 4 2 6" xfId="2310"/>
    <cellStyle name="Milliers 6 4 2 6 2" xfId="6630"/>
    <cellStyle name="Milliers 6 4 2 6 2 2" xfId="15270"/>
    <cellStyle name="Milliers 6 4 2 6 3" xfId="10950"/>
    <cellStyle name="Milliers 6 4 2 7" xfId="4470"/>
    <cellStyle name="Milliers 6 4 2 7 2" xfId="13110"/>
    <cellStyle name="Milliers 6 4 2 8" xfId="8790"/>
    <cellStyle name="Milliers 6 4 3" xfId="240"/>
    <cellStyle name="Milliers 6 4 3 2" xfId="600"/>
    <cellStyle name="Milliers 6 4 3 2 2" xfId="1320"/>
    <cellStyle name="Milliers 6 4 3 2 2 2" xfId="3480"/>
    <cellStyle name="Milliers 6 4 3 2 2 2 2" xfId="7800"/>
    <cellStyle name="Milliers 6 4 3 2 2 2 2 2" xfId="16440"/>
    <cellStyle name="Milliers 6 4 3 2 2 2 3" xfId="12120"/>
    <cellStyle name="Milliers 6 4 3 2 2 3" xfId="5640"/>
    <cellStyle name="Milliers 6 4 3 2 2 3 2" xfId="14280"/>
    <cellStyle name="Milliers 6 4 3 2 2 4" xfId="9960"/>
    <cellStyle name="Milliers 6 4 3 2 3" xfId="2040"/>
    <cellStyle name="Milliers 6 4 3 2 3 2" xfId="4200"/>
    <cellStyle name="Milliers 6 4 3 2 3 2 2" xfId="8520"/>
    <cellStyle name="Milliers 6 4 3 2 3 2 2 2" xfId="17160"/>
    <cellStyle name="Milliers 6 4 3 2 3 2 3" xfId="12840"/>
    <cellStyle name="Milliers 6 4 3 2 3 3" xfId="6360"/>
    <cellStyle name="Milliers 6 4 3 2 3 3 2" xfId="15000"/>
    <cellStyle name="Milliers 6 4 3 2 3 4" xfId="10680"/>
    <cellStyle name="Milliers 6 4 3 2 4" xfId="2760"/>
    <cellStyle name="Milliers 6 4 3 2 4 2" xfId="7080"/>
    <cellStyle name="Milliers 6 4 3 2 4 2 2" xfId="15720"/>
    <cellStyle name="Milliers 6 4 3 2 4 3" xfId="11400"/>
    <cellStyle name="Milliers 6 4 3 2 5" xfId="4920"/>
    <cellStyle name="Milliers 6 4 3 2 5 2" xfId="13560"/>
    <cellStyle name="Milliers 6 4 3 2 6" xfId="9240"/>
    <cellStyle name="Milliers 6 4 3 3" xfId="960"/>
    <cellStyle name="Milliers 6 4 3 3 2" xfId="3120"/>
    <cellStyle name="Milliers 6 4 3 3 2 2" xfId="7440"/>
    <cellStyle name="Milliers 6 4 3 3 2 2 2" xfId="16080"/>
    <cellStyle name="Milliers 6 4 3 3 2 3" xfId="11760"/>
    <cellStyle name="Milliers 6 4 3 3 3" xfId="5280"/>
    <cellStyle name="Milliers 6 4 3 3 3 2" xfId="13920"/>
    <cellStyle name="Milliers 6 4 3 3 4" xfId="9600"/>
    <cellStyle name="Milliers 6 4 3 4" xfId="1680"/>
    <cellStyle name="Milliers 6 4 3 4 2" xfId="3840"/>
    <cellStyle name="Milliers 6 4 3 4 2 2" xfId="8160"/>
    <cellStyle name="Milliers 6 4 3 4 2 2 2" xfId="16800"/>
    <cellStyle name="Milliers 6 4 3 4 2 3" xfId="12480"/>
    <cellStyle name="Milliers 6 4 3 4 3" xfId="6000"/>
    <cellStyle name="Milliers 6 4 3 4 3 2" xfId="14640"/>
    <cellStyle name="Milliers 6 4 3 4 4" xfId="10320"/>
    <cellStyle name="Milliers 6 4 3 5" xfId="2400"/>
    <cellStyle name="Milliers 6 4 3 5 2" xfId="6720"/>
    <cellStyle name="Milliers 6 4 3 5 2 2" xfId="15360"/>
    <cellStyle name="Milliers 6 4 3 5 3" xfId="11040"/>
    <cellStyle name="Milliers 6 4 3 6" xfId="4560"/>
    <cellStyle name="Milliers 6 4 3 6 2" xfId="13200"/>
    <cellStyle name="Milliers 6 4 3 7" xfId="8880"/>
    <cellStyle name="Milliers 6 4 4" xfId="420"/>
    <cellStyle name="Milliers 6 4 4 2" xfId="1140"/>
    <cellStyle name="Milliers 6 4 4 2 2" xfId="3300"/>
    <cellStyle name="Milliers 6 4 4 2 2 2" xfId="7620"/>
    <cellStyle name="Milliers 6 4 4 2 2 2 2" xfId="16260"/>
    <cellStyle name="Milliers 6 4 4 2 2 3" xfId="11940"/>
    <cellStyle name="Milliers 6 4 4 2 3" xfId="5460"/>
    <cellStyle name="Milliers 6 4 4 2 3 2" xfId="14100"/>
    <cellStyle name="Milliers 6 4 4 2 4" xfId="9780"/>
    <cellStyle name="Milliers 6 4 4 3" xfId="1860"/>
    <cellStyle name="Milliers 6 4 4 3 2" xfId="4020"/>
    <cellStyle name="Milliers 6 4 4 3 2 2" xfId="8340"/>
    <cellStyle name="Milliers 6 4 4 3 2 2 2" xfId="16980"/>
    <cellStyle name="Milliers 6 4 4 3 2 3" xfId="12660"/>
    <cellStyle name="Milliers 6 4 4 3 3" xfId="6180"/>
    <cellStyle name="Milliers 6 4 4 3 3 2" xfId="14820"/>
    <cellStyle name="Milliers 6 4 4 3 4" xfId="10500"/>
    <cellStyle name="Milliers 6 4 4 4" xfId="2580"/>
    <cellStyle name="Milliers 6 4 4 4 2" xfId="6900"/>
    <cellStyle name="Milliers 6 4 4 4 2 2" xfId="15540"/>
    <cellStyle name="Milliers 6 4 4 4 3" xfId="11220"/>
    <cellStyle name="Milliers 6 4 4 5" xfId="4740"/>
    <cellStyle name="Milliers 6 4 4 5 2" xfId="13380"/>
    <cellStyle name="Milliers 6 4 4 6" xfId="9060"/>
    <cellStyle name="Milliers 6 4 5" xfId="780"/>
    <cellStyle name="Milliers 6 4 5 2" xfId="2940"/>
    <cellStyle name="Milliers 6 4 5 2 2" xfId="7260"/>
    <cellStyle name="Milliers 6 4 5 2 2 2" xfId="15900"/>
    <cellStyle name="Milliers 6 4 5 2 3" xfId="11580"/>
    <cellStyle name="Milliers 6 4 5 3" xfId="5100"/>
    <cellStyle name="Milliers 6 4 5 3 2" xfId="13740"/>
    <cellStyle name="Milliers 6 4 5 4" xfId="9420"/>
    <cellStyle name="Milliers 6 4 6" xfId="1500"/>
    <cellStyle name="Milliers 6 4 6 2" xfId="3660"/>
    <cellStyle name="Milliers 6 4 6 2 2" xfId="7980"/>
    <cellStyle name="Milliers 6 4 6 2 2 2" xfId="16620"/>
    <cellStyle name="Milliers 6 4 6 2 3" xfId="12300"/>
    <cellStyle name="Milliers 6 4 6 3" xfId="5820"/>
    <cellStyle name="Milliers 6 4 6 3 2" xfId="14460"/>
    <cellStyle name="Milliers 6 4 6 4" xfId="10140"/>
    <cellStyle name="Milliers 6 4 7" xfId="2220"/>
    <cellStyle name="Milliers 6 4 7 2" xfId="6540"/>
    <cellStyle name="Milliers 6 4 7 2 2" xfId="15180"/>
    <cellStyle name="Milliers 6 4 7 3" xfId="10860"/>
    <cellStyle name="Milliers 6 4 8" xfId="4380"/>
    <cellStyle name="Milliers 6 4 8 2" xfId="13020"/>
    <cellStyle name="Milliers 6 4 9" xfId="8700"/>
    <cellStyle name="Milliers 6 5" xfId="105"/>
    <cellStyle name="Milliers 6 5 2" xfId="285"/>
    <cellStyle name="Milliers 6 5 2 2" xfId="645"/>
    <cellStyle name="Milliers 6 5 2 2 2" xfId="1365"/>
    <cellStyle name="Milliers 6 5 2 2 2 2" xfId="3525"/>
    <cellStyle name="Milliers 6 5 2 2 2 2 2" xfId="7845"/>
    <cellStyle name="Milliers 6 5 2 2 2 2 2 2" xfId="16485"/>
    <cellStyle name="Milliers 6 5 2 2 2 2 3" xfId="12165"/>
    <cellStyle name="Milliers 6 5 2 2 2 3" xfId="5685"/>
    <cellStyle name="Milliers 6 5 2 2 2 3 2" xfId="14325"/>
    <cellStyle name="Milliers 6 5 2 2 2 4" xfId="10005"/>
    <cellStyle name="Milliers 6 5 2 2 3" xfId="2085"/>
    <cellStyle name="Milliers 6 5 2 2 3 2" xfId="4245"/>
    <cellStyle name="Milliers 6 5 2 2 3 2 2" xfId="8565"/>
    <cellStyle name="Milliers 6 5 2 2 3 2 2 2" xfId="17205"/>
    <cellStyle name="Milliers 6 5 2 2 3 2 3" xfId="12885"/>
    <cellStyle name="Milliers 6 5 2 2 3 3" xfId="6405"/>
    <cellStyle name="Milliers 6 5 2 2 3 3 2" xfId="15045"/>
    <cellStyle name="Milliers 6 5 2 2 3 4" xfId="10725"/>
    <cellStyle name="Milliers 6 5 2 2 4" xfId="2805"/>
    <cellStyle name="Milliers 6 5 2 2 4 2" xfId="7125"/>
    <cellStyle name="Milliers 6 5 2 2 4 2 2" xfId="15765"/>
    <cellStyle name="Milliers 6 5 2 2 4 3" xfId="11445"/>
    <cellStyle name="Milliers 6 5 2 2 5" xfId="4965"/>
    <cellStyle name="Milliers 6 5 2 2 5 2" xfId="13605"/>
    <cellStyle name="Milliers 6 5 2 2 6" xfId="9285"/>
    <cellStyle name="Milliers 6 5 2 3" xfId="1005"/>
    <cellStyle name="Milliers 6 5 2 3 2" xfId="3165"/>
    <cellStyle name="Milliers 6 5 2 3 2 2" xfId="7485"/>
    <cellStyle name="Milliers 6 5 2 3 2 2 2" xfId="16125"/>
    <cellStyle name="Milliers 6 5 2 3 2 3" xfId="11805"/>
    <cellStyle name="Milliers 6 5 2 3 3" xfId="5325"/>
    <cellStyle name="Milliers 6 5 2 3 3 2" xfId="13965"/>
    <cellStyle name="Milliers 6 5 2 3 4" xfId="9645"/>
    <cellStyle name="Milliers 6 5 2 4" xfId="1725"/>
    <cellStyle name="Milliers 6 5 2 4 2" xfId="3885"/>
    <cellStyle name="Milliers 6 5 2 4 2 2" xfId="8205"/>
    <cellStyle name="Milliers 6 5 2 4 2 2 2" xfId="16845"/>
    <cellStyle name="Milliers 6 5 2 4 2 3" xfId="12525"/>
    <cellStyle name="Milliers 6 5 2 4 3" xfId="6045"/>
    <cellStyle name="Milliers 6 5 2 4 3 2" xfId="14685"/>
    <cellStyle name="Milliers 6 5 2 4 4" xfId="10365"/>
    <cellStyle name="Milliers 6 5 2 5" xfId="2445"/>
    <cellStyle name="Milliers 6 5 2 5 2" xfId="6765"/>
    <cellStyle name="Milliers 6 5 2 5 2 2" xfId="15405"/>
    <cellStyle name="Milliers 6 5 2 5 3" xfId="11085"/>
    <cellStyle name="Milliers 6 5 2 6" xfId="4605"/>
    <cellStyle name="Milliers 6 5 2 6 2" xfId="13245"/>
    <cellStyle name="Milliers 6 5 2 7" xfId="8925"/>
    <cellStyle name="Milliers 6 5 3" xfId="465"/>
    <cellStyle name="Milliers 6 5 3 2" xfId="1185"/>
    <cellStyle name="Milliers 6 5 3 2 2" xfId="3345"/>
    <cellStyle name="Milliers 6 5 3 2 2 2" xfId="7665"/>
    <cellStyle name="Milliers 6 5 3 2 2 2 2" xfId="16305"/>
    <cellStyle name="Milliers 6 5 3 2 2 3" xfId="11985"/>
    <cellStyle name="Milliers 6 5 3 2 3" xfId="5505"/>
    <cellStyle name="Milliers 6 5 3 2 3 2" xfId="14145"/>
    <cellStyle name="Milliers 6 5 3 2 4" xfId="9825"/>
    <cellStyle name="Milliers 6 5 3 3" xfId="1905"/>
    <cellStyle name="Milliers 6 5 3 3 2" xfId="4065"/>
    <cellStyle name="Milliers 6 5 3 3 2 2" xfId="8385"/>
    <cellStyle name="Milliers 6 5 3 3 2 2 2" xfId="17025"/>
    <cellStyle name="Milliers 6 5 3 3 2 3" xfId="12705"/>
    <cellStyle name="Milliers 6 5 3 3 3" xfId="6225"/>
    <cellStyle name="Milliers 6 5 3 3 3 2" xfId="14865"/>
    <cellStyle name="Milliers 6 5 3 3 4" xfId="10545"/>
    <cellStyle name="Milliers 6 5 3 4" xfId="2625"/>
    <cellStyle name="Milliers 6 5 3 4 2" xfId="6945"/>
    <cellStyle name="Milliers 6 5 3 4 2 2" xfId="15585"/>
    <cellStyle name="Milliers 6 5 3 4 3" xfId="11265"/>
    <cellStyle name="Milliers 6 5 3 5" xfId="4785"/>
    <cellStyle name="Milliers 6 5 3 5 2" xfId="13425"/>
    <cellStyle name="Milliers 6 5 3 6" xfId="9105"/>
    <cellStyle name="Milliers 6 5 4" xfId="825"/>
    <cellStyle name="Milliers 6 5 4 2" xfId="2985"/>
    <cellStyle name="Milliers 6 5 4 2 2" xfId="7305"/>
    <cellStyle name="Milliers 6 5 4 2 2 2" xfId="15945"/>
    <cellStyle name="Milliers 6 5 4 2 3" xfId="11625"/>
    <cellStyle name="Milliers 6 5 4 3" xfId="5145"/>
    <cellStyle name="Milliers 6 5 4 3 2" xfId="13785"/>
    <cellStyle name="Milliers 6 5 4 4" xfId="9465"/>
    <cellStyle name="Milliers 6 5 5" xfId="1545"/>
    <cellStyle name="Milliers 6 5 5 2" xfId="3705"/>
    <cellStyle name="Milliers 6 5 5 2 2" xfId="8025"/>
    <cellStyle name="Milliers 6 5 5 2 2 2" xfId="16665"/>
    <cellStyle name="Milliers 6 5 5 2 3" xfId="12345"/>
    <cellStyle name="Milliers 6 5 5 3" xfId="5865"/>
    <cellStyle name="Milliers 6 5 5 3 2" xfId="14505"/>
    <cellStyle name="Milliers 6 5 5 4" xfId="10185"/>
    <cellStyle name="Milliers 6 5 6" xfId="2265"/>
    <cellStyle name="Milliers 6 5 6 2" xfId="6585"/>
    <cellStyle name="Milliers 6 5 6 2 2" xfId="15225"/>
    <cellStyle name="Milliers 6 5 6 3" xfId="10905"/>
    <cellStyle name="Milliers 6 5 7" xfId="4425"/>
    <cellStyle name="Milliers 6 5 7 2" xfId="13065"/>
    <cellStyle name="Milliers 6 5 8" xfId="8745"/>
    <cellStyle name="Milliers 6 6" xfId="195"/>
    <cellStyle name="Milliers 6 6 2" xfId="555"/>
    <cellStyle name="Milliers 6 6 2 2" xfId="1275"/>
    <cellStyle name="Milliers 6 6 2 2 2" xfId="3435"/>
    <cellStyle name="Milliers 6 6 2 2 2 2" xfId="7755"/>
    <cellStyle name="Milliers 6 6 2 2 2 2 2" xfId="16395"/>
    <cellStyle name="Milliers 6 6 2 2 2 3" xfId="12075"/>
    <cellStyle name="Milliers 6 6 2 2 3" xfId="5595"/>
    <cellStyle name="Milliers 6 6 2 2 3 2" xfId="14235"/>
    <cellStyle name="Milliers 6 6 2 2 4" xfId="9915"/>
    <cellStyle name="Milliers 6 6 2 3" xfId="1995"/>
    <cellStyle name="Milliers 6 6 2 3 2" xfId="4155"/>
    <cellStyle name="Milliers 6 6 2 3 2 2" xfId="8475"/>
    <cellStyle name="Milliers 6 6 2 3 2 2 2" xfId="17115"/>
    <cellStyle name="Milliers 6 6 2 3 2 3" xfId="12795"/>
    <cellStyle name="Milliers 6 6 2 3 3" xfId="6315"/>
    <cellStyle name="Milliers 6 6 2 3 3 2" xfId="14955"/>
    <cellStyle name="Milliers 6 6 2 3 4" xfId="10635"/>
    <cellStyle name="Milliers 6 6 2 4" xfId="2715"/>
    <cellStyle name="Milliers 6 6 2 4 2" xfId="7035"/>
    <cellStyle name="Milliers 6 6 2 4 2 2" xfId="15675"/>
    <cellStyle name="Milliers 6 6 2 4 3" xfId="11355"/>
    <cellStyle name="Milliers 6 6 2 5" xfId="4875"/>
    <cellStyle name="Milliers 6 6 2 5 2" xfId="13515"/>
    <cellStyle name="Milliers 6 6 2 6" xfId="9195"/>
    <cellStyle name="Milliers 6 6 3" xfId="915"/>
    <cellStyle name="Milliers 6 6 3 2" xfId="3075"/>
    <cellStyle name="Milliers 6 6 3 2 2" xfId="7395"/>
    <cellStyle name="Milliers 6 6 3 2 2 2" xfId="16035"/>
    <cellStyle name="Milliers 6 6 3 2 3" xfId="11715"/>
    <cellStyle name="Milliers 6 6 3 3" xfId="5235"/>
    <cellStyle name="Milliers 6 6 3 3 2" xfId="13875"/>
    <cellStyle name="Milliers 6 6 3 4" xfId="9555"/>
    <cellStyle name="Milliers 6 6 4" xfId="1635"/>
    <cellStyle name="Milliers 6 6 4 2" xfId="3795"/>
    <cellStyle name="Milliers 6 6 4 2 2" xfId="8115"/>
    <cellStyle name="Milliers 6 6 4 2 2 2" xfId="16755"/>
    <cellStyle name="Milliers 6 6 4 2 3" xfId="12435"/>
    <cellStyle name="Milliers 6 6 4 3" xfId="5955"/>
    <cellStyle name="Milliers 6 6 4 3 2" xfId="14595"/>
    <cellStyle name="Milliers 6 6 4 4" xfId="10275"/>
    <cellStyle name="Milliers 6 6 5" xfId="2355"/>
    <cellStyle name="Milliers 6 6 5 2" xfId="6675"/>
    <cellStyle name="Milliers 6 6 5 2 2" xfId="15315"/>
    <cellStyle name="Milliers 6 6 5 3" xfId="10995"/>
    <cellStyle name="Milliers 6 6 6" xfId="4515"/>
    <cellStyle name="Milliers 6 6 6 2" xfId="13155"/>
    <cellStyle name="Milliers 6 6 7" xfId="8835"/>
    <cellStyle name="Milliers 6 7" xfId="375"/>
    <cellStyle name="Milliers 6 7 2" xfId="1095"/>
    <cellStyle name="Milliers 6 7 2 2" xfId="3255"/>
    <cellStyle name="Milliers 6 7 2 2 2" xfId="7575"/>
    <cellStyle name="Milliers 6 7 2 2 2 2" xfId="16215"/>
    <cellStyle name="Milliers 6 7 2 2 3" xfId="11895"/>
    <cellStyle name="Milliers 6 7 2 3" xfId="5415"/>
    <cellStyle name="Milliers 6 7 2 3 2" xfId="14055"/>
    <cellStyle name="Milliers 6 7 2 4" xfId="9735"/>
    <cellStyle name="Milliers 6 7 3" xfId="1815"/>
    <cellStyle name="Milliers 6 7 3 2" xfId="3975"/>
    <cellStyle name="Milliers 6 7 3 2 2" xfId="8295"/>
    <cellStyle name="Milliers 6 7 3 2 2 2" xfId="16935"/>
    <cellStyle name="Milliers 6 7 3 2 3" xfId="12615"/>
    <cellStyle name="Milliers 6 7 3 3" xfId="6135"/>
    <cellStyle name="Milliers 6 7 3 3 2" xfId="14775"/>
    <cellStyle name="Milliers 6 7 3 4" xfId="10455"/>
    <cellStyle name="Milliers 6 7 4" xfId="2535"/>
    <cellStyle name="Milliers 6 7 4 2" xfId="6855"/>
    <cellStyle name="Milliers 6 7 4 2 2" xfId="15495"/>
    <cellStyle name="Milliers 6 7 4 3" xfId="11175"/>
    <cellStyle name="Milliers 6 7 5" xfId="4695"/>
    <cellStyle name="Milliers 6 7 5 2" xfId="13335"/>
    <cellStyle name="Milliers 6 7 6" xfId="9015"/>
    <cellStyle name="Milliers 6 8" xfId="735"/>
    <cellStyle name="Milliers 6 8 2" xfId="2895"/>
    <cellStyle name="Milliers 6 8 2 2" xfId="7215"/>
    <cellStyle name="Milliers 6 8 2 2 2" xfId="15855"/>
    <cellStyle name="Milliers 6 8 2 3" xfId="11535"/>
    <cellStyle name="Milliers 6 8 3" xfId="5055"/>
    <cellStyle name="Milliers 6 8 3 2" xfId="13695"/>
    <cellStyle name="Milliers 6 8 4" xfId="9375"/>
    <cellStyle name="Milliers 6 9" xfId="1455"/>
    <cellStyle name="Milliers 6 9 2" xfId="3615"/>
    <cellStyle name="Milliers 6 9 2 2" xfId="7935"/>
    <cellStyle name="Milliers 6 9 2 2 2" xfId="16575"/>
    <cellStyle name="Milliers 6 9 2 3" xfId="12255"/>
    <cellStyle name="Milliers 6 9 3" xfId="5775"/>
    <cellStyle name="Milliers 6 9 3 2" xfId="14415"/>
    <cellStyle name="Milliers 6 9 4" xfId="10095"/>
    <cellStyle name="Milliers 7" xfId="18"/>
    <cellStyle name="Milliers 7 10" xfId="8658"/>
    <cellStyle name="Milliers 7 2" xfId="63"/>
    <cellStyle name="Milliers 7 2 2" xfId="153"/>
    <cellStyle name="Milliers 7 2 2 2" xfId="333"/>
    <cellStyle name="Milliers 7 2 2 2 2" xfId="693"/>
    <cellStyle name="Milliers 7 2 2 2 2 2" xfId="1413"/>
    <cellStyle name="Milliers 7 2 2 2 2 2 2" xfId="3573"/>
    <cellStyle name="Milliers 7 2 2 2 2 2 2 2" xfId="7893"/>
    <cellStyle name="Milliers 7 2 2 2 2 2 2 2 2" xfId="16533"/>
    <cellStyle name="Milliers 7 2 2 2 2 2 2 3" xfId="12213"/>
    <cellStyle name="Milliers 7 2 2 2 2 2 3" xfId="5733"/>
    <cellStyle name="Milliers 7 2 2 2 2 2 3 2" xfId="14373"/>
    <cellStyle name="Milliers 7 2 2 2 2 2 4" xfId="10053"/>
    <cellStyle name="Milliers 7 2 2 2 2 3" xfId="2133"/>
    <cellStyle name="Milliers 7 2 2 2 2 3 2" xfId="4293"/>
    <cellStyle name="Milliers 7 2 2 2 2 3 2 2" xfId="8613"/>
    <cellStyle name="Milliers 7 2 2 2 2 3 2 2 2" xfId="17253"/>
    <cellStyle name="Milliers 7 2 2 2 2 3 2 3" xfId="12933"/>
    <cellStyle name="Milliers 7 2 2 2 2 3 3" xfId="6453"/>
    <cellStyle name="Milliers 7 2 2 2 2 3 3 2" xfId="15093"/>
    <cellStyle name="Milliers 7 2 2 2 2 3 4" xfId="10773"/>
    <cellStyle name="Milliers 7 2 2 2 2 4" xfId="2853"/>
    <cellStyle name="Milliers 7 2 2 2 2 4 2" xfId="7173"/>
    <cellStyle name="Milliers 7 2 2 2 2 4 2 2" xfId="15813"/>
    <cellStyle name="Milliers 7 2 2 2 2 4 3" xfId="11493"/>
    <cellStyle name="Milliers 7 2 2 2 2 5" xfId="5013"/>
    <cellStyle name="Milliers 7 2 2 2 2 5 2" xfId="13653"/>
    <cellStyle name="Milliers 7 2 2 2 2 6" xfId="9333"/>
    <cellStyle name="Milliers 7 2 2 2 3" xfId="1053"/>
    <cellStyle name="Milliers 7 2 2 2 3 2" xfId="3213"/>
    <cellStyle name="Milliers 7 2 2 2 3 2 2" xfId="7533"/>
    <cellStyle name="Milliers 7 2 2 2 3 2 2 2" xfId="16173"/>
    <cellStyle name="Milliers 7 2 2 2 3 2 3" xfId="11853"/>
    <cellStyle name="Milliers 7 2 2 2 3 3" xfId="5373"/>
    <cellStyle name="Milliers 7 2 2 2 3 3 2" xfId="14013"/>
    <cellStyle name="Milliers 7 2 2 2 3 4" xfId="9693"/>
    <cellStyle name="Milliers 7 2 2 2 4" xfId="1773"/>
    <cellStyle name="Milliers 7 2 2 2 4 2" xfId="3933"/>
    <cellStyle name="Milliers 7 2 2 2 4 2 2" xfId="8253"/>
    <cellStyle name="Milliers 7 2 2 2 4 2 2 2" xfId="16893"/>
    <cellStyle name="Milliers 7 2 2 2 4 2 3" xfId="12573"/>
    <cellStyle name="Milliers 7 2 2 2 4 3" xfId="6093"/>
    <cellStyle name="Milliers 7 2 2 2 4 3 2" xfId="14733"/>
    <cellStyle name="Milliers 7 2 2 2 4 4" xfId="10413"/>
    <cellStyle name="Milliers 7 2 2 2 5" xfId="2493"/>
    <cellStyle name="Milliers 7 2 2 2 5 2" xfId="6813"/>
    <cellStyle name="Milliers 7 2 2 2 5 2 2" xfId="15453"/>
    <cellStyle name="Milliers 7 2 2 2 5 3" xfId="11133"/>
    <cellStyle name="Milliers 7 2 2 2 6" xfId="4653"/>
    <cellStyle name="Milliers 7 2 2 2 6 2" xfId="13293"/>
    <cellStyle name="Milliers 7 2 2 2 7" xfId="8973"/>
    <cellStyle name="Milliers 7 2 2 3" xfId="513"/>
    <cellStyle name="Milliers 7 2 2 3 2" xfId="1233"/>
    <cellStyle name="Milliers 7 2 2 3 2 2" xfId="3393"/>
    <cellStyle name="Milliers 7 2 2 3 2 2 2" xfId="7713"/>
    <cellStyle name="Milliers 7 2 2 3 2 2 2 2" xfId="16353"/>
    <cellStyle name="Milliers 7 2 2 3 2 2 3" xfId="12033"/>
    <cellStyle name="Milliers 7 2 2 3 2 3" xfId="5553"/>
    <cellStyle name="Milliers 7 2 2 3 2 3 2" xfId="14193"/>
    <cellStyle name="Milliers 7 2 2 3 2 4" xfId="9873"/>
    <cellStyle name="Milliers 7 2 2 3 3" xfId="1953"/>
    <cellStyle name="Milliers 7 2 2 3 3 2" xfId="4113"/>
    <cellStyle name="Milliers 7 2 2 3 3 2 2" xfId="8433"/>
    <cellStyle name="Milliers 7 2 2 3 3 2 2 2" xfId="17073"/>
    <cellStyle name="Milliers 7 2 2 3 3 2 3" xfId="12753"/>
    <cellStyle name="Milliers 7 2 2 3 3 3" xfId="6273"/>
    <cellStyle name="Milliers 7 2 2 3 3 3 2" xfId="14913"/>
    <cellStyle name="Milliers 7 2 2 3 3 4" xfId="10593"/>
    <cellStyle name="Milliers 7 2 2 3 4" xfId="2673"/>
    <cellStyle name="Milliers 7 2 2 3 4 2" xfId="6993"/>
    <cellStyle name="Milliers 7 2 2 3 4 2 2" xfId="15633"/>
    <cellStyle name="Milliers 7 2 2 3 4 3" xfId="11313"/>
    <cellStyle name="Milliers 7 2 2 3 5" xfId="4833"/>
    <cellStyle name="Milliers 7 2 2 3 5 2" xfId="13473"/>
    <cellStyle name="Milliers 7 2 2 3 6" xfId="9153"/>
    <cellStyle name="Milliers 7 2 2 4" xfId="873"/>
    <cellStyle name="Milliers 7 2 2 4 2" xfId="3033"/>
    <cellStyle name="Milliers 7 2 2 4 2 2" xfId="7353"/>
    <cellStyle name="Milliers 7 2 2 4 2 2 2" xfId="15993"/>
    <cellStyle name="Milliers 7 2 2 4 2 3" xfId="11673"/>
    <cellStyle name="Milliers 7 2 2 4 3" xfId="5193"/>
    <cellStyle name="Milliers 7 2 2 4 3 2" xfId="13833"/>
    <cellStyle name="Milliers 7 2 2 4 4" xfId="9513"/>
    <cellStyle name="Milliers 7 2 2 5" xfId="1593"/>
    <cellStyle name="Milliers 7 2 2 5 2" xfId="3753"/>
    <cellStyle name="Milliers 7 2 2 5 2 2" xfId="8073"/>
    <cellStyle name="Milliers 7 2 2 5 2 2 2" xfId="16713"/>
    <cellStyle name="Milliers 7 2 2 5 2 3" xfId="12393"/>
    <cellStyle name="Milliers 7 2 2 5 3" xfId="5913"/>
    <cellStyle name="Milliers 7 2 2 5 3 2" xfId="14553"/>
    <cellStyle name="Milliers 7 2 2 5 4" xfId="10233"/>
    <cellStyle name="Milliers 7 2 2 6" xfId="2313"/>
    <cellStyle name="Milliers 7 2 2 6 2" xfId="6633"/>
    <cellStyle name="Milliers 7 2 2 6 2 2" xfId="15273"/>
    <cellStyle name="Milliers 7 2 2 6 3" xfId="10953"/>
    <cellStyle name="Milliers 7 2 2 7" xfId="4473"/>
    <cellStyle name="Milliers 7 2 2 7 2" xfId="13113"/>
    <cellStyle name="Milliers 7 2 2 8" xfId="8793"/>
    <cellStyle name="Milliers 7 2 3" xfId="243"/>
    <cellStyle name="Milliers 7 2 3 2" xfId="603"/>
    <cellStyle name="Milliers 7 2 3 2 2" xfId="1323"/>
    <cellStyle name="Milliers 7 2 3 2 2 2" xfId="3483"/>
    <cellStyle name="Milliers 7 2 3 2 2 2 2" xfId="7803"/>
    <cellStyle name="Milliers 7 2 3 2 2 2 2 2" xfId="16443"/>
    <cellStyle name="Milliers 7 2 3 2 2 2 3" xfId="12123"/>
    <cellStyle name="Milliers 7 2 3 2 2 3" xfId="5643"/>
    <cellStyle name="Milliers 7 2 3 2 2 3 2" xfId="14283"/>
    <cellStyle name="Milliers 7 2 3 2 2 4" xfId="9963"/>
    <cellStyle name="Milliers 7 2 3 2 3" xfId="2043"/>
    <cellStyle name="Milliers 7 2 3 2 3 2" xfId="4203"/>
    <cellStyle name="Milliers 7 2 3 2 3 2 2" xfId="8523"/>
    <cellStyle name="Milliers 7 2 3 2 3 2 2 2" xfId="17163"/>
    <cellStyle name="Milliers 7 2 3 2 3 2 3" xfId="12843"/>
    <cellStyle name="Milliers 7 2 3 2 3 3" xfId="6363"/>
    <cellStyle name="Milliers 7 2 3 2 3 3 2" xfId="15003"/>
    <cellStyle name="Milliers 7 2 3 2 3 4" xfId="10683"/>
    <cellStyle name="Milliers 7 2 3 2 4" xfId="2763"/>
    <cellStyle name="Milliers 7 2 3 2 4 2" xfId="7083"/>
    <cellStyle name="Milliers 7 2 3 2 4 2 2" xfId="15723"/>
    <cellStyle name="Milliers 7 2 3 2 4 3" xfId="11403"/>
    <cellStyle name="Milliers 7 2 3 2 5" xfId="4923"/>
    <cellStyle name="Milliers 7 2 3 2 5 2" xfId="13563"/>
    <cellStyle name="Milliers 7 2 3 2 6" xfId="9243"/>
    <cellStyle name="Milliers 7 2 3 3" xfId="963"/>
    <cellStyle name="Milliers 7 2 3 3 2" xfId="3123"/>
    <cellStyle name="Milliers 7 2 3 3 2 2" xfId="7443"/>
    <cellStyle name="Milliers 7 2 3 3 2 2 2" xfId="16083"/>
    <cellStyle name="Milliers 7 2 3 3 2 3" xfId="11763"/>
    <cellStyle name="Milliers 7 2 3 3 3" xfId="5283"/>
    <cellStyle name="Milliers 7 2 3 3 3 2" xfId="13923"/>
    <cellStyle name="Milliers 7 2 3 3 4" xfId="9603"/>
    <cellStyle name="Milliers 7 2 3 4" xfId="1683"/>
    <cellStyle name="Milliers 7 2 3 4 2" xfId="3843"/>
    <cellStyle name="Milliers 7 2 3 4 2 2" xfId="8163"/>
    <cellStyle name="Milliers 7 2 3 4 2 2 2" xfId="16803"/>
    <cellStyle name="Milliers 7 2 3 4 2 3" xfId="12483"/>
    <cellStyle name="Milliers 7 2 3 4 3" xfId="6003"/>
    <cellStyle name="Milliers 7 2 3 4 3 2" xfId="14643"/>
    <cellStyle name="Milliers 7 2 3 4 4" xfId="10323"/>
    <cellStyle name="Milliers 7 2 3 5" xfId="2403"/>
    <cellStyle name="Milliers 7 2 3 5 2" xfId="6723"/>
    <cellStyle name="Milliers 7 2 3 5 2 2" xfId="15363"/>
    <cellStyle name="Milliers 7 2 3 5 3" xfId="11043"/>
    <cellStyle name="Milliers 7 2 3 6" xfId="4563"/>
    <cellStyle name="Milliers 7 2 3 6 2" xfId="13203"/>
    <cellStyle name="Milliers 7 2 3 7" xfId="8883"/>
    <cellStyle name="Milliers 7 2 4" xfId="423"/>
    <cellStyle name="Milliers 7 2 4 2" xfId="1143"/>
    <cellStyle name="Milliers 7 2 4 2 2" xfId="3303"/>
    <cellStyle name="Milliers 7 2 4 2 2 2" xfId="7623"/>
    <cellStyle name="Milliers 7 2 4 2 2 2 2" xfId="16263"/>
    <cellStyle name="Milliers 7 2 4 2 2 3" xfId="11943"/>
    <cellStyle name="Milliers 7 2 4 2 3" xfId="5463"/>
    <cellStyle name="Milliers 7 2 4 2 3 2" xfId="14103"/>
    <cellStyle name="Milliers 7 2 4 2 4" xfId="9783"/>
    <cellStyle name="Milliers 7 2 4 3" xfId="1863"/>
    <cellStyle name="Milliers 7 2 4 3 2" xfId="4023"/>
    <cellStyle name="Milliers 7 2 4 3 2 2" xfId="8343"/>
    <cellStyle name="Milliers 7 2 4 3 2 2 2" xfId="16983"/>
    <cellStyle name="Milliers 7 2 4 3 2 3" xfId="12663"/>
    <cellStyle name="Milliers 7 2 4 3 3" xfId="6183"/>
    <cellStyle name="Milliers 7 2 4 3 3 2" xfId="14823"/>
    <cellStyle name="Milliers 7 2 4 3 4" xfId="10503"/>
    <cellStyle name="Milliers 7 2 4 4" xfId="2583"/>
    <cellStyle name="Milliers 7 2 4 4 2" xfId="6903"/>
    <cellStyle name="Milliers 7 2 4 4 2 2" xfId="15543"/>
    <cellStyle name="Milliers 7 2 4 4 3" xfId="11223"/>
    <cellStyle name="Milliers 7 2 4 5" xfId="4743"/>
    <cellStyle name="Milliers 7 2 4 5 2" xfId="13383"/>
    <cellStyle name="Milliers 7 2 4 6" xfId="9063"/>
    <cellStyle name="Milliers 7 2 5" xfId="783"/>
    <cellStyle name="Milliers 7 2 5 2" xfId="2943"/>
    <cellStyle name="Milliers 7 2 5 2 2" xfId="7263"/>
    <cellStyle name="Milliers 7 2 5 2 2 2" xfId="15903"/>
    <cellStyle name="Milliers 7 2 5 2 3" xfId="11583"/>
    <cellStyle name="Milliers 7 2 5 3" xfId="5103"/>
    <cellStyle name="Milliers 7 2 5 3 2" xfId="13743"/>
    <cellStyle name="Milliers 7 2 5 4" xfId="9423"/>
    <cellStyle name="Milliers 7 2 6" xfId="1503"/>
    <cellStyle name="Milliers 7 2 6 2" xfId="3663"/>
    <cellStyle name="Milliers 7 2 6 2 2" xfId="7983"/>
    <cellStyle name="Milliers 7 2 6 2 2 2" xfId="16623"/>
    <cellStyle name="Milliers 7 2 6 2 3" xfId="12303"/>
    <cellStyle name="Milliers 7 2 6 3" xfId="5823"/>
    <cellStyle name="Milliers 7 2 6 3 2" xfId="14463"/>
    <cellStyle name="Milliers 7 2 6 4" xfId="10143"/>
    <cellStyle name="Milliers 7 2 7" xfId="2223"/>
    <cellStyle name="Milliers 7 2 7 2" xfId="6543"/>
    <cellStyle name="Milliers 7 2 7 2 2" xfId="15183"/>
    <cellStyle name="Milliers 7 2 7 3" xfId="10863"/>
    <cellStyle name="Milliers 7 2 8" xfId="4383"/>
    <cellStyle name="Milliers 7 2 8 2" xfId="13023"/>
    <cellStyle name="Milliers 7 2 9" xfId="8703"/>
    <cellStyle name="Milliers 7 3" xfId="108"/>
    <cellStyle name="Milliers 7 3 2" xfId="288"/>
    <cellStyle name="Milliers 7 3 2 2" xfId="648"/>
    <cellStyle name="Milliers 7 3 2 2 2" xfId="1368"/>
    <cellStyle name="Milliers 7 3 2 2 2 2" xfId="3528"/>
    <cellStyle name="Milliers 7 3 2 2 2 2 2" xfId="7848"/>
    <cellStyle name="Milliers 7 3 2 2 2 2 2 2" xfId="16488"/>
    <cellStyle name="Milliers 7 3 2 2 2 2 3" xfId="12168"/>
    <cellStyle name="Milliers 7 3 2 2 2 3" xfId="5688"/>
    <cellStyle name="Milliers 7 3 2 2 2 3 2" xfId="14328"/>
    <cellStyle name="Milliers 7 3 2 2 2 4" xfId="10008"/>
    <cellStyle name="Milliers 7 3 2 2 3" xfId="2088"/>
    <cellStyle name="Milliers 7 3 2 2 3 2" xfId="4248"/>
    <cellStyle name="Milliers 7 3 2 2 3 2 2" xfId="8568"/>
    <cellStyle name="Milliers 7 3 2 2 3 2 2 2" xfId="17208"/>
    <cellStyle name="Milliers 7 3 2 2 3 2 3" xfId="12888"/>
    <cellStyle name="Milliers 7 3 2 2 3 3" xfId="6408"/>
    <cellStyle name="Milliers 7 3 2 2 3 3 2" xfId="15048"/>
    <cellStyle name="Milliers 7 3 2 2 3 4" xfId="10728"/>
    <cellStyle name="Milliers 7 3 2 2 4" xfId="2808"/>
    <cellStyle name="Milliers 7 3 2 2 4 2" xfId="7128"/>
    <cellStyle name="Milliers 7 3 2 2 4 2 2" xfId="15768"/>
    <cellStyle name="Milliers 7 3 2 2 4 3" xfId="11448"/>
    <cellStyle name="Milliers 7 3 2 2 5" xfId="4968"/>
    <cellStyle name="Milliers 7 3 2 2 5 2" xfId="13608"/>
    <cellStyle name="Milliers 7 3 2 2 6" xfId="9288"/>
    <cellStyle name="Milliers 7 3 2 3" xfId="1008"/>
    <cellStyle name="Milliers 7 3 2 3 2" xfId="3168"/>
    <cellStyle name="Milliers 7 3 2 3 2 2" xfId="7488"/>
    <cellStyle name="Milliers 7 3 2 3 2 2 2" xfId="16128"/>
    <cellStyle name="Milliers 7 3 2 3 2 3" xfId="11808"/>
    <cellStyle name="Milliers 7 3 2 3 3" xfId="5328"/>
    <cellStyle name="Milliers 7 3 2 3 3 2" xfId="13968"/>
    <cellStyle name="Milliers 7 3 2 3 4" xfId="9648"/>
    <cellStyle name="Milliers 7 3 2 4" xfId="1728"/>
    <cellStyle name="Milliers 7 3 2 4 2" xfId="3888"/>
    <cellStyle name="Milliers 7 3 2 4 2 2" xfId="8208"/>
    <cellStyle name="Milliers 7 3 2 4 2 2 2" xfId="16848"/>
    <cellStyle name="Milliers 7 3 2 4 2 3" xfId="12528"/>
    <cellStyle name="Milliers 7 3 2 4 3" xfId="6048"/>
    <cellStyle name="Milliers 7 3 2 4 3 2" xfId="14688"/>
    <cellStyle name="Milliers 7 3 2 4 4" xfId="10368"/>
    <cellStyle name="Milliers 7 3 2 5" xfId="2448"/>
    <cellStyle name="Milliers 7 3 2 5 2" xfId="6768"/>
    <cellStyle name="Milliers 7 3 2 5 2 2" xfId="15408"/>
    <cellStyle name="Milliers 7 3 2 5 3" xfId="11088"/>
    <cellStyle name="Milliers 7 3 2 6" xfId="4608"/>
    <cellStyle name="Milliers 7 3 2 6 2" xfId="13248"/>
    <cellStyle name="Milliers 7 3 2 7" xfId="8928"/>
    <cellStyle name="Milliers 7 3 3" xfId="468"/>
    <cellStyle name="Milliers 7 3 3 2" xfId="1188"/>
    <cellStyle name="Milliers 7 3 3 2 2" xfId="3348"/>
    <cellStyle name="Milliers 7 3 3 2 2 2" xfId="7668"/>
    <cellStyle name="Milliers 7 3 3 2 2 2 2" xfId="16308"/>
    <cellStyle name="Milliers 7 3 3 2 2 3" xfId="11988"/>
    <cellStyle name="Milliers 7 3 3 2 3" xfId="5508"/>
    <cellStyle name="Milliers 7 3 3 2 3 2" xfId="14148"/>
    <cellStyle name="Milliers 7 3 3 2 4" xfId="9828"/>
    <cellStyle name="Milliers 7 3 3 3" xfId="1908"/>
    <cellStyle name="Milliers 7 3 3 3 2" xfId="4068"/>
    <cellStyle name="Milliers 7 3 3 3 2 2" xfId="8388"/>
    <cellStyle name="Milliers 7 3 3 3 2 2 2" xfId="17028"/>
    <cellStyle name="Milliers 7 3 3 3 2 3" xfId="12708"/>
    <cellStyle name="Milliers 7 3 3 3 3" xfId="6228"/>
    <cellStyle name="Milliers 7 3 3 3 3 2" xfId="14868"/>
    <cellStyle name="Milliers 7 3 3 3 4" xfId="10548"/>
    <cellStyle name="Milliers 7 3 3 4" xfId="2628"/>
    <cellStyle name="Milliers 7 3 3 4 2" xfId="6948"/>
    <cellStyle name="Milliers 7 3 3 4 2 2" xfId="15588"/>
    <cellStyle name="Milliers 7 3 3 4 3" xfId="11268"/>
    <cellStyle name="Milliers 7 3 3 5" xfId="4788"/>
    <cellStyle name="Milliers 7 3 3 5 2" xfId="13428"/>
    <cellStyle name="Milliers 7 3 3 6" xfId="9108"/>
    <cellStyle name="Milliers 7 3 4" xfId="828"/>
    <cellStyle name="Milliers 7 3 4 2" xfId="2988"/>
    <cellStyle name="Milliers 7 3 4 2 2" xfId="7308"/>
    <cellStyle name="Milliers 7 3 4 2 2 2" xfId="15948"/>
    <cellStyle name="Milliers 7 3 4 2 3" xfId="11628"/>
    <cellStyle name="Milliers 7 3 4 3" xfId="5148"/>
    <cellStyle name="Milliers 7 3 4 3 2" xfId="13788"/>
    <cellStyle name="Milliers 7 3 4 4" xfId="9468"/>
    <cellStyle name="Milliers 7 3 5" xfId="1548"/>
    <cellStyle name="Milliers 7 3 5 2" xfId="3708"/>
    <cellStyle name="Milliers 7 3 5 2 2" xfId="8028"/>
    <cellStyle name="Milliers 7 3 5 2 2 2" xfId="16668"/>
    <cellStyle name="Milliers 7 3 5 2 3" xfId="12348"/>
    <cellStyle name="Milliers 7 3 5 3" xfId="5868"/>
    <cellStyle name="Milliers 7 3 5 3 2" xfId="14508"/>
    <cellStyle name="Milliers 7 3 5 4" xfId="10188"/>
    <cellStyle name="Milliers 7 3 6" xfId="2268"/>
    <cellStyle name="Milliers 7 3 6 2" xfId="6588"/>
    <cellStyle name="Milliers 7 3 6 2 2" xfId="15228"/>
    <cellStyle name="Milliers 7 3 6 3" xfId="10908"/>
    <cellStyle name="Milliers 7 3 7" xfId="4428"/>
    <cellStyle name="Milliers 7 3 7 2" xfId="13068"/>
    <cellStyle name="Milliers 7 3 8" xfId="8748"/>
    <cellStyle name="Milliers 7 4" xfId="198"/>
    <cellStyle name="Milliers 7 4 2" xfId="558"/>
    <cellStyle name="Milliers 7 4 2 2" xfId="1278"/>
    <cellStyle name="Milliers 7 4 2 2 2" xfId="3438"/>
    <cellStyle name="Milliers 7 4 2 2 2 2" xfId="7758"/>
    <cellStyle name="Milliers 7 4 2 2 2 2 2" xfId="16398"/>
    <cellStyle name="Milliers 7 4 2 2 2 3" xfId="12078"/>
    <cellStyle name="Milliers 7 4 2 2 3" xfId="5598"/>
    <cellStyle name="Milliers 7 4 2 2 3 2" xfId="14238"/>
    <cellStyle name="Milliers 7 4 2 2 4" xfId="9918"/>
    <cellStyle name="Milliers 7 4 2 3" xfId="1998"/>
    <cellStyle name="Milliers 7 4 2 3 2" xfId="4158"/>
    <cellStyle name="Milliers 7 4 2 3 2 2" xfId="8478"/>
    <cellStyle name="Milliers 7 4 2 3 2 2 2" xfId="17118"/>
    <cellStyle name="Milliers 7 4 2 3 2 3" xfId="12798"/>
    <cellStyle name="Milliers 7 4 2 3 3" xfId="6318"/>
    <cellStyle name="Milliers 7 4 2 3 3 2" xfId="14958"/>
    <cellStyle name="Milliers 7 4 2 3 4" xfId="10638"/>
    <cellStyle name="Milliers 7 4 2 4" xfId="2718"/>
    <cellStyle name="Milliers 7 4 2 4 2" xfId="7038"/>
    <cellStyle name="Milliers 7 4 2 4 2 2" xfId="15678"/>
    <cellStyle name="Milliers 7 4 2 4 3" xfId="11358"/>
    <cellStyle name="Milliers 7 4 2 5" xfId="4878"/>
    <cellStyle name="Milliers 7 4 2 5 2" xfId="13518"/>
    <cellStyle name="Milliers 7 4 2 6" xfId="9198"/>
    <cellStyle name="Milliers 7 4 3" xfId="918"/>
    <cellStyle name="Milliers 7 4 3 2" xfId="3078"/>
    <cellStyle name="Milliers 7 4 3 2 2" xfId="7398"/>
    <cellStyle name="Milliers 7 4 3 2 2 2" xfId="16038"/>
    <cellStyle name="Milliers 7 4 3 2 3" xfId="11718"/>
    <cellStyle name="Milliers 7 4 3 3" xfId="5238"/>
    <cellStyle name="Milliers 7 4 3 3 2" xfId="13878"/>
    <cellStyle name="Milliers 7 4 3 4" xfId="9558"/>
    <cellStyle name="Milliers 7 4 4" xfId="1638"/>
    <cellStyle name="Milliers 7 4 4 2" xfId="3798"/>
    <cellStyle name="Milliers 7 4 4 2 2" xfId="8118"/>
    <cellStyle name="Milliers 7 4 4 2 2 2" xfId="16758"/>
    <cellStyle name="Milliers 7 4 4 2 3" xfId="12438"/>
    <cellStyle name="Milliers 7 4 4 3" xfId="5958"/>
    <cellStyle name="Milliers 7 4 4 3 2" xfId="14598"/>
    <cellStyle name="Milliers 7 4 4 4" xfId="10278"/>
    <cellStyle name="Milliers 7 4 5" xfId="2358"/>
    <cellStyle name="Milliers 7 4 5 2" xfId="6678"/>
    <cellStyle name="Milliers 7 4 5 2 2" xfId="15318"/>
    <cellStyle name="Milliers 7 4 5 3" xfId="10998"/>
    <cellStyle name="Milliers 7 4 6" xfId="4518"/>
    <cellStyle name="Milliers 7 4 6 2" xfId="13158"/>
    <cellStyle name="Milliers 7 4 7" xfId="8838"/>
    <cellStyle name="Milliers 7 5" xfId="378"/>
    <cellStyle name="Milliers 7 5 2" xfId="1098"/>
    <cellStyle name="Milliers 7 5 2 2" xfId="3258"/>
    <cellStyle name="Milliers 7 5 2 2 2" xfId="7578"/>
    <cellStyle name="Milliers 7 5 2 2 2 2" xfId="16218"/>
    <cellStyle name="Milliers 7 5 2 2 3" xfId="11898"/>
    <cellStyle name="Milliers 7 5 2 3" xfId="5418"/>
    <cellStyle name="Milliers 7 5 2 3 2" xfId="14058"/>
    <cellStyle name="Milliers 7 5 2 4" xfId="9738"/>
    <cellStyle name="Milliers 7 5 3" xfId="1818"/>
    <cellStyle name="Milliers 7 5 3 2" xfId="3978"/>
    <cellStyle name="Milliers 7 5 3 2 2" xfId="8298"/>
    <cellStyle name="Milliers 7 5 3 2 2 2" xfId="16938"/>
    <cellStyle name="Milliers 7 5 3 2 3" xfId="12618"/>
    <cellStyle name="Milliers 7 5 3 3" xfId="6138"/>
    <cellStyle name="Milliers 7 5 3 3 2" xfId="14778"/>
    <cellStyle name="Milliers 7 5 3 4" xfId="10458"/>
    <cellStyle name="Milliers 7 5 4" xfId="2538"/>
    <cellStyle name="Milliers 7 5 4 2" xfId="6858"/>
    <cellStyle name="Milliers 7 5 4 2 2" xfId="15498"/>
    <cellStyle name="Milliers 7 5 4 3" xfId="11178"/>
    <cellStyle name="Milliers 7 5 5" xfId="4698"/>
    <cellStyle name="Milliers 7 5 5 2" xfId="13338"/>
    <cellStyle name="Milliers 7 5 6" xfId="9018"/>
    <cellStyle name="Milliers 7 6" xfId="738"/>
    <cellStyle name="Milliers 7 6 2" xfId="2898"/>
    <cellStyle name="Milliers 7 6 2 2" xfId="7218"/>
    <cellStyle name="Milliers 7 6 2 2 2" xfId="15858"/>
    <cellStyle name="Milliers 7 6 2 3" xfId="11538"/>
    <cellStyle name="Milliers 7 6 3" xfId="5058"/>
    <cellStyle name="Milliers 7 6 3 2" xfId="13698"/>
    <cellStyle name="Milliers 7 6 4" xfId="9378"/>
    <cellStyle name="Milliers 7 7" xfId="1458"/>
    <cellStyle name="Milliers 7 7 2" xfId="3618"/>
    <cellStyle name="Milliers 7 7 2 2" xfId="7938"/>
    <cellStyle name="Milliers 7 7 2 2 2" xfId="16578"/>
    <cellStyle name="Milliers 7 7 2 3" xfId="12258"/>
    <cellStyle name="Milliers 7 7 3" xfId="5778"/>
    <cellStyle name="Milliers 7 7 3 2" xfId="14418"/>
    <cellStyle name="Milliers 7 7 4" xfId="10098"/>
    <cellStyle name="Milliers 7 8" xfId="2178"/>
    <cellStyle name="Milliers 7 8 2" xfId="6498"/>
    <cellStyle name="Milliers 7 8 2 2" xfId="15138"/>
    <cellStyle name="Milliers 7 8 3" xfId="10818"/>
    <cellStyle name="Milliers 7 9" xfId="4338"/>
    <cellStyle name="Milliers 7 9 2" xfId="12978"/>
    <cellStyle name="Milliers 8" xfId="33"/>
    <cellStyle name="Milliers 8 10" xfId="8673"/>
    <cellStyle name="Milliers 8 2" xfId="78"/>
    <cellStyle name="Milliers 8 2 2" xfId="168"/>
    <cellStyle name="Milliers 8 2 2 2" xfId="348"/>
    <cellStyle name="Milliers 8 2 2 2 2" xfId="708"/>
    <cellStyle name="Milliers 8 2 2 2 2 2" xfId="1428"/>
    <cellStyle name="Milliers 8 2 2 2 2 2 2" xfId="3588"/>
    <cellStyle name="Milliers 8 2 2 2 2 2 2 2" xfId="7908"/>
    <cellStyle name="Milliers 8 2 2 2 2 2 2 2 2" xfId="16548"/>
    <cellStyle name="Milliers 8 2 2 2 2 2 2 3" xfId="12228"/>
    <cellStyle name="Milliers 8 2 2 2 2 2 3" xfId="5748"/>
    <cellStyle name="Milliers 8 2 2 2 2 2 3 2" xfId="14388"/>
    <cellStyle name="Milliers 8 2 2 2 2 2 4" xfId="10068"/>
    <cellStyle name="Milliers 8 2 2 2 2 3" xfId="2148"/>
    <cellStyle name="Milliers 8 2 2 2 2 3 2" xfId="4308"/>
    <cellStyle name="Milliers 8 2 2 2 2 3 2 2" xfId="8628"/>
    <cellStyle name="Milliers 8 2 2 2 2 3 2 2 2" xfId="17268"/>
    <cellStyle name="Milliers 8 2 2 2 2 3 2 3" xfId="12948"/>
    <cellStyle name="Milliers 8 2 2 2 2 3 3" xfId="6468"/>
    <cellStyle name="Milliers 8 2 2 2 2 3 3 2" xfId="15108"/>
    <cellStyle name="Milliers 8 2 2 2 2 3 4" xfId="10788"/>
    <cellStyle name="Milliers 8 2 2 2 2 4" xfId="2868"/>
    <cellStyle name="Milliers 8 2 2 2 2 4 2" xfId="7188"/>
    <cellStyle name="Milliers 8 2 2 2 2 4 2 2" xfId="15828"/>
    <cellStyle name="Milliers 8 2 2 2 2 4 3" xfId="11508"/>
    <cellStyle name="Milliers 8 2 2 2 2 5" xfId="5028"/>
    <cellStyle name="Milliers 8 2 2 2 2 5 2" xfId="13668"/>
    <cellStyle name="Milliers 8 2 2 2 2 6" xfId="9348"/>
    <cellStyle name="Milliers 8 2 2 2 3" xfId="1068"/>
    <cellStyle name="Milliers 8 2 2 2 3 2" xfId="3228"/>
    <cellStyle name="Milliers 8 2 2 2 3 2 2" xfId="7548"/>
    <cellStyle name="Milliers 8 2 2 2 3 2 2 2" xfId="16188"/>
    <cellStyle name="Milliers 8 2 2 2 3 2 3" xfId="11868"/>
    <cellStyle name="Milliers 8 2 2 2 3 3" xfId="5388"/>
    <cellStyle name="Milliers 8 2 2 2 3 3 2" xfId="14028"/>
    <cellStyle name="Milliers 8 2 2 2 3 4" xfId="9708"/>
    <cellStyle name="Milliers 8 2 2 2 4" xfId="1788"/>
    <cellStyle name="Milliers 8 2 2 2 4 2" xfId="3948"/>
    <cellStyle name="Milliers 8 2 2 2 4 2 2" xfId="8268"/>
    <cellStyle name="Milliers 8 2 2 2 4 2 2 2" xfId="16908"/>
    <cellStyle name="Milliers 8 2 2 2 4 2 3" xfId="12588"/>
    <cellStyle name="Milliers 8 2 2 2 4 3" xfId="6108"/>
    <cellStyle name="Milliers 8 2 2 2 4 3 2" xfId="14748"/>
    <cellStyle name="Milliers 8 2 2 2 4 4" xfId="10428"/>
    <cellStyle name="Milliers 8 2 2 2 5" xfId="2508"/>
    <cellStyle name="Milliers 8 2 2 2 5 2" xfId="6828"/>
    <cellStyle name="Milliers 8 2 2 2 5 2 2" xfId="15468"/>
    <cellStyle name="Milliers 8 2 2 2 5 3" xfId="11148"/>
    <cellStyle name="Milliers 8 2 2 2 6" xfId="4668"/>
    <cellStyle name="Milliers 8 2 2 2 6 2" xfId="13308"/>
    <cellStyle name="Milliers 8 2 2 2 7" xfId="8988"/>
    <cellStyle name="Milliers 8 2 2 3" xfId="528"/>
    <cellStyle name="Milliers 8 2 2 3 2" xfId="1248"/>
    <cellStyle name="Milliers 8 2 2 3 2 2" xfId="3408"/>
    <cellStyle name="Milliers 8 2 2 3 2 2 2" xfId="7728"/>
    <cellStyle name="Milliers 8 2 2 3 2 2 2 2" xfId="16368"/>
    <cellStyle name="Milliers 8 2 2 3 2 2 3" xfId="12048"/>
    <cellStyle name="Milliers 8 2 2 3 2 3" xfId="5568"/>
    <cellStyle name="Milliers 8 2 2 3 2 3 2" xfId="14208"/>
    <cellStyle name="Milliers 8 2 2 3 2 4" xfId="9888"/>
    <cellStyle name="Milliers 8 2 2 3 3" xfId="1968"/>
    <cellStyle name="Milliers 8 2 2 3 3 2" xfId="4128"/>
    <cellStyle name="Milliers 8 2 2 3 3 2 2" xfId="8448"/>
    <cellStyle name="Milliers 8 2 2 3 3 2 2 2" xfId="17088"/>
    <cellStyle name="Milliers 8 2 2 3 3 2 3" xfId="12768"/>
    <cellStyle name="Milliers 8 2 2 3 3 3" xfId="6288"/>
    <cellStyle name="Milliers 8 2 2 3 3 3 2" xfId="14928"/>
    <cellStyle name="Milliers 8 2 2 3 3 4" xfId="10608"/>
    <cellStyle name="Milliers 8 2 2 3 4" xfId="2688"/>
    <cellStyle name="Milliers 8 2 2 3 4 2" xfId="7008"/>
    <cellStyle name="Milliers 8 2 2 3 4 2 2" xfId="15648"/>
    <cellStyle name="Milliers 8 2 2 3 4 3" xfId="11328"/>
    <cellStyle name="Milliers 8 2 2 3 5" xfId="4848"/>
    <cellStyle name="Milliers 8 2 2 3 5 2" xfId="13488"/>
    <cellStyle name="Milliers 8 2 2 3 6" xfId="9168"/>
    <cellStyle name="Milliers 8 2 2 4" xfId="888"/>
    <cellStyle name="Milliers 8 2 2 4 2" xfId="3048"/>
    <cellStyle name="Milliers 8 2 2 4 2 2" xfId="7368"/>
    <cellStyle name="Milliers 8 2 2 4 2 2 2" xfId="16008"/>
    <cellStyle name="Milliers 8 2 2 4 2 3" xfId="11688"/>
    <cellStyle name="Milliers 8 2 2 4 3" xfId="5208"/>
    <cellStyle name="Milliers 8 2 2 4 3 2" xfId="13848"/>
    <cellStyle name="Milliers 8 2 2 4 4" xfId="9528"/>
    <cellStyle name="Milliers 8 2 2 5" xfId="1608"/>
    <cellStyle name="Milliers 8 2 2 5 2" xfId="3768"/>
    <cellStyle name="Milliers 8 2 2 5 2 2" xfId="8088"/>
    <cellStyle name="Milliers 8 2 2 5 2 2 2" xfId="16728"/>
    <cellStyle name="Milliers 8 2 2 5 2 3" xfId="12408"/>
    <cellStyle name="Milliers 8 2 2 5 3" xfId="5928"/>
    <cellStyle name="Milliers 8 2 2 5 3 2" xfId="14568"/>
    <cellStyle name="Milliers 8 2 2 5 4" xfId="10248"/>
    <cellStyle name="Milliers 8 2 2 6" xfId="2328"/>
    <cellStyle name="Milliers 8 2 2 6 2" xfId="6648"/>
    <cellStyle name="Milliers 8 2 2 6 2 2" xfId="15288"/>
    <cellStyle name="Milliers 8 2 2 6 3" xfId="10968"/>
    <cellStyle name="Milliers 8 2 2 7" xfId="4488"/>
    <cellStyle name="Milliers 8 2 2 7 2" xfId="13128"/>
    <cellStyle name="Milliers 8 2 2 8" xfId="8808"/>
    <cellStyle name="Milliers 8 2 3" xfId="258"/>
    <cellStyle name="Milliers 8 2 3 2" xfId="618"/>
    <cellStyle name="Milliers 8 2 3 2 2" xfId="1338"/>
    <cellStyle name="Milliers 8 2 3 2 2 2" xfId="3498"/>
    <cellStyle name="Milliers 8 2 3 2 2 2 2" xfId="7818"/>
    <cellStyle name="Milliers 8 2 3 2 2 2 2 2" xfId="16458"/>
    <cellStyle name="Milliers 8 2 3 2 2 2 3" xfId="12138"/>
    <cellStyle name="Milliers 8 2 3 2 2 3" xfId="5658"/>
    <cellStyle name="Milliers 8 2 3 2 2 3 2" xfId="14298"/>
    <cellStyle name="Milliers 8 2 3 2 2 4" xfId="9978"/>
    <cellStyle name="Milliers 8 2 3 2 3" xfId="2058"/>
    <cellStyle name="Milliers 8 2 3 2 3 2" xfId="4218"/>
    <cellStyle name="Milliers 8 2 3 2 3 2 2" xfId="8538"/>
    <cellStyle name="Milliers 8 2 3 2 3 2 2 2" xfId="17178"/>
    <cellStyle name="Milliers 8 2 3 2 3 2 3" xfId="12858"/>
    <cellStyle name="Milliers 8 2 3 2 3 3" xfId="6378"/>
    <cellStyle name="Milliers 8 2 3 2 3 3 2" xfId="15018"/>
    <cellStyle name="Milliers 8 2 3 2 3 4" xfId="10698"/>
    <cellStyle name="Milliers 8 2 3 2 4" xfId="2778"/>
    <cellStyle name="Milliers 8 2 3 2 4 2" xfId="7098"/>
    <cellStyle name="Milliers 8 2 3 2 4 2 2" xfId="15738"/>
    <cellStyle name="Milliers 8 2 3 2 4 3" xfId="11418"/>
    <cellStyle name="Milliers 8 2 3 2 5" xfId="4938"/>
    <cellStyle name="Milliers 8 2 3 2 5 2" xfId="13578"/>
    <cellStyle name="Milliers 8 2 3 2 6" xfId="9258"/>
    <cellStyle name="Milliers 8 2 3 3" xfId="978"/>
    <cellStyle name="Milliers 8 2 3 3 2" xfId="3138"/>
    <cellStyle name="Milliers 8 2 3 3 2 2" xfId="7458"/>
    <cellStyle name="Milliers 8 2 3 3 2 2 2" xfId="16098"/>
    <cellStyle name="Milliers 8 2 3 3 2 3" xfId="11778"/>
    <cellStyle name="Milliers 8 2 3 3 3" xfId="5298"/>
    <cellStyle name="Milliers 8 2 3 3 3 2" xfId="13938"/>
    <cellStyle name="Milliers 8 2 3 3 4" xfId="9618"/>
    <cellStyle name="Milliers 8 2 3 4" xfId="1698"/>
    <cellStyle name="Milliers 8 2 3 4 2" xfId="3858"/>
    <cellStyle name="Milliers 8 2 3 4 2 2" xfId="8178"/>
    <cellStyle name="Milliers 8 2 3 4 2 2 2" xfId="16818"/>
    <cellStyle name="Milliers 8 2 3 4 2 3" xfId="12498"/>
    <cellStyle name="Milliers 8 2 3 4 3" xfId="6018"/>
    <cellStyle name="Milliers 8 2 3 4 3 2" xfId="14658"/>
    <cellStyle name="Milliers 8 2 3 4 4" xfId="10338"/>
    <cellStyle name="Milliers 8 2 3 5" xfId="2418"/>
    <cellStyle name="Milliers 8 2 3 5 2" xfId="6738"/>
    <cellStyle name="Milliers 8 2 3 5 2 2" xfId="15378"/>
    <cellStyle name="Milliers 8 2 3 5 3" xfId="11058"/>
    <cellStyle name="Milliers 8 2 3 6" xfId="4578"/>
    <cellStyle name="Milliers 8 2 3 6 2" xfId="13218"/>
    <cellStyle name="Milliers 8 2 3 7" xfId="8898"/>
    <cellStyle name="Milliers 8 2 4" xfId="438"/>
    <cellStyle name="Milliers 8 2 4 2" xfId="1158"/>
    <cellStyle name="Milliers 8 2 4 2 2" xfId="3318"/>
    <cellStyle name="Milliers 8 2 4 2 2 2" xfId="7638"/>
    <cellStyle name="Milliers 8 2 4 2 2 2 2" xfId="16278"/>
    <cellStyle name="Milliers 8 2 4 2 2 3" xfId="11958"/>
    <cellStyle name="Milliers 8 2 4 2 3" xfId="5478"/>
    <cellStyle name="Milliers 8 2 4 2 3 2" xfId="14118"/>
    <cellStyle name="Milliers 8 2 4 2 4" xfId="9798"/>
    <cellStyle name="Milliers 8 2 4 3" xfId="1878"/>
    <cellStyle name="Milliers 8 2 4 3 2" xfId="4038"/>
    <cellStyle name="Milliers 8 2 4 3 2 2" xfId="8358"/>
    <cellStyle name="Milliers 8 2 4 3 2 2 2" xfId="16998"/>
    <cellStyle name="Milliers 8 2 4 3 2 3" xfId="12678"/>
    <cellStyle name="Milliers 8 2 4 3 3" xfId="6198"/>
    <cellStyle name="Milliers 8 2 4 3 3 2" xfId="14838"/>
    <cellStyle name="Milliers 8 2 4 3 4" xfId="10518"/>
    <cellStyle name="Milliers 8 2 4 4" xfId="2598"/>
    <cellStyle name="Milliers 8 2 4 4 2" xfId="6918"/>
    <cellStyle name="Milliers 8 2 4 4 2 2" xfId="15558"/>
    <cellStyle name="Milliers 8 2 4 4 3" xfId="11238"/>
    <cellStyle name="Milliers 8 2 4 5" xfId="4758"/>
    <cellStyle name="Milliers 8 2 4 5 2" xfId="13398"/>
    <cellStyle name="Milliers 8 2 4 6" xfId="9078"/>
    <cellStyle name="Milliers 8 2 5" xfId="798"/>
    <cellStyle name="Milliers 8 2 5 2" xfId="2958"/>
    <cellStyle name="Milliers 8 2 5 2 2" xfId="7278"/>
    <cellStyle name="Milliers 8 2 5 2 2 2" xfId="15918"/>
    <cellStyle name="Milliers 8 2 5 2 3" xfId="11598"/>
    <cellStyle name="Milliers 8 2 5 3" xfId="5118"/>
    <cellStyle name="Milliers 8 2 5 3 2" xfId="13758"/>
    <cellStyle name="Milliers 8 2 5 4" xfId="9438"/>
    <cellStyle name="Milliers 8 2 6" xfId="1518"/>
    <cellStyle name="Milliers 8 2 6 2" xfId="3678"/>
    <cellStyle name="Milliers 8 2 6 2 2" xfId="7998"/>
    <cellStyle name="Milliers 8 2 6 2 2 2" xfId="16638"/>
    <cellStyle name="Milliers 8 2 6 2 3" xfId="12318"/>
    <cellStyle name="Milliers 8 2 6 3" xfId="5838"/>
    <cellStyle name="Milliers 8 2 6 3 2" xfId="14478"/>
    <cellStyle name="Milliers 8 2 6 4" xfId="10158"/>
    <cellStyle name="Milliers 8 2 7" xfId="2238"/>
    <cellStyle name="Milliers 8 2 7 2" xfId="6558"/>
    <cellStyle name="Milliers 8 2 7 2 2" xfId="15198"/>
    <cellStyle name="Milliers 8 2 7 3" xfId="10878"/>
    <cellStyle name="Milliers 8 2 8" xfId="4398"/>
    <cellStyle name="Milliers 8 2 8 2" xfId="13038"/>
    <cellStyle name="Milliers 8 2 9" xfId="8718"/>
    <cellStyle name="Milliers 8 3" xfId="123"/>
    <cellStyle name="Milliers 8 3 2" xfId="303"/>
    <cellStyle name="Milliers 8 3 2 2" xfId="663"/>
    <cellStyle name="Milliers 8 3 2 2 2" xfId="1383"/>
    <cellStyle name="Milliers 8 3 2 2 2 2" xfId="3543"/>
    <cellStyle name="Milliers 8 3 2 2 2 2 2" xfId="7863"/>
    <cellStyle name="Milliers 8 3 2 2 2 2 2 2" xfId="16503"/>
    <cellStyle name="Milliers 8 3 2 2 2 2 3" xfId="12183"/>
    <cellStyle name="Milliers 8 3 2 2 2 3" xfId="5703"/>
    <cellStyle name="Milliers 8 3 2 2 2 3 2" xfId="14343"/>
    <cellStyle name="Milliers 8 3 2 2 2 4" xfId="10023"/>
    <cellStyle name="Milliers 8 3 2 2 3" xfId="2103"/>
    <cellStyle name="Milliers 8 3 2 2 3 2" xfId="4263"/>
    <cellStyle name="Milliers 8 3 2 2 3 2 2" xfId="8583"/>
    <cellStyle name="Milliers 8 3 2 2 3 2 2 2" xfId="17223"/>
    <cellStyle name="Milliers 8 3 2 2 3 2 3" xfId="12903"/>
    <cellStyle name="Milliers 8 3 2 2 3 3" xfId="6423"/>
    <cellStyle name="Milliers 8 3 2 2 3 3 2" xfId="15063"/>
    <cellStyle name="Milliers 8 3 2 2 3 4" xfId="10743"/>
    <cellStyle name="Milliers 8 3 2 2 4" xfId="2823"/>
    <cellStyle name="Milliers 8 3 2 2 4 2" xfId="7143"/>
    <cellStyle name="Milliers 8 3 2 2 4 2 2" xfId="15783"/>
    <cellStyle name="Milliers 8 3 2 2 4 3" xfId="11463"/>
    <cellStyle name="Milliers 8 3 2 2 5" xfId="4983"/>
    <cellStyle name="Milliers 8 3 2 2 5 2" xfId="13623"/>
    <cellStyle name="Milliers 8 3 2 2 6" xfId="9303"/>
    <cellStyle name="Milliers 8 3 2 3" xfId="1023"/>
    <cellStyle name="Milliers 8 3 2 3 2" xfId="3183"/>
    <cellStyle name="Milliers 8 3 2 3 2 2" xfId="7503"/>
    <cellStyle name="Milliers 8 3 2 3 2 2 2" xfId="16143"/>
    <cellStyle name="Milliers 8 3 2 3 2 3" xfId="11823"/>
    <cellStyle name="Milliers 8 3 2 3 3" xfId="5343"/>
    <cellStyle name="Milliers 8 3 2 3 3 2" xfId="13983"/>
    <cellStyle name="Milliers 8 3 2 3 4" xfId="9663"/>
    <cellStyle name="Milliers 8 3 2 4" xfId="1743"/>
    <cellStyle name="Milliers 8 3 2 4 2" xfId="3903"/>
    <cellStyle name="Milliers 8 3 2 4 2 2" xfId="8223"/>
    <cellStyle name="Milliers 8 3 2 4 2 2 2" xfId="16863"/>
    <cellStyle name="Milliers 8 3 2 4 2 3" xfId="12543"/>
    <cellStyle name="Milliers 8 3 2 4 3" xfId="6063"/>
    <cellStyle name="Milliers 8 3 2 4 3 2" xfId="14703"/>
    <cellStyle name="Milliers 8 3 2 4 4" xfId="10383"/>
    <cellStyle name="Milliers 8 3 2 5" xfId="2463"/>
    <cellStyle name="Milliers 8 3 2 5 2" xfId="6783"/>
    <cellStyle name="Milliers 8 3 2 5 2 2" xfId="15423"/>
    <cellStyle name="Milliers 8 3 2 5 3" xfId="11103"/>
    <cellStyle name="Milliers 8 3 2 6" xfId="4623"/>
    <cellStyle name="Milliers 8 3 2 6 2" xfId="13263"/>
    <cellStyle name="Milliers 8 3 2 7" xfId="8943"/>
    <cellStyle name="Milliers 8 3 3" xfId="483"/>
    <cellStyle name="Milliers 8 3 3 2" xfId="1203"/>
    <cellStyle name="Milliers 8 3 3 2 2" xfId="3363"/>
    <cellStyle name="Milliers 8 3 3 2 2 2" xfId="7683"/>
    <cellStyle name="Milliers 8 3 3 2 2 2 2" xfId="16323"/>
    <cellStyle name="Milliers 8 3 3 2 2 3" xfId="12003"/>
    <cellStyle name="Milliers 8 3 3 2 3" xfId="5523"/>
    <cellStyle name="Milliers 8 3 3 2 3 2" xfId="14163"/>
    <cellStyle name="Milliers 8 3 3 2 4" xfId="9843"/>
    <cellStyle name="Milliers 8 3 3 3" xfId="1923"/>
    <cellStyle name="Milliers 8 3 3 3 2" xfId="4083"/>
    <cellStyle name="Milliers 8 3 3 3 2 2" xfId="8403"/>
    <cellStyle name="Milliers 8 3 3 3 2 2 2" xfId="17043"/>
    <cellStyle name="Milliers 8 3 3 3 2 3" xfId="12723"/>
    <cellStyle name="Milliers 8 3 3 3 3" xfId="6243"/>
    <cellStyle name="Milliers 8 3 3 3 3 2" xfId="14883"/>
    <cellStyle name="Milliers 8 3 3 3 4" xfId="10563"/>
    <cellStyle name="Milliers 8 3 3 4" xfId="2643"/>
    <cellStyle name="Milliers 8 3 3 4 2" xfId="6963"/>
    <cellStyle name="Milliers 8 3 3 4 2 2" xfId="15603"/>
    <cellStyle name="Milliers 8 3 3 4 3" xfId="11283"/>
    <cellStyle name="Milliers 8 3 3 5" xfId="4803"/>
    <cellStyle name="Milliers 8 3 3 5 2" xfId="13443"/>
    <cellStyle name="Milliers 8 3 3 6" xfId="9123"/>
    <cellStyle name="Milliers 8 3 4" xfId="843"/>
    <cellStyle name="Milliers 8 3 4 2" xfId="3003"/>
    <cellStyle name="Milliers 8 3 4 2 2" xfId="7323"/>
    <cellStyle name="Milliers 8 3 4 2 2 2" xfId="15963"/>
    <cellStyle name="Milliers 8 3 4 2 3" xfId="11643"/>
    <cellStyle name="Milliers 8 3 4 3" xfId="5163"/>
    <cellStyle name="Milliers 8 3 4 3 2" xfId="13803"/>
    <cellStyle name="Milliers 8 3 4 4" xfId="9483"/>
    <cellStyle name="Milliers 8 3 5" xfId="1563"/>
    <cellStyle name="Milliers 8 3 5 2" xfId="3723"/>
    <cellStyle name="Milliers 8 3 5 2 2" xfId="8043"/>
    <cellStyle name="Milliers 8 3 5 2 2 2" xfId="16683"/>
    <cellStyle name="Milliers 8 3 5 2 3" xfId="12363"/>
    <cellStyle name="Milliers 8 3 5 3" xfId="5883"/>
    <cellStyle name="Milliers 8 3 5 3 2" xfId="14523"/>
    <cellStyle name="Milliers 8 3 5 4" xfId="10203"/>
    <cellStyle name="Milliers 8 3 6" xfId="2283"/>
    <cellStyle name="Milliers 8 3 6 2" xfId="6603"/>
    <cellStyle name="Milliers 8 3 6 2 2" xfId="15243"/>
    <cellStyle name="Milliers 8 3 6 3" xfId="10923"/>
    <cellStyle name="Milliers 8 3 7" xfId="4443"/>
    <cellStyle name="Milliers 8 3 7 2" xfId="13083"/>
    <cellStyle name="Milliers 8 3 8" xfId="8763"/>
    <cellStyle name="Milliers 8 4" xfId="213"/>
    <cellStyle name="Milliers 8 4 2" xfId="573"/>
    <cellStyle name="Milliers 8 4 2 2" xfId="1293"/>
    <cellStyle name="Milliers 8 4 2 2 2" xfId="3453"/>
    <cellStyle name="Milliers 8 4 2 2 2 2" xfId="7773"/>
    <cellStyle name="Milliers 8 4 2 2 2 2 2" xfId="16413"/>
    <cellStyle name="Milliers 8 4 2 2 2 3" xfId="12093"/>
    <cellStyle name="Milliers 8 4 2 2 3" xfId="5613"/>
    <cellStyle name="Milliers 8 4 2 2 3 2" xfId="14253"/>
    <cellStyle name="Milliers 8 4 2 2 4" xfId="9933"/>
    <cellStyle name="Milliers 8 4 2 3" xfId="2013"/>
    <cellStyle name="Milliers 8 4 2 3 2" xfId="4173"/>
    <cellStyle name="Milliers 8 4 2 3 2 2" xfId="8493"/>
    <cellStyle name="Milliers 8 4 2 3 2 2 2" xfId="17133"/>
    <cellStyle name="Milliers 8 4 2 3 2 3" xfId="12813"/>
    <cellStyle name="Milliers 8 4 2 3 3" xfId="6333"/>
    <cellStyle name="Milliers 8 4 2 3 3 2" xfId="14973"/>
    <cellStyle name="Milliers 8 4 2 3 4" xfId="10653"/>
    <cellStyle name="Milliers 8 4 2 4" xfId="2733"/>
    <cellStyle name="Milliers 8 4 2 4 2" xfId="7053"/>
    <cellStyle name="Milliers 8 4 2 4 2 2" xfId="15693"/>
    <cellStyle name="Milliers 8 4 2 4 3" xfId="11373"/>
    <cellStyle name="Milliers 8 4 2 5" xfId="4893"/>
    <cellStyle name="Milliers 8 4 2 5 2" xfId="13533"/>
    <cellStyle name="Milliers 8 4 2 6" xfId="9213"/>
    <cellStyle name="Milliers 8 4 3" xfId="933"/>
    <cellStyle name="Milliers 8 4 3 2" xfId="3093"/>
    <cellStyle name="Milliers 8 4 3 2 2" xfId="7413"/>
    <cellStyle name="Milliers 8 4 3 2 2 2" xfId="16053"/>
    <cellStyle name="Milliers 8 4 3 2 3" xfId="11733"/>
    <cellStyle name="Milliers 8 4 3 3" xfId="5253"/>
    <cellStyle name="Milliers 8 4 3 3 2" xfId="13893"/>
    <cellStyle name="Milliers 8 4 3 4" xfId="9573"/>
    <cellStyle name="Milliers 8 4 4" xfId="1653"/>
    <cellStyle name="Milliers 8 4 4 2" xfId="3813"/>
    <cellStyle name="Milliers 8 4 4 2 2" xfId="8133"/>
    <cellStyle name="Milliers 8 4 4 2 2 2" xfId="16773"/>
    <cellStyle name="Milliers 8 4 4 2 3" xfId="12453"/>
    <cellStyle name="Milliers 8 4 4 3" xfId="5973"/>
    <cellStyle name="Milliers 8 4 4 3 2" xfId="14613"/>
    <cellStyle name="Milliers 8 4 4 4" xfId="10293"/>
    <cellStyle name="Milliers 8 4 5" xfId="2373"/>
    <cellStyle name="Milliers 8 4 5 2" xfId="6693"/>
    <cellStyle name="Milliers 8 4 5 2 2" xfId="15333"/>
    <cellStyle name="Milliers 8 4 5 3" xfId="11013"/>
    <cellStyle name="Milliers 8 4 6" xfId="4533"/>
    <cellStyle name="Milliers 8 4 6 2" xfId="13173"/>
    <cellStyle name="Milliers 8 4 7" xfId="8853"/>
    <cellStyle name="Milliers 8 5" xfId="393"/>
    <cellStyle name="Milliers 8 5 2" xfId="1113"/>
    <cellStyle name="Milliers 8 5 2 2" xfId="3273"/>
    <cellStyle name="Milliers 8 5 2 2 2" xfId="7593"/>
    <cellStyle name="Milliers 8 5 2 2 2 2" xfId="16233"/>
    <cellStyle name="Milliers 8 5 2 2 3" xfId="11913"/>
    <cellStyle name="Milliers 8 5 2 3" xfId="5433"/>
    <cellStyle name="Milliers 8 5 2 3 2" xfId="14073"/>
    <cellStyle name="Milliers 8 5 2 4" xfId="9753"/>
    <cellStyle name="Milliers 8 5 3" xfId="1833"/>
    <cellStyle name="Milliers 8 5 3 2" xfId="3993"/>
    <cellStyle name="Milliers 8 5 3 2 2" xfId="8313"/>
    <cellStyle name="Milliers 8 5 3 2 2 2" xfId="16953"/>
    <cellStyle name="Milliers 8 5 3 2 3" xfId="12633"/>
    <cellStyle name="Milliers 8 5 3 3" xfId="6153"/>
    <cellStyle name="Milliers 8 5 3 3 2" xfId="14793"/>
    <cellStyle name="Milliers 8 5 3 4" xfId="10473"/>
    <cellStyle name="Milliers 8 5 4" xfId="2553"/>
    <cellStyle name="Milliers 8 5 4 2" xfId="6873"/>
    <cellStyle name="Milliers 8 5 4 2 2" xfId="15513"/>
    <cellStyle name="Milliers 8 5 4 3" xfId="11193"/>
    <cellStyle name="Milliers 8 5 5" xfId="4713"/>
    <cellStyle name="Milliers 8 5 5 2" xfId="13353"/>
    <cellStyle name="Milliers 8 5 6" xfId="9033"/>
    <cellStyle name="Milliers 8 6" xfId="753"/>
    <cellStyle name="Milliers 8 6 2" xfId="2913"/>
    <cellStyle name="Milliers 8 6 2 2" xfId="7233"/>
    <cellStyle name="Milliers 8 6 2 2 2" xfId="15873"/>
    <cellStyle name="Milliers 8 6 2 3" xfId="11553"/>
    <cellStyle name="Milliers 8 6 3" xfId="5073"/>
    <cellStyle name="Milliers 8 6 3 2" xfId="13713"/>
    <cellStyle name="Milliers 8 6 4" xfId="9393"/>
    <cellStyle name="Milliers 8 7" xfId="1473"/>
    <cellStyle name="Milliers 8 7 2" xfId="3633"/>
    <cellStyle name="Milliers 8 7 2 2" xfId="7953"/>
    <cellStyle name="Milliers 8 7 2 2 2" xfId="16593"/>
    <cellStyle name="Milliers 8 7 2 3" xfId="12273"/>
    <cellStyle name="Milliers 8 7 3" xfId="5793"/>
    <cellStyle name="Milliers 8 7 3 2" xfId="14433"/>
    <cellStyle name="Milliers 8 7 4" xfId="10113"/>
    <cellStyle name="Milliers 8 8" xfId="2193"/>
    <cellStyle name="Milliers 8 8 2" xfId="6513"/>
    <cellStyle name="Milliers 8 8 2 2" xfId="15153"/>
    <cellStyle name="Milliers 8 8 3" xfId="10833"/>
    <cellStyle name="Milliers 8 9" xfId="4353"/>
    <cellStyle name="Milliers 8 9 2" xfId="12993"/>
    <cellStyle name="Milliers 9" xfId="48"/>
    <cellStyle name="Milliers 9 2" xfId="138"/>
    <cellStyle name="Milliers 9 2 2" xfId="318"/>
    <cellStyle name="Milliers 9 2 2 2" xfId="678"/>
    <cellStyle name="Milliers 9 2 2 2 2" xfId="1398"/>
    <cellStyle name="Milliers 9 2 2 2 2 2" xfId="3558"/>
    <cellStyle name="Milliers 9 2 2 2 2 2 2" xfId="7878"/>
    <cellStyle name="Milliers 9 2 2 2 2 2 2 2" xfId="16518"/>
    <cellStyle name="Milliers 9 2 2 2 2 2 3" xfId="12198"/>
    <cellStyle name="Milliers 9 2 2 2 2 3" xfId="5718"/>
    <cellStyle name="Milliers 9 2 2 2 2 3 2" xfId="14358"/>
    <cellStyle name="Milliers 9 2 2 2 2 4" xfId="10038"/>
    <cellStyle name="Milliers 9 2 2 2 3" xfId="2118"/>
    <cellStyle name="Milliers 9 2 2 2 3 2" xfId="4278"/>
    <cellStyle name="Milliers 9 2 2 2 3 2 2" xfId="8598"/>
    <cellStyle name="Milliers 9 2 2 2 3 2 2 2" xfId="17238"/>
    <cellStyle name="Milliers 9 2 2 2 3 2 3" xfId="12918"/>
    <cellStyle name="Milliers 9 2 2 2 3 3" xfId="6438"/>
    <cellStyle name="Milliers 9 2 2 2 3 3 2" xfId="15078"/>
    <cellStyle name="Milliers 9 2 2 2 3 4" xfId="10758"/>
    <cellStyle name="Milliers 9 2 2 2 4" xfId="2838"/>
    <cellStyle name="Milliers 9 2 2 2 4 2" xfId="7158"/>
    <cellStyle name="Milliers 9 2 2 2 4 2 2" xfId="15798"/>
    <cellStyle name="Milliers 9 2 2 2 4 3" xfId="11478"/>
    <cellStyle name="Milliers 9 2 2 2 5" xfId="4998"/>
    <cellStyle name="Milliers 9 2 2 2 5 2" xfId="13638"/>
    <cellStyle name="Milliers 9 2 2 2 6" xfId="9318"/>
    <cellStyle name="Milliers 9 2 2 3" xfId="1038"/>
    <cellStyle name="Milliers 9 2 2 3 2" xfId="3198"/>
    <cellStyle name="Milliers 9 2 2 3 2 2" xfId="7518"/>
    <cellStyle name="Milliers 9 2 2 3 2 2 2" xfId="16158"/>
    <cellStyle name="Milliers 9 2 2 3 2 3" xfId="11838"/>
    <cellStyle name="Milliers 9 2 2 3 3" xfId="5358"/>
    <cellStyle name="Milliers 9 2 2 3 3 2" xfId="13998"/>
    <cellStyle name="Milliers 9 2 2 3 4" xfId="9678"/>
    <cellStyle name="Milliers 9 2 2 4" xfId="1758"/>
    <cellStyle name="Milliers 9 2 2 4 2" xfId="3918"/>
    <cellStyle name="Milliers 9 2 2 4 2 2" xfId="8238"/>
    <cellStyle name="Milliers 9 2 2 4 2 2 2" xfId="16878"/>
    <cellStyle name="Milliers 9 2 2 4 2 3" xfId="12558"/>
    <cellStyle name="Milliers 9 2 2 4 3" xfId="6078"/>
    <cellStyle name="Milliers 9 2 2 4 3 2" xfId="14718"/>
    <cellStyle name="Milliers 9 2 2 4 4" xfId="10398"/>
    <cellStyle name="Milliers 9 2 2 5" xfId="2478"/>
    <cellStyle name="Milliers 9 2 2 5 2" xfId="6798"/>
    <cellStyle name="Milliers 9 2 2 5 2 2" xfId="15438"/>
    <cellStyle name="Milliers 9 2 2 5 3" xfId="11118"/>
    <cellStyle name="Milliers 9 2 2 6" xfId="4638"/>
    <cellStyle name="Milliers 9 2 2 6 2" xfId="13278"/>
    <cellStyle name="Milliers 9 2 2 7" xfId="8958"/>
    <cellStyle name="Milliers 9 2 3" xfId="498"/>
    <cellStyle name="Milliers 9 2 3 2" xfId="1218"/>
    <cellStyle name="Milliers 9 2 3 2 2" xfId="3378"/>
    <cellStyle name="Milliers 9 2 3 2 2 2" xfId="7698"/>
    <cellStyle name="Milliers 9 2 3 2 2 2 2" xfId="16338"/>
    <cellStyle name="Milliers 9 2 3 2 2 3" xfId="12018"/>
    <cellStyle name="Milliers 9 2 3 2 3" xfId="5538"/>
    <cellStyle name="Milliers 9 2 3 2 3 2" xfId="14178"/>
    <cellStyle name="Milliers 9 2 3 2 4" xfId="9858"/>
    <cellStyle name="Milliers 9 2 3 3" xfId="1938"/>
    <cellStyle name="Milliers 9 2 3 3 2" xfId="4098"/>
    <cellStyle name="Milliers 9 2 3 3 2 2" xfId="8418"/>
    <cellStyle name="Milliers 9 2 3 3 2 2 2" xfId="17058"/>
    <cellStyle name="Milliers 9 2 3 3 2 3" xfId="12738"/>
    <cellStyle name="Milliers 9 2 3 3 3" xfId="6258"/>
    <cellStyle name="Milliers 9 2 3 3 3 2" xfId="14898"/>
    <cellStyle name="Milliers 9 2 3 3 4" xfId="10578"/>
    <cellStyle name="Milliers 9 2 3 4" xfId="2658"/>
    <cellStyle name="Milliers 9 2 3 4 2" xfId="6978"/>
    <cellStyle name="Milliers 9 2 3 4 2 2" xfId="15618"/>
    <cellStyle name="Milliers 9 2 3 4 3" xfId="11298"/>
    <cellStyle name="Milliers 9 2 3 5" xfId="4818"/>
    <cellStyle name="Milliers 9 2 3 5 2" xfId="13458"/>
    <cellStyle name="Milliers 9 2 3 6" xfId="9138"/>
    <cellStyle name="Milliers 9 2 4" xfId="858"/>
    <cellStyle name="Milliers 9 2 4 2" xfId="3018"/>
    <cellStyle name="Milliers 9 2 4 2 2" xfId="7338"/>
    <cellStyle name="Milliers 9 2 4 2 2 2" xfId="15978"/>
    <cellStyle name="Milliers 9 2 4 2 3" xfId="11658"/>
    <cellStyle name="Milliers 9 2 4 3" xfId="5178"/>
    <cellStyle name="Milliers 9 2 4 3 2" xfId="13818"/>
    <cellStyle name="Milliers 9 2 4 4" xfId="9498"/>
    <cellStyle name="Milliers 9 2 5" xfId="1578"/>
    <cellStyle name="Milliers 9 2 5 2" xfId="3738"/>
    <cellStyle name="Milliers 9 2 5 2 2" xfId="8058"/>
    <cellStyle name="Milliers 9 2 5 2 2 2" xfId="16698"/>
    <cellStyle name="Milliers 9 2 5 2 3" xfId="12378"/>
    <cellStyle name="Milliers 9 2 5 3" xfId="5898"/>
    <cellStyle name="Milliers 9 2 5 3 2" xfId="14538"/>
    <cellStyle name="Milliers 9 2 5 4" xfId="10218"/>
    <cellStyle name="Milliers 9 2 6" xfId="2298"/>
    <cellStyle name="Milliers 9 2 6 2" xfId="6618"/>
    <cellStyle name="Milliers 9 2 6 2 2" xfId="15258"/>
    <cellStyle name="Milliers 9 2 6 3" xfId="10938"/>
    <cellStyle name="Milliers 9 2 7" xfId="4458"/>
    <cellStyle name="Milliers 9 2 7 2" xfId="13098"/>
    <cellStyle name="Milliers 9 2 8" xfId="8778"/>
    <cellStyle name="Milliers 9 3" xfId="228"/>
    <cellStyle name="Milliers 9 3 2" xfId="588"/>
    <cellStyle name="Milliers 9 3 2 2" xfId="1308"/>
    <cellStyle name="Milliers 9 3 2 2 2" xfId="3468"/>
    <cellStyle name="Milliers 9 3 2 2 2 2" xfId="7788"/>
    <cellStyle name="Milliers 9 3 2 2 2 2 2" xfId="16428"/>
    <cellStyle name="Milliers 9 3 2 2 2 3" xfId="12108"/>
    <cellStyle name="Milliers 9 3 2 2 3" xfId="5628"/>
    <cellStyle name="Milliers 9 3 2 2 3 2" xfId="14268"/>
    <cellStyle name="Milliers 9 3 2 2 4" xfId="9948"/>
    <cellStyle name="Milliers 9 3 2 3" xfId="2028"/>
    <cellStyle name="Milliers 9 3 2 3 2" xfId="4188"/>
    <cellStyle name="Milliers 9 3 2 3 2 2" xfId="8508"/>
    <cellStyle name="Milliers 9 3 2 3 2 2 2" xfId="17148"/>
    <cellStyle name="Milliers 9 3 2 3 2 3" xfId="12828"/>
    <cellStyle name="Milliers 9 3 2 3 3" xfId="6348"/>
    <cellStyle name="Milliers 9 3 2 3 3 2" xfId="14988"/>
    <cellStyle name="Milliers 9 3 2 3 4" xfId="10668"/>
    <cellStyle name="Milliers 9 3 2 4" xfId="2748"/>
    <cellStyle name="Milliers 9 3 2 4 2" xfId="7068"/>
    <cellStyle name="Milliers 9 3 2 4 2 2" xfId="15708"/>
    <cellStyle name="Milliers 9 3 2 4 3" xfId="11388"/>
    <cellStyle name="Milliers 9 3 2 5" xfId="4908"/>
    <cellStyle name="Milliers 9 3 2 5 2" xfId="13548"/>
    <cellStyle name="Milliers 9 3 2 6" xfId="9228"/>
    <cellStyle name="Milliers 9 3 3" xfId="948"/>
    <cellStyle name="Milliers 9 3 3 2" xfId="3108"/>
    <cellStyle name="Milliers 9 3 3 2 2" xfId="7428"/>
    <cellStyle name="Milliers 9 3 3 2 2 2" xfId="16068"/>
    <cellStyle name="Milliers 9 3 3 2 3" xfId="11748"/>
    <cellStyle name="Milliers 9 3 3 3" xfId="5268"/>
    <cellStyle name="Milliers 9 3 3 3 2" xfId="13908"/>
    <cellStyle name="Milliers 9 3 3 4" xfId="9588"/>
    <cellStyle name="Milliers 9 3 4" xfId="1668"/>
    <cellStyle name="Milliers 9 3 4 2" xfId="3828"/>
    <cellStyle name="Milliers 9 3 4 2 2" xfId="8148"/>
    <cellStyle name="Milliers 9 3 4 2 2 2" xfId="16788"/>
    <cellStyle name="Milliers 9 3 4 2 3" xfId="12468"/>
    <cellStyle name="Milliers 9 3 4 3" xfId="5988"/>
    <cellStyle name="Milliers 9 3 4 3 2" xfId="14628"/>
    <cellStyle name="Milliers 9 3 4 4" xfId="10308"/>
    <cellStyle name="Milliers 9 3 5" xfId="2388"/>
    <cellStyle name="Milliers 9 3 5 2" xfId="6708"/>
    <cellStyle name="Milliers 9 3 5 2 2" xfId="15348"/>
    <cellStyle name="Milliers 9 3 5 3" xfId="11028"/>
    <cellStyle name="Milliers 9 3 6" xfId="4548"/>
    <cellStyle name="Milliers 9 3 6 2" xfId="13188"/>
    <cellStyle name="Milliers 9 3 7" xfId="8868"/>
    <cellStyle name="Milliers 9 4" xfId="408"/>
    <cellStyle name="Milliers 9 4 2" xfId="1128"/>
    <cellStyle name="Milliers 9 4 2 2" xfId="3288"/>
    <cellStyle name="Milliers 9 4 2 2 2" xfId="7608"/>
    <cellStyle name="Milliers 9 4 2 2 2 2" xfId="16248"/>
    <cellStyle name="Milliers 9 4 2 2 3" xfId="11928"/>
    <cellStyle name="Milliers 9 4 2 3" xfId="5448"/>
    <cellStyle name="Milliers 9 4 2 3 2" xfId="14088"/>
    <cellStyle name="Milliers 9 4 2 4" xfId="9768"/>
    <cellStyle name="Milliers 9 4 3" xfId="1848"/>
    <cellStyle name="Milliers 9 4 3 2" xfId="4008"/>
    <cellStyle name="Milliers 9 4 3 2 2" xfId="8328"/>
    <cellStyle name="Milliers 9 4 3 2 2 2" xfId="16968"/>
    <cellStyle name="Milliers 9 4 3 2 3" xfId="12648"/>
    <cellStyle name="Milliers 9 4 3 3" xfId="6168"/>
    <cellStyle name="Milliers 9 4 3 3 2" xfId="14808"/>
    <cellStyle name="Milliers 9 4 3 4" xfId="10488"/>
    <cellStyle name="Milliers 9 4 4" xfId="2568"/>
    <cellStyle name="Milliers 9 4 4 2" xfId="6888"/>
    <cellStyle name="Milliers 9 4 4 2 2" xfId="15528"/>
    <cellStyle name="Milliers 9 4 4 3" xfId="11208"/>
    <cellStyle name="Milliers 9 4 5" xfId="4728"/>
    <cellStyle name="Milliers 9 4 5 2" xfId="13368"/>
    <cellStyle name="Milliers 9 4 6" xfId="9048"/>
    <cellStyle name="Milliers 9 5" xfId="768"/>
    <cellStyle name="Milliers 9 5 2" xfId="2928"/>
    <cellStyle name="Milliers 9 5 2 2" xfId="7248"/>
    <cellStyle name="Milliers 9 5 2 2 2" xfId="15888"/>
    <cellStyle name="Milliers 9 5 2 3" xfId="11568"/>
    <cellStyle name="Milliers 9 5 3" xfId="5088"/>
    <cellStyle name="Milliers 9 5 3 2" xfId="13728"/>
    <cellStyle name="Milliers 9 5 4" xfId="9408"/>
    <cellStyle name="Milliers 9 6" xfId="1488"/>
    <cellStyle name="Milliers 9 6 2" xfId="3648"/>
    <cellStyle name="Milliers 9 6 2 2" xfId="7968"/>
    <cellStyle name="Milliers 9 6 2 2 2" xfId="16608"/>
    <cellStyle name="Milliers 9 6 2 3" xfId="12288"/>
    <cellStyle name="Milliers 9 6 3" xfId="5808"/>
    <cellStyle name="Milliers 9 6 3 2" xfId="14448"/>
    <cellStyle name="Milliers 9 6 4" xfId="10128"/>
    <cellStyle name="Milliers 9 7" xfId="2208"/>
    <cellStyle name="Milliers 9 7 2" xfId="6528"/>
    <cellStyle name="Milliers 9 7 2 2" xfId="15168"/>
    <cellStyle name="Milliers 9 7 3" xfId="10848"/>
    <cellStyle name="Milliers 9 8" xfId="4368"/>
    <cellStyle name="Milliers 9 8 2" xfId="13008"/>
    <cellStyle name="Milliers 9 9" xfId="8688"/>
    <cellStyle name="Normal" xfId="0" builtinId="0"/>
    <cellStyle name="Normal 2 2" xfId="5"/>
    <cellStyle name="Percent" xfId="2" builtinId="5"/>
  </cellStyles>
  <dxfs count="214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</dxfs>
  <tableStyles count="0" defaultTableStyle="TableStyleMedium2" defaultPivotStyle="PivotStyleMedium9"/>
  <colors>
    <mruColors>
      <color rgb="FFCCFFCC"/>
      <color rgb="FFFF99FF"/>
      <color rgb="FF00FF00"/>
      <color rgb="FFDDF4FB"/>
      <color rgb="FF9DE0F5"/>
      <color rgb="FFFF9999"/>
      <color rgb="FF8EFC88"/>
      <color rgb="FF00FFCC"/>
      <color rgb="FFE97B8D"/>
      <color rgb="FFFCAA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B4:D14"/>
  <sheetViews>
    <sheetView workbookViewId="0">
      <selection activeCell="L33" sqref="L33"/>
    </sheetView>
  </sheetViews>
  <sheetFormatPr defaultColWidth="9.140625" defaultRowHeight="15" x14ac:dyDescent="0.25"/>
  <sheetData>
    <row r="4" spans="2:4" x14ac:dyDescent="0.25">
      <c r="B4" t="s">
        <v>33</v>
      </c>
      <c r="D4" t="s">
        <v>35</v>
      </c>
    </row>
    <row r="5" spans="2:4" x14ac:dyDescent="0.25">
      <c r="B5" t="s">
        <v>38</v>
      </c>
      <c r="D5" t="s">
        <v>42</v>
      </c>
    </row>
    <row r="6" spans="2:4" x14ac:dyDescent="0.25">
      <c r="B6" t="s">
        <v>37</v>
      </c>
      <c r="D6" t="s">
        <v>43</v>
      </c>
    </row>
    <row r="7" spans="2:4" x14ac:dyDescent="0.25">
      <c r="B7" t="s">
        <v>39</v>
      </c>
      <c r="D7" t="s">
        <v>44</v>
      </c>
    </row>
    <row r="8" spans="2:4" x14ac:dyDescent="0.25">
      <c r="B8" t="s">
        <v>40</v>
      </c>
      <c r="D8" t="s">
        <v>64</v>
      </c>
    </row>
    <row r="9" spans="2:4" x14ac:dyDescent="0.25">
      <c r="B9" t="s">
        <v>41</v>
      </c>
    </row>
    <row r="10" spans="2:4" x14ac:dyDescent="0.25">
      <c r="B10" t="s">
        <v>45</v>
      </c>
    </row>
    <row r="11" spans="2:4" x14ac:dyDescent="0.25">
      <c r="B11" t="s">
        <v>46</v>
      </c>
    </row>
    <row r="12" spans="2:4" x14ac:dyDescent="0.25">
      <c r="B12" t="s">
        <v>47</v>
      </c>
    </row>
    <row r="13" spans="2:4" x14ac:dyDescent="0.25">
      <c r="B13" t="s">
        <v>54</v>
      </c>
    </row>
    <row r="14" spans="2:4" x14ac:dyDescent="0.25">
      <c r="B1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B1:AD80"/>
  <sheetViews>
    <sheetView zoomScale="77" zoomScaleNormal="77" zoomScaleSheetLayoutView="70" zoomScalePageLayoutView="77" workbookViewId="0">
      <selection activeCell="I81" sqref="I81"/>
    </sheetView>
  </sheetViews>
  <sheetFormatPr defaultColWidth="9.140625" defaultRowHeight="31.5" x14ac:dyDescent="0.5"/>
  <cols>
    <col min="1" max="1" width="1" style="1" customWidth="1"/>
    <col min="2" max="2" width="7.140625" style="12" customWidth="1"/>
    <col min="3" max="4" width="10.7109375" style="2" customWidth="1"/>
    <col min="5" max="5" width="20.140625" style="2" customWidth="1"/>
    <col min="6" max="6" width="12.85546875" style="2" customWidth="1"/>
    <col min="7" max="7" width="9.140625" style="13" customWidth="1"/>
    <col min="8" max="9" width="8.42578125" style="2" customWidth="1"/>
    <col min="10" max="10" width="13.7109375" style="1" customWidth="1"/>
    <col min="11" max="19" width="8.42578125" style="1" customWidth="1"/>
    <col min="20" max="21" width="5.7109375" style="1" hidden="1" customWidth="1"/>
    <col min="22" max="22" width="8.42578125" style="1" customWidth="1"/>
    <col min="23" max="23" width="10.7109375" style="1" customWidth="1"/>
    <col min="24" max="24" width="9.7109375" style="1" customWidth="1"/>
    <col min="25" max="25" width="9.7109375" style="1" hidden="1" customWidth="1"/>
    <col min="26" max="26" width="10.28515625" style="1" customWidth="1"/>
    <col min="27" max="27" width="7.42578125" style="22" customWidth="1"/>
    <col min="28" max="28" width="11.42578125" style="1" customWidth="1"/>
    <col min="29" max="30" width="0" style="1" hidden="1" customWidth="1"/>
    <col min="31" max="16384" width="9.140625" style="1"/>
  </cols>
  <sheetData>
    <row r="1" spans="2:30" ht="23.25" x14ac:dyDescent="0.35">
      <c r="B1" s="528" t="s">
        <v>29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81">
        <f>+AD1/AC1</f>
        <v>0.79144366734997385</v>
      </c>
      <c r="AC1" s="1">
        <f>+SUBTOTAL(9,AC4:AC194)</f>
        <v>248790</v>
      </c>
      <c r="AD1" s="1">
        <f>+SUBTOTAL(9,AD4:AD194)</f>
        <v>196903.27</v>
      </c>
    </row>
    <row r="2" spans="2:30" ht="21.75" thickBot="1" x14ac:dyDescent="0.4">
      <c r="B2" s="529" t="s">
        <v>27</v>
      </c>
      <c r="C2" s="529"/>
      <c r="D2" s="529"/>
      <c r="E2" s="529"/>
      <c r="H2" s="1"/>
      <c r="I2" s="1"/>
      <c r="R2" s="89" t="s">
        <v>17</v>
      </c>
      <c r="W2" s="90">
        <f>+SUMIF(J4:J1000,R2,W4:W1000)</f>
        <v>26422</v>
      </c>
      <c r="X2" s="4" t="s">
        <v>28</v>
      </c>
      <c r="Y2" s="88"/>
      <c r="Z2" s="532">
        <v>44032</v>
      </c>
      <c r="AA2" s="532"/>
    </row>
    <row r="3" spans="2:30" s="76" customFormat="1" ht="27" customHeight="1" thickTop="1" thickBot="1" x14ac:dyDescent="0.3">
      <c r="B3" s="77" t="s">
        <v>16</v>
      </c>
      <c r="C3" s="78" t="s">
        <v>0</v>
      </c>
      <c r="D3" s="78" t="s">
        <v>30</v>
      </c>
      <c r="E3" s="78" t="s">
        <v>1</v>
      </c>
      <c r="F3" s="78" t="s">
        <v>24</v>
      </c>
      <c r="G3" s="530" t="s">
        <v>25</v>
      </c>
      <c r="H3" s="531"/>
      <c r="I3" s="78" t="s">
        <v>26</v>
      </c>
      <c r="J3" s="78"/>
      <c r="K3" s="78" t="s">
        <v>2</v>
      </c>
      <c r="L3" s="78" t="s">
        <v>3</v>
      </c>
      <c r="M3" s="78" t="s">
        <v>4</v>
      </c>
      <c r="N3" s="78" t="s">
        <v>5</v>
      </c>
      <c r="O3" s="78" t="s">
        <v>6</v>
      </c>
      <c r="P3" s="78" t="s">
        <v>7</v>
      </c>
      <c r="Q3" s="78" t="s">
        <v>8</v>
      </c>
      <c r="R3" s="78" t="s">
        <v>9</v>
      </c>
      <c r="S3" s="78" t="s">
        <v>10</v>
      </c>
      <c r="T3" s="14" t="s">
        <v>11</v>
      </c>
      <c r="U3" s="14" t="s">
        <v>12</v>
      </c>
      <c r="V3" s="78" t="s">
        <v>72</v>
      </c>
      <c r="W3" s="78" t="s">
        <v>13</v>
      </c>
      <c r="X3" s="78" t="s">
        <v>14</v>
      </c>
      <c r="Y3" s="16"/>
      <c r="Z3" s="79" t="s">
        <v>15</v>
      </c>
      <c r="AA3" s="80" t="s">
        <v>73</v>
      </c>
    </row>
    <row r="4" spans="2:30" ht="18.75" customHeight="1" thickTop="1" x14ac:dyDescent="0.3">
      <c r="B4" s="83">
        <f>+B5</f>
        <v>1</v>
      </c>
      <c r="C4" s="51"/>
      <c r="D4" s="51"/>
      <c r="E4" s="51"/>
      <c r="F4" s="51"/>
      <c r="G4" s="55" t="s">
        <v>20</v>
      </c>
      <c r="H4" s="56" t="s">
        <v>23</v>
      </c>
      <c r="I4" s="56" t="s">
        <v>23</v>
      </c>
      <c r="J4" s="7" t="s">
        <v>21</v>
      </c>
      <c r="K4" s="23"/>
      <c r="L4" s="23"/>
      <c r="M4" s="23"/>
      <c r="N4" s="23"/>
      <c r="O4" s="23"/>
      <c r="P4" s="23"/>
      <c r="Q4" s="23"/>
      <c r="R4" s="23">
        <v>156</v>
      </c>
      <c r="S4" s="23"/>
      <c r="T4" s="7"/>
      <c r="U4" s="7"/>
      <c r="V4" s="28"/>
      <c r="W4" s="32">
        <f t="shared" ref="W4:W35" si="0">+SUM(K4:U4)</f>
        <v>156</v>
      </c>
      <c r="X4" s="32">
        <f>+Y4+W4</f>
        <v>832</v>
      </c>
      <c r="Y4" s="33">
        <v>676</v>
      </c>
      <c r="Z4" s="72"/>
      <c r="AA4" s="35"/>
    </row>
    <row r="5" spans="2:30" ht="18.75" customHeight="1" x14ac:dyDescent="0.3">
      <c r="B5" s="15">
        <v>1</v>
      </c>
      <c r="C5" s="52" t="s">
        <v>52</v>
      </c>
      <c r="D5" s="52" t="s">
        <v>31</v>
      </c>
      <c r="E5" s="52" t="s">
        <v>53</v>
      </c>
      <c r="F5" s="52" t="s">
        <v>54</v>
      </c>
      <c r="G5" s="57">
        <v>42.5</v>
      </c>
      <c r="H5" s="58">
        <v>60</v>
      </c>
      <c r="I5" s="59">
        <v>56</v>
      </c>
      <c r="J5" s="8" t="s">
        <v>17</v>
      </c>
      <c r="K5" s="24">
        <v>0</v>
      </c>
      <c r="L5" s="24">
        <v>0</v>
      </c>
      <c r="M5" s="24">
        <v>20</v>
      </c>
      <c r="N5" s="24">
        <v>20</v>
      </c>
      <c r="O5" s="24">
        <v>25</v>
      </c>
      <c r="P5" s="24">
        <v>25</v>
      </c>
      <c r="Q5" s="24">
        <v>30</v>
      </c>
      <c r="R5" s="24">
        <v>30</v>
      </c>
      <c r="S5" s="24"/>
      <c r="T5" s="8"/>
      <c r="U5" s="8"/>
      <c r="V5" s="36">
        <f>+IF(COUNTA(K5:U5)=0,0,W5/COUNTA(K5:U5))</f>
        <v>18.75</v>
      </c>
      <c r="W5" s="37">
        <f t="shared" si="0"/>
        <v>150</v>
      </c>
      <c r="X5" s="37">
        <f>+W5+Y5</f>
        <v>150</v>
      </c>
      <c r="Y5" s="38">
        <v>0</v>
      </c>
      <c r="Z5" s="73">
        <f>+X4-X5</f>
        <v>682</v>
      </c>
      <c r="AA5" s="40">
        <f>+IF(((W6+(W7/2))*60)=0,"",(G5*W5)/((W6+(W7/2))*60))</f>
        <v>0.32003012048192769</v>
      </c>
      <c r="AD5" s="1">
        <f>+W5*G5</f>
        <v>6375</v>
      </c>
    </row>
    <row r="6" spans="2:30" ht="18.75" customHeight="1" x14ac:dyDescent="0.3">
      <c r="B6" s="84">
        <f>+B5</f>
        <v>1</v>
      </c>
      <c r="C6" s="52"/>
      <c r="D6" s="52"/>
      <c r="E6" s="52"/>
      <c r="F6" s="52"/>
      <c r="G6" s="60"/>
      <c r="H6" s="61" t="s">
        <v>22</v>
      </c>
      <c r="I6" s="61" t="s">
        <v>22</v>
      </c>
      <c r="J6" s="3" t="s">
        <v>18</v>
      </c>
      <c r="K6" s="25">
        <v>40</v>
      </c>
      <c r="L6" s="25">
        <v>40</v>
      </c>
      <c r="M6" s="25">
        <v>40</v>
      </c>
      <c r="N6" s="25">
        <v>40</v>
      </c>
      <c r="O6" s="25">
        <v>40</v>
      </c>
      <c r="P6" s="25">
        <v>40</v>
      </c>
      <c r="Q6" s="25">
        <v>40</v>
      </c>
      <c r="R6" s="25">
        <v>40</v>
      </c>
      <c r="S6" s="25"/>
      <c r="T6" s="3"/>
      <c r="U6" s="3"/>
      <c r="V6" s="29"/>
      <c r="W6" s="41">
        <f t="shared" si="0"/>
        <v>320</v>
      </c>
      <c r="X6" s="41"/>
      <c r="Y6" s="42"/>
      <c r="Z6" s="74"/>
      <c r="AA6" s="44"/>
      <c r="AC6" s="1">
        <f>+W6*60</f>
        <v>19200</v>
      </c>
    </row>
    <row r="7" spans="2:30" ht="18.75" customHeight="1" thickBot="1" x14ac:dyDescent="0.35">
      <c r="B7" s="85">
        <f>+B5</f>
        <v>1</v>
      </c>
      <c r="C7" s="53"/>
      <c r="D7" s="53"/>
      <c r="E7" s="53"/>
      <c r="F7" s="53"/>
      <c r="G7" s="62"/>
      <c r="H7" s="63">
        <v>46</v>
      </c>
      <c r="I7" s="64">
        <v>41.5</v>
      </c>
      <c r="J7" s="6" t="s">
        <v>19</v>
      </c>
      <c r="K7" s="26">
        <v>3</v>
      </c>
      <c r="L7" s="26">
        <v>3</v>
      </c>
      <c r="M7" s="26">
        <v>3</v>
      </c>
      <c r="N7" s="26">
        <v>3</v>
      </c>
      <c r="O7" s="26">
        <v>3</v>
      </c>
      <c r="P7" s="26">
        <v>3</v>
      </c>
      <c r="Q7" s="26">
        <v>3</v>
      </c>
      <c r="R7" s="26">
        <v>3</v>
      </c>
      <c r="S7" s="26"/>
      <c r="T7" s="6"/>
      <c r="U7" s="6"/>
      <c r="V7" s="30"/>
      <c r="W7" s="45">
        <f t="shared" si="0"/>
        <v>24</v>
      </c>
      <c r="X7" s="45"/>
      <c r="Y7" s="46"/>
      <c r="Z7" s="47">
        <f>+Z5/(I5*8)</f>
        <v>1.5223214285714286</v>
      </c>
      <c r="AA7" s="48"/>
      <c r="AB7" s="21"/>
      <c r="AC7" s="1">
        <f>+W7*30</f>
        <v>720</v>
      </c>
    </row>
    <row r="8" spans="2:30" ht="18.75" customHeight="1" thickTop="1" x14ac:dyDescent="0.3">
      <c r="B8" s="17">
        <f>+B9</f>
        <v>2</v>
      </c>
      <c r="C8" s="54"/>
      <c r="D8" s="54"/>
      <c r="E8" s="54"/>
      <c r="F8" s="54"/>
      <c r="G8" s="55" t="s">
        <v>20</v>
      </c>
      <c r="H8" s="56" t="s">
        <v>23</v>
      </c>
      <c r="I8" s="56" t="s">
        <v>23</v>
      </c>
      <c r="J8" s="5" t="s">
        <v>21</v>
      </c>
      <c r="K8" s="27">
        <v>42</v>
      </c>
      <c r="L8" s="27">
        <v>42</v>
      </c>
      <c r="M8" s="27">
        <v>100</v>
      </c>
      <c r="N8" s="27">
        <v>21</v>
      </c>
      <c r="O8" s="27"/>
      <c r="P8" s="27"/>
      <c r="Q8" s="27"/>
      <c r="R8" s="27">
        <v>0</v>
      </c>
      <c r="S8" s="27"/>
      <c r="T8" s="5"/>
      <c r="U8" s="5"/>
      <c r="V8" s="31"/>
      <c r="W8" s="49">
        <f t="shared" si="0"/>
        <v>205</v>
      </c>
      <c r="X8" s="49">
        <f>+Y8+W8</f>
        <v>3753</v>
      </c>
      <c r="Y8" s="42">
        <v>3548</v>
      </c>
      <c r="Z8" s="34"/>
      <c r="AA8" s="35"/>
    </row>
    <row r="9" spans="2:30" ht="18.75" customHeight="1" x14ac:dyDescent="0.3">
      <c r="B9" s="18">
        <v>2</v>
      </c>
      <c r="C9" s="52" t="s">
        <v>50</v>
      </c>
      <c r="D9" s="52" t="s">
        <v>35</v>
      </c>
      <c r="E9" s="52" t="s">
        <v>51</v>
      </c>
      <c r="F9" s="52" t="s">
        <v>37</v>
      </c>
      <c r="G9" s="65">
        <v>41.37</v>
      </c>
      <c r="H9" s="58">
        <v>68</v>
      </c>
      <c r="I9" s="59">
        <v>53</v>
      </c>
      <c r="J9" s="8" t="s">
        <v>17</v>
      </c>
      <c r="K9" s="24">
        <v>35</v>
      </c>
      <c r="L9" s="24">
        <v>65</v>
      </c>
      <c r="M9" s="24">
        <v>65</v>
      </c>
      <c r="N9" s="24"/>
      <c r="O9" s="24"/>
      <c r="P9" s="24"/>
      <c r="Q9" s="24"/>
      <c r="R9" s="24"/>
      <c r="S9" s="24"/>
      <c r="T9" s="8"/>
      <c r="U9" s="8"/>
      <c r="V9" s="36">
        <f>+IF(COUNTA(K9:U9)=0,0,W9/COUNTA(K9:U9))</f>
        <v>55</v>
      </c>
      <c r="W9" s="37">
        <f t="shared" si="0"/>
        <v>165</v>
      </c>
      <c r="X9" s="37">
        <f>+W9+Y9</f>
        <v>2207</v>
      </c>
      <c r="Y9" s="38">
        <v>2042</v>
      </c>
      <c r="Z9" s="39">
        <f>+X8-X9</f>
        <v>1546</v>
      </c>
      <c r="AA9" s="40">
        <f>+IF(((W10+(W11/2))*60)=0,"",(G9*W9)/((W10+(W11/2))*60))</f>
        <v>0.96823404255319134</v>
      </c>
      <c r="AD9" s="1">
        <f>+W9*G9</f>
        <v>6826.0499999999993</v>
      </c>
    </row>
    <row r="10" spans="2:30" ht="18.75" customHeight="1" x14ac:dyDescent="0.3">
      <c r="B10" s="19">
        <f>+B9</f>
        <v>2</v>
      </c>
      <c r="C10" s="52"/>
      <c r="D10" s="52"/>
      <c r="E10" s="52"/>
      <c r="F10" s="52"/>
      <c r="G10" s="66"/>
      <c r="H10" s="61" t="s">
        <v>22</v>
      </c>
      <c r="I10" s="87" t="s">
        <v>22</v>
      </c>
      <c r="J10" s="3" t="s">
        <v>18</v>
      </c>
      <c r="K10" s="25">
        <v>36</v>
      </c>
      <c r="L10" s="25">
        <v>40</v>
      </c>
      <c r="M10" s="25">
        <v>40</v>
      </c>
      <c r="N10" s="25"/>
      <c r="O10" s="25"/>
      <c r="P10" s="25"/>
      <c r="Q10" s="25"/>
      <c r="R10" s="25"/>
      <c r="S10" s="25"/>
      <c r="T10" s="3"/>
      <c r="U10" s="3"/>
      <c r="V10" s="29"/>
      <c r="W10" s="41">
        <f t="shared" si="0"/>
        <v>116</v>
      </c>
      <c r="X10" s="41"/>
      <c r="Y10" s="42"/>
      <c r="Z10" s="43"/>
      <c r="AA10" s="44"/>
      <c r="AC10" s="1">
        <f>+W10*60</f>
        <v>6960</v>
      </c>
    </row>
    <row r="11" spans="2:30" ht="18.75" customHeight="1" thickBot="1" x14ac:dyDescent="0.35">
      <c r="B11" s="20">
        <f>+B9</f>
        <v>2</v>
      </c>
      <c r="C11" s="53"/>
      <c r="D11" s="53"/>
      <c r="E11" s="53"/>
      <c r="F11" s="53"/>
      <c r="G11" s="67"/>
      <c r="H11" s="63">
        <v>52</v>
      </c>
      <c r="I11" s="64">
        <v>40.5</v>
      </c>
      <c r="J11" s="6" t="s">
        <v>19</v>
      </c>
      <c r="K11" s="26">
        <v>1</v>
      </c>
      <c r="L11" s="26">
        <v>1</v>
      </c>
      <c r="M11" s="26">
        <v>1</v>
      </c>
      <c r="N11" s="26"/>
      <c r="O11" s="26"/>
      <c r="P11" s="26"/>
      <c r="Q11" s="26"/>
      <c r="R11" s="26"/>
      <c r="S11" s="26"/>
      <c r="T11" s="6"/>
      <c r="U11" s="6"/>
      <c r="V11" s="30"/>
      <c r="W11" s="45">
        <f t="shared" si="0"/>
        <v>3</v>
      </c>
      <c r="X11" s="45"/>
      <c r="Y11" s="46"/>
      <c r="Z11" s="47">
        <f>+Z9/(I9*8)</f>
        <v>3.6462264150943398</v>
      </c>
      <c r="AA11" s="48"/>
      <c r="AC11" s="1">
        <f>+W11*30</f>
        <v>90</v>
      </c>
    </row>
    <row r="12" spans="2:30" ht="18.75" customHeight="1" thickTop="1" x14ac:dyDescent="0.3">
      <c r="B12" s="86">
        <f>+B13</f>
        <v>3</v>
      </c>
      <c r="C12" s="54"/>
      <c r="D12" s="54"/>
      <c r="E12" s="54"/>
      <c r="F12" s="54"/>
      <c r="G12" s="68" t="s">
        <v>20</v>
      </c>
      <c r="H12" s="69" t="s">
        <v>23</v>
      </c>
      <c r="I12" s="69" t="s">
        <v>23</v>
      </c>
      <c r="J12" s="5" t="s">
        <v>21</v>
      </c>
      <c r="K12" s="27"/>
      <c r="L12" s="27"/>
      <c r="M12" s="27"/>
      <c r="N12" s="27"/>
      <c r="O12" s="27"/>
      <c r="P12" s="27"/>
      <c r="Q12" s="27"/>
      <c r="R12" s="27">
        <v>282</v>
      </c>
      <c r="S12" s="27"/>
      <c r="T12" s="5"/>
      <c r="U12" s="5"/>
      <c r="V12" s="31"/>
      <c r="W12" s="49">
        <f t="shared" si="0"/>
        <v>282</v>
      </c>
      <c r="X12" s="49">
        <f>+Y12+W12</f>
        <v>13786</v>
      </c>
      <c r="Y12" s="42">
        <v>13504</v>
      </c>
      <c r="Z12" s="75"/>
      <c r="AA12" s="50"/>
    </row>
    <row r="13" spans="2:30" ht="18.75" customHeight="1" x14ac:dyDescent="0.3">
      <c r="B13" s="15">
        <v>3</v>
      </c>
      <c r="C13" s="52" t="s">
        <v>48</v>
      </c>
      <c r="D13" s="52" t="s">
        <v>31</v>
      </c>
      <c r="E13" s="52" t="s">
        <v>49</v>
      </c>
      <c r="F13" s="52" t="s">
        <v>33</v>
      </c>
      <c r="G13" s="57">
        <v>49.99</v>
      </c>
      <c r="H13" s="58">
        <v>50</v>
      </c>
      <c r="I13" s="59">
        <v>50</v>
      </c>
      <c r="J13" s="8" t="s">
        <v>17</v>
      </c>
      <c r="K13" s="24">
        <v>50</v>
      </c>
      <c r="L13" s="24">
        <v>50</v>
      </c>
      <c r="M13" s="24">
        <v>50</v>
      </c>
      <c r="N13" s="24">
        <v>50</v>
      </c>
      <c r="O13" s="24">
        <v>50</v>
      </c>
      <c r="P13" s="24">
        <v>50</v>
      </c>
      <c r="Q13" s="24">
        <v>50</v>
      </c>
      <c r="R13" s="24">
        <v>58</v>
      </c>
      <c r="S13" s="24"/>
      <c r="T13" s="8"/>
      <c r="U13" s="8"/>
      <c r="V13" s="36">
        <f>+IF(COUNTA(K13:U13)=0,0,W13/COUNTA(K13:U13))</f>
        <v>51</v>
      </c>
      <c r="W13" s="37">
        <f t="shared" si="0"/>
        <v>408</v>
      </c>
      <c r="X13" s="37">
        <f>+W13+Y13</f>
        <v>12752</v>
      </c>
      <c r="Y13" s="38">
        <v>12344</v>
      </c>
      <c r="Z13" s="73">
        <f>+X12-X13</f>
        <v>1034</v>
      </c>
      <c r="AA13" s="40">
        <f>+IF(((W14+(W15/2))*60)=0,"",(G13*W13)/((W14+(W15/2))*60))</f>
        <v>0.91873513513513527</v>
      </c>
      <c r="AD13" s="1">
        <f>+W13*G13</f>
        <v>20395.920000000002</v>
      </c>
    </row>
    <row r="14" spans="2:30" ht="18.75" customHeight="1" x14ac:dyDescent="0.3">
      <c r="B14" s="84">
        <f>+B13</f>
        <v>3</v>
      </c>
      <c r="C14" s="52"/>
      <c r="D14" s="52"/>
      <c r="E14" s="52"/>
      <c r="F14" s="52"/>
      <c r="G14" s="60"/>
      <c r="H14" s="61" t="s">
        <v>22</v>
      </c>
      <c r="I14" s="61" t="s">
        <v>22</v>
      </c>
      <c r="J14" s="3" t="s">
        <v>18</v>
      </c>
      <c r="K14" s="25">
        <v>42</v>
      </c>
      <c r="L14" s="25">
        <v>44</v>
      </c>
      <c r="M14" s="25">
        <v>44</v>
      </c>
      <c r="N14" s="25">
        <v>44</v>
      </c>
      <c r="O14" s="25">
        <v>45</v>
      </c>
      <c r="P14" s="25">
        <v>45</v>
      </c>
      <c r="Q14" s="25">
        <v>45</v>
      </c>
      <c r="R14" s="25">
        <v>45</v>
      </c>
      <c r="S14" s="25"/>
      <c r="T14" s="3"/>
      <c r="U14" s="3"/>
      <c r="V14" s="29"/>
      <c r="W14" s="41">
        <f t="shared" si="0"/>
        <v>354</v>
      </c>
      <c r="X14" s="41"/>
      <c r="Y14" s="42"/>
      <c r="Z14" s="74"/>
      <c r="AA14" s="44"/>
      <c r="AC14" s="1">
        <f>+W14*60</f>
        <v>21240</v>
      </c>
    </row>
    <row r="15" spans="2:30" ht="18.75" customHeight="1" thickBot="1" x14ac:dyDescent="0.35">
      <c r="B15" s="85">
        <f>+B13</f>
        <v>3</v>
      </c>
      <c r="C15" s="53"/>
      <c r="D15" s="53"/>
      <c r="E15" s="53"/>
      <c r="F15" s="53"/>
      <c r="G15" s="62"/>
      <c r="H15" s="63">
        <v>46</v>
      </c>
      <c r="I15" s="64">
        <v>46</v>
      </c>
      <c r="J15" s="6" t="s">
        <v>19</v>
      </c>
      <c r="K15" s="26">
        <v>4</v>
      </c>
      <c r="L15" s="26">
        <v>4</v>
      </c>
      <c r="M15" s="26">
        <v>4</v>
      </c>
      <c r="N15" s="26">
        <v>4</v>
      </c>
      <c r="O15" s="26">
        <v>4</v>
      </c>
      <c r="P15" s="26">
        <v>4</v>
      </c>
      <c r="Q15" s="26">
        <v>4</v>
      </c>
      <c r="R15" s="26">
        <v>4</v>
      </c>
      <c r="S15" s="26"/>
      <c r="T15" s="6"/>
      <c r="U15" s="6"/>
      <c r="V15" s="30"/>
      <c r="W15" s="45">
        <f t="shared" si="0"/>
        <v>32</v>
      </c>
      <c r="X15" s="45"/>
      <c r="Y15" s="46"/>
      <c r="Z15" s="47">
        <f>+Z13/(I13*8)</f>
        <v>2.585</v>
      </c>
      <c r="AA15" s="48"/>
      <c r="AC15" s="1">
        <f>+W15*30</f>
        <v>960</v>
      </c>
    </row>
    <row r="16" spans="2:30" ht="18.75" customHeight="1" thickTop="1" x14ac:dyDescent="0.3">
      <c r="B16" s="86">
        <f>+B17</f>
        <v>3</v>
      </c>
      <c r="C16" s="54"/>
      <c r="D16" s="54"/>
      <c r="E16" s="54"/>
      <c r="F16" s="54"/>
      <c r="G16" s="68" t="s">
        <v>20</v>
      </c>
      <c r="H16" s="69" t="s">
        <v>23</v>
      </c>
      <c r="I16" s="69" t="s">
        <v>23</v>
      </c>
      <c r="J16" s="5" t="s">
        <v>21</v>
      </c>
      <c r="K16" s="27"/>
      <c r="L16" s="27"/>
      <c r="M16" s="27"/>
      <c r="N16" s="27"/>
      <c r="O16" s="27"/>
      <c r="P16" s="27"/>
      <c r="Q16" s="27"/>
      <c r="R16" s="27">
        <v>126</v>
      </c>
      <c r="S16" s="27"/>
      <c r="T16" s="5"/>
      <c r="U16" s="5"/>
      <c r="V16" s="31"/>
      <c r="W16" s="49">
        <f t="shared" si="0"/>
        <v>126</v>
      </c>
      <c r="X16" s="49">
        <v>126</v>
      </c>
      <c r="Y16" s="42">
        <v>13504</v>
      </c>
      <c r="Z16" s="75"/>
      <c r="AA16" s="50"/>
    </row>
    <row r="17" spans="2:30" ht="18.75" customHeight="1" x14ac:dyDescent="0.3">
      <c r="B17" s="15">
        <v>3</v>
      </c>
      <c r="C17" s="52" t="s">
        <v>48</v>
      </c>
      <c r="D17" s="52" t="s">
        <v>31</v>
      </c>
      <c r="E17" s="52" t="s">
        <v>74</v>
      </c>
      <c r="F17" s="52" t="s">
        <v>33</v>
      </c>
      <c r="G17" s="57"/>
      <c r="H17" s="58"/>
      <c r="I17" s="59"/>
      <c r="J17" s="8" t="s">
        <v>17</v>
      </c>
      <c r="K17" s="24"/>
      <c r="L17" s="24"/>
      <c r="M17" s="24"/>
      <c r="N17" s="24"/>
      <c r="O17" s="24"/>
      <c r="P17" s="24"/>
      <c r="Q17" s="24"/>
      <c r="R17" s="24"/>
      <c r="S17" s="24"/>
      <c r="T17" s="8"/>
      <c r="U17" s="8"/>
      <c r="V17" s="36">
        <f>+IF(COUNTA(K17:U17)=0,0,W17/COUNTA(K17:U17))</f>
        <v>0</v>
      </c>
      <c r="W17" s="37">
        <f t="shared" si="0"/>
        <v>0</v>
      </c>
      <c r="X17" s="37"/>
      <c r="Y17" s="38">
        <v>12344</v>
      </c>
      <c r="Z17" s="73">
        <f>+X16-X17</f>
        <v>126</v>
      </c>
      <c r="AA17" s="40" t="str">
        <f>+IF(((W18+(W19/2))*60)=0,"",(G17*W17)/((W18+(W19/2))*60))</f>
        <v/>
      </c>
      <c r="AD17" s="1">
        <f>+W17*G17</f>
        <v>0</v>
      </c>
    </row>
    <row r="18" spans="2:30" ht="18.75" customHeight="1" x14ac:dyDescent="0.3">
      <c r="B18" s="84">
        <f>+B17</f>
        <v>3</v>
      </c>
      <c r="C18" s="52"/>
      <c r="D18" s="52"/>
      <c r="E18" s="52"/>
      <c r="F18" s="52"/>
      <c r="G18" s="60"/>
      <c r="H18" s="61" t="s">
        <v>22</v>
      </c>
      <c r="I18" s="61" t="s">
        <v>22</v>
      </c>
      <c r="J18" s="3" t="s">
        <v>18</v>
      </c>
      <c r="K18" s="25"/>
      <c r="L18" s="25"/>
      <c r="M18" s="25"/>
      <c r="N18" s="25"/>
      <c r="O18" s="25"/>
      <c r="P18" s="25"/>
      <c r="Q18" s="25"/>
      <c r="R18" s="25"/>
      <c r="S18" s="25"/>
      <c r="T18" s="3"/>
      <c r="U18" s="3"/>
      <c r="V18" s="29"/>
      <c r="W18" s="41">
        <f t="shared" si="0"/>
        <v>0</v>
      </c>
      <c r="X18" s="41"/>
      <c r="Y18" s="42"/>
      <c r="Z18" s="74"/>
      <c r="AA18" s="44"/>
      <c r="AC18" s="1">
        <f>+W18*60</f>
        <v>0</v>
      </c>
    </row>
    <row r="19" spans="2:30" ht="18.75" customHeight="1" thickBot="1" x14ac:dyDescent="0.35">
      <c r="B19" s="85">
        <f>+B17</f>
        <v>3</v>
      </c>
      <c r="C19" s="53"/>
      <c r="D19" s="53"/>
      <c r="E19" s="53"/>
      <c r="F19" s="53"/>
      <c r="G19" s="62"/>
      <c r="H19" s="63"/>
      <c r="I19" s="64"/>
      <c r="J19" s="6" t="s">
        <v>19</v>
      </c>
      <c r="K19" s="26"/>
      <c r="L19" s="26"/>
      <c r="M19" s="26"/>
      <c r="N19" s="26"/>
      <c r="O19" s="26"/>
      <c r="P19" s="26"/>
      <c r="Q19" s="26"/>
      <c r="R19" s="26"/>
      <c r="S19" s="26"/>
      <c r="T19" s="6"/>
      <c r="U19" s="6"/>
      <c r="V19" s="30"/>
      <c r="W19" s="45">
        <f t="shared" si="0"/>
        <v>0</v>
      </c>
      <c r="X19" s="45"/>
      <c r="Y19" s="46"/>
      <c r="Z19" s="47" t="e">
        <f>+Z17/(I17*8)</f>
        <v>#DIV/0!</v>
      </c>
      <c r="AA19" s="48"/>
      <c r="AC19" s="1">
        <f>+W19*30</f>
        <v>0</v>
      </c>
    </row>
    <row r="20" spans="2:30" ht="18.75" customHeight="1" thickTop="1" x14ac:dyDescent="0.3">
      <c r="B20" s="9">
        <f>+B21</f>
        <v>4</v>
      </c>
      <c r="C20" s="54"/>
      <c r="D20" s="54"/>
      <c r="E20" s="54"/>
      <c r="F20" s="54"/>
      <c r="G20" s="55" t="s">
        <v>20</v>
      </c>
      <c r="H20" s="56" t="s">
        <v>23</v>
      </c>
      <c r="I20" s="56" t="s">
        <v>23</v>
      </c>
      <c r="J20" s="5" t="s">
        <v>21</v>
      </c>
      <c r="K20" s="27"/>
      <c r="L20" s="27"/>
      <c r="M20" s="27"/>
      <c r="N20" s="27"/>
      <c r="O20" s="27"/>
      <c r="P20" s="27"/>
      <c r="Q20" s="27"/>
      <c r="R20" s="27"/>
      <c r="S20" s="27"/>
      <c r="T20" s="5"/>
      <c r="U20" s="5"/>
      <c r="V20" s="31"/>
      <c r="W20" s="49">
        <f t="shared" si="0"/>
        <v>0</v>
      </c>
      <c r="X20" s="49">
        <v>1580</v>
      </c>
      <c r="Y20" s="42">
        <v>1325</v>
      </c>
      <c r="Z20" s="34"/>
      <c r="AA20" s="35"/>
    </row>
    <row r="21" spans="2:30" ht="18.75" customHeight="1" x14ac:dyDescent="0.3">
      <c r="B21" s="18">
        <v>4</v>
      </c>
      <c r="C21" s="52" t="s">
        <v>62</v>
      </c>
      <c r="D21" s="52" t="s">
        <v>64</v>
      </c>
      <c r="E21" s="52" t="s">
        <v>65</v>
      </c>
      <c r="F21" s="52" t="s">
        <v>38</v>
      </c>
      <c r="G21" s="57">
        <v>51.86</v>
      </c>
      <c r="H21" s="58">
        <v>60</v>
      </c>
      <c r="I21" s="59">
        <v>35</v>
      </c>
      <c r="J21" s="8" t="s">
        <v>17</v>
      </c>
      <c r="K21" s="24">
        <v>40</v>
      </c>
      <c r="L21" s="24">
        <v>20</v>
      </c>
      <c r="M21" s="24">
        <v>10</v>
      </c>
      <c r="N21" s="24"/>
      <c r="O21" s="24"/>
      <c r="P21" s="24"/>
      <c r="Q21" s="24"/>
      <c r="R21" s="24"/>
      <c r="S21" s="24"/>
      <c r="T21" s="8"/>
      <c r="U21" s="8"/>
      <c r="V21" s="36">
        <f>+IF(COUNTA(K21:U21)=0,0,W21/COUNTA(K21:U21))</f>
        <v>23.333333333333332</v>
      </c>
      <c r="W21" s="37">
        <f t="shared" si="0"/>
        <v>70</v>
      </c>
      <c r="X21" s="37">
        <f>972+W21</f>
        <v>1042</v>
      </c>
      <c r="Y21" s="38">
        <v>659</v>
      </c>
      <c r="Z21" s="39">
        <f>+X20-X21</f>
        <v>538</v>
      </c>
      <c r="AA21" s="40">
        <f>+IF(((W22+(W23/2))*60)=0,"",(G21*W21)/((W22+(W23/2))*60))</f>
        <v>0.5084313725490196</v>
      </c>
      <c r="AD21" s="1">
        <f>+W21*G21</f>
        <v>3630.2</v>
      </c>
    </row>
    <row r="22" spans="2:30" ht="18.75" customHeight="1" x14ac:dyDescent="0.3">
      <c r="B22" s="10">
        <f>+B21</f>
        <v>4</v>
      </c>
      <c r="C22" s="52"/>
      <c r="D22" s="52"/>
      <c r="E22" s="52"/>
      <c r="F22" s="52"/>
      <c r="G22" s="60"/>
      <c r="H22" s="61" t="s">
        <v>22</v>
      </c>
      <c r="I22" s="61" t="s">
        <v>22</v>
      </c>
      <c r="J22" s="3" t="s">
        <v>18</v>
      </c>
      <c r="K22" s="25">
        <v>39</v>
      </c>
      <c r="L22" s="25">
        <v>38</v>
      </c>
      <c r="M22" s="25">
        <v>36</v>
      </c>
      <c r="N22" s="25"/>
      <c r="O22" s="25"/>
      <c r="P22" s="25"/>
      <c r="Q22" s="25"/>
      <c r="R22" s="25"/>
      <c r="S22" s="25"/>
      <c r="T22" s="3"/>
      <c r="U22" s="3"/>
      <c r="V22" s="29"/>
      <c r="W22" s="41">
        <f t="shared" si="0"/>
        <v>113</v>
      </c>
      <c r="X22" s="41"/>
      <c r="Y22" s="42"/>
      <c r="Z22" s="43"/>
      <c r="AA22" s="44"/>
      <c r="AC22" s="1">
        <f>+W22*60</f>
        <v>6780</v>
      </c>
    </row>
    <row r="23" spans="2:30" ht="18.75" customHeight="1" thickBot="1" x14ac:dyDescent="0.35">
      <c r="B23" s="11">
        <f>+B21</f>
        <v>4</v>
      </c>
      <c r="C23" s="53"/>
      <c r="D23" s="53"/>
      <c r="E23" s="53"/>
      <c r="F23" s="53"/>
      <c r="G23" s="62"/>
      <c r="H23" s="63">
        <v>52</v>
      </c>
      <c r="I23" s="63">
        <v>47</v>
      </c>
      <c r="J23" s="6" t="s">
        <v>19</v>
      </c>
      <c r="K23" s="26">
        <v>4</v>
      </c>
      <c r="L23" s="26">
        <v>4</v>
      </c>
      <c r="M23" s="26">
        <v>4</v>
      </c>
      <c r="N23" s="26"/>
      <c r="O23" s="26"/>
      <c r="P23" s="26"/>
      <c r="Q23" s="26"/>
      <c r="R23" s="26"/>
      <c r="S23" s="26"/>
      <c r="T23" s="6"/>
      <c r="U23" s="6"/>
      <c r="V23" s="30"/>
      <c r="W23" s="45">
        <f t="shared" si="0"/>
        <v>12</v>
      </c>
      <c r="X23" s="45"/>
      <c r="Y23" s="46"/>
      <c r="Z23" s="47">
        <f>+Z21/(I21*8)</f>
        <v>1.9214285714285715</v>
      </c>
      <c r="AA23" s="48"/>
      <c r="AC23" s="1">
        <f>+W23*30</f>
        <v>360</v>
      </c>
    </row>
    <row r="24" spans="2:30" ht="18.75" customHeight="1" thickTop="1" x14ac:dyDescent="0.3">
      <c r="B24" s="9">
        <f>+B25</f>
        <v>4</v>
      </c>
      <c r="C24" s="54"/>
      <c r="D24" s="54"/>
      <c r="E24" s="54"/>
      <c r="F24" s="54"/>
      <c r="G24" s="55" t="s">
        <v>20</v>
      </c>
      <c r="H24" s="56" t="s">
        <v>23</v>
      </c>
      <c r="I24" s="56" t="s">
        <v>23</v>
      </c>
      <c r="J24" s="5" t="s">
        <v>21</v>
      </c>
      <c r="K24" s="27">
        <v>30</v>
      </c>
      <c r="L24" s="27">
        <v>30</v>
      </c>
      <c r="M24" s="27">
        <v>30</v>
      </c>
      <c r="N24" s="27">
        <v>30</v>
      </c>
      <c r="O24" s="27"/>
      <c r="P24" s="27"/>
      <c r="Q24" s="27"/>
      <c r="R24" s="27"/>
      <c r="S24" s="27"/>
      <c r="T24" s="5"/>
      <c r="U24" s="5"/>
      <c r="V24" s="31"/>
      <c r="W24" s="49">
        <f t="shared" si="0"/>
        <v>120</v>
      </c>
      <c r="X24" s="49">
        <v>90</v>
      </c>
      <c r="Y24" s="42">
        <v>1325</v>
      </c>
      <c r="Z24" s="34"/>
      <c r="AA24" s="35"/>
    </row>
    <row r="25" spans="2:30" ht="18.75" customHeight="1" x14ac:dyDescent="0.3">
      <c r="B25" s="18">
        <v>4</v>
      </c>
      <c r="C25" s="52" t="s">
        <v>70</v>
      </c>
      <c r="D25" s="52" t="s">
        <v>43</v>
      </c>
      <c r="E25" s="52" t="s">
        <v>71</v>
      </c>
      <c r="F25" s="52" t="s">
        <v>38</v>
      </c>
      <c r="G25" s="57"/>
      <c r="H25" s="58"/>
      <c r="I25" s="59">
        <v>40</v>
      </c>
      <c r="J25" s="8" t="s">
        <v>17</v>
      </c>
      <c r="K25" s="24"/>
      <c r="L25" s="24"/>
      <c r="M25" s="24"/>
      <c r="N25" s="24"/>
      <c r="O25" s="24"/>
      <c r="P25" s="24"/>
      <c r="Q25" s="24"/>
      <c r="R25" s="24"/>
      <c r="S25" s="24"/>
      <c r="T25" s="8"/>
      <c r="U25" s="8"/>
      <c r="V25" s="36">
        <f>+IF(COUNTA(K25:U25)=0,0,W25/COUNTA(K25:U25))</f>
        <v>0</v>
      </c>
      <c r="W25" s="37">
        <f t="shared" si="0"/>
        <v>0</v>
      </c>
      <c r="X25" s="37"/>
      <c r="Y25" s="38">
        <v>659</v>
      </c>
      <c r="Z25" s="39">
        <f>+X24-X25</f>
        <v>90</v>
      </c>
      <c r="AA25" s="40">
        <f>+IF(((W26+(W27/2))*60)=0,"",(G25*W25)/((W26+(W27/2))*60))</f>
        <v>0</v>
      </c>
      <c r="AD25" s="1">
        <f>+W25*G25</f>
        <v>0</v>
      </c>
    </row>
    <row r="26" spans="2:30" ht="18.75" customHeight="1" x14ac:dyDescent="0.3">
      <c r="B26" s="10">
        <f>+B25</f>
        <v>4</v>
      </c>
      <c r="C26" s="52"/>
      <c r="D26" s="52"/>
      <c r="E26" s="52"/>
      <c r="F26" s="52"/>
      <c r="G26" s="60"/>
      <c r="H26" s="61" t="s">
        <v>22</v>
      </c>
      <c r="I26" s="61" t="s">
        <v>22</v>
      </c>
      <c r="J26" s="3" t="s">
        <v>18</v>
      </c>
      <c r="K26" s="25">
        <v>6</v>
      </c>
      <c r="L26" s="25">
        <v>7</v>
      </c>
      <c r="M26" s="25">
        <v>9</v>
      </c>
      <c r="N26" s="25"/>
      <c r="O26" s="25"/>
      <c r="P26" s="25"/>
      <c r="Q26" s="25"/>
      <c r="R26" s="25"/>
      <c r="S26" s="25"/>
      <c r="T26" s="3"/>
      <c r="U26" s="3"/>
      <c r="V26" s="29"/>
      <c r="W26" s="41">
        <f t="shared" si="0"/>
        <v>22</v>
      </c>
      <c r="X26" s="41"/>
      <c r="Y26" s="42"/>
      <c r="Z26" s="43"/>
      <c r="AA26" s="44"/>
      <c r="AC26" s="1">
        <f>+W26*60</f>
        <v>1320</v>
      </c>
    </row>
    <row r="27" spans="2:30" ht="18.75" customHeight="1" thickBot="1" x14ac:dyDescent="0.35">
      <c r="B27" s="11">
        <f>+B25</f>
        <v>4</v>
      </c>
      <c r="C27" s="53"/>
      <c r="D27" s="53"/>
      <c r="E27" s="53"/>
      <c r="F27" s="53"/>
      <c r="G27" s="62"/>
      <c r="H27" s="63"/>
      <c r="I27" s="64"/>
      <c r="J27" s="6" t="s">
        <v>19</v>
      </c>
      <c r="K27" s="26"/>
      <c r="L27" s="26"/>
      <c r="M27" s="26"/>
      <c r="N27" s="26"/>
      <c r="O27" s="26"/>
      <c r="P27" s="26"/>
      <c r="Q27" s="26"/>
      <c r="R27" s="26"/>
      <c r="S27" s="26"/>
      <c r="T27" s="6"/>
      <c r="U27" s="6"/>
      <c r="V27" s="30"/>
      <c r="W27" s="45">
        <f t="shared" si="0"/>
        <v>0</v>
      </c>
      <c r="X27" s="45"/>
      <c r="Y27" s="46"/>
      <c r="Z27" s="47">
        <f>+Z25/(I25*8)</f>
        <v>0.28125</v>
      </c>
      <c r="AA27" s="48"/>
      <c r="AC27" s="1">
        <f>+W27*30</f>
        <v>0</v>
      </c>
    </row>
    <row r="28" spans="2:30" ht="18.75" customHeight="1" thickTop="1" x14ac:dyDescent="0.3">
      <c r="B28" s="9">
        <f>+B29</f>
        <v>6</v>
      </c>
      <c r="C28" s="54"/>
      <c r="D28" s="54"/>
      <c r="E28" s="54"/>
      <c r="F28" s="54"/>
      <c r="G28" s="55" t="s">
        <v>20</v>
      </c>
      <c r="H28" s="56" t="s">
        <v>23</v>
      </c>
      <c r="I28" s="56" t="s">
        <v>23</v>
      </c>
      <c r="J28" s="5" t="s">
        <v>21</v>
      </c>
      <c r="K28" s="27">
        <v>75</v>
      </c>
      <c r="L28" s="27">
        <v>75</v>
      </c>
      <c r="M28" s="27">
        <v>75</v>
      </c>
      <c r="N28" s="27">
        <v>75</v>
      </c>
      <c r="O28" s="27"/>
      <c r="P28" s="27"/>
      <c r="Q28" s="27"/>
      <c r="R28" s="27"/>
      <c r="S28" s="27"/>
      <c r="T28" s="5"/>
      <c r="U28" s="5"/>
      <c r="V28" s="31"/>
      <c r="W28" s="49">
        <f t="shared" si="0"/>
        <v>300</v>
      </c>
      <c r="X28" s="49">
        <f>+Y28+W28</f>
        <v>5050</v>
      </c>
      <c r="Y28" s="42">
        <v>4750</v>
      </c>
      <c r="Z28" s="34"/>
      <c r="AA28" s="35"/>
    </row>
    <row r="29" spans="2:30" ht="18.75" customHeight="1" x14ac:dyDescent="0.3">
      <c r="B29" s="18">
        <v>6</v>
      </c>
      <c r="C29" s="52" t="s">
        <v>61</v>
      </c>
      <c r="D29" s="52" t="s">
        <v>31</v>
      </c>
      <c r="E29" s="52" t="s">
        <v>32</v>
      </c>
      <c r="F29" s="52" t="s">
        <v>33</v>
      </c>
      <c r="G29" s="65">
        <v>43.38</v>
      </c>
      <c r="H29" s="58">
        <v>62</v>
      </c>
      <c r="I29" s="59">
        <v>58</v>
      </c>
      <c r="J29" s="8" t="s">
        <v>17</v>
      </c>
      <c r="K29" s="24">
        <v>58</v>
      </c>
      <c r="L29" s="24">
        <v>58</v>
      </c>
      <c r="M29" s="24">
        <v>50</v>
      </c>
      <c r="N29" s="24"/>
      <c r="O29" s="24"/>
      <c r="P29" s="24"/>
      <c r="Q29" s="24"/>
      <c r="R29" s="24"/>
      <c r="S29" s="24"/>
      <c r="T29" s="8"/>
      <c r="U29" s="8"/>
      <c r="V29" s="36">
        <f>+IF(COUNTA(K29:U29)=0,0,W29/COUNTA(K29:U29))</f>
        <v>55.333333333333336</v>
      </c>
      <c r="W29" s="37">
        <f t="shared" si="0"/>
        <v>166</v>
      </c>
      <c r="X29" s="37">
        <f>+W29+Y29</f>
        <v>4451</v>
      </c>
      <c r="Y29" s="38">
        <v>4285</v>
      </c>
      <c r="Z29" s="39">
        <f>+X28-X29</f>
        <v>599</v>
      </c>
      <c r="AA29" s="40">
        <f>+IF(((W30+(W31/2))*60)=0,"",(G29*W29)/((W30+(W31/2))*60))</f>
        <v>0.87285818181818187</v>
      </c>
      <c r="AC29" s="21"/>
      <c r="AD29" s="1">
        <f>+W29*G29</f>
        <v>7201.0800000000008</v>
      </c>
    </row>
    <row r="30" spans="2:30" ht="18.75" customHeight="1" x14ac:dyDescent="0.3">
      <c r="B30" s="10">
        <f>+B29</f>
        <v>6</v>
      </c>
      <c r="C30" s="52"/>
      <c r="D30" s="52"/>
      <c r="E30" s="52"/>
      <c r="F30" s="52"/>
      <c r="G30" s="66"/>
      <c r="H30" s="61" t="s">
        <v>22</v>
      </c>
      <c r="I30" s="61" t="s">
        <v>22</v>
      </c>
      <c r="J30" s="3" t="s">
        <v>18</v>
      </c>
      <c r="K30" s="25">
        <v>43</v>
      </c>
      <c r="L30" s="25">
        <v>45</v>
      </c>
      <c r="M30" s="25">
        <v>45</v>
      </c>
      <c r="N30" s="25"/>
      <c r="O30" s="25"/>
      <c r="P30" s="25"/>
      <c r="Q30" s="25"/>
      <c r="R30" s="25"/>
      <c r="S30" s="25"/>
      <c r="T30" s="3"/>
      <c r="U30" s="3"/>
      <c r="V30" s="29"/>
      <c r="W30" s="41">
        <f t="shared" si="0"/>
        <v>133</v>
      </c>
      <c r="X30" s="41"/>
      <c r="Y30" s="42"/>
      <c r="Z30" s="43"/>
      <c r="AA30" s="44"/>
      <c r="AC30" s="1">
        <f>+W30*60</f>
        <v>7980</v>
      </c>
    </row>
    <row r="31" spans="2:30" ht="18.75" customHeight="1" thickBot="1" x14ac:dyDescent="0.35">
      <c r="B31" s="11">
        <f>+B29</f>
        <v>6</v>
      </c>
      <c r="C31" s="53"/>
      <c r="D31" s="53"/>
      <c r="E31" s="53"/>
      <c r="F31" s="53"/>
      <c r="G31" s="67"/>
      <c r="H31" s="63">
        <v>50</v>
      </c>
      <c r="I31" s="64">
        <v>46.5</v>
      </c>
      <c r="J31" s="6" t="s">
        <v>19</v>
      </c>
      <c r="K31" s="26">
        <v>3</v>
      </c>
      <c r="L31" s="26">
        <v>3</v>
      </c>
      <c r="M31" s="26">
        <v>3</v>
      </c>
      <c r="N31" s="26"/>
      <c r="O31" s="26"/>
      <c r="P31" s="26"/>
      <c r="Q31" s="26"/>
      <c r="R31" s="26"/>
      <c r="S31" s="26"/>
      <c r="T31" s="6"/>
      <c r="U31" s="6"/>
      <c r="V31" s="30"/>
      <c r="W31" s="45">
        <f t="shared" si="0"/>
        <v>9</v>
      </c>
      <c r="X31" s="45"/>
      <c r="Y31" s="46"/>
      <c r="Z31" s="47">
        <f>+Z29/(I29*8)</f>
        <v>1.290948275862069</v>
      </c>
      <c r="AA31" s="48"/>
      <c r="AC31" s="1">
        <f>+W31*30</f>
        <v>270</v>
      </c>
    </row>
    <row r="32" spans="2:30" ht="18.75" customHeight="1" thickTop="1" x14ac:dyDescent="0.3">
      <c r="B32" s="86">
        <f>+B33</f>
        <v>7</v>
      </c>
      <c r="C32" s="54"/>
      <c r="D32" s="54"/>
      <c r="E32" s="54"/>
      <c r="F32" s="54"/>
      <c r="G32" s="55" t="s">
        <v>20</v>
      </c>
      <c r="H32" s="56" t="s">
        <v>23</v>
      </c>
      <c r="I32" s="56" t="s">
        <v>23</v>
      </c>
      <c r="J32" s="5" t="s">
        <v>21</v>
      </c>
      <c r="K32" s="27"/>
      <c r="L32" s="27"/>
      <c r="M32" s="27"/>
      <c r="N32" s="27"/>
      <c r="O32" s="27"/>
      <c r="P32" s="27"/>
      <c r="Q32" s="27"/>
      <c r="R32" s="27">
        <v>500</v>
      </c>
      <c r="S32" s="27"/>
      <c r="T32" s="5"/>
      <c r="U32" s="5"/>
      <c r="V32" s="31"/>
      <c r="W32" s="49">
        <f t="shared" si="0"/>
        <v>500</v>
      </c>
      <c r="X32" s="49">
        <f>+Y32+W32</f>
        <v>2900</v>
      </c>
      <c r="Y32" s="42">
        <v>2400</v>
      </c>
      <c r="Z32" s="72"/>
      <c r="AA32" s="35"/>
    </row>
    <row r="33" spans="2:30" ht="18.75" customHeight="1" x14ac:dyDescent="0.3">
      <c r="B33" s="15">
        <v>7</v>
      </c>
      <c r="C33" s="52" t="s">
        <v>59</v>
      </c>
      <c r="D33" s="52" t="s">
        <v>35</v>
      </c>
      <c r="E33" s="52" t="s">
        <v>60</v>
      </c>
      <c r="F33" s="52" t="s">
        <v>37</v>
      </c>
      <c r="G33" s="57">
        <v>38</v>
      </c>
      <c r="H33" s="58">
        <v>65</v>
      </c>
      <c r="I33" s="59">
        <v>62</v>
      </c>
      <c r="J33" s="8" t="s">
        <v>17</v>
      </c>
      <c r="K33" s="24">
        <v>40</v>
      </c>
      <c r="L33" s="24">
        <v>60</v>
      </c>
      <c r="M33" s="24">
        <v>60</v>
      </c>
      <c r="N33" s="24">
        <v>60</v>
      </c>
      <c r="O33" s="24">
        <v>26</v>
      </c>
      <c r="P33" s="24">
        <v>60</v>
      </c>
      <c r="Q33" s="24">
        <v>60</v>
      </c>
      <c r="R33" s="24">
        <v>60</v>
      </c>
      <c r="S33" s="24"/>
      <c r="T33" s="8"/>
      <c r="U33" s="8"/>
      <c r="V33" s="36">
        <f>+IF(COUNTA(K33:U33)=0,0,W33/COUNTA(K33:U33))</f>
        <v>53.25</v>
      </c>
      <c r="W33" s="37">
        <f t="shared" si="0"/>
        <v>426</v>
      </c>
      <c r="X33" s="37">
        <f>+W33+Y33</f>
        <v>1906</v>
      </c>
      <c r="Y33" s="38">
        <v>1480</v>
      </c>
      <c r="Z33" s="73">
        <f>+X32-X33</f>
        <v>994</v>
      </c>
      <c r="AA33" s="40">
        <f>+IF(((W34+(W35/2))*60)=0,"",(G33*W33)/((W34+(W35/2))*60))</f>
        <v>0.74019204389574755</v>
      </c>
      <c r="AD33" s="1">
        <f>+W33*G33</f>
        <v>16188</v>
      </c>
    </row>
    <row r="34" spans="2:30" ht="18.75" customHeight="1" x14ac:dyDescent="0.3">
      <c r="B34" s="84">
        <f>+B33</f>
        <v>7</v>
      </c>
      <c r="C34" s="52"/>
      <c r="D34" s="52"/>
      <c r="E34" s="52"/>
      <c r="F34" s="52"/>
      <c r="G34" s="60"/>
      <c r="H34" s="61" t="s">
        <v>22</v>
      </c>
      <c r="I34" s="61" t="s">
        <v>22</v>
      </c>
      <c r="J34" s="3" t="s">
        <v>18</v>
      </c>
      <c r="K34" s="25">
        <v>39</v>
      </c>
      <c r="L34" s="25">
        <v>42</v>
      </c>
      <c r="M34" s="25">
        <v>42</v>
      </c>
      <c r="N34" s="25">
        <v>46</v>
      </c>
      <c r="O34" s="25">
        <v>46</v>
      </c>
      <c r="P34" s="25">
        <v>46</v>
      </c>
      <c r="Q34" s="25">
        <v>46</v>
      </c>
      <c r="R34" s="25">
        <v>46</v>
      </c>
      <c r="S34" s="25"/>
      <c r="T34" s="3"/>
      <c r="U34" s="3"/>
      <c r="V34" s="29"/>
      <c r="W34" s="41">
        <f t="shared" si="0"/>
        <v>353</v>
      </c>
      <c r="X34" s="41"/>
      <c r="Y34" s="42"/>
      <c r="Z34" s="74"/>
      <c r="AA34" s="44"/>
      <c r="AC34" s="1">
        <f>+W34*60</f>
        <v>21180</v>
      </c>
    </row>
    <row r="35" spans="2:30" ht="18.75" customHeight="1" thickBot="1" x14ac:dyDescent="0.35">
      <c r="B35" s="85">
        <f>+B33</f>
        <v>7</v>
      </c>
      <c r="C35" s="53"/>
      <c r="D35" s="53"/>
      <c r="E35" s="53"/>
      <c r="F35" s="53"/>
      <c r="G35" s="62"/>
      <c r="H35" s="63">
        <v>46</v>
      </c>
      <c r="I35" s="64">
        <v>43.5</v>
      </c>
      <c r="J35" s="6" t="s">
        <v>19</v>
      </c>
      <c r="K35" s="26">
        <v>2</v>
      </c>
      <c r="L35" s="26">
        <v>3</v>
      </c>
      <c r="M35" s="26">
        <v>3</v>
      </c>
      <c r="N35" s="26">
        <v>3</v>
      </c>
      <c r="O35" s="26">
        <v>3</v>
      </c>
      <c r="P35" s="26">
        <v>3</v>
      </c>
      <c r="Q35" s="26">
        <v>3</v>
      </c>
      <c r="R35" s="26">
        <v>3</v>
      </c>
      <c r="S35" s="26"/>
      <c r="T35" s="6"/>
      <c r="U35" s="6"/>
      <c r="V35" s="30"/>
      <c r="W35" s="45">
        <f t="shared" si="0"/>
        <v>23</v>
      </c>
      <c r="X35" s="45"/>
      <c r="Y35" s="46"/>
      <c r="Z35" s="47">
        <f>+Z33/(I33*8)</f>
        <v>2.004032258064516</v>
      </c>
      <c r="AA35" s="48"/>
      <c r="AC35" s="1">
        <f>+W35*30</f>
        <v>690</v>
      </c>
    </row>
    <row r="36" spans="2:30" ht="18.75" customHeight="1" thickTop="1" x14ac:dyDescent="0.3">
      <c r="B36" s="9">
        <f>+B37</f>
        <v>8</v>
      </c>
      <c r="C36" s="54"/>
      <c r="D36" s="54"/>
      <c r="E36" s="54"/>
      <c r="F36" s="54"/>
      <c r="G36" s="55" t="s">
        <v>20</v>
      </c>
      <c r="H36" s="56" t="s">
        <v>23</v>
      </c>
      <c r="I36" s="56" t="s">
        <v>23</v>
      </c>
      <c r="J36" s="5" t="s">
        <v>21</v>
      </c>
      <c r="K36" s="27">
        <v>1450</v>
      </c>
      <c r="L36" s="27">
        <v>1450</v>
      </c>
      <c r="M36" s="27">
        <v>1450</v>
      </c>
      <c r="N36" s="27">
        <v>2175</v>
      </c>
      <c r="O36" s="27"/>
      <c r="P36" s="27"/>
      <c r="Q36" s="27"/>
      <c r="R36" s="27"/>
      <c r="S36" s="27"/>
      <c r="T36" s="5"/>
      <c r="U36" s="5"/>
      <c r="V36" s="31"/>
      <c r="W36" s="49">
        <f t="shared" ref="W36:W67" si="1">+SUM(K36:U36)</f>
        <v>6525</v>
      </c>
      <c r="X36" s="49">
        <f>+Y36+W36</f>
        <v>37761</v>
      </c>
      <c r="Y36" s="42">
        <v>31236</v>
      </c>
      <c r="Z36" s="34"/>
      <c r="AA36" s="35"/>
    </row>
    <row r="37" spans="2:30" ht="18.75" customHeight="1" x14ac:dyDescent="0.3">
      <c r="B37" s="18">
        <v>8</v>
      </c>
      <c r="C37" s="52"/>
      <c r="D37" s="52" t="s">
        <v>42</v>
      </c>
      <c r="E37" s="52" t="s">
        <v>39</v>
      </c>
      <c r="F37" s="52" t="s">
        <v>39</v>
      </c>
      <c r="G37" s="65">
        <v>2.5299999999999998</v>
      </c>
      <c r="H37" s="58"/>
      <c r="I37" s="59">
        <v>1089</v>
      </c>
      <c r="J37" s="8" t="s">
        <v>17</v>
      </c>
      <c r="K37" s="24">
        <v>1050</v>
      </c>
      <c r="L37" s="24">
        <v>1100</v>
      </c>
      <c r="M37" s="24">
        <v>1100</v>
      </c>
      <c r="N37" s="24"/>
      <c r="O37" s="24"/>
      <c r="P37" s="24"/>
      <c r="Q37" s="24"/>
      <c r="R37" s="24"/>
      <c r="S37" s="24"/>
      <c r="T37" s="8"/>
      <c r="U37" s="8"/>
      <c r="V37" s="36">
        <f>+IF(COUNTA(K37:U37)=0,0,W37/COUNTA(K37:U37))</f>
        <v>1083.3333333333333</v>
      </c>
      <c r="W37" s="37">
        <f t="shared" si="1"/>
        <v>3250</v>
      </c>
      <c r="X37" s="37">
        <f>+W37+Y37</f>
        <v>26540</v>
      </c>
      <c r="Y37" s="38">
        <v>23290</v>
      </c>
      <c r="Z37" s="39">
        <f>+X36-X37</f>
        <v>11221</v>
      </c>
      <c r="AA37" s="40">
        <f>+IF(((W38+(W39/2))*60)=0,"",(G37*W37)/((W38+(W39/2))*60))</f>
        <v>0.907560706401766</v>
      </c>
      <c r="AD37" s="1">
        <f>+W37*G37</f>
        <v>8222.5</v>
      </c>
    </row>
    <row r="38" spans="2:30" ht="18.75" customHeight="1" x14ac:dyDescent="0.3">
      <c r="B38" s="10">
        <f>+B37</f>
        <v>8</v>
      </c>
      <c r="C38" s="52"/>
      <c r="D38" s="52"/>
      <c r="E38" s="52"/>
      <c r="F38" s="52"/>
      <c r="G38" s="66"/>
      <c r="H38" s="61" t="s">
        <v>22</v>
      </c>
      <c r="I38" s="61" t="s">
        <v>22</v>
      </c>
      <c r="J38" s="3" t="s">
        <v>18</v>
      </c>
      <c r="K38" s="25">
        <v>48</v>
      </c>
      <c r="L38" s="25">
        <v>50</v>
      </c>
      <c r="M38" s="25">
        <v>50</v>
      </c>
      <c r="N38" s="25"/>
      <c r="O38" s="25"/>
      <c r="P38" s="25"/>
      <c r="Q38" s="25"/>
      <c r="R38" s="25"/>
      <c r="S38" s="25"/>
      <c r="T38" s="3"/>
      <c r="U38" s="3"/>
      <c r="V38" s="29"/>
      <c r="W38" s="41">
        <f t="shared" si="1"/>
        <v>148</v>
      </c>
      <c r="X38" s="41"/>
      <c r="Y38" s="42"/>
      <c r="Z38" s="43"/>
      <c r="AA38" s="44"/>
      <c r="AC38" s="1">
        <f>+W38*60</f>
        <v>8880</v>
      </c>
    </row>
    <row r="39" spans="2:30" ht="18.75" customHeight="1" thickBot="1" x14ac:dyDescent="0.35">
      <c r="B39" s="11">
        <f>+B37</f>
        <v>8</v>
      </c>
      <c r="C39" s="53"/>
      <c r="D39" s="53"/>
      <c r="E39" s="53"/>
      <c r="F39" s="53"/>
      <c r="G39" s="67"/>
      <c r="H39" s="63"/>
      <c r="I39" s="63">
        <v>51</v>
      </c>
      <c r="J39" s="6" t="s">
        <v>19</v>
      </c>
      <c r="K39" s="26">
        <v>2</v>
      </c>
      <c r="L39" s="26">
        <v>2</v>
      </c>
      <c r="M39" s="26">
        <v>2</v>
      </c>
      <c r="N39" s="26"/>
      <c r="O39" s="26"/>
      <c r="P39" s="26"/>
      <c r="Q39" s="26"/>
      <c r="R39" s="26"/>
      <c r="S39" s="26"/>
      <c r="T39" s="6"/>
      <c r="U39" s="6"/>
      <c r="V39" s="30"/>
      <c r="W39" s="45">
        <f t="shared" si="1"/>
        <v>6</v>
      </c>
      <c r="X39" s="45"/>
      <c r="Y39" s="46"/>
      <c r="Z39" s="47">
        <f>+Z37/(I37*8)</f>
        <v>1.2879935720844813</v>
      </c>
      <c r="AA39" s="48"/>
      <c r="AC39" s="1">
        <f>+W39*30</f>
        <v>180</v>
      </c>
    </row>
    <row r="40" spans="2:30" ht="18.75" customHeight="1" thickTop="1" x14ac:dyDescent="0.3">
      <c r="B40" s="86">
        <f>+B41</f>
        <v>9</v>
      </c>
      <c r="C40" s="54"/>
      <c r="D40" s="54"/>
      <c r="E40" s="54"/>
      <c r="F40" s="54"/>
      <c r="G40" s="55" t="s">
        <v>20</v>
      </c>
      <c r="H40" s="56" t="s">
        <v>23</v>
      </c>
      <c r="I40" s="56" t="s">
        <v>23</v>
      </c>
      <c r="J40" s="5" t="s">
        <v>21</v>
      </c>
      <c r="K40" s="27"/>
      <c r="L40" s="27"/>
      <c r="M40" s="27"/>
      <c r="N40" s="27"/>
      <c r="O40" s="27"/>
      <c r="P40" s="27"/>
      <c r="Q40" s="27"/>
      <c r="R40" s="27">
        <v>7645</v>
      </c>
      <c r="S40" s="27"/>
      <c r="T40" s="5"/>
      <c r="U40" s="5"/>
      <c r="V40" s="31"/>
      <c r="W40" s="49">
        <f t="shared" si="1"/>
        <v>7645</v>
      </c>
      <c r="X40" s="49">
        <f>+Y40+W40</f>
        <v>24183</v>
      </c>
      <c r="Y40" s="42">
        <v>16538</v>
      </c>
      <c r="Z40" s="72"/>
      <c r="AA40" s="35"/>
    </row>
    <row r="41" spans="2:30" ht="18.75" customHeight="1" x14ac:dyDescent="0.3">
      <c r="B41" s="82">
        <v>9</v>
      </c>
      <c r="C41" s="52"/>
      <c r="D41" s="52" t="s">
        <v>42</v>
      </c>
      <c r="E41" s="52" t="s">
        <v>39</v>
      </c>
      <c r="F41" s="52" t="s">
        <v>39</v>
      </c>
      <c r="G41" s="57">
        <v>2.83</v>
      </c>
      <c r="H41" s="58">
        <v>1067</v>
      </c>
      <c r="I41" s="59">
        <v>1046</v>
      </c>
      <c r="J41" s="8" t="s">
        <v>17</v>
      </c>
      <c r="K41" s="24">
        <v>700</v>
      </c>
      <c r="L41" s="24">
        <v>1000</v>
      </c>
      <c r="M41" s="24">
        <v>1050</v>
      </c>
      <c r="N41" s="24">
        <v>1100</v>
      </c>
      <c r="O41" s="24">
        <v>1100</v>
      </c>
      <c r="P41" s="24">
        <v>1125</v>
      </c>
      <c r="Q41" s="24">
        <v>1100</v>
      </c>
      <c r="R41" s="24">
        <v>1100</v>
      </c>
      <c r="S41" s="24"/>
      <c r="T41" s="8"/>
      <c r="U41" s="8"/>
      <c r="V41" s="36">
        <f>+IF(COUNTA(K41:U41)=0,0,W41/COUNTA(K41:U41))</f>
        <v>1034.375</v>
      </c>
      <c r="W41" s="37">
        <f t="shared" si="1"/>
        <v>8275</v>
      </c>
      <c r="X41" s="37">
        <f>+W41+Y41</f>
        <v>21226</v>
      </c>
      <c r="Y41" s="38">
        <v>12951</v>
      </c>
      <c r="Z41" s="73">
        <f>+X40-X41</f>
        <v>2957</v>
      </c>
      <c r="AA41" s="40">
        <f>+IF(((W42+(W43/2))*60)=0,"",(G41*W41)/((W42+(W43/2))*60))</f>
        <v>0.99567389455782318</v>
      </c>
      <c r="AD41" s="1">
        <f>+W41*G41</f>
        <v>23418.25</v>
      </c>
    </row>
    <row r="42" spans="2:30" ht="18.75" customHeight="1" x14ac:dyDescent="0.3">
      <c r="B42" s="84">
        <f>+B41</f>
        <v>9</v>
      </c>
      <c r="C42" s="52"/>
      <c r="D42" s="52"/>
      <c r="E42" s="52"/>
      <c r="F42" s="52"/>
      <c r="G42" s="60"/>
      <c r="H42" s="61" t="s">
        <v>22</v>
      </c>
      <c r="I42" s="61" t="s">
        <v>22</v>
      </c>
      <c r="J42" s="3" t="s">
        <v>18</v>
      </c>
      <c r="K42" s="25">
        <v>41</v>
      </c>
      <c r="L42" s="25">
        <v>47</v>
      </c>
      <c r="M42" s="25">
        <v>47</v>
      </c>
      <c r="N42" s="25">
        <v>47</v>
      </c>
      <c r="O42" s="25">
        <v>47</v>
      </c>
      <c r="P42" s="25">
        <v>49</v>
      </c>
      <c r="Q42" s="25">
        <v>49</v>
      </c>
      <c r="R42" s="25">
        <v>49</v>
      </c>
      <c r="S42" s="25"/>
      <c r="T42" s="3"/>
      <c r="U42" s="3"/>
      <c r="V42" s="29"/>
      <c r="W42" s="41">
        <f t="shared" si="1"/>
        <v>376</v>
      </c>
      <c r="X42" s="41"/>
      <c r="Y42" s="42"/>
      <c r="Z42" s="74"/>
      <c r="AA42" s="44"/>
      <c r="AC42" s="1">
        <f>+W42*60</f>
        <v>22560</v>
      </c>
    </row>
    <row r="43" spans="2:30" ht="18.75" customHeight="1" thickBot="1" x14ac:dyDescent="0.35">
      <c r="B43" s="85">
        <f>+B41</f>
        <v>9</v>
      </c>
      <c r="C43" s="53"/>
      <c r="D43" s="53"/>
      <c r="E43" s="53"/>
      <c r="F43" s="53"/>
      <c r="G43" s="62"/>
      <c r="H43" s="63">
        <v>50</v>
      </c>
      <c r="I43" s="64">
        <v>49</v>
      </c>
      <c r="J43" s="6" t="s">
        <v>19</v>
      </c>
      <c r="K43" s="26">
        <v>4</v>
      </c>
      <c r="L43" s="26">
        <v>4</v>
      </c>
      <c r="M43" s="26">
        <v>4</v>
      </c>
      <c r="N43" s="26">
        <v>4</v>
      </c>
      <c r="O43" s="26">
        <v>4</v>
      </c>
      <c r="P43" s="26">
        <v>4</v>
      </c>
      <c r="Q43" s="26">
        <v>4</v>
      </c>
      <c r="R43" s="26">
        <v>4</v>
      </c>
      <c r="S43" s="26"/>
      <c r="T43" s="6"/>
      <c r="U43" s="6"/>
      <c r="V43" s="30"/>
      <c r="W43" s="45">
        <f t="shared" si="1"/>
        <v>32</v>
      </c>
      <c r="X43" s="45"/>
      <c r="Y43" s="46"/>
      <c r="Z43" s="47">
        <f>+Z41/(I41*8)</f>
        <v>0.35336998087954113</v>
      </c>
      <c r="AA43" s="48"/>
      <c r="AC43" s="1">
        <f>+W43*30</f>
        <v>960</v>
      </c>
    </row>
    <row r="44" spans="2:30" ht="18.75" customHeight="1" thickTop="1" x14ac:dyDescent="0.3">
      <c r="B44" s="9">
        <f>+B45</f>
        <v>11</v>
      </c>
      <c r="C44" s="54"/>
      <c r="D44" s="54"/>
      <c r="E44" s="54"/>
      <c r="F44" s="54"/>
      <c r="G44" s="55" t="s">
        <v>20</v>
      </c>
      <c r="H44" s="56" t="s">
        <v>23</v>
      </c>
      <c r="I44" s="56" t="s">
        <v>23</v>
      </c>
      <c r="J44" s="5" t="s">
        <v>21</v>
      </c>
      <c r="K44" s="27"/>
      <c r="L44" s="27">
        <v>100</v>
      </c>
      <c r="M44" s="27"/>
      <c r="N44" s="27"/>
      <c r="O44" s="27"/>
      <c r="P44" s="27"/>
      <c r="Q44" s="27"/>
      <c r="R44" s="27"/>
      <c r="S44" s="27"/>
      <c r="T44" s="5"/>
      <c r="U44" s="5"/>
      <c r="V44" s="31"/>
      <c r="W44" s="49">
        <f t="shared" si="1"/>
        <v>100</v>
      </c>
      <c r="X44" s="49">
        <f>+Y44+W44</f>
        <v>1500</v>
      </c>
      <c r="Y44" s="42">
        <v>1400</v>
      </c>
      <c r="Z44" s="34"/>
      <c r="AA44" s="35"/>
    </row>
    <row r="45" spans="2:30" ht="18.75" customHeight="1" x14ac:dyDescent="0.3">
      <c r="B45" s="18">
        <v>11</v>
      </c>
      <c r="C45" s="52" t="s">
        <v>68</v>
      </c>
      <c r="D45" s="52" t="s">
        <v>35</v>
      </c>
      <c r="E45" s="52" t="s">
        <v>69</v>
      </c>
      <c r="F45" s="52" t="s">
        <v>40</v>
      </c>
      <c r="G45" s="65">
        <v>29.78</v>
      </c>
      <c r="H45" s="58">
        <v>100</v>
      </c>
      <c r="I45" s="59">
        <v>60</v>
      </c>
      <c r="J45" s="8" t="s">
        <v>17</v>
      </c>
      <c r="K45" s="24">
        <v>0</v>
      </c>
      <c r="L45" s="24">
        <v>0</v>
      </c>
      <c r="M45" s="24">
        <v>0</v>
      </c>
      <c r="N45" s="24"/>
      <c r="O45" s="24"/>
      <c r="P45" s="24"/>
      <c r="Q45" s="24"/>
      <c r="R45" s="24"/>
      <c r="S45" s="24"/>
      <c r="T45" s="8"/>
      <c r="U45" s="8"/>
      <c r="V45" s="36">
        <f>+IF(COUNTA(K45:U45)=0,0,W45/COUNTA(K45:U45))</f>
        <v>0</v>
      </c>
      <c r="W45" s="37">
        <f t="shared" si="1"/>
        <v>0</v>
      </c>
      <c r="X45" s="37">
        <v>308</v>
      </c>
      <c r="Y45" s="38">
        <v>0</v>
      </c>
      <c r="Z45" s="39">
        <f>+X44-X45</f>
        <v>1192</v>
      </c>
      <c r="AA45" s="40">
        <f>+IF(((W46+(W47/2))*60)=0,"",(G45*W45)/((W46+(W47/2))*60))</f>
        <v>0</v>
      </c>
      <c r="AD45" s="1">
        <f>+W45*G45</f>
        <v>0</v>
      </c>
    </row>
    <row r="46" spans="2:30" ht="18.75" customHeight="1" x14ac:dyDescent="0.3">
      <c r="B46" s="10">
        <f>+B45</f>
        <v>11</v>
      </c>
      <c r="C46" s="52"/>
      <c r="D46" s="52"/>
      <c r="E46" s="52"/>
      <c r="F46" s="52"/>
      <c r="G46" s="66"/>
      <c r="H46" s="61" t="s">
        <v>22</v>
      </c>
      <c r="I46" s="61" t="s">
        <v>22</v>
      </c>
      <c r="J46" s="3" t="s">
        <v>18</v>
      </c>
      <c r="K46" s="25">
        <v>36</v>
      </c>
      <c r="L46" s="25">
        <v>42</v>
      </c>
      <c r="M46" s="25">
        <v>42</v>
      </c>
      <c r="N46" s="25"/>
      <c r="O46" s="25"/>
      <c r="P46" s="25"/>
      <c r="Q46" s="25"/>
      <c r="R46" s="25"/>
      <c r="S46" s="25"/>
      <c r="T46" s="3"/>
      <c r="U46" s="3"/>
      <c r="V46" s="29"/>
      <c r="W46" s="41">
        <f t="shared" si="1"/>
        <v>120</v>
      </c>
      <c r="X46" s="41"/>
      <c r="Y46" s="42"/>
      <c r="Z46" s="43"/>
      <c r="AA46" s="44"/>
      <c r="AC46" s="1">
        <f>+W46*60</f>
        <v>7200</v>
      </c>
    </row>
    <row r="47" spans="2:30" ht="18.75" customHeight="1" thickBot="1" x14ac:dyDescent="0.35">
      <c r="B47" s="11">
        <f>+B45</f>
        <v>11</v>
      </c>
      <c r="C47" s="53"/>
      <c r="D47" s="53"/>
      <c r="E47" s="53"/>
      <c r="F47" s="53"/>
      <c r="G47" s="67"/>
      <c r="H47" s="63">
        <v>52</v>
      </c>
      <c r="I47" s="64">
        <v>43.5</v>
      </c>
      <c r="J47" s="6" t="s">
        <v>19</v>
      </c>
      <c r="K47" s="26">
        <v>2</v>
      </c>
      <c r="L47" s="26">
        <v>3</v>
      </c>
      <c r="M47" s="26">
        <v>3</v>
      </c>
      <c r="N47" s="26"/>
      <c r="O47" s="26"/>
      <c r="P47" s="26"/>
      <c r="Q47" s="26"/>
      <c r="R47" s="26"/>
      <c r="S47" s="26"/>
      <c r="T47" s="6"/>
      <c r="U47" s="6"/>
      <c r="V47" s="30"/>
      <c r="W47" s="45">
        <f t="shared" si="1"/>
        <v>8</v>
      </c>
      <c r="X47" s="45"/>
      <c r="Y47" s="46"/>
      <c r="Z47" s="47">
        <f>+Z45/(I45*8)</f>
        <v>2.4833333333333334</v>
      </c>
      <c r="AA47" s="48"/>
      <c r="AC47" s="1">
        <f>+W47*30</f>
        <v>240</v>
      </c>
    </row>
    <row r="48" spans="2:30" ht="18.75" customHeight="1" thickTop="1" x14ac:dyDescent="0.3">
      <c r="B48" s="86">
        <f>+B49</f>
        <v>12</v>
      </c>
      <c r="C48" s="54"/>
      <c r="D48" s="54"/>
      <c r="E48" s="54"/>
      <c r="F48" s="54"/>
      <c r="G48" s="55" t="s">
        <v>20</v>
      </c>
      <c r="H48" s="56" t="s">
        <v>23</v>
      </c>
      <c r="I48" s="56" t="s">
        <v>23</v>
      </c>
      <c r="J48" s="5" t="s">
        <v>21</v>
      </c>
      <c r="K48" s="27"/>
      <c r="L48" s="27"/>
      <c r="M48" s="27"/>
      <c r="N48" s="27"/>
      <c r="O48" s="27"/>
      <c r="P48" s="27"/>
      <c r="Q48" s="27"/>
      <c r="R48" s="27">
        <v>600</v>
      </c>
      <c r="S48" s="27"/>
      <c r="T48" s="5"/>
      <c r="U48" s="5"/>
      <c r="V48" s="31"/>
      <c r="W48" s="49">
        <f t="shared" si="1"/>
        <v>600</v>
      </c>
      <c r="X48" s="49">
        <f>+Y48+W48</f>
        <v>4450</v>
      </c>
      <c r="Y48" s="42">
        <v>3850</v>
      </c>
      <c r="Z48" s="72"/>
      <c r="AA48" s="35"/>
    </row>
    <row r="49" spans="2:30" ht="18.75" customHeight="1" x14ac:dyDescent="0.3">
      <c r="B49" s="15">
        <v>12</v>
      </c>
      <c r="C49" s="52" t="s">
        <v>55</v>
      </c>
      <c r="D49" s="52" t="s">
        <v>35</v>
      </c>
      <c r="E49" s="52" t="s">
        <v>56</v>
      </c>
      <c r="F49" s="52" t="s">
        <v>46</v>
      </c>
      <c r="G49" s="57">
        <v>28</v>
      </c>
      <c r="H49" s="58">
        <v>90</v>
      </c>
      <c r="I49" s="59">
        <v>90</v>
      </c>
      <c r="J49" s="8" t="s">
        <v>17</v>
      </c>
      <c r="K49" s="24">
        <v>40</v>
      </c>
      <c r="L49" s="24">
        <v>60</v>
      </c>
      <c r="M49" s="24">
        <v>90</v>
      </c>
      <c r="N49" s="24">
        <v>90</v>
      </c>
      <c r="O49" s="24">
        <v>71</v>
      </c>
      <c r="P49" s="24">
        <v>60</v>
      </c>
      <c r="Q49" s="24">
        <v>120</v>
      </c>
      <c r="R49" s="24">
        <v>190</v>
      </c>
      <c r="S49" s="24"/>
      <c r="T49" s="8"/>
      <c r="U49" s="8"/>
      <c r="V49" s="36">
        <f>+IF(COUNTA(K49:U49)=0,0,W49/COUNTA(K49:U49))</f>
        <v>90.125</v>
      </c>
      <c r="W49" s="37">
        <f t="shared" si="1"/>
        <v>721</v>
      </c>
      <c r="X49" s="37">
        <f>+W49+Y49</f>
        <v>3607</v>
      </c>
      <c r="Y49" s="38">
        <v>2886</v>
      </c>
      <c r="Z49" s="73">
        <f>+X48-X49</f>
        <v>843</v>
      </c>
      <c r="AA49" s="40">
        <f>+IF(((W50+(W51/2))*60)=0,"",(G49*W49)/((W50+(W51/2))*60))</f>
        <v>0.9752657004830918</v>
      </c>
      <c r="AD49" s="1">
        <f>+W49*G49</f>
        <v>20188</v>
      </c>
    </row>
    <row r="50" spans="2:30" ht="18.75" customHeight="1" x14ac:dyDescent="0.3">
      <c r="B50" s="84">
        <f>+B49</f>
        <v>12</v>
      </c>
      <c r="C50" s="52"/>
      <c r="D50" s="52"/>
      <c r="E50" s="52"/>
      <c r="F50" s="52"/>
      <c r="G50" s="60"/>
      <c r="H50" s="61" t="s">
        <v>22</v>
      </c>
      <c r="I50" s="61" t="s">
        <v>22</v>
      </c>
      <c r="J50" s="3" t="s">
        <v>18</v>
      </c>
      <c r="K50" s="25">
        <v>43</v>
      </c>
      <c r="L50" s="25">
        <v>42</v>
      </c>
      <c r="M50" s="25">
        <v>42</v>
      </c>
      <c r="N50" s="25">
        <v>42</v>
      </c>
      <c r="O50" s="25">
        <v>42</v>
      </c>
      <c r="P50" s="25">
        <v>42</v>
      </c>
      <c r="Q50" s="25">
        <v>42</v>
      </c>
      <c r="R50" s="25">
        <v>42</v>
      </c>
      <c r="S50" s="25"/>
      <c r="T50" s="3"/>
      <c r="U50" s="3"/>
      <c r="V50" s="29"/>
      <c r="W50" s="41">
        <f t="shared" si="1"/>
        <v>337</v>
      </c>
      <c r="X50" s="41"/>
      <c r="Y50" s="42"/>
      <c r="Z50" s="74"/>
      <c r="AA50" s="44"/>
      <c r="AC50" s="1">
        <f>+W50*60</f>
        <v>20220</v>
      </c>
    </row>
    <row r="51" spans="2:30" ht="18.75" customHeight="1" thickBot="1" x14ac:dyDescent="0.35">
      <c r="B51" s="85">
        <f>+B49</f>
        <v>12</v>
      </c>
      <c r="C51" s="53"/>
      <c r="D51" s="53"/>
      <c r="E51" s="53"/>
      <c r="F51" s="53"/>
      <c r="G51" s="62"/>
      <c r="H51" s="63">
        <v>44</v>
      </c>
      <c r="I51" s="64">
        <v>44</v>
      </c>
      <c r="J51" s="6" t="s">
        <v>19</v>
      </c>
      <c r="K51" s="26">
        <v>2</v>
      </c>
      <c r="L51" s="26">
        <v>2</v>
      </c>
      <c r="M51" s="26">
        <v>2</v>
      </c>
      <c r="N51" s="26">
        <v>2</v>
      </c>
      <c r="O51" s="26">
        <v>2</v>
      </c>
      <c r="P51" s="26">
        <v>2</v>
      </c>
      <c r="Q51" s="26">
        <v>2</v>
      </c>
      <c r="R51" s="26">
        <v>2</v>
      </c>
      <c r="S51" s="26"/>
      <c r="T51" s="6"/>
      <c r="U51" s="6"/>
      <c r="V51" s="30"/>
      <c r="W51" s="45">
        <f t="shared" si="1"/>
        <v>16</v>
      </c>
      <c r="X51" s="45"/>
      <c r="Y51" s="46"/>
      <c r="Z51" s="47">
        <f>+Z49/(I49*8)</f>
        <v>1.1708333333333334</v>
      </c>
      <c r="AA51" s="48"/>
      <c r="AC51" s="1">
        <f>+W51*30</f>
        <v>480</v>
      </c>
    </row>
    <row r="52" spans="2:30" ht="18.75" customHeight="1" thickTop="1" x14ac:dyDescent="0.3">
      <c r="B52" s="9">
        <f>+B53</f>
        <v>13</v>
      </c>
      <c r="C52" s="54"/>
      <c r="D52" s="54"/>
      <c r="E52" s="54"/>
      <c r="F52" s="54"/>
      <c r="G52" s="55" t="s">
        <v>20</v>
      </c>
      <c r="H52" s="56" t="s">
        <v>23</v>
      </c>
      <c r="I52" s="56" t="s">
        <v>23</v>
      </c>
      <c r="J52" s="5" t="s">
        <v>21</v>
      </c>
      <c r="K52" s="27">
        <v>66</v>
      </c>
      <c r="L52" s="27">
        <v>72</v>
      </c>
      <c r="M52" s="27">
        <v>109</v>
      </c>
      <c r="N52" s="27">
        <v>103</v>
      </c>
      <c r="O52" s="27"/>
      <c r="P52" s="27"/>
      <c r="Q52" s="27"/>
      <c r="R52" s="27"/>
      <c r="S52" s="27"/>
      <c r="T52" s="5"/>
      <c r="U52" s="5"/>
      <c r="V52" s="31"/>
      <c r="W52" s="49">
        <f t="shared" si="1"/>
        <v>350</v>
      </c>
      <c r="X52" s="49">
        <f>+Y52+W52</f>
        <v>6222</v>
      </c>
      <c r="Y52" s="42">
        <v>5872</v>
      </c>
      <c r="Z52" s="34"/>
      <c r="AA52" s="35"/>
    </row>
    <row r="53" spans="2:30" ht="18.75" customHeight="1" x14ac:dyDescent="0.3">
      <c r="B53" s="18">
        <v>13</v>
      </c>
      <c r="C53" s="52" t="s">
        <v>58</v>
      </c>
      <c r="D53" s="52" t="s">
        <v>35</v>
      </c>
      <c r="E53" s="52" t="s">
        <v>66</v>
      </c>
      <c r="F53" s="52" t="s">
        <v>45</v>
      </c>
      <c r="G53" s="65">
        <v>35.19</v>
      </c>
      <c r="H53" s="58">
        <v>84</v>
      </c>
      <c r="I53" s="59">
        <v>73</v>
      </c>
      <c r="J53" s="8" t="s">
        <v>17</v>
      </c>
      <c r="K53" s="24">
        <v>73</v>
      </c>
      <c r="L53" s="24">
        <v>73</v>
      </c>
      <c r="M53" s="24">
        <v>73</v>
      </c>
      <c r="N53" s="24"/>
      <c r="O53" s="24"/>
      <c r="P53" s="24"/>
      <c r="Q53" s="24"/>
      <c r="R53" s="24"/>
      <c r="S53" s="24"/>
      <c r="T53" s="8"/>
      <c r="U53" s="8"/>
      <c r="V53" s="36">
        <f>+IF(COUNTA(K53:U53)=0,0,W53/COUNTA(K53:U53))</f>
        <v>73</v>
      </c>
      <c r="W53" s="37">
        <f t="shared" si="1"/>
        <v>219</v>
      </c>
      <c r="X53" s="37">
        <f>+W53+Y53</f>
        <v>4976</v>
      </c>
      <c r="Y53" s="38">
        <v>4757</v>
      </c>
      <c r="Z53" s="39">
        <f>+X52-X53</f>
        <v>1246</v>
      </c>
      <c r="AA53" s="40">
        <f>+IF(((W54+(W55/2))*60)=0,"",(G53*W53)/((W54+(W55/2))*60))</f>
        <v>0.92074193548387095</v>
      </c>
      <c r="AD53" s="1">
        <f>+W53*G53</f>
        <v>7706.61</v>
      </c>
    </row>
    <row r="54" spans="2:30" ht="18.75" customHeight="1" x14ac:dyDescent="0.3">
      <c r="B54" s="10">
        <f>+B53</f>
        <v>13</v>
      </c>
      <c r="C54" s="52"/>
      <c r="D54" s="52"/>
      <c r="E54" s="52"/>
      <c r="F54" s="52"/>
      <c r="G54" s="66"/>
      <c r="H54" s="61" t="s">
        <v>22</v>
      </c>
      <c r="I54" s="61" t="s">
        <v>22</v>
      </c>
      <c r="J54" s="3" t="s">
        <v>18</v>
      </c>
      <c r="K54" s="25">
        <v>41</v>
      </c>
      <c r="L54" s="25">
        <v>44</v>
      </c>
      <c r="M54" s="25">
        <v>44</v>
      </c>
      <c r="N54" s="25"/>
      <c r="O54" s="25"/>
      <c r="P54" s="25"/>
      <c r="Q54" s="25"/>
      <c r="R54" s="25"/>
      <c r="S54" s="25"/>
      <c r="T54" s="3"/>
      <c r="U54" s="3"/>
      <c r="V54" s="29"/>
      <c r="W54" s="41">
        <f t="shared" si="1"/>
        <v>129</v>
      </c>
      <c r="X54" s="41"/>
      <c r="Y54" s="42"/>
      <c r="Z54" s="43"/>
      <c r="AA54" s="44"/>
      <c r="AC54" s="1">
        <f>+W54*60</f>
        <v>7740</v>
      </c>
    </row>
    <row r="55" spans="2:30" ht="18.75" customHeight="1" thickBot="1" x14ac:dyDescent="0.35">
      <c r="B55" s="11">
        <f>+B53</f>
        <v>13</v>
      </c>
      <c r="C55" s="53"/>
      <c r="D55" s="53"/>
      <c r="E55" s="53"/>
      <c r="F55" s="53"/>
      <c r="G55" s="67"/>
      <c r="H55" s="63">
        <v>52</v>
      </c>
      <c r="I55" s="64">
        <v>47.5</v>
      </c>
      <c r="J55" s="6" t="s">
        <v>19</v>
      </c>
      <c r="K55" s="26">
        <v>7</v>
      </c>
      <c r="L55" s="26">
        <v>7</v>
      </c>
      <c r="M55" s="26">
        <v>7</v>
      </c>
      <c r="N55" s="26"/>
      <c r="O55" s="26"/>
      <c r="P55" s="26"/>
      <c r="Q55" s="26"/>
      <c r="R55" s="26"/>
      <c r="S55" s="26"/>
      <c r="T55" s="6"/>
      <c r="U55" s="6"/>
      <c r="V55" s="30"/>
      <c r="W55" s="45">
        <f t="shared" si="1"/>
        <v>21</v>
      </c>
      <c r="X55" s="45"/>
      <c r="Y55" s="46"/>
      <c r="Z55" s="47">
        <f>+Z53/(I53*8)</f>
        <v>2.1335616438356166</v>
      </c>
      <c r="AA55" s="48"/>
      <c r="AC55" s="1">
        <f>+W55*30</f>
        <v>630</v>
      </c>
    </row>
    <row r="56" spans="2:30" ht="18.75" customHeight="1" thickTop="1" x14ac:dyDescent="0.3">
      <c r="B56" s="86">
        <f>+B57</f>
        <v>14</v>
      </c>
      <c r="C56" s="54"/>
      <c r="D56" s="54"/>
      <c r="E56" s="54"/>
      <c r="F56" s="54"/>
      <c r="G56" s="55" t="s">
        <v>20</v>
      </c>
      <c r="H56" s="56" t="s">
        <v>23</v>
      </c>
      <c r="I56" s="56" t="s">
        <v>23</v>
      </c>
      <c r="J56" s="5" t="s">
        <v>21</v>
      </c>
      <c r="K56" s="27"/>
      <c r="L56" s="27"/>
      <c r="M56" s="27"/>
      <c r="N56" s="27"/>
      <c r="O56" s="27"/>
      <c r="P56" s="27"/>
      <c r="Q56" s="27"/>
      <c r="R56" s="27">
        <v>300</v>
      </c>
      <c r="S56" s="27"/>
      <c r="T56" s="5"/>
      <c r="U56" s="5"/>
      <c r="V56" s="31"/>
      <c r="W56" s="49">
        <f t="shared" si="1"/>
        <v>300</v>
      </c>
      <c r="X56" s="49">
        <f>+Y56+W56</f>
        <v>3000</v>
      </c>
      <c r="Y56" s="42">
        <v>2700</v>
      </c>
      <c r="Z56" s="72"/>
      <c r="AA56" s="35"/>
    </row>
    <row r="57" spans="2:30" ht="18.75" customHeight="1" x14ac:dyDescent="0.3">
      <c r="B57" s="15">
        <v>14</v>
      </c>
      <c r="C57" s="52" t="s">
        <v>34</v>
      </c>
      <c r="D57" s="52" t="s">
        <v>35</v>
      </c>
      <c r="E57" s="52" t="s">
        <v>36</v>
      </c>
      <c r="F57" s="52" t="s">
        <v>37</v>
      </c>
      <c r="G57" s="57">
        <v>40.049999999999997</v>
      </c>
      <c r="H57" s="58">
        <v>57</v>
      </c>
      <c r="I57" s="59">
        <v>63</v>
      </c>
      <c r="J57" s="8" t="s">
        <v>17</v>
      </c>
      <c r="K57" s="24">
        <v>45</v>
      </c>
      <c r="L57" s="24">
        <v>40</v>
      </c>
      <c r="M57" s="24">
        <v>50</v>
      </c>
      <c r="N57" s="24">
        <v>50</v>
      </c>
      <c r="O57" s="24">
        <v>50</v>
      </c>
      <c r="P57" s="24">
        <v>55</v>
      </c>
      <c r="Q57" s="24">
        <v>55</v>
      </c>
      <c r="R57" s="24">
        <v>55</v>
      </c>
      <c r="S57" s="24"/>
      <c r="T57" s="8"/>
      <c r="U57" s="8"/>
      <c r="V57" s="36">
        <f>+IF(COUNTA(K57:U57)=0,0,W57/COUNTA(K57:U57))</f>
        <v>50</v>
      </c>
      <c r="W57" s="37">
        <f t="shared" si="1"/>
        <v>400</v>
      </c>
      <c r="X57" s="37">
        <f>+W57+Y57</f>
        <v>1689</v>
      </c>
      <c r="Y57" s="38">
        <v>1289</v>
      </c>
      <c r="Z57" s="73">
        <f>+X56-X57</f>
        <v>1311</v>
      </c>
      <c r="AA57" s="40">
        <f>+IF(((W58+(W59/2))*60)=0,"",(G57*W57)/((W58+(W59/2))*60))</f>
        <v>0.74373259052924778</v>
      </c>
      <c r="AD57" s="1">
        <f>+W57*G57</f>
        <v>16019.999999999998</v>
      </c>
    </row>
    <row r="58" spans="2:30" ht="18.75" customHeight="1" x14ac:dyDescent="0.3">
      <c r="B58" s="84">
        <f>+B57</f>
        <v>14</v>
      </c>
      <c r="C58" s="52"/>
      <c r="D58" s="52"/>
      <c r="E58" s="52"/>
      <c r="F58" s="52"/>
      <c r="G58" s="60"/>
      <c r="H58" s="61" t="s">
        <v>22</v>
      </c>
      <c r="I58" s="61" t="s">
        <v>22</v>
      </c>
      <c r="J58" s="3" t="s">
        <v>18</v>
      </c>
      <c r="K58" s="25">
        <v>41</v>
      </c>
      <c r="L58" s="25">
        <v>42</v>
      </c>
      <c r="M58" s="25">
        <v>42</v>
      </c>
      <c r="N58" s="25">
        <v>42</v>
      </c>
      <c r="O58" s="25">
        <v>42</v>
      </c>
      <c r="P58" s="25">
        <v>42</v>
      </c>
      <c r="Q58" s="25">
        <v>42</v>
      </c>
      <c r="R58" s="25">
        <v>42</v>
      </c>
      <c r="S58" s="25"/>
      <c r="T58" s="3"/>
      <c r="U58" s="3"/>
      <c r="V58" s="29"/>
      <c r="W58" s="41">
        <f t="shared" si="1"/>
        <v>335</v>
      </c>
      <c r="X58" s="41"/>
      <c r="Y58" s="42"/>
      <c r="Z58" s="74"/>
      <c r="AA58" s="44"/>
      <c r="AC58" s="1">
        <f>+W58*60</f>
        <v>20100</v>
      </c>
    </row>
    <row r="59" spans="2:30" ht="18.75" customHeight="1" thickBot="1" x14ac:dyDescent="0.35">
      <c r="B59" s="85">
        <f>+B57</f>
        <v>14</v>
      </c>
      <c r="C59" s="53"/>
      <c r="D59" s="53"/>
      <c r="E59" s="53"/>
      <c r="F59" s="53"/>
      <c r="G59" s="62"/>
      <c r="H59" s="63">
        <v>42</v>
      </c>
      <c r="I59" s="64">
        <v>46.5</v>
      </c>
      <c r="J59" s="6" t="s">
        <v>19</v>
      </c>
      <c r="K59" s="26">
        <v>6</v>
      </c>
      <c r="L59" s="26">
        <v>6</v>
      </c>
      <c r="M59" s="26">
        <v>6</v>
      </c>
      <c r="N59" s="26">
        <v>6</v>
      </c>
      <c r="O59" s="26">
        <v>6</v>
      </c>
      <c r="P59" s="26">
        <v>6</v>
      </c>
      <c r="Q59" s="26">
        <v>6</v>
      </c>
      <c r="R59" s="26">
        <v>6</v>
      </c>
      <c r="S59" s="26"/>
      <c r="T59" s="6"/>
      <c r="U59" s="6"/>
      <c r="V59" s="30"/>
      <c r="W59" s="45">
        <f t="shared" si="1"/>
        <v>48</v>
      </c>
      <c r="X59" s="45"/>
      <c r="Y59" s="46"/>
      <c r="Z59" s="47">
        <f>+Z57/(I57*8)</f>
        <v>2.6011904761904763</v>
      </c>
      <c r="AA59" s="48"/>
      <c r="AC59" s="1">
        <f>+W59*30</f>
        <v>1440</v>
      </c>
    </row>
    <row r="60" spans="2:30" ht="18.75" customHeight="1" thickTop="1" x14ac:dyDescent="0.3">
      <c r="B60" s="9">
        <f>+B61</f>
        <v>15</v>
      </c>
      <c r="C60" s="54"/>
      <c r="D60" s="54"/>
      <c r="E60" s="54"/>
      <c r="F60" s="54"/>
      <c r="G60" s="55" t="s">
        <v>20</v>
      </c>
      <c r="H60" s="56" t="s">
        <v>23</v>
      </c>
      <c r="I60" s="56" t="s">
        <v>23</v>
      </c>
      <c r="J60" s="5" t="s">
        <v>21</v>
      </c>
      <c r="K60" s="27"/>
      <c r="L60" s="27">
        <v>100</v>
      </c>
      <c r="M60" s="27"/>
      <c r="N60" s="27"/>
      <c r="O60" s="27"/>
      <c r="P60" s="27"/>
      <c r="Q60" s="27"/>
      <c r="R60" s="27"/>
      <c r="S60" s="27"/>
      <c r="T60" s="5"/>
      <c r="U60" s="5"/>
      <c r="V60" s="31"/>
      <c r="W60" s="49">
        <f t="shared" si="1"/>
        <v>100</v>
      </c>
      <c r="X60" s="49">
        <f>+Y60+W60</f>
        <v>4200</v>
      </c>
      <c r="Y60" s="42">
        <v>4100</v>
      </c>
      <c r="Z60" s="34"/>
      <c r="AA60" s="35"/>
    </row>
    <row r="61" spans="2:30" ht="18.75" customHeight="1" x14ac:dyDescent="0.3">
      <c r="B61" s="18">
        <v>15</v>
      </c>
      <c r="C61" s="52" t="s">
        <v>63</v>
      </c>
      <c r="D61" s="52" t="s">
        <v>35</v>
      </c>
      <c r="E61" s="52" t="s">
        <v>67</v>
      </c>
      <c r="F61" s="52" t="s">
        <v>45</v>
      </c>
      <c r="G61" s="65">
        <v>43.07</v>
      </c>
      <c r="H61" s="58">
        <v>69</v>
      </c>
      <c r="I61" s="59">
        <v>61</v>
      </c>
      <c r="J61" s="8" t="s">
        <v>17</v>
      </c>
      <c r="K61" s="24">
        <v>33</v>
      </c>
      <c r="L61" s="24">
        <v>50</v>
      </c>
      <c r="M61" s="24">
        <v>32</v>
      </c>
      <c r="N61" s="24"/>
      <c r="O61" s="24"/>
      <c r="P61" s="24"/>
      <c r="Q61" s="24"/>
      <c r="R61" s="24"/>
      <c r="S61" s="24"/>
      <c r="T61" s="8"/>
      <c r="U61" s="8"/>
      <c r="V61" s="36">
        <f>+IF(COUNTA(K61:U61)=0,0,W61/COUNTA(K61:U61))</f>
        <v>38.333333333333336</v>
      </c>
      <c r="W61" s="37">
        <f t="shared" si="1"/>
        <v>115</v>
      </c>
      <c r="X61" s="37">
        <f>+W61+Y61</f>
        <v>3124</v>
      </c>
      <c r="Y61" s="38">
        <v>3009</v>
      </c>
      <c r="Z61" s="39">
        <f>+X60-X61</f>
        <v>1076</v>
      </c>
      <c r="AA61" s="40">
        <f>+IF(((W62+(W63/2))*60)=0,"",(G61*W61)/((W62+(W63/2))*60))</f>
        <v>0.57727855477855483</v>
      </c>
      <c r="AD61" s="1">
        <f>+W61*G61</f>
        <v>4953.05</v>
      </c>
    </row>
    <row r="62" spans="2:30" ht="18.75" customHeight="1" x14ac:dyDescent="0.3">
      <c r="B62" s="10">
        <f>+B61</f>
        <v>15</v>
      </c>
      <c r="C62" s="52"/>
      <c r="D62" s="52"/>
      <c r="E62" s="52"/>
      <c r="F62" s="52"/>
      <c r="G62" s="70"/>
      <c r="H62" s="61" t="s">
        <v>22</v>
      </c>
      <c r="I62" s="61" t="s">
        <v>22</v>
      </c>
      <c r="J62" s="3" t="s">
        <v>18</v>
      </c>
      <c r="K62" s="25">
        <v>44</v>
      </c>
      <c r="L62" s="25">
        <v>48</v>
      </c>
      <c r="M62" s="25">
        <v>48</v>
      </c>
      <c r="N62" s="25"/>
      <c r="O62" s="25"/>
      <c r="P62" s="25"/>
      <c r="Q62" s="25"/>
      <c r="R62" s="25"/>
      <c r="S62" s="25"/>
      <c r="T62" s="3"/>
      <c r="U62" s="3"/>
      <c r="V62" s="29"/>
      <c r="W62" s="41">
        <f t="shared" si="1"/>
        <v>140</v>
      </c>
      <c r="X62" s="41"/>
      <c r="Y62" s="42"/>
      <c r="Z62" s="43"/>
      <c r="AA62" s="44"/>
      <c r="AC62" s="1">
        <f>+W62*60</f>
        <v>8400</v>
      </c>
    </row>
    <row r="63" spans="2:30" ht="18.75" customHeight="1" thickBot="1" x14ac:dyDescent="0.35">
      <c r="B63" s="11">
        <f>+B61</f>
        <v>15</v>
      </c>
      <c r="C63" s="53"/>
      <c r="D63" s="53"/>
      <c r="E63" s="53"/>
      <c r="F63" s="53"/>
      <c r="G63" s="71"/>
      <c r="H63" s="63">
        <v>52</v>
      </c>
      <c r="I63" s="63">
        <v>49</v>
      </c>
      <c r="J63" s="6" t="s">
        <v>19</v>
      </c>
      <c r="K63" s="26">
        <v>2</v>
      </c>
      <c r="L63" s="26">
        <v>2</v>
      </c>
      <c r="M63" s="26">
        <v>2</v>
      </c>
      <c r="N63" s="26"/>
      <c r="O63" s="26"/>
      <c r="P63" s="26"/>
      <c r="Q63" s="26"/>
      <c r="R63" s="26"/>
      <c r="S63" s="26"/>
      <c r="T63" s="6"/>
      <c r="U63" s="6"/>
      <c r="V63" s="30"/>
      <c r="W63" s="45">
        <f t="shared" si="1"/>
        <v>6</v>
      </c>
      <c r="X63" s="45"/>
      <c r="Y63" s="46"/>
      <c r="Z63" s="47">
        <f>+Z61/(I61*8)</f>
        <v>2.2049180327868854</v>
      </c>
      <c r="AA63" s="48"/>
      <c r="AC63" s="1">
        <f>+W63*30</f>
        <v>180</v>
      </c>
    </row>
    <row r="64" spans="2:30" ht="18.75" customHeight="1" thickTop="1" x14ac:dyDescent="0.3">
      <c r="B64" s="86">
        <f>+B65</f>
        <v>16</v>
      </c>
      <c r="C64" s="54"/>
      <c r="D64" s="54"/>
      <c r="E64" s="54"/>
      <c r="F64" s="54"/>
      <c r="G64" s="55" t="s">
        <v>20</v>
      </c>
      <c r="H64" s="56" t="s">
        <v>23</v>
      </c>
      <c r="I64" s="56" t="s">
        <v>23</v>
      </c>
      <c r="J64" s="5" t="s">
        <v>21</v>
      </c>
      <c r="K64" s="27"/>
      <c r="L64" s="27"/>
      <c r="M64" s="27"/>
      <c r="N64" s="27"/>
      <c r="O64" s="27"/>
      <c r="P64" s="27"/>
      <c r="Q64" s="27"/>
      <c r="R64" s="27">
        <v>286</v>
      </c>
      <c r="S64" s="27"/>
      <c r="T64" s="5"/>
      <c r="U64" s="5"/>
      <c r="V64" s="31"/>
      <c r="W64" s="49">
        <f t="shared" si="1"/>
        <v>286</v>
      </c>
      <c r="X64" s="49">
        <f>+Y64+W64</f>
        <v>5336</v>
      </c>
      <c r="Y64" s="42">
        <v>5050</v>
      </c>
      <c r="Z64" s="72"/>
      <c r="AA64" s="35"/>
    </row>
    <row r="65" spans="2:30" ht="18.75" customHeight="1" x14ac:dyDescent="0.3">
      <c r="B65" s="15">
        <v>16</v>
      </c>
      <c r="C65" s="52" t="s">
        <v>61</v>
      </c>
      <c r="D65" s="52" t="s">
        <v>31</v>
      </c>
      <c r="E65" s="52" t="s">
        <v>32</v>
      </c>
      <c r="F65" s="52" t="s">
        <v>33</v>
      </c>
      <c r="G65" s="57">
        <v>43.38</v>
      </c>
      <c r="H65" s="58">
        <f>+H67*60*0.9/G65</f>
        <v>49.792531120331944</v>
      </c>
      <c r="I65" s="59">
        <v>54</v>
      </c>
      <c r="J65" s="8" t="s">
        <v>17</v>
      </c>
      <c r="K65" s="24">
        <v>40</v>
      </c>
      <c r="L65" s="24">
        <v>40</v>
      </c>
      <c r="M65" s="24">
        <v>68</v>
      </c>
      <c r="N65" s="24">
        <v>68</v>
      </c>
      <c r="O65" s="24">
        <v>54</v>
      </c>
      <c r="P65" s="24">
        <v>54</v>
      </c>
      <c r="Q65" s="24">
        <v>54</v>
      </c>
      <c r="R65" s="24">
        <v>54</v>
      </c>
      <c r="S65" s="24"/>
      <c r="T65" s="8"/>
      <c r="U65" s="8"/>
      <c r="V65" s="36">
        <f>+IF(COUNTA(K65:U65)=0,0,W65/COUNTA(K65:U65))</f>
        <v>54</v>
      </c>
      <c r="W65" s="37">
        <f t="shared" si="1"/>
        <v>432</v>
      </c>
      <c r="X65" s="37">
        <f>+W65+Y65</f>
        <v>4484</v>
      </c>
      <c r="Y65" s="38">
        <v>4052</v>
      </c>
      <c r="Z65" s="73">
        <f>+X64-X65</f>
        <v>852</v>
      </c>
      <c r="AA65" s="40">
        <f>+IF(((W66+(W67/2))*60)=0,"",(G65*W65)/((W66+(W67/2))*60))</f>
        <v>0.90270520231213869</v>
      </c>
      <c r="AD65" s="1">
        <f>+W65*G65</f>
        <v>18740.16</v>
      </c>
    </row>
    <row r="66" spans="2:30" ht="18.75" customHeight="1" x14ac:dyDescent="0.3">
      <c r="B66" s="84">
        <f>+B65</f>
        <v>16</v>
      </c>
      <c r="C66" s="52"/>
      <c r="D66" s="52"/>
      <c r="E66" s="52"/>
      <c r="F66" s="52"/>
      <c r="G66" s="60"/>
      <c r="H66" s="61" t="s">
        <v>22</v>
      </c>
      <c r="I66" s="61" t="s">
        <v>22</v>
      </c>
      <c r="J66" s="3" t="s">
        <v>18</v>
      </c>
      <c r="K66" s="25">
        <v>40</v>
      </c>
      <c r="L66" s="25">
        <v>42</v>
      </c>
      <c r="M66" s="25">
        <v>42</v>
      </c>
      <c r="N66" s="25">
        <v>42</v>
      </c>
      <c r="O66" s="25">
        <v>42</v>
      </c>
      <c r="P66" s="25">
        <v>42</v>
      </c>
      <c r="Q66" s="25">
        <v>42</v>
      </c>
      <c r="R66" s="25">
        <v>42</v>
      </c>
      <c r="S66" s="25"/>
      <c r="T66" s="3"/>
      <c r="U66" s="3"/>
      <c r="V66" s="29"/>
      <c r="W66" s="41">
        <f t="shared" si="1"/>
        <v>334</v>
      </c>
      <c r="X66" s="41"/>
      <c r="Y66" s="42"/>
      <c r="Z66" s="74"/>
      <c r="AA66" s="44"/>
      <c r="AC66" s="1">
        <f>+W66*60</f>
        <v>20040</v>
      </c>
    </row>
    <row r="67" spans="2:30" ht="18.75" customHeight="1" thickBot="1" x14ac:dyDescent="0.35">
      <c r="B67" s="85">
        <f>+B65</f>
        <v>16</v>
      </c>
      <c r="C67" s="53"/>
      <c r="D67" s="53"/>
      <c r="E67" s="53"/>
      <c r="F67" s="53"/>
      <c r="G67" s="62"/>
      <c r="H67" s="63">
        <v>40</v>
      </c>
      <c r="I67" s="64">
        <v>43.5</v>
      </c>
      <c r="J67" s="6" t="s">
        <v>19</v>
      </c>
      <c r="K67" s="26">
        <v>3</v>
      </c>
      <c r="L67" s="26">
        <v>3</v>
      </c>
      <c r="M67" s="26">
        <v>3</v>
      </c>
      <c r="N67" s="26">
        <v>3</v>
      </c>
      <c r="O67" s="26">
        <v>3</v>
      </c>
      <c r="P67" s="26">
        <v>3</v>
      </c>
      <c r="Q67" s="26">
        <v>3</v>
      </c>
      <c r="R67" s="26">
        <v>3</v>
      </c>
      <c r="S67" s="26"/>
      <c r="T67" s="6"/>
      <c r="U67" s="6"/>
      <c r="V67" s="30"/>
      <c r="W67" s="45">
        <f t="shared" si="1"/>
        <v>24</v>
      </c>
      <c r="X67" s="45"/>
      <c r="Y67" s="46"/>
      <c r="Z67" s="47">
        <f>+Z65/(I65*8)</f>
        <v>1.9722222222222223</v>
      </c>
      <c r="AA67" s="48"/>
      <c r="AC67" s="1">
        <f>+W67*30</f>
        <v>720</v>
      </c>
    </row>
    <row r="68" spans="2:30" ht="18.75" customHeight="1" thickTop="1" x14ac:dyDescent="0.3">
      <c r="B68" s="9">
        <f>+B69</f>
        <v>17</v>
      </c>
      <c r="C68" s="54"/>
      <c r="D68" s="54"/>
      <c r="E68" s="54"/>
      <c r="F68" s="54"/>
      <c r="G68" s="55" t="s">
        <v>20</v>
      </c>
      <c r="H68" s="56" t="s">
        <v>23</v>
      </c>
      <c r="I68" s="56" t="s">
        <v>23</v>
      </c>
      <c r="J68" s="5" t="s">
        <v>21</v>
      </c>
      <c r="K68" s="27">
        <v>1450</v>
      </c>
      <c r="L68" s="27">
        <v>1450</v>
      </c>
      <c r="M68" s="27">
        <v>1450</v>
      </c>
      <c r="N68" s="27"/>
      <c r="O68" s="27"/>
      <c r="P68" s="27"/>
      <c r="Q68" s="27"/>
      <c r="R68" s="27"/>
      <c r="S68" s="27"/>
      <c r="T68" s="5"/>
      <c r="U68" s="5"/>
      <c r="V68" s="31"/>
      <c r="W68" s="49">
        <f t="shared" ref="W68:W79" si="2">+SUM(K68:U68)</f>
        <v>4350</v>
      </c>
      <c r="X68" s="49">
        <f>+Y68+W68</f>
        <v>34811</v>
      </c>
      <c r="Y68" s="42">
        <v>30461</v>
      </c>
      <c r="Z68" s="34"/>
      <c r="AA68" s="35"/>
    </row>
    <row r="69" spans="2:30" ht="18.75" customHeight="1" x14ac:dyDescent="0.3">
      <c r="B69" s="18">
        <v>17</v>
      </c>
      <c r="C69" s="52"/>
      <c r="D69" s="52" t="s">
        <v>42</v>
      </c>
      <c r="E69" s="52" t="s">
        <v>39</v>
      </c>
      <c r="F69" s="52" t="s">
        <v>39</v>
      </c>
      <c r="G69" s="65">
        <v>2.5299999999999998</v>
      </c>
      <c r="H69" s="58"/>
      <c r="I69" s="59">
        <v>1067</v>
      </c>
      <c r="J69" s="8" t="s">
        <v>17</v>
      </c>
      <c r="K69" s="24">
        <v>850</v>
      </c>
      <c r="L69" s="24">
        <v>1100</v>
      </c>
      <c r="M69" s="24">
        <v>1000</v>
      </c>
      <c r="N69" s="24"/>
      <c r="O69" s="24"/>
      <c r="P69" s="24"/>
      <c r="Q69" s="24"/>
      <c r="R69" s="24"/>
      <c r="S69" s="24"/>
      <c r="T69" s="8"/>
      <c r="U69" s="8"/>
      <c r="V69" s="36">
        <f>+IF(COUNTA(K69:U69)=0,0,W69/COUNTA(K69:U69))</f>
        <v>983.33333333333337</v>
      </c>
      <c r="W69" s="37">
        <f t="shared" si="2"/>
        <v>2950</v>
      </c>
      <c r="X69" s="37">
        <f>+W69+Y69</f>
        <v>23187</v>
      </c>
      <c r="Y69" s="38">
        <v>20237</v>
      </c>
      <c r="Z69" s="39">
        <f>+X68-X69</f>
        <v>11624</v>
      </c>
      <c r="AA69" s="40">
        <f>+IF(((W70+(W71/2))*60)=0,"",(G69*W69)/((W70+(W71/2))*60))</f>
        <v>0.84048423423423413</v>
      </c>
      <c r="AD69" s="1">
        <f>+W69*G69</f>
        <v>7463.4999999999991</v>
      </c>
    </row>
    <row r="70" spans="2:30" ht="18.75" customHeight="1" x14ac:dyDescent="0.3">
      <c r="B70" s="10">
        <f>+B69</f>
        <v>17</v>
      </c>
      <c r="C70" s="52"/>
      <c r="D70" s="52"/>
      <c r="E70" s="52"/>
      <c r="F70" s="52"/>
      <c r="G70" s="70"/>
      <c r="H70" s="61" t="s">
        <v>22</v>
      </c>
      <c r="I70" s="61" t="s">
        <v>22</v>
      </c>
      <c r="J70" s="3" t="s">
        <v>18</v>
      </c>
      <c r="K70" s="25">
        <v>47</v>
      </c>
      <c r="L70" s="25">
        <v>49</v>
      </c>
      <c r="M70" s="25">
        <v>49</v>
      </c>
      <c r="N70" s="25"/>
      <c r="O70" s="25"/>
      <c r="P70" s="25"/>
      <c r="Q70" s="25"/>
      <c r="R70" s="25"/>
      <c r="S70" s="25"/>
      <c r="T70" s="3"/>
      <c r="U70" s="3"/>
      <c r="V70" s="29"/>
      <c r="W70" s="41">
        <f t="shared" si="2"/>
        <v>145</v>
      </c>
      <c r="X70" s="41"/>
      <c r="Y70" s="42"/>
      <c r="Z70" s="43"/>
      <c r="AA70" s="44"/>
      <c r="AC70" s="1">
        <f>+W70*60</f>
        <v>8700</v>
      </c>
    </row>
    <row r="71" spans="2:30" ht="18.75" customHeight="1" thickBot="1" x14ac:dyDescent="0.35">
      <c r="B71" s="11">
        <f>+B69</f>
        <v>17</v>
      </c>
      <c r="C71" s="53"/>
      <c r="D71" s="53"/>
      <c r="E71" s="53"/>
      <c r="F71" s="53"/>
      <c r="G71" s="71"/>
      <c r="H71" s="63"/>
      <c r="I71" s="63">
        <v>50</v>
      </c>
      <c r="J71" s="6" t="s">
        <v>19</v>
      </c>
      <c r="K71" s="26">
        <v>2</v>
      </c>
      <c r="L71" s="26">
        <v>2</v>
      </c>
      <c r="M71" s="26">
        <v>2</v>
      </c>
      <c r="N71" s="26"/>
      <c r="O71" s="26"/>
      <c r="P71" s="26"/>
      <c r="Q71" s="26"/>
      <c r="R71" s="26"/>
      <c r="S71" s="26"/>
      <c r="T71" s="6"/>
      <c r="U71" s="6"/>
      <c r="V71" s="30"/>
      <c r="W71" s="45">
        <f t="shared" si="2"/>
        <v>6</v>
      </c>
      <c r="X71" s="45"/>
      <c r="Y71" s="46"/>
      <c r="Z71" s="47">
        <f>+Z69/(I69*8)</f>
        <v>1.3617619493908153</v>
      </c>
      <c r="AA71" s="48"/>
      <c r="AC71" s="1">
        <f>+W71*30</f>
        <v>180</v>
      </c>
    </row>
    <row r="72" spans="2:30" ht="18.75" customHeight="1" thickTop="1" x14ac:dyDescent="0.3">
      <c r="B72" s="86">
        <f>+B73</f>
        <v>18</v>
      </c>
      <c r="C72" s="54"/>
      <c r="D72" s="54"/>
      <c r="E72" s="54"/>
      <c r="F72" s="54"/>
      <c r="G72" s="55" t="s">
        <v>20</v>
      </c>
      <c r="H72" s="56" t="s">
        <v>23</v>
      </c>
      <c r="I72" s="56" t="s">
        <v>23</v>
      </c>
      <c r="J72" s="5" t="s">
        <v>21</v>
      </c>
      <c r="K72" s="27"/>
      <c r="L72" s="27"/>
      <c r="M72" s="27"/>
      <c r="N72" s="27"/>
      <c r="O72" s="27"/>
      <c r="P72" s="27"/>
      <c r="Q72" s="27"/>
      <c r="R72" s="27">
        <v>10798</v>
      </c>
      <c r="S72" s="27"/>
      <c r="T72" s="5"/>
      <c r="U72" s="5"/>
      <c r="V72" s="31"/>
      <c r="W72" s="49">
        <f t="shared" si="2"/>
        <v>10798</v>
      </c>
      <c r="X72" s="49">
        <f>+Y72+W72</f>
        <v>34634</v>
      </c>
      <c r="Y72" s="42">
        <v>23836</v>
      </c>
      <c r="Z72" s="72"/>
      <c r="AA72" s="35"/>
    </row>
    <row r="73" spans="2:30" ht="18.75" customHeight="1" x14ac:dyDescent="0.3">
      <c r="B73" s="15">
        <v>18</v>
      </c>
      <c r="C73" s="52"/>
      <c r="D73" s="52" t="s">
        <v>42</v>
      </c>
      <c r="E73" s="52" t="s">
        <v>39</v>
      </c>
      <c r="F73" s="52" t="s">
        <v>39</v>
      </c>
      <c r="G73" s="57">
        <v>2.83</v>
      </c>
      <c r="H73" s="58">
        <v>1067</v>
      </c>
      <c r="I73" s="59">
        <v>1067</v>
      </c>
      <c r="J73" s="8" t="s">
        <v>17</v>
      </c>
      <c r="K73" s="24">
        <v>1000</v>
      </c>
      <c r="L73" s="24">
        <v>1000</v>
      </c>
      <c r="M73" s="24">
        <v>1000</v>
      </c>
      <c r="N73" s="24">
        <v>1200</v>
      </c>
      <c r="O73" s="24">
        <v>1040</v>
      </c>
      <c r="P73" s="24">
        <v>1100</v>
      </c>
      <c r="Q73" s="24">
        <v>1150</v>
      </c>
      <c r="R73" s="24">
        <f>800+250</f>
        <v>1050</v>
      </c>
      <c r="S73" s="24"/>
      <c r="T73" s="8"/>
      <c r="U73" s="8"/>
      <c r="V73" s="36">
        <f>+IF(COUNTA(K73:U73)=0,0,W73/COUNTA(K73:U73))</f>
        <v>1067.5</v>
      </c>
      <c r="W73" s="37">
        <f t="shared" si="2"/>
        <v>8540</v>
      </c>
      <c r="X73" s="37">
        <f>+W73+Y73</f>
        <v>28775</v>
      </c>
      <c r="Y73" s="38">
        <v>20235</v>
      </c>
      <c r="Z73" s="73">
        <f>+X72-X73</f>
        <v>5859</v>
      </c>
      <c r="AA73" s="40">
        <f>+IF(((W74+(W75/2))*60)=0,"",(G73*W73)/((W74+(W75/2))*60))</f>
        <v>0.99212643678160928</v>
      </c>
      <c r="AD73" s="1">
        <f>+W73*G73</f>
        <v>24168.2</v>
      </c>
    </row>
    <row r="74" spans="2:30" ht="18.75" customHeight="1" x14ac:dyDescent="0.3">
      <c r="B74" s="84">
        <f>+B73</f>
        <v>18</v>
      </c>
      <c r="C74" s="52"/>
      <c r="D74" s="52"/>
      <c r="E74" s="52"/>
      <c r="F74" s="52"/>
      <c r="G74" s="60"/>
      <c r="H74" s="61" t="s">
        <v>22</v>
      </c>
      <c r="I74" s="61" t="s">
        <v>22</v>
      </c>
      <c r="J74" s="3" t="s">
        <v>18</v>
      </c>
      <c r="K74" s="25">
        <v>49</v>
      </c>
      <c r="L74" s="25">
        <v>49</v>
      </c>
      <c r="M74" s="25">
        <v>49</v>
      </c>
      <c r="N74" s="25">
        <v>49</v>
      </c>
      <c r="O74" s="25">
        <v>49</v>
      </c>
      <c r="P74" s="25">
        <v>51</v>
      </c>
      <c r="Q74" s="25">
        <v>51</v>
      </c>
      <c r="R74" s="25">
        <v>51</v>
      </c>
      <c r="S74" s="25"/>
      <c r="T74" s="3"/>
      <c r="U74" s="3"/>
      <c r="V74" s="29"/>
      <c r="W74" s="41">
        <f t="shared" si="2"/>
        <v>398</v>
      </c>
      <c r="X74" s="41"/>
      <c r="Y74" s="42"/>
      <c r="Z74" s="74"/>
      <c r="AA74" s="44"/>
      <c r="AC74" s="1">
        <f>+W74*60</f>
        <v>23880</v>
      </c>
    </row>
    <row r="75" spans="2:30" ht="18.75" customHeight="1" thickBot="1" x14ac:dyDescent="0.35">
      <c r="B75" s="85">
        <f>+B73</f>
        <v>18</v>
      </c>
      <c r="C75" s="53"/>
      <c r="D75" s="53"/>
      <c r="E75" s="53"/>
      <c r="F75" s="53"/>
      <c r="G75" s="62"/>
      <c r="H75" s="63">
        <v>50</v>
      </c>
      <c r="I75" s="64">
        <v>50</v>
      </c>
      <c r="J75" s="6" t="s">
        <v>19</v>
      </c>
      <c r="K75" s="26">
        <v>2</v>
      </c>
      <c r="L75" s="26">
        <v>2</v>
      </c>
      <c r="M75" s="26">
        <v>2</v>
      </c>
      <c r="N75" s="26">
        <v>2</v>
      </c>
      <c r="O75" s="26">
        <v>2</v>
      </c>
      <c r="P75" s="26">
        <v>2</v>
      </c>
      <c r="Q75" s="26">
        <v>2</v>
      </c>
      <c r="R75" s="26">
        <v>2</v>
      </c>
      <c r="S75" s="26"/>
      <c r="T75" s="6"/>
      <c r="U75" s="6"/>
      <c r="V75" s="30"/>
      <c r="W75" s="45">
        <f t="shared" si="2"/>
        <v>16</v>
      </c>
      <c r="X75" s="45"/>
      <c r="Y75" s="46"/>
      <c r="Z75" s="47">
        <f>+Z73/(I73*8)</f>
        <v>0.68638706654170567</v>
      </c>
      <c r="AA75" s="48"/>
      <c r="AC75" s="1">
        <f>+W75*30</f>
        <v>480</v>
      </c>
    </row>
    <row r="76" spans="2:30" ht="18.75" customHeight="1" thickTop="1" x14ac:dyDescent="0.3">
      <c r="B76" s="9">
        <f>+B77</f>
        <v>19</v>
      </c>
      <c r="C76" s="54"/>
      <c r="D76" s="54"/>
      <c r="E76" s="54"/>
      <c r="F76" s="54"/>
      <c r="G76" s="55" t="s">
        <v>20</v>
      </c>
      <c r="H76" s="56" t="s">
        <v>23</v>
      </c>
      <c r="I76" s="56" t="s">
        <v>23</v>
      </c>
      <c r="J76" s="5" t="s">
        <v>21</v>
      </c>
      <c r="K76" s="27">
        <v>100</v>
      </c>
      <c r="L76" s="27">
        <v>100</v>
      </c>
      <c r="M76" s="27">
        <v>100</v>
      </c>
      <c r="N76" s="27"/>
      <c r="O76" s="27"/>
      <c r="P76" s="27"/>
      <c r="Q76" s="27"/>
      <c r="R76" s="27"/>
      <c r="S76" s="27"/>
      <c r="T76" s="5"/>
      <c r="U76" s="5"/>
      <c r="V76" s="31"/>
      <c r="W76" s="49">
        <f t="shared" si="2"/>
        <v>300</v>
      </c>
      <c r="X76" s="49">
        <f>+Y76+W76</f>
        <v>2900</v>
      </c>
      <c r="Y76" s="42">
        <v>2600</v>
      </c>
      <c r="Z76" s="34"/>
      <c r="AA76" s="35"/>
    </row>
    <row r="77" spans="2:30" ht="18.75" customHeight="1" x14ac:dyDescent="0.3">
      <c r="B77" s="18">
        <v>19</v>
      </c>
      <c r="C77" s="52" t="s">
        <v>34</v>
      </c>
      <c r="D77" s="52" t="s">
        <v>31</v>
      </c>
      <c r="E77" s="52" t="s">
        <v>36</v>
      </c>
      <c r="F77" s="52" t="s">
        <v>37</v>
      </c>
      <c r="G77" s="65">
        <v>40.049999999999997</v>
      </c>
      <c r="H77" s="58">
        <v>67</v>
      </c>
      <c r="I77" s="59">
        <v>60</v>
      </c>
      <c r="J77" s="8" t="s">
        <v>17</v>
      </c>
      <c r="K77" s="24">
        <v>35</v>
      </c>
      <c r="L77" s="24">
        <v>45</v>
      </c>
      <c r="M77" s="24">
        <v>55</v>
      </c>
      <c r="N77" s="24"/>
      <c r="O77" s="24"/>
      <c r="P77" s="24"/>
      <c r="Q77" s="24"/>
      <c r="R77" s="24"/>
      <c r="S77" s="24"/>
      <c r="T77" s="8"/>
      <c r="U77" s="8"/>
      <c r="V77" s="36">
        <f>+IF(COUNTA(K77:U77)=0,0,W77/COUNTA(K77:U77))</f>
        <v>45</v>
      </c>
      <c r="W77" s="37">
        <f t="shared" si="2"/>
        <v>135</v>
      </c>
      <c r="X77" s="37">
        <f>+W77+Y77</f>
        <v>1495</v>
      </c>
      <c r="Y77" s="38">
        <v>1360</v>
      </c>
      <c r="Z77" s="39">
        <f>+X76-X77</f>
        <v>1405</v>
      </c>
      <c r="AA77" s="40">
        <f>+IF(((W78+(W79/2))*60)=0,"",(G77*W77)/((W78+(W79/2))*60))</f>
        <v>0.69051724137931036</v>
      </c>
      <c r="AD77" s="1">
        <f>+W77*G77</f>
        <v>5406.75</v>
      </c>
    </row>
    <row r="78" spans="2:30" ht="18.75" customHeight="1" x14ac:dyDescent="0.3">
      <c r="B78" s="10">
        <f>+B77</f>
        <v>19</v>
      </c>
      <c r="C78" s="52"/>
      <c r="D78" s="52"/>
      <c r="E78" s="52"/>
      <c r="F78" s="52"/>
      <c r="G78" s="70"/>
      <c r="H78" s="61" t="s">
        <v>22</v>
      </c>
      <c r="I78" s="61" t="s">
        <v>22</v>
      </c>
      <c r="J78" s="3" t="s">
        <v>18</v>
      </c>
      <c r="K78" s="25">
        <v>40</v>
      </c>
      <c r="L78" s="25">
        <v>43</v>
      </c>
      <c r="M78" s="25">
        <v>43</v>
      </c>
      <c r="N78" s="25"/>
      <c r="O78" s="25"/>
      <c r="P78" s="25"/>
      <c r="Q78" s="25"/>
      <c r="R78" s="25"/>
      <c r="S78" s="25"/>
      <c r="T78" s="3"/>
      <c r="U78" s="3"/>
      <c r="V78" s="29"/>
      <c r="W78" s="41">
        <f t="shared" si="2"/>
        <v>126</v>
      </c>
      <c r="X78" s="41"/>
      <c r="Y78" s="42"/>
      <c r="Z78" s="43"/>
      <c r="AA78" s="44"/>
      <c r="AC78" s="1">
        <f>+W78*60</f>
        <v>7560</v>
      </c>
    </row>
    <row r="79" spans="2:30" ht="18.75" customHeight="1" thickBot="1" x14ac:dyDescent="0.35">
      <c r="B79" s="11">
        <f>+B77</f>
        <v>19</v>
      </c>
      <c r="C79" s="53"/>
      <c r="D79" s="53"/>
      <c r="E79" s="53"/>
      <c r="F79" s="53"/>
      <c r="G79" s="71"/>
      <c r="H79" s="63">
        <v>50</v>
      </c>
      <c r="I79" s="64">
        <v>44.5</v>
      </c>
      <c r="J79" s="6" t="s">
        <v>19</v>
      </c>
      <c r="K79" s="26">
        <v>3</v>
      </c>
      <c r="L79" s="26">
        <v>3</v>
      </c>
      <c r="M79" s="26">
        <v>3</v>
      </c>
      <c r="N79" s="26"/>
      <c r="O79" s="26"/>
      <c r="P79" s="26"/>
      <c r="Q79" s="26"/>
      <c r="R79" s="26"/>
      <c r="S79" s="26"/>
      <c r="T79" s="6"/>
      <c r="U79" s="6"/>
      <c r="V79" s="30"/>
      <c r="W79" s="45">
        <f t="shared" si="2"/>
        <v>9</v>
      </c>
      <c r="X79" s="45"/>
      <c r="Y79" s="46"/>
      <c r="Z79" s="47">
        <f>+Z77/(I77*8)</f>
        <v>2.9270833333333335</v>
      </c>
      <c r="AA79" s="48"/>
      <c r="AC79" s="1">
        <f>+W79*30</f>
        <v>270</v>
      </c>
    </row>
    <row r="80" spans="2:30" ht="32.25" thickTop="1" x14ac:dyDescent="0.5"/>
  </sheetData>
  <autoFilter ref="B3:AA79">
    <sortState ref="B4:AA79">
      <sortCondition ref="B3:B79"/>
    </sortState>
  </autoFilter>
  <mergeCells count="4">
    <mergeCell ref="B1:Z1"/>
    <mergeCell ref="B2:E2"/>
    <mergeCell ref="G3:H3"/>
    <mergeCell ref="Z2:AA2"/>
  </mergeCells>
  <pageMargins left="0.15748031496062992" right="0.15748031496062992" top="0.27" bottom="0.35433070866141736" header="0.15748031496062992" footer="0.31496062992125984"/>
  <pageSetup paperSize="9" scale="63" orientation="landscape"/>
  <ignoredErrors>
    <ignoredError sqref="K3:S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</sheetPr>
  <dimension ref="A1:BC108"/>
  <sheetViews>
    <sheetView zoomScale="23" zoomScaleNormal="23" zoomScaleSheetLayoutView="23" zoomScalePageLayoutView="23" workbookViewId="0">
      <pane xSplit="2" ySplit="5" topLeftCell="F60" activePane="bottomRight" state="frozen"/>
      <selection pane="topRight" activeCell="C1" sqref="C1"/>
      <selection pane="bottomLeft" activeCell="A6" sqref="A6"/>
      <selection pane="bottomRight" activeCell="L52" sqref="L52:S52"/>
    </sheetView>
  </sheetViews>
  <sheetFormatPr defaultColWidth="9.140625" defaultRowHeight="36" x14ac:dyDescent="0.55000000000000004"/>
  <cols>
    <col min="1" max="1" width="1" style="91" customWidth="1"/>
    <col min="2" max="2" width="23.140625" style="94" customWidth="1"/>
    <col min="3" max="3" width="53.140625" style="92" customWidth="1"/>
    <col min="4" max="4" width="3.85546875" style="92" hidden="1" customWidth="1"/>
    <col min="5" max="5" width="29.140625" style="92" customWidth="1"/>
    <col min="6" max="6" width="57.7109375" style="92" customWidth="1"/>
    <col min="7" max="7" width="28" style="92" customWidth="1"/>
    <col min="8" max="8" width="54.42578125" style="92" customWidth="1"/>
    <col min="9" max="9" width="26.7109375" style="93" customWidth="1"/>
    <col min="10" max="10" width="28.7109375" style="92" customWidth="1"/>
    <col min="11" max="11" width="45" style="99" customWidth="1"/>
    <col min="12" max="22" width="25.85546875" style="91" customWidth="1"/>
    <col min="23" max="23" width="27" style="91" customWidth="1"/>
    <col min="24" max="24" width="32.28515625" style="91" customWidth="1"/>
    <col min="25" max="25" width="30.7109375" style="91" customWidth="1"/>
    <col min="26" max="26" width="33.140625" style="91" customWidth="1"/>
    <col min="27" max="27" width="31" style="91" hidden="1" customWidth="1"/>
    <col min="28" max="28" width="29.42578125" style="91" customWidth="1"/>
    <col min="29" max="29" width="29.42578125" style="95" customWidth="1"/>
    <col min="30" max="30" width="28.42578125" style="155" customWidth="1"/>
    <col min="31" max="31" width="32.42578125" style="98" hidden="1" customWidth="1"/>
    <col min="32" max="32" width="34" style="98" hidden="1" customWidth="1"/>
    <col min="33" max="33" width="35.42578125" style="98" customWidth="1"/>
    <col min="34" max="34" width="40.7109375" style="91" customWidth="1"/>
    <col min="35" max="35" width="38.28515625" style="91" customWidth="1"/>
    <col min="36" max="42" width="9.140625" style="91" customWidth="1"/>
    <col min="43" max="43" width="30.28515625" style="91" customWidth="1"/>
    <col min="44" max="99" width="9.140625" style="91" customWidth="1"/>
    <col min="100" max="16384" width="9.140625" style="91"/>
  </cols>
  <sheetData>
    <row r="1" spans="1:34" ht="23.25" customHeight="1" x14ac:dyDescent="0.5">
      <c r="B1" s="533" t="s">
        <v>29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B1" s="534" t="s">
        <v>81</v>
      </c>
      <c r="AC1" s="534"/>
    </row>
    <row r="2" spans="1:34" ht="67.5" customHeight="1" x14ac:dyDescent="0.7">
      <c r="A2" s="91">
        <v>77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  <c r="W2" s="533"/>
      <c r="X2" s="533"/>
      <c r="Y2" s="533"/>
      <c r="Z2" s="533"/>
      <c r="AA2" s="96"/>
      <c r="AB2" s="535">
        <f>+AF2/AE2</f>
        <v>3.6857333333333333</v>
      </c>
      <c r="AC2" s="535"/>
      <c r="AE2" s="183">
        <f>+SUBTOTAL(9,AE6:AE103)</f>
        <v>7200</v>
      </c>
      <c r="AF2" s="183">
        <f>+SUBTOTAL(9,AF6:AF103)</f>
        <v>26537.279999999999</v>
      </c>
    </row>
    <row r="3" spans="1:34" ht="64.5" customHeight="1" x14ac:dyDescent="0.7">
      <c r="B3" s="233"/>
      <c r="C3" s="233"/>
      <c r="D3" s="233"/>
      <c r="E3" s="231"/>
      <c r="F3" s="231"/>
      <c r="G3" s="231"/>
      <c r="H3" s="231"/>
      <c r="I3" s="231"/>
      <c r="J3" s="536" t="s">
        <v>97</v>
      </c>
      <c r="K3" s="536"/>
      <c r="L3" s="147" t="s">
        <v>98</v>
      </c>
      <c r="M3" s="147" t="s">
        <v>99</v>
      </c>
      <c r="N3" s="147" t="s">
        <v>100</v>
      </c>
      <c r="O3" s="147" t="s">
        <v>101</v>
      </c>
      <c r="P3" s="147" t="s">
        <v>102</v>
      </c>
      <c r="Q3" s="147" t="s">
        <v>103</v>
      </c>
      <c r="R3" s="147" t="s">
        <v>104</v>
      </c>
      <c r="S3" s="147" t="s">
        <v>107</v>
      </c>
      <c r="T3" s="147" t="s">
        <v>106</v>
      </c>
      <c r="U3" s="147"/>
      <c r="V3" s="147"/>
      <c r="W3" s="199"/>
      <c r="X3" s="147"/>
      <c r="Y3" s="233"/>
      <c r="Z3" s="233"/>
      <c r="AA3" s="96"/>
      <c r="AB3" s="535"/>
      <c r="AC3" s="535"/>
      <c r="AE3" s="183"/>
      <c r="AF3" s="183"/>
    </row>
    <row r="4" spans="1:34" s="141" customFormat="1" ht="57" customHeight="1" thickBot="1" x14ac:dyDescent="0.75">
      <c r="B4" s="537" t="s">
        <v>108</v>
      </c>
      <c r="C4" s="537"/>
      <c r="D4" s="537"/>
      <c r="E4" s="537"/>
      <c r="F4" s="537"/>
      <c r="G4" s="217"/>
      <c r="I4" s="142"/>
      <c r="J4" s="538" t="s">
        <v>113</v>
      </c>
      <c r="K4" s="538"/>
      <c r="L4" s="225" t="s">
        <v>82</v>
      </c>
      <c r="M4" s="225" t="s">
        <v>83</v>
      </c>
      <c r="N4" s="225" t="s">
        <v>84</v>
      </c>
      <c r="O4" s="225" t="s">
        <v>85</v>
      </c>
      <c r="P4" s="225" t="s">
        <v>86</v>
      </c>
      <c r="Q4" s="225" t="s">
        <v>87</v>
      </c>
      <c r="R4" s="225" t="s">
        <v>88</v>
      </c>
      <c r="S4" s="225" t="s">
        <v>105</v>
      </c>
      <c r="T4" s="226" t="s">
        <v>106</v>
      </c>
      <c r="U4" s="172"/>
      <c r="V4" s="172"/>
      <c r="W4" s="143" t="s">
        <v>17</v>
      </c>
      <c r="X4" s="143"/>
      <c r="Y4" s="170">
        <f>+X87</f>
        <v>538</v>
      </c>
      <c r="Z4" s="144" t="s">
        <v>28</v>
      </c>
      <c r="AA4" s="145"/>
      <c r="AB4" s="539">
        <v>44653</v>
      </c>
      <c r="AC4" s="539"/>
      <c r="AD4" s="171">
        <f>+SUM(AD6:AD91)</f>
        <v>120</v>
      </c>
      <c r="AE4" s="98"/>
      <c r="AF4" s="98"/>
      <c r="AG4" s="148"/>
    </row>
    <row r="5" spans="1:34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542" t="s">
        <v>95</v>
      </c>
      <c r="J5" s="543"/>
      <c r="K5" s="151"/>
      <c r="L5" s="152" t="s">
        <v>89</v>
      </c>
      <c r="M5" s="150">
        <v>2</v>
      </c>
      <c r="N5" s="150">
        <v>3</v>
      </c>
      <c r="O5" s="150">
        <v>4</v>
      </c>
      <c r="P5" s="150">
        <v>5</v>
      </c>
      <c r="Q5" s="150">
        <v>6</v>
      </c>
      <c r="R5" s="152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 t="s">
        <v>73</v>
      </c>
      <c r="AD5" s="156"/>
    </row>
    <row r="6" spans="1:34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/>
      <c r="M6" s="215"/>
      <c r="N6" s="215"/>
      <c r="O6" s="215"/>
      <c r="P6" s="215"/>
      <c r="Q6" s="215"/>
      <c r="R6" s="215"/>
      <c r="S6" s="213"/>
      <c r="T6" s="213"/>
      <c r="U6" s="213"/>
      <c r="V6" s="213"/>
      <c r="W6" s="135"/>
      <c r="X6" s="540">
        <f>+W8</f>
        <v>-53</v>
      </c>
      <c r="Y6" s="135">
        <f>+SUM(L6:V6)</f>
        <v>0</v>
      </c>
      <c r="Z6" s="136">
        <f>+AA6+Y6</f>
        <v>3954</v>
      </c>
      <c r="AA6" s="136">
        <v>3954</v>
      </c>
      <c r="AB6" s="109"/>
      <c r="AC6" s="110"/>
      <c r="AD6" s="157"/>
      <c r="AE6" s="167"/>
      <c r="AF6" s="167"/>
      <c r="AG6" s="167"/>
      <c r="AH6" s="91"/>
    </row>
    <row r="7" spans="1:34" s="98" customFormat="1" ht="62.25" customHeight="1" x14ac:dyDescent="0.9">
      <c r="A7" s="124"/>
      <c r="B7" s="132">
        <v>1</v>
      </c>
      <c r="C7" s="111" t="s">
        <v>195</v>
      </c>
      <c r="D7" s="111"/>
      <c r="E7" s="111" t="s">
        <v>35</v>
      </c>
      <c r="F7" s="111" t="s">
        <v>196</v>
      </c>
      <c r="G7" s="111">
        <v>5038</v>
      </c>
      <c r="H7" s="111" t="s">
        <v>33</v>
      </c>
      <c r="I7" s="113">
        <v>58.92</v>
      </c>
      <c r="J7" s="130">
        <v>53</v>
      </c>
      <c r="K7" s="101" t="s">
        <v>17</v>
      </c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123">
        <f>+IF(COUNTA(L7:V7)=8,Y7/(COUNTA(L7:V7)-0.5),IF(COUNTA(L7:V7)=0,0,Y7/COUNTA(L7:V7)))</f>
        <v>0</v>
      </c>
      <c r="X7" s="541"/>
      <c r="Y7" s="134">
        <f>+SUM(L7:V7)</f>
        <v>0</v>
      </c>
      <c r="Z7" s="137">
        <f>+Y7+AA7</f>
        <v>3126</v>
      </c>
      <c r="AA7" s="137">
        <v>3126</v>
      </c>
      <c r="AB7" s="140">
        <f>+Z6-Z7</f>
        <v>828</v>
      </c>
      <c r="AC7" s="131" t="str">
        <f>+IF(((Y8+(Y9/2))*60)=0,"",(I7*Y7)/((Y8+(Y9/2))*60))</f>
        <v/>
      </c>
      <c r="AD7" s="157"/>
      <c r="AE7" s="167"/>
      <c r="AF7" s="167">
        <f>+Y7*I7</f>
        <v>0</v>
      </c>
      <c r="AG7" s="167"/>
      <c r="AH7" s="91"/>
    </row>
    <row r="8" spans="1:34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112"/>
      <c r="H8" s="210"/>
      <c r="I8" s="210">
        <v>1</v>
      </c>
      <c r="J8" s="114" t="s">
        <v>22</v>
      </c>
      <c r="K8" s="102" t="s">
        <v>18</v>
      </c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160">
        <f>+W7-J7</f>
        <v>-53</v>
      </c>
      <c r="X8" s="541"/>
      <c r="Y8" s="103">
        <f>+SUM(L8:V8)-S8/2</f>
        <v>0</v>
      </c>
      <c r="Z8" s="103"/>
      <c r="AA8" s="103"/>
      <c r="AB8" s="115"/>
      <c r="AC8" s="116"/>
      <c r="AD8" s="157"/>
      <c r="AE8" s="167"/>
      <c r="AF8" s="167"/>
      <c r="AG8" s="167"/>
      <c r="AH8" s="91"/>
    </row>
    <row r="9" spans="1:34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111</v>
      </c>
      <c r="G9" s="218"/>
      <c r="H9" s="159" t="s">
        <v>190</v>
      </c>
      <c r="I9" s="165">
        <f>+IF(J9="","",IF(J7=0,"",(J7*I7)/(J9*60)))</f>
        <v>0.91308771929824573</v>
      </c>
      <c r="J9" s="118">
        <v>57</v>
      </c>
      <c r="K9" s="104" t="s">
        <v>19</v>
      </c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173"/>
      <c r="X9" s="169">
        <v>7.85</v>
      </c>
      <c r="Y9" s="105">
        <f>+SUM(L9:V9)-S9/2</f>
        <v>0</v>
      </c>
      <c r="Z9" s="105"/>
      <c r="AA9" s="105"/>
      <c r="AB9" s="119">
        <f>+IFERROR(AB7/(J7*9),"")</f>
        <v>1.7358490566037736</v>
      </c>
      <c r="AC9" s="120"/>
      <c r="AD9" s="161">
        <f>+Y8+Y9/2</f>
        <v>0</v>
      </c>
      <c r="AE9" s="167">
        <f>+AD9*60</f>
        <v>0</v>
      </c>
      <c r="AF9" s="167"/>
      <c r="AG9" s="230">
        <f>+IF((Y7-J7*9)&gt;=0,"",Y7-J7*9)</f>
        <v>-477</v>
      </c>
      <c r="AH9" s="91"/>
    </row>
    <row r="10" spans="1:34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135"/>
      <c r="X10" s="540">
        <f>+W12</f>
        <v>-55</v>
      </c>
      <c r="Y10" s="135">
        <f t="shared" ref="Y10:Y71" si="0">+SUM(L10:V10)</f>
        <v>0</v>
      </c>
      <c r="Z10" s="136">
        <f>+AA10+Y10</f>
        <v>9370</v>
      </c>
      <c r="AA10" s="136">
        <v>9370</v>
      </c>
      <c r="AB10" s="109"/>
      <c r="AC10" s="110"/>
      <c r="AD10" s="157"/>
      <c r="AE10" s="167">
        <f t="shared" ref="AE10:AE77" si="1">+AD10*60</f>
        <v>0</v>
      </c>
      <c r="AF10" s="167"/>
      <c r="AG10" s="167"/>
      <c r="AH10" s="91"/>
    </row>
    <row r="11" spans="1:34" s="98" customFormat="1" ht="62.25" customHeight="1" x14ac:dyDescent="0.9">
      <c r="A11" s="124"/>
      <c r="B11" s="132">
        <v>2</v>
      </c>
      <c r="C11" s="111" t="s">
        <v>189</v>
      </c>
      <c r="D11" s="111"/>
      <c r="E11" s="111" t="s">
        <v>110</v>
      </c>
      <c r="F11" s="111" t="s">
        <v>186</v>
      </c>
      <c r="G11" s="111">
        <v>9000</v>
      </c>
      <c r="H11" s="111" t="s">
        <v>54</v>
      </c>
      <c r="I11" s="113">
        <v>51.85</v>
      </c>
      <c r="J11" s="130">
        <v>55</v>
      </c>
      <c r="K11" s="101" t="s">
        <v>17</v>
      </c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123">
        <f>+IF(COUNTA(L11:V11)=8,Y11/(COUNTA(L11:V11)-0.5),IF(COUNTA(L11:V11)=0,0,Y11/COUNTA(L11:V11)))</f>
        <v>0</v>
      </c>
      <c r="X11" s="541"/>
      <c r="Y11" s="134">
        <f t="shared" si="0"/>
        <v>0</v>
      </c>
      <c r="Z11" s="137">
        <f>+Y11+AA11</f>
        <v>8462</v>
      </c>
      <c r="AA11" s="137">
        <v>8462</v>
      </c>
      <c r="AB11" s="140">
        <f>+Z10-Z11</f>
        <v>908</v>
      </c>
      <c r="AC11" s="131" t="str">
        <f>+IF(((Y12+(Y13/2))*60)=0,"",(I11*Y11)/((Y12+(Y13/2))*60))</f>
        <v/>
      </c>
      <c r="AD11" s="157"/>
      <c r="AE11" s="167">
        <f t="shared" si="1"/>
        <v>0</v>
      </c>
      <c r="AF11" s="167">
        <f>+Y11*I11</f>
        <v>0</v>
      </c>
      <c r="AG11" s="167"/>
      <c r="AH11" s="91"/>
    </row>
    <row r="12" spans="1:34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112"/>
      <c r="H12" s="210"/>
      <c r="I12" s="210"/>
      <c r="J12" s="114" t="s">
        <v>22</v>
      </c>
      <c r="K12" s="102" t="s">
        <v>18</v>
      </c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160">
        <f>+W11-J11</f>
        <v>-55</v>
      </c>
      <c r="X12" s="541"/>
      <c r="Y12" s="103">
        <f>+SUM(L12:V12)-S12/2</f>
        <v>0</v>
      </c>
      <c r="Z12" s="138"/>
      <c r="AA12" s="138"/>
      <c r="AB12" s="115"/>
      <c r="AC12" s="116"/>
      <c r="AD12" s="157"/>
      <c r="AE12" s="167">
        <f t="shared" si="1"/>
        <v>0</v>
      </c>
      <c r="AF12" s="167"/>
      <c r="AG12" s="167"/>
      <c r="AH12" s="91"/>
    </row>
    <row r="13" spans="1:34" s="98" customFormat="1" ht="62.25" customHeight="1" thickBot="1" x14ac:dyDescent="0.95">
      <c r="A13" s="124"/>
      <c r="B13" s="129">
        <f>+B11</f>
        <v>2</v>
      </c>
      <c r="C13" s="174" t="s">
        <v>75</v>
      </c>
      <c r="D13" s="175">
        <f>+D12+100</f>
        <v>102</v>
      </c>
      <c r="E13" s="175"/>
      <c r="F13" s="117" t="s">
        <v>111</v>
      </c>
      <c r="G13" s="218"/>
      <c r="H13" s="227"/>
      <c r="I13" s="165">
        <f>+IF(J13="","",IF(J11=0,"",(J11*I11)/(J13*60)))</f>
        <v>0.91402243589743593</v>
      </c>
      <c r="J13" s="118">
        <v>52</v>
      </c>
      <c r="K13" s="104" t="s">
        <v>19</v>
      </c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173"/>
      <c r="X13" s="169">
        <v>6.39</v>
      </c>
      <c r="Y13" s="105">
        <f>+SUM(L13:V13)-S13/2</f>
        <v>0</v>
      </c>
      <c r="Z13" s="139"/>
      <c r="AA13" s="139"/>
      <c r="AB13" s="119">
        <f>+IFERROR(AB11/(J11*9),"")</f>
        <v>1.8343434343434344</v>
      </c>
      <c r="AC13" s="162"/>
      <c r="AD13" s="161">
        <f>+Y12+Y13/2</f>
        <v>0</v>
      </c>
      <c r="AE13" s="167">
        <f t="shared" si="1"/>
        <v>0</v>
      </c>
      <c r="AF13" s="167"/>
      <c r="AG13" s="230">
        <f>+IF((Y11-J11*9)&gt;=0,"",Y11-J11*9)</f>
        <v>-495</v>
      </c>
      <c r="AH13" s="91"/>
    </row>
    <row r="14" spans="1:34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5"/>
      <c r="M14" s="215"/>
      <c r="N14" s="215"/>
      <c r="O14" s="215"/>
      <c r="P14" s="215"/>
      <c r="Q14" s="215"/>
      <c r="R14" s="215"/>
      <c r="S14" s="213"/>
      <c r="T14" s="213"/>
      <c r="U14" s="213"/>
      <c r="V14" s="213"/>
      <c r="W14" s="135"/>
      <c r="X14" s="540">
        <f>+W16</f>
        <v>-53</v>
      </c>
      <c r="Y14" s="135">
        <f t="shared" si="0"/>
        <v>0</v>
      </c>
      <c r="Z14" s="136">
        <f>+AA14+Y14</f>
        <v>4818</v>
      </c>
      <c r="AA14" s="136">
        <v>4818</v>
      </c>
      <c r="AB14" s="109"/>
      <c r="AC14" s="110"/>
      <c r="AD14" s="157"/>
      <c r="AE14" s="167">
        <f t="shared" si="1"/>
        <v>0</v>
      </c>
      <c r="AF14" s="167"/>
      <c r="AG14" s="167"/>
      <c r="AH14" s="91"/>
    </row>
    <row r="15" spans="1:34" s="98" customFormat="1" ht="62.25" customHeight="1" x14ac:dyDescent="0.9">
      <c r="A15" s="124"/>
      <c r="B15" s="132">
        <v>3</v>
      </c>
      <c r="C15" s="111" t="s">
        <v>195</v>
      </c>
      <c r="D15" s="111"/>
      <c r="E15" s="111" t="s">
        <v>35</v>
      </c>
      <c r="F15" s="111" t="s">
        <v>196</v>
      </c>
      <c r="G15" s="111">
        <v>5038</v>
      </c>
      <c r="H15" s="111" t="s">
        <v>33</v>
      </c>
      <c r="I15" s="113">
        <v>58.92</v>
      </c>
      <c r="J15" s="130">
        <v>53</v>
      </c>
      <c r="K15" s="101" t="s">
        <v>17</v>
      </c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123">
        <f>+IF(COUNTA(L15:V15)=8,Y15/(COUNTA(L15:V15)-0.5),IF(COUNTA(L15:V15)=0,0,Y15/COUNTA(L15:V15)))</f>
        <v>0</v>
      </c>
      <c r="X15" s="541"/>
      <c r="Y15" s="134">
        <f t="shared" si="0"/>
        <v>0</v>
      </c>
      <c r="Z15" s="137">
        <f>+Y15+AA15</f>
        <v>3982</v>
      </c>
      <c r="AA15" s="137">
        <v>3982</v>
      </c>
      <c r="AB15" s="140">
        <f>+Z14-Z15</f>
        <v>836</v>
      </c>
      <c r="AC15" s="131" t="str">
        <f>+IF(((Y16+(Y17/2))*60)=0,"",(I15*Y15)/((Y16+(Y17/2))*60))</f>
        <v/>
      </c>
      <c r="AD15" s="157"/>
      <c r="AE15" s="167">
        <f t="shared" si="1"/>
        <v>0</v>
      </c>
      <c r="AF15" s="167">
        <f>+Y15*I15</f>
        <v>0</v>
      </c>
      <c r="AG15" s="167"/>
      <c r="AH15" s="91"/>
    </row>
    <row r="16" spans="1:34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112"/>
      <c r="H16" s="210"/>
      <c r="I16" s="113">
        <v>1</v>
      </c>
      <c r="J16" s="114" t="s">
        <v>22</v>
      </c>
      <c r="K16" s="102" t="s">
        <v>18</v>
      </c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160">
        <f>+W15-J15</f>
        <v>-53</v>
      </c>
      <c r="X16" s="541"/>
      <c r="Y16" s="103">
        <f>+SUM(L16:V16)-S16/2</f>
        <v>0</v>
      </c>
      <c r="Z16" s="138"/>
      <c r="AA16" s="138"/>
      <c r="AB16" s="115"/>
      <c r="AC16" s="116"/>
      <c r="AD16" s="157"/>
      <c r="AE16" s="167">
        <f t="shared" si="1"/>
        <v>0</v>
      </c>
      <c r="AF16" s="167"/>
      <c r="AG16" s="167"/>
      <c r="AH16" s="91"/>
    </row>
    <row r="17" spans="1:55" s="98" customFormat="1" ht="62.25" customHeight="1" thickBot="1" x14ac:dyDescent="0.95">
      <c r="A17" s="124"/>
      <c r="B17" s="126">
        <f>+B15</f>
        <v>3</v>
      </c>
      <c r="C17" s="174" t="s">
        <v>78</v>
      </c>
      <c r="D17" s="175">
        <f>+D16+100</f>
        <v>103</v>
      </c>
      <c r="E17" s="175"/>
      <c r="F17" s="117" t="s">
        <v>111</v>
      </c>
      <c r="G17" s="117"/>
      <c r="H17" s="159" t="s">
        <v>190</v>
      </c>
      <c r="I17" s="165">
        <f>+IF(J17="","",IF(J15=0,"",(J15*I15)/(J17*60)))</f>
        <v>0.88213559322033908</v>
      </c>
      <c r="J17" s="118">
        <v>59</v>
      </c>
      <c r="K17" s="104" t="s">
        <v>19</v>
      </c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173"/>
      <c r="X17" s="169">
        <v>25.71</v>
      </c>
      <c r="Y17" s="105">
        <f>+SUM(L17:V17)-S17/2</f>
        <v>0</v>
      </c>
      <c r="Z17" s="139"/>
      <c r="AA17" s="139"/>
      <c r="AB17" s="119">
        <f>+IFERROR(AB15/(J15*9),"")</f>
        <v>1.7526205450733752</v>
      </c>
      <c r="AC17" s="120"/>
      <c r="AD17" s="161">
        <f>+Y16+Y17/2</f>
        <v>0</v>
      </c>
      <c r="AE17" s="167">
        <f t="shared" si="1"/>
        <v>0</v>
      </c>
      <c r="AF17" s="167"/>
      <c r="AG17" s="230">
        <f>+IF((Y15-J15*9)&gt;=0,"",Y15-J15*9)</f>
        <v>-477</v>
      </c>
      <c r="AH17" s="91"/>
    </row>
    <row r="18" spans="1:55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/>
      <c r="M18" s="215"/>
      <c r="N18" s="215"/>
      <c r="O18" s="215"/>
      <c r="P18" s="215"/>
      <c r="Q18" s="215"/>
      <c r="R18" s="215"/>
      <c r="S18" s="213"/>
      <c r="T18" s="213"/>
      <c r="U18" s="213"/>
      <c r="V18" s="213"/>
      <c r="W18" s="135"/>
      <c r="X18" s="540">
        <f>+W20</f>
        <v>-53</v>
      </c>
      <c r="Y18" s="135">
        <f t="shared" si="0"/>
        <v>0</v>
      </c>
      <c r="Z18" s="136">
        <f>+AA18+Y18</f>
        <v>4381</v>
      </c>
      <c r="AA18" s="136">
        <v>4381</v>
      </c>
      <c r="AB18" s="109"/>
      <c r="AC18" s="110"/>
      <c r="AD18" s="157"/>
      <c r="AE18" s="167">
        <f t="shared" si="1"/>
        <v>0</v>
      </c>
      <c r="AF18" s="167"/>
      <c r="AG18" s="167"/>
      <c r="AH18" s="91"/>
    </row>
    <row r="19" spans="1:55" s="98" customFormat="1" ht="62.25" customHeight="1" x14ac:dyDescent="0.9">
      <c r="A19" s="124"/>
      <c r="B19" s="132">
        <v>4</v>
      </c>
      <c r="C19" s="111" t="s">
        <v>195</v>
      </c>
      <c r="D19" s="111"/>
      <c r="E19" s="111" t="s">
        <v>35</v>
      </c>
      <c r="F19" s="111" t="s">
        <v>196</v>
      </c>
      <c r="G19" s="111">
        <v>5038</v>
      </c>
      <c r="H19" s="111" t="s">
        <v>33</v>
      </c>
      <c r="I19" s="113">
        <v>58.92</v>
      </c>
      <c r="J19" s="130">
        <v>53</v>
      </c>
      <c r="K19" s="101" t="s">
        <v>17</v>
      </c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123">
        <f>+IF(COUNTA(L19:V19)=8,Y19/(COUNTA(L19:V19)-0.5),IF(COUNTA(L19:V19)=0,0,Y19/COUNTA(L19:V19)))</f>
        <v>0</v>
      </c>
      <c r="X19" s="541"/>
      <c r="Y19" s="134">
        <f t="shared" si="0"/>
        <v>0</v>
      </c>
      <c r="Z19" s="137">
        <f>+Y19+AA19</f>
        <v>3425</v>
      </c>
      <c r="AA19" s="137">
        <v>3425</v>
      </c>
      <c r="AB19" s="140">
        <f>+Z18-Z19</f>
        <v>956</v>
      </c>
      <c r="AC19" s="131" t="str">
        <f>+IF(((Y20+(Y21/2))*60)=0,"",(I19*Y19)/((Y20+(Y21/2))*60))</f>
        <v/>
      </c>
      <c r="AD19" s="157"/>
      <c r="AE19" s="167">
        <f t="shared" si="1"/>
        <v>0</v>
      </c>
      <c r="AF19" s="167">
        <f>+Y19*I19</f>
        <v>0</v>
      </c>
      <c r="AG19" s="167"/>
      <c r="AH19" s="91"/>
    </row>
    <row r="20" spans="1:55" s="98" customFormat="1" ht="62.25" customHeight="1" x14ac:dyDescent="0.9">
      <c r="A20" s="124"/>
      <c r="B20" s="125">
        <f>+B19</f>
        <v>4</v>
      </c>
      <c r="C20" s="184" t="s">
        <v>96</v>
      </c>
      <c r="D20" s="111">
        <f>+B19</f>
        <v>4</v>
      </c>
      <c r="E20" s="111"/>
      <c r="F20" s="112" t="e">
        <f>+VLOOKUP(F19,'Obj Prix'!$H:$H,2,FALSE)</f>
        <v>#N/A</v>
      </c>
      <c r="G20" s="112"/>
      <c r="H20" s="210"/>
      <c r="I20" s="113">
        <v>1</v>
      </c>
      <c r="J20" s="114" t="s">
        <v>22</v>
      </c>
      <c r="K20" s="102" t="s">
        <v>18</v>
      </c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160">
        <f>+W19-J19</f>
        <v>-53</v>
      </c>
      <c r="X20" s="541"/>
      <c r="Y20" s="103">
        <f>+SUM(L20:V20)-S20/2</f>
        <v>0</v>
      </c>
      <c r="Z20" s="138"/>
      <c r="AA20" s="138"/>
      <c r="AB20" s="115"/>
      <c r="AC20" s="116"/>
      <c r="AD20" s="157"/>
      <c r="AE20" s="167">
        <f t="shared" si="1"/>
        <v>0</v>
      </c>
      <c r="AF20" s="167"/>
      <c r="AG20" s="167"/>
      <c r="AH20" s="91"/>
    </row>
    <row r="21" spans="1:55" s="98" customFormat="1" ht="62.25" customHeight="1" thickBot="1" x14ac:dyDescent="0.95">
      <c r="A21" s="124"/>
      <c r="B21" s="126">
        <f>+B19</f>
        <v>4</v>
      </c>
      <c r="C21" s="174"/>
      <c r="D21" s="175">
        <f>+D20+100</f>
        <v>104</v>
      </c>
      <c r="E21" s="175"/>
      <c r="F21" s="117" t="s">
        <v>111</v>
      </c>
      <c r="G21" s="117"/>
      <c r="H21" s="159" t="s">
        <v>190</v>
      </c>
      <c r="I21" s="165">
        <f>+IF(J21="","",IF(J19=0,"",(J19*I19)/(J21*60)))</f>
        <v>0.88213559322033908</v>
      </c>
      <c r="J21" s="118">
        <v>59</v>
      </c>
      <c r="K21" s="104" t="s">
        <v>19</v>
      </c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173"/>
      <c r="X21" s="169">
        <v>32.67</v>
      </c>
      <c r="Y21" s="105">
        <f>+SUM(L21:V21)-S21/2</f>
        <v>0</v>
      </c>
      <c r="Z21" s="139"/>
      <c r="AA21" s="139"/>
      <c r="AB21" s="119">
        <f>+IFERROR(AB19/(J19*9),"")</f>
        <v>2.0041928721174003</v>
      </c>
      <c r="AC21" s="120"/>
      <c r="AD21" s="161">
        <f>+Y20+Y21/2</f>
        <v>0</v>
      </c>
      <c r="AE21" s="167">
        <f t="shared" si="1"/>
        <v>0</v>
      </c>
      <c r="AF21" s="167"/>
      <c r="AG21" s="230">
        <f>+IF((Y19-J19*9)&gt;=0,"",Y19-J19*9)</f>
        <v>-477</v>
      </c>
      <c r="AH21" s="91"/>
    </row>
    <row r="22" spans="1:55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135"/>
      <c r="X22" s="540">
        <f>+W24</f>
        <v>-50</v>
      </c>
      <c r="Y22" s="135">
        <f t="shared" si="0"/>
        <v>0</v>
      </c>
      <c r="Z22" s="136">
        <f>+AA22+Y22</f>
        <v>4861</v>
      </c>
      <c r="AA22" s="136">
        <v>4861</v>
      </c>
      <c r="AB22" s="121"/>
      <c r="AC22" s="110"/>
      <c r="AD22" s="157"/>
      <c r="AE22" s="167">
        <f t="shared" si="1"/>
        <v>0</v>
      </c>
      <c r="AF22" s="167"/>
      <c r="AG22" s="167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</row>
    <row r="23" spans="1:55" ht="62.25" customHeight="1" x14ac:dyDescent="0.9">
      <c r="A23" s="124"/>
      <c r="B23" s="132">
        <v>5</v>
      </c>
      <c r="C23" s="111" t="s">
        <v>192</v>
      </c>
      <c r="D23" s="111"/>
      <c r="E23" s="111" t="s">
        <v>110</v>
      </c>
      <c r="F23" s="111" t="s">
        <v>193</v>
      </c>
      <c r="G23" s="111">
        <v>5500</v>
      </c>
      <c r="H23" s="111" t="s">
        <v>33</v>
      </c>
      <c r="I23" s="113">
        <v>62.7</v>
      </c>
      <c r="J23" s="130">
        <v>50</v>
      </c>
      <c r="K23" s="101" t="s">
        <v>17</v>
      </c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123">
        <f>+IF(COUNTA(L23:V23)=8,Y23/(COUNTA(L23:V23)-0.5),IF(COUNTA(L23:V23)=0,0,Y23/COUNTA(L23:V23)))</f>
        <v>0</v>
      </c>
      <c r="X23" s="541"/>
      <c r="Y23" s="134">
        <f t="shared" si="0"/>
        <v>0</v>
      </c>
      <c r="Z23" s="137">
        <f>+Y23+AA23</f>
        <v>4080</v>
      </c>
      <c r="AA23" s="137">
        <v>4080</v>
      </c>
      <c r="AB23" s="140">
        <f>+Z22-Z23</f>
        <v>781</v>
      </c>
      <c r="AC23" s="131" t="str">
        <f>+IF(((Y24+(Y25/2))*60)=0,"",(I23*Y23)/((Y24+(Y25/2))*60))</f>
        <v/>
      </c>
      <c r="AD23" s="157"/>
      <c r="AE23" s="167">
        <f t="shared" si="1"/>
        <v>0</v>
      </c>
      <c r="AF23" s="167">
        <f>+Y23*I23</f>
        <v>0</v>
      </c>
      <c r="AG23" s="167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</row>
    <row r="24" spans="1:55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112"/>
      <c r="H24" s="210"/>
      <c r="I24" s="113">
        <v>1</v>
      </c>
      <c r="J24" s="114" t="s">
        <v>22</v>
      </c>
      <c r="K24" s="102" t="s">
        <v>18</v>
      </c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160">
        <f>+W23-J23</f>
        <v>-50</v>
      </c>
      <c r="X24" s="541"/>
      <c r="Y24" s="103">
        <f>+SUM(L24:V24)-S24/2</f>
        <v>0</v>
      </c>
      <c r="Z24" s="138"/>
      <c r="AA24" s="138"/>
      <c r="AB24" s="122"/>
      <c r="AC24" s="116"/>
      <c r="AD24" s="157"/>
      <c r="AE24" s="167">
        <f t="shared" si="1"/>
        <v>0</v>
      </c>
      <c r="AF24" s="167"/>
      <c r="AG24" s="167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</row>
    <row r="25" spans="1:55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203</v>
      </c>
      <c r="G25" s="117"/>
      <c r="H25" s="159" t="s">
        <v>211</v>
      </c>
      <c r="I25" s="165">
        <f>+IF(J25="","",IF(J23=0,"",(J23*I23)/(J25*60)))</f>
        <v>0.90086206896551724</v>
      </c>
      <c r="J25" s="118">
        <v>58</v>
      </c>
      <c r="K25" s="104" t="s">
        <v>19</v>
      </c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173"/>
      <c r="X25" s="169">
        <v>11</v>
      </c>
      <c r="Y25" s="105">
        <f>+SUM(L25:V25)-S25/2</f>
        <v>0</v>
      </c>
      <c r="Z25" s="139"/>
      <c r="AA25" s="139"/>
      <c r="AB25" s="119">
        <f>+IFERROR(AB23/(J23*9),"")</f>
        <v>1.7355555555555555</v>
      </c>
      <c r="AC25" s="120"/>
      <c r="AD25" s="161">
        <f>+Y24+Y25/2</f>
        <v>0</v>
      </c>
      <c r="AE25" s="167">
        <f t="shared" si="1"/>
        <v>0</v>
      </c>
      <c r="AF25" s="167"/>
      <c r="AG25" s="230">
        <f>+IF((Y23-J23*9)&gt;=0,"",Y23-J23*9)</f>
        <v>-450</v>
      </c>
      <c r="AH25" s="91"/>
    </row>
    <row r="26" spans="1:55" s="98" customFormat="1" ht="65.25" customHeight="1" thickTop="1" x14ac:dyDescent="0.9">
      <c r="A26" s="124"/>
      <c r="B26" s="127">
        <f>+B27</f>
        <v>7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135"/>
      <c r="X26" s="540">
        <f>+W28</f>
        <v>-50</v>
      </c>
      <c r="Y26" s="135">
        <f t="shared" si="0"/>
        <v>0</v>
      </c>
      <c r="Z26" s="136">
        <f>+AA26+Y26</f>
        <v>5548</v>
      </c>
      <c r="AA26" s="136">
        <v>5548</v>
      </c>
      <c r="AB26" s="121"/>
      <c r="AC26" s="110"/>
      <c r="AD26" s="157"/>
      <c r="AE26" s="167">
        <f t="shared" si="1"/>
        <v>0</v>
      </c>
      <c r="AF26" s="167"/>
      <c r="AG26" s="167"/>
      <c r="AH26" s="91"/>
    </row>
    <row r="27" spans="1:55" s="98" customFormat="1" ht="62.25" customHeight="1" x14ac:dyDescent="0.9">
      <c r="A27" s="124"/>
      <c r="B27" s="132">
        <v>7</v>
      </c>
      <c r="C27" s="111" t="s">
        <v>192</v>
      </c>
      <c r="D27" s="111"/>
      <c r="E27" s="111" t="s">
        <v>110</v>
      </c>
      <c r="F27" s="111" t="s">
        <v>193</v>
      </c>
      <c r="G27" s="111">
        <v>5500</v>
      </c>
      <c r="H27" s="111" t="s">
        <v>33</v>
      </c>
      <c r="I27" s="113">
        <v>62.7</v>
      </c>
      <c r="J27" s="130">
        <v>50</v>
      </c>
      <c r="K27" s="101" t="s">
        <v>17</v>
      </c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123">
        <f>+IF(COUNTA(L27:V27)=8,Y27/(COUNTA(L27:V27)-0.5),IF(COUNTA(L27:V27)=0,0,Y27/COUNTA(L27:V27)))</f>
        <v>0</v>
      </c>
      <c r="X27" s="541"/>
      <c r="Y27" s="134">
        <f t="shared" si="0"/>
        <v>0</v>
      </c>
      <c r="Z27" s="137">
        <f>+Y27+AA27</f>
        <v>4976</v>
      </c>
      <c r="AA27" s="137">
        <v>4976</v>
      </c>
      <c r="AB27" s="140">
        <f>+Z26-Z27</f>
        <v>572</v>
      </c>
      <c r="AC27" s="131" t="str">
        <f>+IF(((Y28+(Y29/2))*60)=0,"",(I27*Y27)/((Y28+(Y29/2))*60))</f>
        <v/>
      </c>
      <c r="AD27" s="157"/>
      <c r="AE27" s="167">
        <f t="shared" si="1"/>
        <v>0</v>
      </c>
      <c r="AF27" s="167">
        <f>+Y27*I27</f>
        <v>0</v>
      </c>
      <c r="AG27" s="167"/>
      <c r="AH27" s="91"/>
    </row>
    <row r="28" spans="1:55" s="98" customFormat="1" ht="62.25" customHeight="1" x14ac:dyDescent="0.9">
      <c r="A28" s="124"/>
      <c r="B28" s="125">
        <f>+B27</f>
        <v>7</v>
      </c>
      <c r="C28" s="184"/>
      <c r="D28" s="111">
        <f>+B27</f>
        <v>7</v>
      </c>
      <c r="E28" s="111"/>
      <c r="F28" s="112" t="e">
        <f>+VLOOKUP(F27,'Obj Prix'!$H:$H,2,FALSE)</f>
        <v>#N/A</v>
      </c>
      <c r="G28" s="112"/>
      <c r="H28" s="210">
        <v>1</v>
      </c>
      <c r="I28" s="210">
        <v>3</v>
      </c>
      <c r="J28" s="114" t="s">
        <v>22</v>
      </c>
      <c r="K28" s="102" t="s">
        <v>18</v>
      </c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160">
        <f>+W27-J27</f>
        <v>-50</v>
      </c>
      <c r="X28" s="541"/>
      <c r="Y28" s="103">
        <f>+SUM(L28:V28)-S28/2</f>
        <v>0</v>
      </c>
      <c r="Z28" s="138"/>
      <c r="AA28" s="138"/>
      <c r="AB28" s="122"/>
      <c r="AC28" s="116"/>
      <c r="AD28" s="157"/>
      <c r="AE28" s="167">
        <f t="shared" si="1"/>
        <v>0</v>
      </c>
      <c r="AF28" s="167"/>
      <c r="AG28" s="167"/>
      <c r="AH28" s="91"/>
    </row>
    <row r="29" spans="1:55" s="98" customFormat="1" ht="62.25" customHeight="1" thickBot="1" x14ac:dyDescent="0.95">
      <c r="A29" s="124"/>
      <c r="B29" s="126">
        <f>+B27</f>
        <v>7</v>
      </c>
      <c r="C29" s="174" t="s">
        <v>93</v>
      </c>
      <c r="D29" s="175">
        <f>+D28+100</f>
        <v>107</v>
      </c>
      <c r="E29" s="175"/>
      <c r="F29" s="117" t="s">
        <v>203</v>
      </c>
      <c r="G29" s="218"/>
      <c r="H29" s="146" t="s">
        <v>202</v>
      </c>
      <c r="I29" s="165">
        <f>+IF(J29="","",IF(J27=0,"",(J27*I27)/(J29*60)))</f>
        <v>0.90086206896551724</v>
      </c>
      <c r="J29" s="118">
        <v>58</v>
      </c>
      <c r="K29" s="104" t="s">
        <v>19</v>
      </c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173"/>
      <c r="X29" s="169">
        <v>12.91</v>
      </c>
      <c r="Y29" s="105">
        <f>+SUM(L29:V29)-S29/2</f>
        <v>0</v>
      </c>
      <c r="Z29" s="139"/>
      <c r="AA29" s="139"/>
      <c r="AB29" s="119">
        <f>+IFERROR(AB27/(J27*9),"")</f>
        <v>1.2711111111111111</v>
      </c>
      <c r="AC29" s="120"/>
      <c r="AD29" s="161">
        <f>+Y28+Y29/2</f>
        <v>0</v>
      </c>
      <c r="AE29" s="167">
        <f t="shared" si="1"/>
        <v>0</v>
      </c>
      <c r="AF29" s="167"/>
      <c r="AG29" s="230">
        <f>+IF((Y27-J27*9)&gt;=0,"",Y27-J27*9)</f>
        <v>-450</v>
      </c>
      <c r="AH29" s="91"/>
    </row>
    <row r="30" spans="1:55" s="98" customFormat="1" ht="65.25" customHeight="1" thickTop="1" x14ac:dyDescent="0.9">
      <c r="A30" s="124"/>
      <c r="B30" s="127">
        <f>+B31</f>
        <v>7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135"/>
      <c r="X30" s="540">
        <f>+W32</f>
        <v>0</v>
      </c>
      <c r="Y30" s="135">
        <f t="shared" si="0"/>
        <v>0</v>
      </c>
      <c r="Z30" s="136">
        <f>+AA30+Y30</f>
        <v>100</v>
      </c>
      <c r="AA30" s="136">
        <v>100</v>
      </c>
      <c r="AB30" s="121"/>
      <c r="AC30" s="110"/>
      <c r="AD30" s="157"/>
      <c r="AE30" s="167">
        <f t="shared" si="1"/>
        <v>0</v>
      </c>
      <c r="AF30" s="167"/>
      <c r="AG30" s="167"/>
      <c r="AH30" s="91"/>
    </row>
    <row r="31" spans="1:55" s="98" customFormat="1" ht="62.25" customHeight="1" x14ac:dyDescent="0.9">
      <c r="A31" s="124"/>
      <c r="B31" s="132">
        <v>7</v>
      </c>
      <c r="C31" s="111" t="s">
        <v>218</v>
      </c>
      <c r="D31" s="111"/>
      <c r="E31" s="111" t="s">
        <v>219</v>
      </c>
      <c r="F31" s="111">
        <v>221404197</v>
      </c>
      <c r="G31" s="111"/>
      <c r="H31" s="111" t="s">
        <v>210</v>
      </c>
      <c r="I31" s="113"/>
      <c r="J31" s="130"/>
      <c r="K31" s="101" t="s">
        <v>17</v>
      </c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123">
        <f>+IF(COUNTA(L31:V31)=8,Y31/(COUNTA(L31:V31)-0.5),IF(COUNTA(L31:V31)=0,0,Y31/COUNTA(L31:V31)))</f>
        <v>0</v>
      </c>
      <c r="X31" s="541"/>
      <c r="Y31" s="134">
        <f t="shared" si="0"/>
        <v>0</v>
      </c>
      <c r="Z31" s="137">
        <f>+Y31+AA31</f>
        <v>0</v>
      </c>
      <c r="AA31" s="137">
        <v>0</v>
      </c>
      <c r="AB31" s="140">
        <f>+Z30-Z31</f>
        <v>100</v>
      </c>
      <c r="AC31" s="131" t="str">
        <f>+IF(((Y32+(Y33/2))*60)=0,"",(I31*Y31)/((Y32+(Y33/2))*60))</f>
        <v/>
      </c>
      <c r="AD31" s="157"/>
      <c r="AE31" s="167">
        <f t="shared" si="1"/>
        <v>0</v>
      </c>
      <c r="AF31" s="167">
        <f>+Y31*I31</f>
        <v>0</v>
      </c>
      <c r="AG31" s="167"/>
      <c r="AH31" s="91"/>
    </row>
    <row r="32" spans="1:55" s="98" customFormat="1" ht="62.25" customHeight="1" x14ac:dyDescent="0.9">
      <c r="A32" s="124"/>
      <c r="B32" s="125">
        <f>+B31</f>
        <v>7</v>
      </c>
      <c r="C32" s="184"/>
      <c r="D32" s="111">
        <f>+B31</f>
        <v>7</v>
      </c>
      <c r="E32" s="111"/>
      <c r="F32" s="112" t="e">
        <f>+VLOOKUP(F31,'Obj Prix'!$H:$H,2,FALSE)</f>
        <v>#N/A</v>
      </c>
      <c r="G32" s="112"/>
      <c r="H32" s="210"/>
      <c r="I32" s="210"/>
      <c r="J32" s="114" t="s">
        <v>22</v>
      </c>
      <c r="K32" s="102" t="s">
        <v>18</v>
      </c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160">
        <f>+W31-J31</f>
        <v>0</v>
      </c>
      <c r="X32" s="541"/>
      <c r="Y32" s="103">
        <f>+SUM(L32:V32)-S32/2</f>
        <v>0</v>
      </c>
      <c r="Z32" s="138"/>
      <c r="AA32" s="138"/>
      <c r="AB32" s="122"/>
      <c r="AC32" s="116"/>
      <c r="AD32" s="157"/>
      <c r="AE32" s="167">
        <f t="shared" si="1"/>
        <v>0</v>
      </c>
      <c r="AF32" s="167"/>
      <c r="AG32" s="167"/>
      <c r="AH32" s="91"/>
    </row>
    <row r="33" spans="1:34" s="98" customFormat="1" ht="62.25" customHeight="1" thickBot="1" x14ac:dyDescent="0.95">
      <c r="A33" s="124"/>
      <c r="B33" s="126">
        <f>+B31</f>
        <v>7</v>
      </c>
      <c r="C33" s="174" t="s">
        <v>93</v>
      </c>
      <c r="D33" s="175">
        <f>+D32+100</f>
        <v>107</v>
      </c>
      <c r="E33" s="175"/>
      <c r="F33" s="117" t="s">
        <v>203</v>
      </c>
      <c r="G33" s="218"/>
      <c r="H33" s="146" t="s">
        <v>202</v>
      </c>
      <c r="I33" s="165" t="str">
        <f>+IF(J33="","",IF(J31=0,"",(J31*I31)/(J33*60)))</f>
        <v/>
      </c>
      <c r="J33" s="118">
        <v>58</v>
      </c>
      <c r="K33" s="104" t="s">
        <v>19</v>
      </c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173"/>
      <c r="X33" s="168" t="e">
        <f>+(COUNTA(L31:V31)-(Y31/J31))</f>
        <v>#DIV/0!</v>
      </c>
      <c r="Y33" s="105">
        <f>+SUM(L33:V33)-S33/2</f>
        <v>0</v>
      </c>
      <c r="Z33" s="139"/>
      <c r="AA33" s="139"/>
      <c r="AB33" s="119" t="str">
        <f>+IFERROR(AB31/(J31*9),"")</f>
        <v/>
      </c>
      <c r="AC33" s="120"/>
      <c r="AD33" s="161">
        <f>+Y32+Y33/2</f>
        <v>0</v>
      </c>
      <c r="AE33" s="167">
        <f t="shared" si="1"/>
        <v>0</v>
      </c>
      <c r="AF33" s="167"/>
      <c r="AG33" s="230" t="str">
        <f>+IF((Y31-J31*9)&gt;=0,"",Y31-J31*9)</f>
        <v/>
      </c>
      <c r="AH33" s="91"/>
    </row>
    <row r="34" spans="1:34" ht="62.25" customHeight="1" thickTop="1" x14ac:dyDescent="0.9">
      <c r="A34" s="124"/>
      <c r="B34" s="127">
        <f>+B35</f>
        <v>8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135"/>
      <c r="X34" s="540">
        <f>+W36</f>
        <v>-55</v>
      </c>
      <c r="Y34" s="135">
        <f t="shared" si="0"/>
        <v>0</v>
      </c>
      <c r="Z34" s="136">
        <f>+AA34+Y34</f>
        <v>10253</v>
      </c>
      <c r="AA34" s="136">
        <v>10253</v>
      </c>
      <c r="AB34" s="109"/>
      <c r="AC34" s="110"/>
      <c r="AD34" s="157"/>
      <c r="AE34" s="167">
        <f t="shared" si="1"/>
        <v>0</v>
      </c>
      <c r="AF34" s="167"/>
      <c r="AG34" s="167"/>
    </row>
    <row r="35" spans="1:34" ht="62.25" customHeight="1" x14ac:dyDescent="0.9">
      <c r="A35" s="124"/>
      <c r="B35" s="132">
        <v>8</v>
      </c>
      <c r="C35" s="111" t="s">
        <v>183</v>
      </c>
      <c r="D35" s="111"/>
      <c r="E35" s="111" t="s">
        <v>35</v>
      </c>
      <c r="F35" s="111" t="s">
        <v>184</v>
      </c>
      <c r="G35" s="111">
        <v>7500</v>
      </c>
      <c r="H35" s="111" t="s">
        <v>33</v>
      </c>
      <c r="I35" s="113">
        <v>54.22</v>
      </c>
      <c r="J35" s="130">
        <v>55</v>
      </c>
      <c r="K35" s="101" t="s">
        <v>17</v>
      </c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123">
        <f>+IF(COUNTA(L35:V35)=8,Y35/(COUNTA(L35:V35)-0.5),IF(COUNTA(L35:V35)=0,0,Y35/COUNTA(L35:V35)))</f>
        <v>0</v>
      </c>
      <c r="X35" s="541"/>
      <c r="Y35" s="134">
        <f t="shared" si="0"/>
        <v>0</v>
      </c>
      <c r="Z35" s="137">
        <f>+Y35+AA35</f>
        <v>9903</v>
      </c>
      <c r="AA35" s="137">
        <v>9903</v>
      </c>
      <c r="AB35" s="140">
        <f>+Z34-Z35</f>
        <v>350</v>
      </c>
      <c r="AC35" s="131" t="str">
        <f>+IF(((Y36+(Y37/2))*60)=0,"",(I35*Y35)/((Y36+(Y37/2))*60))</f>
        <v/>
      </c>
      <c r="AD35" s="157"/>
      <c r="AE35" s="167">
        <f t="shared" si="1"/>
        <v>0</v>
      </c>
      <c r="AF35" s="167">
        <f>+Y35*I35</f>
        <v>0</v>
      </c>
      <c r="AG35" s="167"/>
    </row>
    <row r="36" spans="1:34" ht="62.25" customHeight="1" x14ac:dyDescent="0.9">
      <c r="A36" s="124"/>
      <c r="B36" s="125">
        <f>+B35</f>
        <v>8</v>
      </c>
      <c r="C36" s="184"/>
      <c r="D36" s="111">
        <f>+B35</f>
        <v>8</v>
      </c>
      <c r="E36" s="111"/>
      <c r="F36" s="112" t="e">
        <f>+VLOOKUP(F35,'Obj Prix'!$H:$H,2,FALSE)</f>
        <v>#N/A</v>
      </c>
      <c r="G36" s="112"/>
      <c r="H36" s="210">
        <v>1</v>
      </c>
      <c r="I36" s="210">
        <v>2</v>
      </c>
      <c r="J36" s="114" t="s">
        <v>22</v>
      </c>
      <c r="K36" s="102" t="s">
        <v>18</v>
      </c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160">
        <f>+W35-J35</f>
        <v>-55</v>
      </c>
      <c r="X36" s="541"/>
      <c r="Y36" s="103">
        <f>+SUM(L36:V36)-S36/2</f>
        <v>0</v>
      </c>
      <c r="Z36" s="138"/>
      <c r="AA36" s="138"/>
      <c r="AB36" s="115"/>
      <c r="AC36" s="116"/>
      <c r="AD36" s="157"/>
      <c r="AE36" s="167">
        <f t="shared" si="1"/>
        <v>0</v>
      </c>
      <c r="AF36" s="167"/>
      <c r="AG36" s="167"/>
    </row>
    <row r="37" spans="1:34" s="98" customFormat="1" ht="62.25" customHeight="1" thickBot="1" x14ac:dyDescent="0.95">
      <c r="A37" s="124"/>
      <c r="B37" s="126">
        <f>+B35</f>
        <v>8</v>
      </c>
      <c r="C37" s="174" t="s">
        <v>130</v>
      </c>
      <c r="D37" s="175">
        <f>+D36+100</f>
        <v>108</v>
      </c>
      <c r="E37" s="175"/>
      <c r="F37" s="117" t="s">
        <v>94</v>
      </c>
      <c r="G37" s="117"/>
      <c r="H37" s="146"/>
      <c r="I37" s="165">
        <f>+IF(J37="","",IF(J35=0,"",(J35*I35)/(J37*60)))</f>
        <v>0.90366666666666662</v>
      </c>
      <c r="J37" s="118">
        <v>55</v>
      </c>
      <c r="K37" s="104" t="s">
        <v>19</v>
      </c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173"/>
      <c r="X37" s="169">
        <v>8.09</v>
      </c>
      <c r="Y37" s="105">
        <f>+SUM(L37:V37)-S37/2</f>
        <v>0</v>
      </c>
      <c r="Z37" s="139"/>
      <c r="AA37" s="139"/>
      <c r="AB37" s="119">
        <f>+IFERROR(AB35/(J35*9),"")</f>
        <v>0.70707070707070707</v>
      </c>
      <c r="AC37" s="120"/>
      <c r="AD37" s="161">
        <f>+Y36+Y37/2</f>
        <v>0</v>
      </c>
      <c r="AE37" s="167">
        <f t="shared" si="1"/>
        <v>0</v>
      </c>
      <c r="AF37" s="167"/>
      <c r="AG37" s="230">
        <f>+IF((Y35-J35*9)&gt;=0,"",Y35-J35*9)</f>
        <v>-495</v>
      </c>
      <c r="AH37" s="91"/>
    </row>
    <row r="38" spans="1:34" s="98" customFormat="1" ht="62.25" customHeight="1" thickTop="1" x14ac:dyDescent="0.9">
      <c r="A38" s="124"/>
      <c r="B38" s="127">
        <f>+B39</f>
        <v>9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135"/>
      <c r="X38" s="540">
        <f>+W40</f>
        <v>-53</v>
      </c>
      <c r="Y38" s="135">
        <f t="shared" si="0"/>
        <v>0</v>
      </c>
      <c r="Z38" s="136">
        <f>+AA38+Y38</f>
        <v>4621</v>
      </c>
      <c r="AA38" s="136">
        <v>4621</v>
      </c>
      <c r="AB38" s="109"/>
      <c r="AC38" s="110"/>
      <c r="AD38" s="157"/>
      <c r="AE38" s="167">
        <f t="shared" si="1"/>
        <v>0</v>
      </c>
      <c r="AF38" s="167"/>
      <c r="AG38" s="167"/>
      <c r="AH38" s="91"/>
    </row>
    <row r="39" spans="1:34" s="98" customFormat="1" ht="62.25" customHeight="1" x14ac:dyDescent="0.9">
      <c r="A39" s="124"/>
      <c r="B39" s="132">
        <v>9</v>
      </c>
      <c r="C39" s="111" t="s">
        <v>195</v>
      </c>
      <c r="D39" s="111"/>
      <c r="E39" s="111" t="s">
        <v>35</v>
      </c>
      <c r="F39" s="111" t="s">
        <v>196</v>
      </c>
      <c r="G39" s="111">
        <v>5038</v>
      </c>
      <c r="H39" s="111" t="s">
        <v>33</v>
      </c>
      <c r="I39" s="113">
        <v>61.42</v>
      </c>
      <c r="J39" s="130">
        <v>53</v>
      </c>
      <c r="K39" s="101" t="s">
        <v>17</v>
      </c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123">
        <f>+IF(COUNTA(L39:V39)=8,Y39/(COUNTA(L39:V39)-0.5),IF(COUNTA(L39:V39)=0,0,Y39/COUNTA(L39:V39)))</f>
        <v>0</v>
      </c>
      <c r="X39" s="541"/>
      <c r="Y39" s="134">
        <f t="shared" si="0"/>
        <v>0</v>
      </c>
      <c r="Z39" s="137">
        <f>+Y39+AA39</f>
        <v>3611</v>
      </c>
      <c r="AA39" s="137">
        <v>3611</v>
      </c>
      <c r="AB39" s="140">
        <f>+Z38-Z39</f>
        <v>1010</v>
      </c>
      <c r="AC39" s="131" t="str">
        <f>+IF(((Y40+(Y41/2))*60)=0,"",(I39*Y39)/((Y40+(Y41/2))*60))</f>
        <v/>
      </c>
      <c r="AD39" s="157"/>
      <c r="AE39" s="167">
        <f t="shared" si="1"/>
        <v>0</v>
      </c>
      <c r="AF39" s="167">
        <f>+Y39*I39</f>
        <v>0</v>
      </c>
      <c r="AG39" s="167"/>
      <c r="AH39" s="91"/>
    </row>
    <row r="40" spans="1:34" ht="62.25" customHeight="1" x14ac:dyDescent="0.9">
      <c r="A40" s="124"/>
      <c r="B40" s="182">
        <f>+B39</f>
        <v>9</v>
      </c>
      <c r="C40" s="185"/>
      <c r="D40" s="111"/>
      <c r="E40" s="185"/>
      <c r="F40" s="112" t="e">
        <f>+VLOOKUP(F39,'Obj Prix'!$H:$H,2,FALSE)</f>
        <v>#N/A</v>
      </c>
      <c r="G40" s="112"/>
      <c r="H40" s="210">
        <v>1</v>
      </c>
      <c r="I40" s="210">
        <v>2</v>
      </c>
      <c r="J40" s="114" t="s">
        <v>22</v>
      </c>
      <c r="K40" s="102" t="s">
        <v>18</v>
      </c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160">
        <f>+W39-J39</f>
        <v>-53</v>
      </c>
      <c r="X40" s="541"/>
      <c r="Y40" s="103">
        <f>+SUM(L40:V40)-S40/2</f>
        <v>0</v>
      </c>
      <c r="Z40" s="138"/>
      <c r="AA40" s="138"/>
      <c r="AB40" s="115"/>
      <c r="AC40" s="116"/>
      <c r="AD40" s="157"/>
      <c r="AE40" s="167">
        <f t="shared" si="1"/>
        <v>0</v>
      </c>
      <c r="AF40" s="180"/>
      <c r="AG40" s="167"/>
    </row>
    <row r="41" spans="1:34" s="98" customFormat="1" ht="62.25" customHeight="1" thickBot="1" x14ac:dyDescent="0.95">
      <c r="A41" s="124"/>
      <c r="B41" s="129">
        <f>+B39</f>
        <v>9</v>
      </c>
      <c r="C41" s="174" t="s">
        <v>112</v>
      </c>
      <c r="D41" s="175">
        <f>+D40+100</f>
        <v>100</v>
      </c>
      <c r="E41" s="175"/>
      <c r="F41" s="117" t="s">
        <v>111</v>
      </c>
      <c r="G41" s="117"/>
      <c r="H41" s="146" t="s">
        <v>201</v>
      </c>
      <c r="I41" s="165">
        <f>+IF(J41="","",IF(J39=0,"",(J39*I39)/(J41*60)))</f>
        <v>0.9195649717514125</v>
      </c>
      <c r="J41" s="118">
        <v>59</v>
      </c>
      <c r="K41" s="104" t="s">
        <v>19</v>
      </c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173"/>
      <c r="X41" s="169">
        <v>14.11</v>
      </c>
      <c r="Y41" s="105">
        <f>+SUM(L41:V41)-S41/2</f>
        <v>0</v>
      </c>
      <c r="Z41" s="139"/>
      <c r="AA41" s="139"/>
      <c r="AB41" s="119">
        <f>+IFERROR(AB39/(J39*9),"")</f>
        <v>2.1174004192872116</v>
      </c>
      <c r="AC41" s="120"/>
      <c r="AD41" s="161">
        <f>+Y40+Y41/2</f>
        <v>0</v>
      </c>
      <c r="AE41" s="167">
        <f t="shared" si="1"/>
        <v>0</v>
      </c>
      <c r="AF41" s="167"/>
      <c r="AG41" s="230">
        <f>+IF((Y39-J39*9)&gt;=0,"",Y39-J39*9)</f>
        <v>-477</v>
      </c>
      <c r="AH41" s="91"/>
    </row>
    <row r="42" spans="1:34" ht="62.25" customHeight="1" thickTop="1" x14ac:dyDescent="0.9">
      <c r="A42" s="124"/>
      <c r="B42" s="127">
        <f>+B43</f>
        <v>11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135"/>
      <c r="X42" s="540">
        <f>+W44</f>
        <v>-54</v>
      </c>
      <c r="Y42" s="135">
        <f t="shared" si="0"/>
        <v>0</v>
      </c>
      <c r="Z42" s="136">
        <f>+AA42+Y42</f>
        <v>8085</v>
      </c>
      <c r="AA42" s="136">
        <v>8085</v>
      </c>
      <c r="AB42" s="109"/>
      <c r="AC42" s="110"/>
      <c r="AD42" s="157"/>
      <c r="AE42" s="167">
        <f t="shared" si="1"/>
        <v>0</v>
      </c>
      <c r="AF42" s="167"/>
      <c r="AG42" s="167"/>
    </row>
    <row r="43" spans="1:34" ht="62.25" customHeight="1" x14ac:dyDescent="0.9">
      <c r="A43" s="124"/>
      <c r="B43" s="132">
        <v>11</v>
      </c>
      <c r="C43" s="111" t="s">
        <v>187</v>
      </c>
      <c r="D43" s="111"/>
      <c r="E43" s="111" t="s">
        <v>35</v>
      </c>
      <c r="F43" s="111" t="s">
        <v>188</v>
      </c>
      <c r="G43" s="111">
        <v>7500</v>
      </c>
      <c r="H43" s="111" t="s">
        <v>33</v>
      </c>
      <c r="I43" s="113">
        <v>56.15</v>
      </c>
      <c r="J43" s="130">
        <v>54</v>
      </c>
      <c r="K43" s="101" t="s">
        <v>17</v>
      </c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123">
        <f>+IF(COUNTA(L43:V43)=8,Y43/(COUNTA(L43:V43)-0.5),IF(COUNTA(L43:V43)=0,0,Y43/COUNTA(L43:V43)))</f>
        <v>0</v>
      </c>
      <c r="X43" s="541"/>
      <c r="Y43" s="134">
        <f t="shared" si="0"/>
        <v>0</v>
      </c>
      <c r="Z43" s="137">
        <f>+Y43+AA43</f>
        <v>8080</v>
      </c>
      <c r="AA43" s="137">
        <v>8080</v>
      </c>
      <c r="AB43" s="140">
        <f>+Z42-Z43</f>
        <v>5</v>
      </c>
      <c r="AC43" s="131" t="str">
        <f>+IF(((Y44+(Y45/2))*60)=0,"",(I43*Y43)/((Y44+(Y45/2))*60))</f>
        <v/>
      </c>
      <c r="AD43" s="157"/>
      <c r="AE43" s="167">
        <f t="shared" si="1"/>
        <v>0</v>
      </c>
      <c r="AF43" s="167">
        <f>+Y43*I43</f>
        <v>0</v>
      </c>
      <c r="AG43" s="167"/>
    </row>
    <row r="44" spans="1:34" ht="62.25" customHeight="1" x14ac:dyDescent="0.9">
      <c r="A44" s="124"/>
      <c r="B44" s="125">
        <f>+B43</f>
        <v>11</v>
      </c>
      <c r="C44" s="184"/>
      <c r="D44" s="111"/>
      <c r="E44" s="111"/>
      <c r="F44" s="112" t="e">
        <f>+VLOOKUP(F43,'Obj Prix'!$H:$H,2,FALSE)</f>
        <v>#N/A</v>
      </c>
      <c r="G44" s="112"/>
      <c r="H44" s="210"/>
      <c r="I44" s="210">
        <v>3</v>
      </c>
      <c r="J44" s="114" t="s">
        <v>22</v>
      </c>
      <c r="K44" s="102" t="s">
        <v>18</v>
      </c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160">
        <f>+W43-J43</f>
        <v>-54</v>
      </c>
      <c r="X44" s="541"/>
      <c r="Y44" s="103">
        <f>+SUM(L44:V44)-S44/2</f>
        <v>0</v>
      </c>
      <c r="Z44" s="138"/>
      <c r="AA44" s="138"/>
      <c r="AB44" s="115"/>
      <c r="AC44" s="116"/>
      <c r="AD44" s="157"/>
      <c r="AE44" s="167">
        <f t="shared" si="1"/>
        <v>0</v>
      </c>
      <c r="AF44" s="167"/>
      <c r="AG44" s="167"/>
    </row>
    <row r="45" spans="1:34" s="98" customFormat="1" ht="62.25" customHeight="1" thickBot="1" x14ac:dyDescent="0.95">
      <c r="A45" s="124"/>
      <c r="B45" s="126">
        <f>+B43</f>
        <v>11</v>
      </c>
      <c r="C45" s="174" t="s">
        <v>175</v>
      </c>
      <c r="D45" s="175">
        <f>+D44+100</f>
        <v>100</v>
      </c>
      <c r="E45" s="175"/>
      <c r="F45" s="117" t="s">
        <v>94</v>
      </c>
      <c r="G45" s="117"/>
      <c r="H45" s="159" t="s">
        <v>190</v>
      </c>
      <c r="I45" s="165">
        <f>+IF(J45="","",IF(J43=0,"",(J43*I43)/(J45*60)))</f>
        <v>0.85652542372881357</v>
      </c>
      <c r="J45" s="118">
        <v>59</v>
      </c>
      <c r="K45" s="104" t="s">
        <v>19</v>
      </c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173"/>
      <c r="X45" s="169">
        <v>19.38</v>
      </c>
      <c r="Y45" s="105">
        <f>+SUM(L45:V45)-S45/2</f>
        <v>0</v>
      </c>
      <c r="Z45" s="139"/>
      <c r="AA45" s="139"/>
      <c r="AB45" s="119">
        <f>+IFERROR(AB43/(J43*9),"")</f>
        <v>1.0288065843621399E-2</v>
      </c>
      <c r="AC45" s="120"/>
      <c r="AD45" s="161">
        <f>+Y44+Y45/2</f>
        <v>0</v>
      </c>
      <c r="AE45" s="167">
        <f t="shared" si="1"/>
        <v>0</v>
      </c>
      <c r="AF45" s="167"/>
      <c r="AG45" s="230">
        <f>+IF((Y43-J43*9)&gt;=0,"",Y43-J43*9)</f>
        <v>-486</v>
      </c>
      <c r="AH45" s="91"/>
    </row>
    <row r="46" spans="1:34" ht="62.25" customHeight="1" thickTop="1" x14ac:dyDescent="0.9">
      <c r="A46" s="124"/>
      <c r="B46" s="127">
        <f>+B47</f>
        <v>11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135"/>
      <c r="X46" s="540">
        <f>+W48</f>
        <v>-107</v>
      </c>
      <c r="Y46" s="135">
        <f t="shared" si="0"/>
        <v>0</v>
      </c>
      <c r="Z46" s="136">
        <f>+AA46+Y46</f>
        <v>752</v>
      </c>
      <c r="AA46" s="136">
        <v>752</v>
      </c>
      <c r="AB46" s="109"/>
      <c r="AC46" s="110"/>
      <c r="AD46" s="157"/>
      <c r="AE46" s="167">
        <f t="shared" si="1"/>
        <v>0</v>
      </c>
      <c r="AF46" s="167"/>
      <c r="AG46" s="167"/>
    </row>
    <row r="47" spans="1:34" ht="62.25" customHeight="1" x14ac:dyDescent="0.9">
      <c r="A47" s="124"/>
      <c r="B47" s="132">
        <v>11</v>
      </c>
      <c r="C47" s="111" t="s">
        <v>216</v>
      </c>
      <c r="D47" s="111"/>
      <c r="E47" s="111" t="s">
        <v>35</v>
      </c>
      <c r="F47" s="111" t="s">
        <v>215</v>
      </c>
      <c r="G47" s="111">
        <v>6666</v>
      </c>
      <c r="H47" s="111" t="s">
        <v>217</v>
      </c>
      <c r="I47" s="113">
        <v>27.28</v>
      </c>
      <c r="J47" s="130">
        <v>107</v>
      </c>
      <c r="K47" s="101" t="s">
        <v>17</v>
      </c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123">
        <f>+IF(COUNTA(L47:V47)=8,Y47/(COUNTA(L47:V47)-0.5),IF(COUNTA(L47:V47)=0,0,Y47/COUNTA(L47:V47)))</f>
        <v>0</v>
      </c>
      <c r="X47" s="541"/>
      <c r="Y47" s="134">
        <f t="shared" si="0"/>
        <v>0</v>
      </c>
      <c r="Z47" s="137">
        <f>+Y47+AA47</f>
        <v>0</v>
      </c>
      <c r="AA47" s="137">
        <v>0</v>
      </c>
      <c r="AB47" s="140">
        <f>+Z46-Z47</f>
        <v>752</v>
      </c>
      <c r="AC47" s="131" t="str">
        <f>+IF(((Y48+(Y49/2))*60)=0,"",(I47*Y47)/((Y48+(Y49/2))*60))</f>
        <v/>
      </c>
      <c r="AD47" s="157"/>
      <c r="AE47" s="167">
        <f t="shared" si="1"/>
        <v>0</v>
      </c>
      <c r="AF47" s="167">
        <f>+Y47*I47</f>
        <v>0</v>
      </c>
      <c r="AG47" s="167"/>
    </row>
    <row r="48" spans="1:34" ht="62.25" customHeight="1" x14ac:dyDescent="0.9">
      <c r="A48" s="124"/>
      <c r="B48" s="125">
        <f>+B47</f>
        <v>11</v>
      </c>
      <c r="C48" s="184"/>
      <c r="D48" s="111"/>
      <c r="E48" s="111"/>
      <c r="F48" s="112" t="e">
        <f>+VLOOKUP(F47,'Obj Prix'!$H:$H,2,FALSE)</f>
        <v>#N/A</v>
      </c>
      <c r="G48" s="112"/>
      <c r="H48" s="210"/>
      <c r="I48" s="210"/>
      <c r="J48" s="114" t="s">
        <v>22</v>
      </c>
      <c r="K48" s="102" t="s">
        <v>18</v>
      </c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160">
        <f>+W47-J47</f>
        <v>-107</v>
      </c>
      <c r="X48" s="541"/>
      <c r="Y48" s="103">
        <f>+SUM(L48:V48)-S48/2</f>
        <v>0</v>
      </c>
      <c r="Z48" s="138"/>
      <c r="AA48" s="138"/>
      <c r="AB48" s="115"/>
      <c r="AC48" s="116"/>
      <c r="AD48" s="157"/>
      <c r="AE48" s="167">
        <f t="shared" si="1"/>
        <v>0</v>
      </c>
      <c r="AF48" s="167"/>
      <c r="AG48" s="167"/>
    </row>
    <row r="49" spans="1:34" s="98" customFormat="1" ht="62.25" customHeight="1" thickBot="1" x14ac:dyDescent="0.95">
      <c r="A49" s="124"/>
      <c r="B49" s="126">
        <f>+B47</f>
        <v>11</v>
      </c>
      <c r="C49" s="174" t="s">
        <v>175</v>
      </c>
      <c r="D49" s="175">
        <f>+D48+100</f>
        <v>100</v>
      </c>
      <c r="E49" s="175"/>
      <c r="F49" s="117" t="s">
        <v>94</v>
      </c>
      <c r="G49" s="117"/>
      <c r="H49" s="159"/>
      <c r="I49" s="165">
        <f>+IF(J49="","",IF(J47=0,"",(J47*I47)/(J49*60)))</f>
        <v>0.85349707602339187</v>
      </c>
      <c r="J49" s="118">
        <v>57</v>
      </c>
      <c r="K49" s="104" t="s">
        <v>19</v>
      </c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173"/>
      <c r="X49" s="168">
        <f>6+(COUNTA(L47:V47)-(Y47/J47))</f>
        <v>6</v>
      </c>
      <c r="Y49" s="105">
        <f>+SUM(L49:V49)-S49/2</f>
        <v>0</v>
      </c>
      <c r="Z49" s="139"/>
      <c r="AA49" s="139"/>
      <c r="AB49" s="119">
        <f>+IFERROR(AB47/(J47*9),"")</f>
        <v>0.78089304257528558</v>
      </c>
      <c r="AC49" s="120"/>
      <c r="AD49" s="161">
        <f>+Y48+Y49/2</f>
        <v>0</v>
      </c>
      <c r="AE49" s="167">
        <f t="shared" si="1"/>
        <v>0</v>
      </c>
      <c r="AF49" s="167"/>
      <c r="AG49" s="230">
        <f>+IF((Y47-J47*9)&gt;=0,"",Y47-J47*9)</f>
        <v>-963</v>
      </c>
      <c r="AH49" s="91"/>
    </row>
    <row r="50" spans="1:34" ht="62.25" customHeight="1" thickTop="1" x14ac:dyDescent="0.9">
      <c r="A50" s="124"/>
      <c r="B50" s="127">
        <f>+B51</f>
        <v>12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135"/>
      <c r="X50" s="540">
        <f>+W52</f>
        <v>-107</v>
      </c>
      <c r="Y50" s="135">
        <f t="shared" si="0"/>
        <v>0</v>
      </c>
      <c r="Z50" s="136">
        <f>+AA50+Y50</f>
        <v>6820</v>
      </c>
      <c r="AA50" s="136">
        <v>6820</v>
      </c>
      <c r="AB50" s="121"/>
      <c r="AC50" s="110"/>
      <c r="AD50" s="157"/>
      <c r="AE50" s="167">
        <f t="shared" si="1"/>
        <v>0</v>
      </c>
      <c r="AF50" s="167"/>
      <c r="AG50" s="167"/>
    </row>
    <row r="51" spans="1:34" ht="62.25" customHeight="1" x14ac:dyDescent="0.9">
      <c r="A51" s="124"/>
      <c r="B51" s="132">
        <v>12</v>
      </c>
      <c r="C51" s="111" t="s">
        <v>198</v>
      </c>
      <c r="D51" s="111"/>
      <c r="E51" s="111" t="s">
        <v>35</v>
      </c>
      <c r="F51" s="111" t="s">
        <v>204</v>
      </c>
      <c r="G51" s="111"/>
      <c r="H51" s="111" t="s">
        <v>199</v>
      </c>
      <c r="I51" s="113">
        <v>27.28</v>
      </c>
      <c r="J51" s="130">
        <v>107</v>
      </c>
      <c r="K51" s="101" t="s">
        <v>17</v>
      </c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123">
        <f>+IF(COUNTA(L51:V51)=8,Y51/(COUNTA(L51:V51)-0.5),IF(COUNTA(L51:V51)=0,0,Y51/COUNTA(L51:V51)))</f>
        <v>0</v>
      </c>
      <c r="X51" s="541"/>
      <c r="Y51" s="134">
        <f t="shared" si="0"/>
        <v>0</v>
      </c>
      <c r="Z51" s="137">
        <f>+Y51+AA51</f>
        <v>5183</v>
      </c>
      <c r="AA51" s="137">
        <v>5183</v>
      </c>
      <c r="AB51" s="140">
        <f>+Z50-Z51</f>
        <v>1637</v>
      </c>
      <c r="AC51" s="131">
        <f>+IF(((Y52+(Y53/2))*60)=0,"",(I51*Y51)/((Y52+(Y53/2))*60))</f>
        <v>0</v>
      </c>
      <c r="AD51" s="157"/>
      <c r="AE51" s="167">
        <f t="shared" si="1"/>
        <v>0</v>
      </c>
      <c r="AF51" s="167">
        <f>+Y51*I51</f>
        <v>0</v>
      </c>
      <c r="AG51" s="167"/>
    </row>
    <row r="52" spans="1:34" ht="62.25" customHeight="1" x14ac:dyDescent="0.9">
      <c r="A52" s="124"/>
      <c r="B52" s="125">
        <f>+B51</f>
        <v>12</v>
      </c>
      <c r="C52" s="184"/>
      <c r="D52" s="111">
        <f>+B51</f>
        <v>12</v>
      </c>
      <c r="E52" s="111"/>
      <c r="F52" s="112" t="e">
        <f>+VLOOKUP(F51,'Obj Prix'!$H:$H,2,FALSE)</f>
        <v>#N/A</v>
      </c>
      <c r="G52" s="112"/>
      <c r="H52" s="210"/>
      <c r="I52" s="113"/>
      <c r="J52" s="114" t="s">
        <v>22</v>
      </c>
      <c r="K52" s="102" t="s">
        <v>18</v>
      </c>
      <c r="L52" s="215">
        <v>5</v>
      </c>
      <c r="M52" s="215">
        <v>5</v>
      </c>
      <c r="N52" s="215">
        <v>5</v>
      </c>
      <c r="O52" s="215">
        <v>5</v>
      </c>
      <c r="P52" s="215">
        <v>5</v>
      </c>
      <c r="Q52" s="215">
        <v>5</v>
      </c>
      <c r="R52" s="215">
        <v>5</v>
      </c>
      <c r="S52" s="215">
        <v>5</v>
      </c>
      <c r="T52" s="215"/>
      <c r="U52" s="215"/>
      <c r="V52" s="215"/>
      <c r="W52" s="160">
        <f>+W51-J51</f>
        <v>-107</v>
      </c>
      <c r="X52" s="541"/>
      <c r="Y52" s="103">
        <f>+SUM(L52:V52)-S52/2</f>
        <v>37.5</v>
      </c>
      <c r="Z52" s="138"/>
      <c r="AA52" s="138"/>
      <c r="AB52" s="122"/>
      <c r="AC52" s="116"/>
      <c r="AD52" s="157"/>
      <c r="AE52" s="167">
        <f t="shared" si="1"/>
        <v>0</v>
      </c>
      <c r="AF52" s="167"/>
      <c r="AG52" s="167"/>
    </row>
    <row r="53" spans="1:34" ht="69" customHeight="1" thickBot="1" x14ac:dyDescent="0.95">
      <c r="A53" s="124"/>
      <c r="B53" s="126">
        <f>+B51</f>
        <v>12</v>
      </c>
      <c r="C53" s="174" t="s">
        <v>214</v>
      </c>
      <c r="D53" s="175">
        <f>+D52+100</f>
        <v>112</v>
      </c>
      <c r="E53" s="175"/>
      <c r="F53" s="117" t="s">
        <v>94</v>
      </c>
      <c r="G53" s="117"/>
      <c r="H53" s="159" t="s">
        <v>213</v>
      </c>
      <c r="I53" s="165">
        <f>+IF(J53="","",IF(J51=0,"",(J51*I51)/(J53*60)))</f>
        <v>0.85349707602339187</v>
      </c>
      <c r="J53" s="118">
        <v>57</v>
      </c>
      <c r="K53" s="104" t="s">
        <v>19</v>
      </c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173"/>
      <c r="X53" s="169">
        <v>29.25</v>
      </c>
      <c r="Y53" s="105">
        <f>+SUM(L53:V53)-S53/2</f>
        <v>0</v>
      </c>
      <c r="Z53" s="139"/>
      <c r="AA53" s="139"/>
      <c r="AB53" s="119">
        <f>+IFERROR(AB51/(J51*9),"")</f>
        <v>1.6998961578400831</v>
      </c>
      <c r="AC53" s="162"/>
      <c r="AD53" s="161">
        <f>+Y52+Y53/2</f>
        <v>37.5</v>
      </c>
      <c r="AE53" s="167">
        <f t="shared" si="1"/>
        <v>2250</v>
      </c>
      <c r="AF53" s="167"/>
      <c r="AG53" s="230">
        <f>+IF((Y51-J51*9)&gt;=0,"",Y51-J51*9)</f>
        <v>-963</v>
      </c>
    </row>
    <row r="54" spans="1:34" ht="62.25" customHeight="1" thickTop="1" x14ac:dyDescent="0.9">
      <c r="A54" s="124"/>
      <c r="B54" s="127">
        <f>+B55</f>
        <v>13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135"/>
      <c r="X54" s="540">
        <f>+W56</f>
        <v>-77.933333333333337</v>
      </c>
      <c r="Y54" s="135">
        <f t="shared" si="0"/>
        <v>0</v>
      </c>
      <c r="Z54" s="136">
        <f>+AA54+Y54</f>
        <v>3418</v>
      </c>
      <c r="AA54" s="136">
        <v>3418</v>
      </c>
      <c r="AB54" s="109"/>
      <c r="AC54" s="110"/>
      <c r="AD54" s="157"/>
      <c r="AE54" s="167">
        <f t="shared" si="1"/>
        <v>0</v>
      </c>
      <c r="AF54" s="167"/>
      <c r="AG54" s="167"/>
    </row>
    <row r="55" spans="1:34" ht="62.25" customHeight="1" x14ac:dyDescent="0.9">
      <c r="A55" s="124"/>
      <c r="B55" s="132">
        <v>13</v>
      </c>
      <c r="C55" s="111" t="s">
        <v>205</v>
      </c>
      <c r="D55" s="111"/>
      <c r="E55" s="111" t="s">
        <v>35</v>
      </c>
      <c r="F55" s="111" t="s">
        <v>206</v>
      </c>
      <c r="G55" s="111"/>
      <c r="H55" s="111" t="s">
        <v>207</v>
      </c>
      <c r="I55" s="113">
        <v>26.81</v>
      </c>
      <c r="J55" s="130">
        <v>103</v>
      </c>
      <c r="K55" s="101" t="s">
        <v>17</v>
      </c>
      <c r="L55" s="214">
        <v>25</v>
      </c>
      <c r="M55" s="214">
        <v>25</v>
      </c>
      <c r="N55" s="214">
        <v>25</v>
      </c>
      <c r="O55" s="214">
        <v>25</v>
      </c>
      <c r="P55" s="214">
        <v>25</v>
      </c>
      <c r="Q55" s="214">
        <v>25</v>
      </c>
      <c r="R55" s="214">
        <v>25</v>
      </c>
      <c r="S55" s="214">
        <v>13</v>
      </c>
      <c r="T55" s="214"/>
      <c r="U55" s="214"/>
      <c r="V55" s="214"/>
      <c r="W55" s="123">
        <f>+IF(COUNTA(L55:V55)=8,Y55/(COUNTA(L55:V55)-0.5),IF(COUNTA(L55:V55)=0,0,Y55/COUNTA(L55:V55)))</f>
        <v>25.066666666666666</v>
      </c>
      <c r="X55" s="541"/>
      <c r="Y55" s="134">
        <f t="shared" si="0"/>
        <v>188</v>
      </c>
      <c r="Z55" s="137">
        <f>+Y55+AA55</f>
        <v>1539</v>
      </c>
      <c r="AA55" s="137">
        <v>1351</v>
      </c>
      <c r="AB55" s="140">
        <f>+Z54-Z55</f>
        <v>1879</v>
      </c>
      <c r="AC55" s="131">
        <f>+IF(((Y56+(Y57/2))*60)=0,"",(I55*Y55)/((Y56+(Y57/2))*60))</f>
        <v>1.6000888888888889</v>
      </c>
      <c r="AD55" s="157"/>
      <c r="AE55" s="167">
        <f t="shared" si="1"/>
        <v>0</v>
      </c>
      <c r="AF55" s="167">
        <f>+Y55*I55</f>
        <v>5040.28</v>
      </c>
      <c r="AG55" s="167"/>
    </row>
    <row r="56" spans="1:34" ht="62.25" customHeight="1" x14ac:dyDescent="0.9">
      <c r="A56" s="124"/>
      <c r="B56" s="125">
        <f>+B55</f>
        <v>13</v>
      </c>
      <c r="C56" s="184"/>
      <c r="D56" s="111"/>
      <c r="E56" s="111"/>
      <c r="F56" s="112" t="e">
        <f>+VLOOKUP(F55,'Obj Prix'!$H:$H,2,FALSE)</f>
        <v>#N/A</v>
      </c>
      <c r="G56" s="112"/>
      <c r="H56" s="210"/>
      <c r="I56" s="210">
        <v>2</v>
      </c>
      <c r="J56" s="114" t="s">
        <v>22</v>
      </c>
      <c r="K56" s="102" t="s">
        <v>18</v>
      </c>
      <c r="L56" s="215">
        <v>7</v>
      </c>
      <c r="M56" s="215">
        <v>7</v>
      </c>
      <c r="N56" s="215">
        <v>7</v>
      </c>
      <c r="O56" s="215">
        <v>7</v>
      </c>
      <c r="P56" s="215">
        <v>7</v>
      </c>
      <c r="Q56" s="215">
        <v>7</v>
      </c>
      <c r="R56" s="215">
        <v>7</v>
      </c>
      <c r="S56" s="215">
        <v>7</v>
      </c>
      <c r="T56" s="215"/>
      <c r="U56" s="215"/>
      <c r="V56" s="215"/>
      <c r="W56" s="160">
        <f>+W55-J55</f>
        <v>-77.933333333333337</v>
      </c>
      <c r="X56" s="541"/>
      <c r="Y56" s="103">
        <f>+SUM(L56:V56)-S56/2</f>
        <v>52.5</v>
      </c>
      <c r="Z56" s="138"/>
      <c r="AA56" s="138"/>
      <c r="AB56" s="115"/>
      <c r="AC56" s="116"/>
      <c r="AD56" s="157"/>
      <c r="AE56" s="167">
        <f t="shared" si="1"/>
        <v>0</v>
      </c>
      <c r="AF56" s="167"/>
      <c r="AG56" s="167"/>
    </row>
    <row r="57" spans="1:34" ht="62.25" customHeight="1" thickBot="1" x14ac:dyDescent="0.95">
      <c r="A57" s="124"/>
      <c r="B57" s="126">
        <f>+B55</f>
        <v>13</v>
      </c>
      <c r="C57" s="174" t="s">
        <v>76</v>
      </c>
      <c r="D57" s="175">
        <f>+D56+100</f>
        <v>100</v>
      </c>
      <c r="E57" s="175"/>
      <c r="F57" s="117" t="s">
        <v>111</v>
      </c>
      <c r="G57" s="218"/>
      <c r="H57" s="159" t="s">
        <v>213</v>
      </c>
      <c r="I57" s="165">
        <f>+IF(J57="","",IF(J55=0,"",(J55*I55)/(J57*60)))</f>
        <v>0.83679696969696959</v>
      </c>
      <c r="J57" s="118">
        <v>55</v>
      </c>
      <c r="K57" s="104" t="s">
        <v>19</v>
      </c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173"/>
      <c r="X57" s="168">
        <f>17.14+(COUNTA(L55:V55)-(Y55/J55))</f>
        <v>23.314757281553398</v>
      </c>
      <c r="Y57" s="105">
        <f>+SUM(L57:V57)-S57/2</f>
        <v>0</v>
      </c>
      <c r="Z57" s="139"/>
      <c r="AA57" s="139"/>
      <c r="AB57" s="119">
        <f>+IFERROR(AB55/(J55*9),"")</f>
        <v>2.0269687162891046</v>
      </c>
      <c r="AC57" s="120"/>
      <c r="AD57" s="161">
        <f>+Y56+Y57/2</f>
        <v>52.5</v>
      </c>
      <c r="AE57" s="167">
        <f t="shared" si="1"/>
        <v>3150</v>
      </c>
      <c r="AF57" s="167"/>
      <c r="AG57" s="230">
        <f>+IF((Y55-J55*9)&gt;=0,"",Y55-J55*9)</f>
        <v>-739</v>
      </c>
    </row>
    <row r="58" spans="1:34" s="98" customFormat="1" ht="62.25" customHeight="1" thickTop="1" x14ac:dyDescent="0.9">
      <c r="A58" s="124"/>
      <c r="B58" s="127">
        <f>+B59</f>
        <v>14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135"/>
      <c r="X58" s="540">
        <f>+W60</f>
        <v>-50</v>
      </c>
      <c r="Y58" s="135">
        <f t="shared" si="0"/>
        <v>0</v>
      </c>
      <c r="Z58" s="136">
        <f>+AA58+Y58</f>
        <v>3837</v>
      </c>
      <c r="AA58" s="136">
        <v>3837</v>
      </c>
      <c r="AB58" s="109"/>
      <c r="AC58" s="110"/>
      <c r="AD58" s="157"/>
      <c r="AE58" s="167">
        <f t="shared" si="1"/>
        <v>0</v>
      </c>
      <c r="AF58" s="167"/>
      <c r="AG58" s="167"/>
      <c r="AH58" s="91"/>
    </row>
    <row r="59" spans="1:34" s="98" customFormat="1" ht="62.25" customHeight="1" x14ac:dyDescent="0.9">
      <c r="A59" s="124"/>
      <c r="B59" s="133">
        <v>14</v>
      </c>
      <c r="C59" s="111" t="s">
        <v>192</v>
      </c>
      <c r="D59" s="111"/>
      <c r="E59" s="111" t="s">
        <v>110</v>
      </c>
      <c r="F59" s="111" t="s">
        <v>193</v>
      </c>
      <c r="G59" s="111">
        <v>5500</v>
      </c>
      <c r="H59" s="111" t="s">
        <v>33</v>
      </c>
      <c r="I59" s="113">
        <v>62.7</v>
      </c>
      <c r="J59" s="130">
        <v>50</v>
      </c>
      <c r="K59" s="101" t="s">
        <v>17</v>
      </c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123">
        <f>+IF(COUNTA(L59:V59)=8,Y59/(COUNTA(L59:V59)-0.5),IF(COUNTA(L59:V59)=0,0,Y59/COUNTA(L59:V59)))</f>
        <v>0</v>
      </c>
      <c r="X59" s="541"/>
      <c r="Y59" s="134">
        <f t="shared" si="0"/>
        <v>0</v>
      </c>
      <c r="Z59" s="137">
        <f>+Y59+AA59</f>
        <v>3105</v>
      </c>
      <c r="AA59" s="137">
        <v>3105</v>
      </c>
      <c r="AB59" s="140">
        <f>+Z58-Z59</f>
        <v>732</v>
      </c>
      <c r="AC59" s="131" t="str">
        <f>+IF(((Y60+(Y61/2))*60)=0,"",(I59*Y59)/((Y60+(Y61/2))*60))</f>
        <v/>
      </c>
      <c r="AD59" s="157"/>
      <c r="AE59" s="167">
        <f t="shared" si="1"/>
        <v>0</v>
      </c>
      <c r="AF59" s="167">
        <f>+Y59*I59</f>
        <v>0</v>
      </c>
      <c r="AG59" s="167"/>
      <c r="AH59" s="91"/>
    </row>
    <row r="60" spans="1:34" s="98" customFormat="1" ht="62.25" customHeight="1" x14ac:dyDescent="0.9">
      <c r="A60" s="124"/>
      <c r="B60" s="125">
        <f>+B59</f>
        <v>14</v>
      </c>
      <c r="C60" s="184"/>
      <c r="D60" s="111">
        <f>+B59</f>
        <v>14</v>
      </c>
      <c r="E60" s="111"/>
      <c r="F60" s="112" t="e">
        <f>+VLOOKUP(F59,'Obj Prix'!$H:$H,2,FALSE)</f>
        <v>#N/A</v>
      </c>
      <c r="G60" s="112"/>
      <c r="H60" s="210"/>
      <c r="I60" s="210">
        <v>1</v>
      </c>
      <c r="J60" s="114" t="s">
        <v>22</v>
      </c>
      <c r="K60" s="102" t="s">
        <v>18</v>
      </c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160">
        <f>+W59-J59</f>
        <v>-50</v>
      </c>
      <c r="X60" s="541"/>
      <c r="Y60" s="103">
        <f>+SUM(L60:V60)-S60/2</f>
        <v>0</v>
      </c>
      <c r="Z60" s="138"/>
      <c r="AA60" s="138"/>
      <c r="AB60" s="115"/>
      <c r="AC60" s="116"/>
      <c r="AD60" s="157"/>
      <c r="AE60" s="167">
        <f t="shared" si="1"/>
        <v>0</v>
      </c>
      <c r="AF60" s="167"/>
      <c r="AG60" s="167"/>
      <c r="AH60" s="91"/>
    </row>
    <row r="61" spans="1:34" s="98" customFormat="1" ht="62.25" customHeight="1" thickBot="1" x14ac:dyDescent="0.95">
      <c r="A61" s="124"/>
      <c r="B61" s="126">
        <f>+B59</f>
        <v>14</v>
      </c>
      <c r="C61" s="174" t="s">
        <v>112</v>
      </c>
      <c r="D61" s="175">
        <f>+D60+100</f>
        <v>114</v>
      </c>
      <c r="E61" s="175"/>
      <c r="F61" s="117" t="s">
        <v>203</v>
      </c>
      <c r="G61" s="117"/>
      <c r="H61" s="146"/>
      <c r="I61" s="165">
        <f>+IF(J61="","",IF(J59=0,"",(J59*I59)/(J61*60)))</f>
        <v>0.90086206896551724</v>
      </c>
      <c r="J61" s="118">
        <v>58</v>
      </c>
      <c r="K61" s="104" t="s">
        <v>19</v>
      </c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173"/>
      <c r="X61" s="169">
        <v>6.84</v>
      </c>
      <c r="Y61" s="105">
        <f>+SUM(L61:V61)-S61/2</f>
        <v>0</v>
      </c>
      <c r="Z61" s="139"/>
      <c r="AA61" s="139"/>
      <c r="AB61" s="119">
        <f>+IFERROR(AB59/(J59*9),"")</f>
        <v>1.6266666666666667</v>
      </c>
      <c r="AC61" s="120"/>
      <c r="AD61" s="161">
        <f>+Y60+Y61/2</f>
        <v>0</v>
      </c>
      <c r="AE61" s="167">
        <f t="shared" si="1"/>
        <v>0</v>
      </c>
      <c r="AF61" s="167"/>
      <c r="AG61" s="230">
        <f>+IF((Y59-J59*9)&gt;=0,"",Y59-J59*9)</f>
        <v>-450</v>
      </c>
      <c r="AH61" s="91"/>
    </row>
    <row r="62" spans="1:34" ht="62.25" customHeight="1" thickTop="1" x14ac:dyDescent="0.9">
      <c r="A62" s="124"/>
      <c r="B62" s="127">
        <f>+B63</f>
        <v>15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135"/>
      <c r="X62" s="540">
        <f>+W64</f>
        <v>-54</v>
      </c>
      <c r="Y62" s="135">
        <f t="shared" si="0"/>
        <v>0</v>
      </c>
      <c r="Z62" s="136">
        <f>+AA62+Y62</f>
        <v>8056</v>
      </c>
      <c r="AA62" s="136">
        <v>8056</v>
      </c>
      <c r="AB62" s="121"/>
      <c r="AC62" s="110"/>
      <c r="AD62" s="157"/>
      <c r="AE62" s="167">
        <f t="shared" si="1"/>
        <v>0</v>
      </c>
      <c r="AF62" s="167"/>
      <c r="AG62" s="167"/>
    </row>
    <row r="63" spans="1:34" ht="62.25" customHeight="1" x14ac:dyDescent="0.9">
      <c r="A63" s="124"/>
      <c r="B63" s="133">
        <v>15</v>
      </c>
      <c r="C63" s="111" t="s">
        <v>187</v>
      </c>
      <c r="D63" s="111"/>
      <c r="E63" s="111" t="s">
        <v>35</v>
      </c>
      <c r="F63" s="111" t="s">
        <v>188</v>
      </c>
      <c r="G63" s="111">
        <v>7500</v>
      </c>
      <c r="H63" s="111" t="s">
        <v>33</v>
      </c>
      <c r="I63" s="113">
        <v>56.15</v>
      </c>
      <c r="J63" s="130">
        <v>54</v>
      </c>
      <c r="K63" s="101" t="s">
        <v>17</v>
      </c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123">
        <f>+IF(COUNTA(L63:V63)=8,Y63/(COUNTA(L63:V63)-0.5),IF(COUNTA(L63:V63)=0,0,Y63/COUNTA(L63:V63)))</f>
        <v>0</v>
      </c>
      <c r="X63" s="541"/>
      <c r="Y63" s="134">
        <f t="shared" si="0"/>
        <v>0</v>
      </c>
      <c r="Z63" s="137">
        <f>+Y63+AA63</f>
        <v>8043</v>
      </c>
      <c r="AA63" s="137">
        <v>8043</v>
      </c>
      <c r="AB63" s="140">
        <f>+Z62-Z63</f>
        <v>13</v>
      </c>
      <c r="AC63" s="131" t="str">
        <f>+IF(((Y64+(Y65/2))*60)=0,"",(I63*Y63)/((Y64+(Y65/2))*60))</f>
        <v/>
      </c>
      <c r="AD63" s="157"/>
      <c r="AE63" s="167">
        <f t="shared" si="1"/>
        <v>0</v>
      </c>
      <c r="AF63" s="167">
        <f>+Y63*I63</f>
        <v>0</v>
      </c>
      <c r="AG63" s="167"/>
    </row>
    <row r="64" spans="1:34" ht="62.25" customHeight="1" x14ac:dyDescent="0.9">
      <c r="A64" s="124"/>
      <c r="B64" s="125">
        <f>+B63</f>
        <v>15</v>
      </c>
      <c r="C64" s="184"/>
      <c r="D64" s="111">
        <f>+B63</f>
        <v>15</v>
      </c>
      <c r="E64" s="111"/>
      <c r="F64" s="112" t="e">
        <f>+VLOOKUP(F63,'Obj Prix'!$H:$H,2,FALSE)</f>
        <v>#N/A</v>
      </c>
      <c r="G64" s="112"/>
      <c r="H64" s="111"/>
      <c r="I64" s="210">
        <v>1</v>
      </c>
      <c r="J64" s="114" t="s">
        <v>22</v>
      </c>
      <c r="K64" s="102" t="s">
        <v>18</v>
      </c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160">
        <f>+W63-J63</f>
        <v>-54</v>
      </c>
      <c r="X64" s="541"/>
      <c r="Y64" s="103">
        <f>+SUM(L64:V64)-S64/2</f>
        <v>0</v>
      </c>
      <c r="Z64" s="138"/>
      <c r="AA64" s="138"/>
      <c r="AB64" s="122"/>
      <c r="AC64" s="116"/>
      <c r="AD64" s="157"/>
      <c r="AE64" s="167">
        <f t="shared" si="1"/>
        <v>0</v>
      </c>
      <c r="AF64" s="167"/>
      <c r="AG64" s="167"/>
    </row>
    <row r="65" spans="1:34" ht="59.25" customHeight="1" thickBot="1" x14ac:dyDescent="0.95">
      <c r="A65" s="124"/>
      <c r="B65" s="126">
        <f>+B63</f>
        <v>15</v>
      </c>
      <c r="C65" s="174" t="s">
        <v>80</v>
      </c>
      <c r="D65" s="175">
        <f>+D64+100</f>
        <v>115</v>
      </c>
      <c r="E65" s="175"/>
      <c r="F65" s="117" t="s">
        <v>94</v>
      </c>
      <c r="G65" s="117"/>
      <c r="H65" s="159" t="s">
        <v>190</v>
      </c>
      <c r="I65" s="165">
        <f>+IF(J65="","",IF(J63=0,"",(J63*I63)/(J65*60)))</f>
        <v>0.85652542372881357</v>
      </c>
      <c r="J65" s="118">
        <v>59</v>
      </c>
      <c r="K65" s="104" t="s">
        <v>19</v>
      </c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173"/>
      <c r="X65" s="169">
        <v>15.92</v>
      </c>
      <c r="Y65" s="105">
        <f>+SUM(L65:V65)-S65/2</f>
        <v>0</v>
      </c>
      <c r="Z65" s="139"/>
      <c r="AA65" s="139"/>
      <c r="AB65" s="119">
        <f>+IFERROR(AB63/(J63*9),"")</f>
        <v>2.6748971193415638E-2</v>
      </c>
      <c r="AC65" s="120"/>
      <c r="AD65" s="161">
        <f>+Y64+Y65/2</f>
        <v>0</v>
      </c>
      <c r="AE65" s="167">
        <f t="shared" si="1"/>
        <v>0</v>
      </c>
      <c r="AF65" s="167"/>
      <c r="AG65" s="230">
        <f>+IF((Y63-J63*9)&gt;=0,"",Y63-J63*9)</f>
        <v>-486</v>
      </c>
    </row>
    <row r="66" spans="1:34" ht="62.25" customHeight="1" thickTop="1" x14ac:dyDescent="0.9">
      <c r="A66" s="124"/>
      <c r="B66" s="127">
        <f>+B67</f>
        <v>15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135"/>
      <c r="X66" s="540">
        <f>+W68</f>
        <v>-107</v>
      </c>
      <c r="Y66" s="135">
        <f t="shared" si="0"/>
        <v>0</v>
      </c>
      <c r="Z66" s="136">
        <f>+AA66+Y66</f>
        <v>800</v>
      </c>
      <c r="AA66" s="136">
        <v>800</v>
      </c>
      <c r="AB66" s="121"/>
      <c r="AC66" s="110"/>
      <c r="AD66" s="157"/>
      <c r="AE66" s="167">
        <f t="shared" si="1"/>
        <v>0</v>
      </c>
      <c r="AF66" s="167"/>
      <c r="AG66" s="167"/>
    </row>
    <row r="67" spans="1:34" ht="62.25" customHeight="1" x14ac:dyDescent="0.9">
      <c r="A67" s="124"/>
      <c r="B67" s="133">
        <v>15</v>
      </c>
      <c r="C67" s="111" t="s">
        <v>216</v>
      </c>
      <c r="D67" s="111"/>
      <c r="E67" s="111" t="s">
        <v>35</v>
      </c>
      <c r="F67" s="111" t="s">
        <v>215</v>
      </c>
      <c r="G67" s="111">
        <v>6666</v>
      </c>
      <c r="H67" s="111" t="s">
        <v>217</v>
      </c>
      <c r="I67" s="113">
        <v>27.28</v>
      </c>
      <c r="J67" s="130">
        <v>107</v>
      </c>
      <c r="K67" s="101" t="s">
        <v>17</v>
      </c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123">
        <f>+IF(COUNTA(L67:V67)=8,Y67/(COUNTA(L67:V67)-0.5),IF(COUNTA(L67:V67)=0,0,Y67/COUNTA(L67:V67)))</f>
        <v>0</v>
      </c>
      <c r="X67" s="541"/>
      <c r="Y67" s="134">
        <f t="shared" si="0"/>
        <v>0</v>
      </c>
      <c r="Z67" s="137">
        <f>+Y67+AA67</f>
        <v>0</v>
      </c>
      <c r="AA67" s="137">
        <v>0</v>
      </c>
      <c r="AB67" s="140">
        <f>+Z66-Z67</f>
        <v>800</v>
      </c>
      <c r="AC67" s="131" t="str">
        <f>+IF(((Y68+(Y69/2))*60)=0,"",(I67*Y67)/((Y68+(Y69/2))*60))</f>
        <v/>
      </c>
      <c r="AD67" s="157"/>
      <c r="AE67" s="167">
        <f t="shared" si="1"/>
        <v>0</v>
      </c>
      <c r="AF67" s="167">
        <f>+Y67*I67</f>
        <v>0</v>
      </c>
      <c r="AG67" s="167"/>
    </row>
    <row r="68" spans="1:34" ht="62.25" customHeight="1" x14ac:dyDescent="0.9">
      <c r="A68" s="124"/>
      <c r="B68" s="125">
        <f>+B67</f>
        <v>15</v>
      </c>
      <c r="C68" s="184"/>
      <c r="D68" s="111">
        <f>+B67</f>
        <v>15</v>
      </c>
      <c r="E68" s="111"/>
      <c r="F68" s="112" t="e">
        <f>+VLOOKUP(F67,'Obj Prix'!$H:$H,2,FALSE)</f>
        <v>#N/A</v>
      </c>
      <c r="G68" s="112"/>
      <c r="H68" s="111"/>
      <c r="I68" s="210"/>
      <c r="J68" s="114" t="s">
        <v>22</v>
      </c>
      <c r="K68" s="102" t="s">
        <v>18</v>
      </c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160">
        <f>+W67-J67</f>
        <v>-107</v>
      </c>
      <c r="X68" s="541"/>
      <c r="Y68" s="103">
        <f>+SUM(L68:V68)-S68/2</f>
        <v>0</v>
      </c>
      <c r="Z68" s="138"/>
      <c r="AA68" s="138"/>
      <c r="AB68" s="122"/>
      <c r="AC68" s="116"/>
      <c r="AD68" s="157"/>
      <c r="AE68" s="167">
        <f t="shared" si="1"/>
        <v>0</v>
      </c>
      <c r="AF68" s="167"/>
      <c r="AG68" s="167"/>
    </row>
    <row r="69" spans="1:34" ht="59.25" customHeight="1" thickBot="1" x14ac:dyDescent="0.95">
      <c r="A69" s="124"/>
      <c r="B69" s="126">
        <f>+B67</f>
        <v>15</v>
      </c>
      <c r="C69" s="174" t="s">
        <v>80</v>
      </c>
      <c r="D69" s="175">
        <f>+D68+100</f>
        <v>115</v>
      </c>
      <c r="E69" s="175"/>
      <c r="F69" s="117" t="s">
        <v>94</v>
      </c>
      <c r="G69" s="117"/>
      <c r="H69" s="159"/>
      <c r="I69" s="165">
        <f>+IF(J69="","",IF(J67=0,"",(J67*I67)/(J69*60)))</f>
        <v>0.85349707602339187</v>
      </c>
      <c r="J69" s="118">
        <v>57</v>
      </c>
      <c r="K69" s="104" t="s">
        <v>19</v>
      </c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173"/>
      <c r="X69" s="168">
        <f>4.74+(COUNTA(L67:V67)-(Y67/J67))</f>
        <v>4.74</v>
      </c>
      <c r="Y69" s="105">
        <f>+SUM(L69:V69)-S69/2</f>
        <v>0</v>
      </c>
      <c r="Z69" s="139"/>
      <c r="AA69" s="139"/>
      <c r="AB69" s="119">
        <f>+IFERROR(AB67/(J67*9),"")</f>
        <v>0.83073727933541019</v>
      </c>
      <c r="AC69" s="120"/>
      <c r="AD69" s="161">
        <f>+Y68+Y69/2</f>
        <v>0</v>
      </c>
      <c r="AE69" s="167">
        <f t="shared" si="1"/>
        <v>0</v>
      </c>
      <c r="AF69" s="167"/>
      <c r="AG69" s="230">
        <f>+IF((Y67-J67*9)&gt;=0,"",Y67-J67*9)</f>
        <v>-963</v>
      </c>
    </row>
    <row r="70" spans="1:34" s="98" customFormat="1" ht="62.25" customHeight="1" thickTop="1" x14ac:dyDescent="0.9">
      <c r="A70" s="124"/>
      <c r="B70" s="127">
        <f>+B71</f>
        <v>17</v>
      </c>
      <c r="C70" s="106"/>
      <c r="D70" s="106"/>
      <c r="E70" s="106"/>
      <c r="F70" s="111"/>
      <c r="G70" s="106"/>
      <c r="H70" s="106"/>
      <c r="I70" s="107" t="s">
        <v>20</v>
      </c>
      <c r="J70" s="108" t="s">
        <v>23</v>
      </c>
      <c r="K70" s="100" t="s">
        <v>21</v>
      </c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135"/>
      <c r="X70" s="540">
        <f>+W72</f>
        <v>-120</v>
      </c>
      <c r="Y70" s="135">
        <f t="shared" si="0"/>
        <v>0</v>
      </c>
      <c r="Z70" s="136">
        <f>+AA70+Y70</f>
        <v>1875</v>
      </c>
      <c r="AA70" s="136">
        <v>1875</v>
      </c>
      <c r="AB70" s="121"/>
      <c r="AC70" s="110"/>
      <c r="AD70" s="157"/>
      <c r="AE70" s="167">
        <f t="shared" si="1"/>
        <v>0</v>
      </c>
      <c r="AF70" s="167"/>
      <c r="AG70" s="167"/>
      <c r="AH70" s="91"/>
    </row>
    <row r="71" spans="1:34" s="98" customFormat="1" ht="62.25" customHeight="1" x14ac:dyDescent="0.9">
      <c r="A71" s="124"/>
      <c r="B71" s="132">
        <v>17</v>
      </c>
      <c r="C71" s="111" t="s">
        <v>208</v>
      </c>
      <c r="D71" s="111"/>
      <c r="E71" s="111" t="s">
        <v>35</v>
      </c>
      <c r="F71" s="111" t="s">
        <v>209</v>
      </c>
      <c r="G71" s="111"/>
      <c r="H71" s="111" t="s">
        <v>210</v>
      </c>
      <c r="I71" s="113">
        <v>24.95</v>
      </c>
      <c r="J71" s="130">
        <v>120</v>
      </c>
      <c r="K71" s="101" t="s">
        <v>17</v>
      </c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123">
        <f>+IF(COUNTA(L71:V71)=8,Y71/(COUNTA(L71:V71)-0.5),IF(COUNTA(L71:V71)=0,0,Y71/COUNTA(L71:V71)))</f>
        <v>0</v>
      </c>
      <c r="X71" s="541"/>
      <c r="Y71" s="134">
        <f t="shared" si="0"/>
        <v>0</v>
      </c>
      <c r="Z71" s="137">
        <f>+Y71+AA71</f>
        <v>470</v>
      </c>
      <c r="AA71" s="137">
        <v>470</v>
      </c>
      <c r="AB71" s="140">
        <f>+Z70-Z71</f>
        <v>1405</v>
      </c>
      <c r="AC71" s="131" t="str">
        <f>+IF(((Y72+(Y73/2))*60)=0,"",(I71*Y71)/((Y72+(Y73/2))*60))</f>
        <v/>
      </c>
      <c r="AD71" s="157"/>
      <c r="AE71" s="167">
        <f t="shared" si="1"/>
        <v>0</v>
      </c>
      <c r="AF71" s="167">
        <f>+Y71*I71</f>
        <v>0</v>
      </c>
      <c r="AG71" s="167"/>
      <c r="AH71" s="91"/>
    </row>
    <row r="72" spans="1:34" s="98" customFormat="1" ht="62.25" customHeight="1" x14ac:dyDescent="0.9">
      <c r="A72" s="124"/>
      <c r="B72" s="125">
        <f>+B71</f>
        <v>17</v>
      </c>
      <c r="C72" s="184"/>
      <c r="D72" s="111"/>
      <c r="E72" s="111"/>
      <c r="F72" s="112" t="e">
        <f>+VLOOKUP(F71,'Obj Prix'!$H:$H,2,FALSE)</f>
        <v>#N/A</v>
      </c>
      <c r="G72" s="219"/>
      <c r="H72" s="210"/>
      <c r="I72" s="210">
        <v>3</v>
      </c>
      <c r="J72" s="114" t="s">
        <v>22</v>
      </c>
      <c r="K72" s="102" t="s">
        <v>18</v>
      </c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160">
        <f>+W71-J71</f>
        <v>-120</v>
      </c>
      <c r="X72" s="541"/>
      <c r="Y72" s="103">
        <f>+SUM(L72:V72)-S72/2</f>
        <v>0</v>
      </c>
      <c r="Z72" s="138"/>
      <c r="AA72" s="138"/>
      <c r="AB72" s="122"/>
      <c r="AC72" s="116"/>
      <c r="AD72" s="157"/>
      <c r="AE72" s="167">
        <f t="shared" si="1"/>
        <v>0</v>
      </c>
      <c r="AF72" s="167"/>
      <c r="AG72" s="167"/>
      <c r="AH72" s="91"/>
    </row>
    <row r="73" spans="1:34" s="98" customFormat="1" ht="62.25" customHeight="1" thickBot="1" x14ac:dyDescent="0.95">
      <c r="A73" s="124"/>
      <c r="B73" s="126">
        <f>+B71</f>
        <v>17</v>
      </c>
      <c r="C73" s="174" t="s">
        <v>151</v>
      </c>
      <c r="D73" s="175">
        <f>+D72+100</f>
        <v>100</v>
      </c>
      <c r="E73" s="175"/>
      <c r="F73" s="117" t="s">
        <v>111</v>
      </c>
      <c r="G73" s="218"/>
      <c r="H73" s="146"/>
      <c r="I73" s="165">
        <f>+IF(J73="","",IF(J71=0,"",(J71*I71)/(J73*60)))</f>
        <v>0.92407407407407405</v>
      </c>
      <c r="J73" s="118">
        <v>54</v>
      </c>
      <c r="K73" s="104" t="s">
        <v>19</v>
      </c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173"/>
      <c r="X73" s="168">
        <f>15.73+(COUNTA(L71:V71)-(Y71/J71))</f>
        <v>15.73</v>
      </c>
      <c r="Y73" s="105">
        <f>+SUM(L73:V73)-S73/2</f>
        <v>0</v>
      </c>
      <c r="Z73" s="139"/>
      <c r="AA73" s="139"/>
      <c r="AB73" s="119">
        <f>+IFERROR(AB71/(J71*9),"")</f>
        <v>1.3009259259259258</v>
      </c>
      <c r="AC73" s="120"/>
      <c r="AD73" s="161">
        <f>+Y72+Y73/2</f>
        <v>0</v>
      </c>
      <c r="AE73" s="167">
        <f t="shared" si="1"/>
        <v>0</v>
      </c>
      <c r="AF73" s="167"/>
      <c r="AG73" s="230">
        <f>+IF((Y71-J71*9)&gt;=0,"",Y71-J71*9)</f>
        <v>-1080</v>
      </c>
      <c r="AH73" s="91"/>
    </row>
    <row r="74" spans="1:34" s="98" customFormat="1" ht="62.25" customHeight="1" thickTop="1" x14ac:dyDescent="0.9">
      <c r="A74" s="124"/>
      <c r="B74" s="127">
        <f>+B75</f>
        <v>18</v>
      </c>
      <c r="C74" s="106"/>
      <c r="D74" s="106"/>
      <c r="E74" s="106"/>
      <c r="F74" s="106"/>
      <c r="G74" s="106"/>
      <c r="H74" s="106"/>
      <c r="I74" s="107" t="s">
        <v>20</v>
      </c>
      <c r="J74" s="108" t="s">
        <v>23</v>
      </c>
      <c r="K74" s="100" t="s">
        <v>21</v>
      </c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135"/>
      <c r="X74" s="540">
        <f>+W76</f>
        <v>-53</v>
      </c>
      <c r="Y74" s="135">
        <f t="shared" ref="Y74:Y83" si="2">+SUM(L74:V74)</f>
        <v>0</v>
      </c>
      <c r="Z74" s="136">
        <f>+AA74+Y74</f>
        <v>4314</v>
      </c>
      <c r="AA74" s="136">
        <v>4314</v>
      </c>
      <c r="AB74" s="121"/>
      <c r="AC74" s="110"/>
      <c r="AD74" s="157"/>
      <c r="AE74" s="167">
        <f t="shared" si="1"/>
        <v>0</v>
      </c>
      <c r="AF74" s="167"/>
      <c r="AG74" s="167"/>
      <c r="AH74" s="91"/>
    </row>
    <row r="75" spans="1:34" s="98" customFormat="1" ht="62.25" customHeight="1" x14ac:dyDescent="0.9">
      <c r="A75" s="124"/>
      <c r="B75" s="132">
        <v>18</v>
      </c>
      <c r="C75" s="111" t="s">
        <v>195</v>
      </c>
      <c r="D75" s="111"/>
      <c r="E75" s="111" t="s">
        <v>35</v>
      </c>
      <c r="F75" s="111" t="s">
        <v>196</v>
      </c>
      <c r="G75" s="111">
        <v>5038</v>
      </c>
      <c r="H75" s="111" t="s">
        <v>33</v>
      </c>
      <c r="I75" s="113">
        <v>61.42</v>
      </c>
      <c r="J75" s="130">
        <v>53</v>
      </c>
      <c r="K75" s="101" t="s">
        <v>17</v>
      </c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123">
        <f>+IF(COUNTA(L75:V75)=8,Y75/(COUNTA(L75:V75)-0.5),IF(COUNTA(L75:V75)=0,0,Y75/COUNTA(L75:V75)))</f>
        <v>0</v>
      </c>
      <c r="X75" s="541"/>
      <c r="Y75" s="134">
        <f t="shared" si="2"/>
        <v>0</v>
      </c>
      <c r="Z75" s="137">
        <f>+Y75+AA75</f>
        <v>3444</v>
      </c>
      <c r="AA75" s="137">
        <v>3444</v>
      </c>
      <c r="AB75" s="140">
        <f>+Z74-Z75</f>
        <v>870</v>
      </c>
      <c r="AC75" s="131" t="str">
        <f>+IF(((Y76+(Y77/2))*60)=0,"",(I75*Y75)/((Y76+(Y77/2))*60))</f>
        <v/>
      </c>
      <c r="AD75" s="157"/>
      <c r="AE75" s="167">
        <f t="shared" si="1"/>
        <v>0</v>
      </c>
      <c r="AF75" s="167">
        <f>+Y75*I75</f>
        <v>0</v>
      </c>
      <c r="AG75" s="167"/>
      <c r="AH75" s="91"/>
    </row>
    <row r="76" spans="1:34" s="98" customFormat="1" ht="62.25" customHeight="1" x14ac:dyDescent="0.9">
      <c r="A76" s="124"/>
      <c r="B76" s="125">
        <f>+B75</f>
        <v>18</v>
      </c>
      <c r="C76" s="184"/>
      <c r="D76" s="111">
        <f>+B75</f>
        <v>18</v>
      </c>
      <c r="E76" s="111"/>
      <c r="F76" s="112" t="e">
        <f>+VLOOKUP(F75,'Obj Prix'!$H:$H,2,FALSE)</f>
        <v>#N/A</v>
      </c>
      <c r="G76" s="219"/>
      <c r="H76" s="210">
        <v>1</v>
      </c>
      <c r="I76" s="210">
        <v>2</v>
      </c>
      <c r="J76" s="114" t="s">
        <v>22</v>
      </c>
      <c r="K76" s="102" t="s">
        <v>18</v>
      </c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160">
        <f>+W75-J75</f>
        <v>-53</v>
      </c>
      <c r="X76" s="541"/>
      <c r="Y76" s="103">
        <f>+SUM(L76:V76)-S76/2</f>
        <v>0</v>
      </c>
      <c r="Z76" s="138"/>
      <c r="AA76" s="138"/>
      <c r="AB76" s="122"/>
      <c r="AC76" s="116"/>
      <c r="AD76" s="157"/>
      <c r="AE76" s="167">
        <f t="shared" si="1"/>
        <v>0</v>
      </c>
      <c r="AF76" s="167"/>
      <c r="AG76" s="167"/>
      <c r="AH76" s="91"/>
    </row>
    <row r="77" spans="1:34" s="98" customFormat="1" ht="62.25" customHeight="1" thickBot="1" x14ac:dyDescent="0.95">
      <c r="A77" s="124"/>
      <c r="B77" s="126">
        <f>+B75</f>
        <v>18</v>
      </c>
      <c r="C77" s="174" t="s">
        <v>79</v>
      </c>
      <c r="D77" s="175">
        <f>+D76+100</f>
        <v>118</v>
      </c>
      <c r="E77" s="175"/>
      <c r="F77" s="117" t="s">
        <v>111</v>
      </c>
      <c r="G77" s="117"/>
      <c r="H77" s="146" t="s">
        <v>200</v>
      </c>
      <c r="I77" s="165">
        <f>+IF(J77="","",IF(J75=0,"",(J75*I75)/(J77*60)))</f>
        <v>0.9195649717514125</v>
      </c>
      <c r="J77" s="118">
        <v>59</v>
      </c>
      <c r="K77" s="104" t="s">
        <v>19</v>
      </c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173"/>
      <c r="X77" s="169">
        <v>10.76</v>
      </c>
      <c r="Y77" s="105">
        <f>+SUM(L77:V77)-S77/2</f>
        <v>0</v>
      </c>
      <c r="Z77" s="139"/>
      <c r="AA77" s="139"/>
      <c r="AB77" s="119">
        <f>+IFERROR(AB75/(J75*9),"")</f>
        <v>1.8238993710691824</v>
      </c>
      <c r="AC77" s="120"/>
      <c r="AD77" s="161">
        <f>+Y76+Y77/2</f>
        <v>0</v>
      </c>
      <c r="AE77" s="167">
        <f t="shared" si="1"/>
        <v>0</v>
      </c>
      <c r="AF77" s="167"/>
      <c r="AG77" s="230">
        <f>+IF((Y75-J75*9)&gt;=0,"",Y75-J75*9)</f>
        <v>-477</v>
      </c>
      <c r="AH77" s="91"/>
    </row>
    <row r="78" spans="1:34" ht="62.25" customHeight="1" thickTop="1" x14ac:dyDescent="0.9">
      <c r="A78" s="124"/>
      <c r="B78" s="127">
        <f>+B79</f>
        <v>19</v>
      </c>
      <c r="C78" s="106"/>
      <c r="D78" s="106"/>
      <c r="E78" s="106"/>
      <c r="F78" s="106"/>
      <c r="G78" s="106"/>
      <c r="H78" s="106"/>
      <c r="I78" s="107" t="s">
        <v>20</v>
      </c>
      <c r="J78" s="108" t="s">
        <v>23</v>
      </c>
      <c r="K78" s="100" t="s">
        <v>21</v>
      </c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135"/>
      <c r="X78" s="540">
        <f>+W80</f>
        <v>-3</v>
      </c>
      <c r="Y78" s="135">
        <f t="shared" si="2"/>
        <v>0</v>
      </c>
      <c r="Z78" s="136">
        <f>+AA78+Y78</f>
        <v>4167</v>
      </c>
      <c r="AA78" s="136">
        <v>4167</v>
      </c>
      <c r="AB78" s="109"/>
      <c r="AC78" s="110"/>
      <c r="AD78" s="157"/>
      <c r="AE78" s="167">
        <f t="shared" ref="AE78:AE85" si="3">+AD78*60</f>
        <v>0</v>
      </c>
      <c r="AF78" s="167"/>
      <c r="AG78" s="167"/>
    </row>
    <row r="79" spans="1:34" ht="62.25" customHeight="1" x14ac:dyDescent="0.9">
      <c r="A79" s="124"/>
      <c r="B79" s="133">
        <v>19</v>
      </c>
      <c r="C79" s="111" t="s">
        <v>195</v>
      </c>
      <c r="D79" s="111"/>
      <c r="E79" s="111" t="s">
        <v>35</v>
      </c>
      <c r="F79" s="111" t="s">
        <v>196</v>
      </c>
      <c r="G79" s="111">
        <v>5038</v>
      </c>
      <c r="H79" s="111" t="s">
        <v>33</v>
      </c>
      <c r="I79" s="113">
        <v>61.42</v>
      </c>
      <c r="J79" s="130">
        <v>53</v>
      </c>
      <c r="K79" s="101" t="s">
        <v>17</v>
      </c>
      <c r="L79" s="214">
        <v>50</v>
      </c>
      <c r="M79" s="214">
        <v>50</v>
      </c>
      <c r="N79" s="214">
        <v>50</v>
      </c>
      <c r="O79" s="214">
        <v>50</v>
      </c>
      <c r="P79" s="214">
        <v>50</v>
      </c>
      <c r="Q79" s="214">
        <v>50</v>
      </c>
      <c r="R79" s="214">
        <v>50</v>
      </c>
      <c r="S79" s="214"/>
      <c r="T79" s="214"/>
      <c r="U79" s="214"/>
      <c r="V79" s="214"/>
      <c r="W79" s="123">
        <f>+IF(COUNTA(L79:V79)=8,Y79/(COUNTA(L79:V79)-0.5),IF(COUNTA(L79:V79)=0,0,Y79/COUNTA(L79:V79)))</f>
        <v>50</v>
      </c>
      <c r="X79" s="541"/>
      <c r="Y79" s="134">
        <f t="shared" si="2"/>
        <v>350</v>
      </c>
      <c r="Z79" s="137">
        <f>+Y79+AA79</f>
        <v>4160</v>
      </c>
      <c r="AA79" s="137">
        <v>3810</v>
      </c>
      <c r="AB79" s="140">
        <f>+Z78-Z79</f>
        <v>7</v>
      </c>
      <c r="AC79" s="131">
        <f>+IF(((Y80+(Y81/2))*60)=0,"",(I79*Y79)/((Y80+(Y81/2))*60))</f>
        <v>11.942777777777778</v>
      </c>
      <c r="AD79" s="157"/>
      <c r="AE79" s="167">
        <f t="shared" si="3"/>
        <v>0</v>
      </c>
      <c r="AF79" s="167">
        <f>+Y79*I79</f>
        <v>21497</v>
      </c>
      <c r="AG79" s="167"/>
    </row>
    <row r="80" spans="1:34" ht="62.25" customHeight="1" x14ac:dyDescent="0.9">
      <c r="A80" s="124"/>
      <c r="B80" s="125">
        <f>+B79</f>
        <v>19</v>
      </c>
      <c r="C80" s="184"/>
      <c r="D80" s="111">
        <f>+B79</f>
        <v>19</v>
      </c>
      <c r="E80" s="111"/>
      <c r="F80" s="112" t="e">
        <f>+VLOOKUP(F79,'Obj Prix'!$H:$H,2,FALSE)</f>
        <v>#N/A</v>
      </c>
      <c r="G80" s="219"/>
      <c r="H80" s="210">
        <v>1</v>
      </c>
      <c r="I80" s="210">
        <v>3</v>
      </c>
      <c r="J80" s="114" t="s">
        <v>22</v>
      </c>
      <c r="K80" s="102" t="s">
        <v>18</v>
      </c>
      <c r="L80" s="215">
        <v>4</v>
      </c>
      <c r="M80" s="215">
        <v>4</v>
      </c>
      <c r="N80" s="215">
        <v>4</v>
      </c>
      <c r="O80" s="215">
        <v>4</v>
      </c>
      <c r="P80" s="215">
        <v>4</v>
      </c>
      <c r="Q80" s="215">
        <v>4</v>
      </c>
      <c r="R80" s="215">
        <v>4</v>
      </c>
      <c r="S80" s="215">
        <v>4</v>
      </c>
      <c r="T80" s="215"/>
      <c r="U80" s="215"/>
      <c r="V80" s="215"/>
      <c r="W80" s="160">
        <f>+W79-J79</f>
        <v>-3</v>
      </c>
      <c r="X80" s="541"/>
      <c r="Y80" s="103">
        <f>+SUM(L80:V80)-S80/2</f>
        <v>30</v>
      </c>
      <c r="Z80" s="138"/>
      <c r="AA80" s="138"/>
      <c r="AB80" s="115"/>
      <c r="AC80" s="116"/>
      <c r="AD80" s="157"/>
      <c r="AE80" s="167">
        <f t="shared" si="3"/>
        <v>0</v>
      </c>
      <c r="AF80" s="167"/>
      <c r="AG80" s="167"/>
    </row>
    <row r="81" spans="1:35" s="98" customFormat="1" ht="62.25" customHeight="1" thickBot="1" x14ac:dyDescent="0.95">
      <c r="A81" s="124"/>
      <c r="B81" s="126">
        <f>+B79</f>
        <v>19</v>
      </c>
      <c r="C81" s="174" t="s">
        <v>152</v>
      </c>
      <c r="D81" s="175">
        <f>+D80+100</f>
        <v>119</v>
      </c>
      <c r="E81" s="175"/>
      <c r="F81" s="117" t="s">
        <v>203</v>
      </c>
      <c r="G81" s="117"/>
      <c r="H81" s="146" t="s">
        <v>200</v>
      </c>
      <c r="I81" s="165">
        <f>+IF(J81="","",IF(J79=0,"",(J79*I79)/(J81*60)))</f>
        <v>0.9195649717514125</v>
      </c>
      <c r="J81" s="118">
        <v>59</v>
      </c>
      <c r="K81" s="104" t="s">
        <v>19</v>
      </c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173"/>
      <c r="X81" s="169">
        <v>9.3000000000000007</v>
      </c>
      <c r="Y81" s="105">
        <f>+SUM(L81:V81)-S81/2</f>
        <v>0</v>
      </c>
      <c r="Z81" s="139"/>
      <c r="AA81" s="139"/>
      <c r="AB81" s="119">
        <f>+IFERROR(AB79/(J79*9),"")</f>
        <v>1.4675052410901468E-2</v>
      </c>
      <c r="AC81" s="120"/>
      <c r="AD81" s="161">
        <f>+Y80+Y81/2</f>
        <v>30</v>
      </c>
      <c r="AE81" s="167">
        <f t="shared" si="3"/>
        <v>1800</v>
      </c>
      <c r="AF81" s="167"/>
      <c r="AG81" s="230">
        <f>+IF((Y79-J79*9)&gt;=0,"",Y79-J79*9)</f>
        <v>-127</v>
      </c>
      <c r="AH81" s="91"/>
    </row>
    <row r="82" spans="1:35" ht="62.25" customHeight="1" thickTop="1" x14ac:dyDescent="0.9">
      <c r="A82" s="124"/>
      <c r="B82" s="127">
        <f>+B83</f>
        <v>19</v>
      </c>
      <c r="C82" s="106"/>
      <c r="D82" s="106"/>
      <c r="E82" s="106"/>
      <c r="F82" s="106"/>
      <c r="G82" s="106"/>
      <c r="H82" s="106"/>
      <c r="I82" s="107" t="s">
        <v>20</v>
      </c>
      <c r="J82" s="108" t="s">
        <v>23</v>
      </c>
      <c r="K82" s="100" t="s">
        <v>21</v>
      </c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135"/>
      <c r="X82" s="540">
        <f>+W84</f>
        <v>-120</v>
      </c>
      <c r="Y82" s="135">
        <f t="shared" si="2"/>
        <v>0</v>
      </c>
      <c r="Z82" s="136">
        <f>+AA82+Y82</f>
        <v>900</v>
      </c>
      <c r="AA82" s="136">
        <v>900</v>
      </c>
      <c r="AB82" s="109"/>
      <c r="AC82" s="110"/>
      <c r="AD82" s="157"/>
      <c r="AE82" s="167">
        <f t="shared" si="3"/>
        <v>0</v>
      </c>
      <c r="AF82" s="167"/>
      <c r="AG82" s="167"/>
    </row>
    <row r="83" spans="1:35" ht="62.25" customHeight="1" x14ac:dyDescent="0.9">
      <c r="A83" s="124"/>
      <c r="B83" s="133">
        <v>19</v>
      </c>
      <c r="C83" s="111" t="s">
        <v>208</v>
      </c>
      <c r="D83" s="111"/>
      <c r="E83" s="111" t="s">
        <v>35</v>
      </c>
      <c r="F83" s="111" t="s">
        <v>209</v>
      </c>
      <c r="G83" s="111">
        <v>11525</v>
      </c>
      <c r="H83" s="111" t="s">
        <v>210</v>
      </c>
      <c r="I83" s="113">
        <v>24.95</v>
      </c>
      <c r="J83" s="130">
        <v>120</v>
      </c>
      <c r="K83" s="101" t="s">
        <v>17</v>
      </c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123">
        <f>+IF(COUNTA(L83:V83)=8,Y83/(COUNTA(L83:V83)-0.5),IF(COUNTA(L83:V83)=0,0,Y83/COUNTA(L83:V83)))</f>
        <v>0</v>
      </c>
      <c r="X83" s="541"/>
      <c r="Y83" s="134">
        <f t="shared" si="2"/>
        <v>0</v>
      </c>
      <c r="Z83" s="137">
        <f>+Y83+AA83</f>
        <v>0</v>
      </c>
      <c r="AA83" s="137">
        <v>0</v>
      </c>
      <c r="AB83" s="140">
        <f>+Z82-Z83</f>
        <v>900</v>
      </c>
      <c r="AC83" s="131" t="str">
        <f>+IF(((Y84+(Y85/2))*60)=0,"",(I83*Y83)/((Y84+(Y85/2))*60))</f>
        <v/>
      </c>
      <c r="AD83" s="157"/>
      <c r="AE83" s="167">
        <f t="shared" si="3"/>
        <v>0</v>
      </c>
      <c r="AF83" s="167">
        <f>+Y83*I83</f>
        <v>0</v>
      </c>
      <c r="AG83" s="167"/>
    </row>
    <row r="84" spans="1:35" ht="62.25" customHeight="1" x14ac:dyDescent="0.9">
      <c r="A84" s="124"/>
      <c r="B84" s="125">
        <f>+B83</f>
        <v>19</v>
      </c>
      <c r="C84" s="184"/>
      <c r="D84" s="111">
        <f>+B83</f>
        <v>19</v>
      </c>
      <c r="E84" s="111"/>
      <c r="F84" s="112" t="e">
        <f>+VLOOKUP(F83,'Obj Prix'!$H:$H,2,FALSE)</f>
        <v>#N/A</v>
      </c>
      <c r="G84" s="219"/>
      <c r="H84" s="210"/>
      <c r="I84" s="210">
        <v>3</v>
      </c>
      <c r="J84" s="114" t="s">
        <v>22</v>
      </c>
      <c r="K84" s="102" t="s">
        <v>18</v>
      </c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160">
        <f>+W83-J83</f>
        <v>-120</v>
      </c>
      <c r="X84" s="541"/>
      <c r="Y84" s="103">
        <f>+SUM(L84:V84)-S84/2</f>
        <v>0</v>
      </c>
      <c r="Z84" s="138"/>
      <c r="AA84" s="138"/>
      <c r="AB84" s="115"/>
      <c r="AC84" s="116"/>
      <c r="AD84" s="157"/>
      <c r="AE84" s="167">
        <f t="shared" si="3"/>
        <v>0</v>
      </c>
      <c r="AF84" s="167"/>
      <c r="AG84" s="167"/>
    </row>
    <row r="85" spans="1:35" s="98" customFormat="1" ht="62.25" customHeight="1" thickBot="1" x14ac:dyDescent="0.95">
      <c r="A85" s="124"/>
      <c r="B85" s="126">
        <f>+B83</f>
        <v>19</v>
      </c>
      <c r="C85" s="174" t="s">
        <v>152</v>
      </c>
      <c r="D85" s="175">
        <f>+D84+100</f>
        <v>119</v>
      </c>
      <c r="E85" s="175"/>
      <c r="F85" s="117" t="s">
        <v>203</v>
      </c>
      <c r="G85" s="117"/>
      <c r="H85" s="146"/>
      <c r="I85" s="165">
        <f>+IF(J85="","",IF(J83=0,"",(J83*I83)/(J85*60)))</f>
        <v>0.92407407407407405</v>
      </c>
      <c r="J85" s="118">
        <v>54</v>
      </c>
      <c r="K85" s="104" t="s">
        <v>19</v>
      </c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173"/>
      <c r="X85" s="168">
        <f>+(COUNTA(L83:V83)-(Y83/J83))</f>
        <v>0</v>
      </c>
      <c r="Y85" s="105">
        <f>+SUM(L85:V85)-S85/2</f>
        <v>0</v>
      </c>
      <c r="Z85" s="139"/>
      <c r="AA85" s="139"/>
      <c r="AB85" s="119">
        <f>+IFERROR(AB83/(J83*9),"")</f>
        <v>0.83333333333333337</v>
      </c>
      <c r="AC85" s="120"/>
      <c r="AD85" s="161">
        <f>+Y84+Y85/2</f>
        <v>0</v>
      </c>
      <c r="AE85" s="167">
        <f t="shared" si="3"/>
        <v>0</v>
      </c>
      <c r="AF85" s="167"/>
      <c r="AG85" s="230">
        <f>+IF((Y83-J83*9)&gt;=0,"",Y83-J83*9)</f>
        <v>-1080</v>
      </c>
      <c r="AH85" s="91"/>
    </row>
    <row r="86" spans="1:35" s="98" customFormat="1" ht="39.75" customHeight="1" thickTop="1" thickBot="1" x14ac:dyDescent="0.95">
      <c r="A86" s="124"/>
      <c r="B86" s="94"/>
      <c r="C86" s="176"/>
      <c r="D86" s="91"/>
      <c r="E86" s="91"/>
      <c r="F86" s="91"/>
      <c r="G86" s="91"/>
      <c r="I86" s="91"/>
      <c r="J86" s="91"/>
      <c r="K86" s="99"/>
      <c r="L86" s="124"/>
      <c r="M86" s="124"/>
      <c r="N86" s="124"/>
      <c r="O86" s="124"/>
      <c r="P86" s="124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5"/>
      <c r="AD86" s="158"/>
      <c r="AE86" s="167"/>
      <c r="AG86" s="220"/>
      <c r="AH86" s="220"/>
      <c r="AI86" s="220"/>
    </row>
    <row r="87" spans="1:35" s="148" customFormat="1" ht="91.5" customHeight="1" thickTop="1" thickBot="1" x14ac:dyDescent="0.55000000000000004">
      <c r="A87" s="164"/>
      <c r="B87" s="181"/>
      <c r="C87" s="92"/>
      <c r="D87" s="92"/>
      <c r="E87" s="92"/>
      <c r="F87" s="92"/>
      <c r="G87" s="92"/>
      <c r="H87" s="98"/>
      <c r="I87" s="92"/>
      <c r="J87" s="92"/>
      <c r="K87" s="179" t="s">
        <v>17</v>
      </c>
      <c r="L87" s="166">
        <f t="shared" ref="L87:V87" si="4">+SUMIF($K$6:$K$86,$K$87,L6:L86)</f>
        <v>75</v>
      </c>
      <c r="M87" s="166">
        <f t="shared" si="4"/>
        <v>75</v>
      </c>
      <c r="N87" s="166">
        <f t="shared" si="4"/>
        <v>75</v>
      </c>
      <c r="O87" s="166">
        <f t="shared" si="4"/>
        <v>75</v>
      </c>
      <c r="P87" s="166">
        <f t="shared" si="4"/>
        <v>75</v>
      </c>
      <c r="Q87" s="166">
        <f t="shared" si="4"/>
        <v>75</v>
      </c>
      <c r="R87" s="166">
        <f t="shared" si="4"/>
        <v>75</v>
      </c>
      <c r="S87" s="166">
        <f t="shared" si="4"/>
        <v>13</v>
      </c>
      <c r="T87" s="166">
        <f t="shared" si="4"/>
        <v>0</v>
      </c>
      <c r="U87" s="166">
        <f t="shared" si="4"/>
        <v>0</v>
      </c>
      <c r="V87" s="166">
        <f t="shared" si="4"/>
        <v>0</v>
      </c>
      <c r="W87" s="2"/>
      <c r="X87" s="166">
        <f>+SUM(L87:V87)</f>
        <v>538</v>
      </c>
      <c r="Y87" s="92"/>
      <c r="Z87" s="164"/>
      <c r="AA87" s="92"/>
      <c r="AB87" s="92"/>
      <c r="AC87" s="177"/>
      <c r="AD87" s="178"/>
      <c r="AE87" s="167">
        <f>+AD87*60</f>
        <v>0</v>
      </c>
      <c r="AH87" s="91"/>
    </row>
    <row r="88" spans="1:35" s="148" customFormat="1" ht="91.5" customHeight="1" thickTop="1" thickBot="1" x14ac:dyDescent="0.55000000000000004">
      <c r="A88" s="164"/>
      <c r="B88" s="223"/>
      <c r="C88" s="223"/>
      <c r="D88" s="223"/>
      <c r="E88" s="223"/>
      <c r="F88" s="223"/>
      <c r="G88" s="223"/>
      <c r="H88" s="91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92"/>
      <c r="Z88" s="92"/>
      <c r="AA88" s="92"/>
      <c r="AB88" s="92"/>
      <c r="AC88" s="177"/>
      <c r="AD88" s="178"/>
      <c r="AE88" s="167"/>
      <c r="AH88" s="91"/>
    </row>
    <row r="89" spans="1:35" s="98" customFormat="1" ht="91.5" customHeight="1" thickTop="1" thickBot="1" x14ac:dyDescent="0.95">
      <c r="A89" s="124"/>
      <c r="B89" s="94"/>
      <c r="C89" s="91"/>
      <c r="D89" s="91"/>
      <c r="E89" s="91"/>
      <c r="F89" s="91"/>
      <c r="G89" s="91"/>
      <c r="H89" s="92"/>
      <c r="I89" s="91"/>
      <c r="J89" s="91"/>
      <c r="K89" s="208" t="s">
        <v>18</v>
      </c>
      <c r="L89" s="166">
        <f t="shared" ref="L89:V89" si="5">+SUMIF($K$6:$K$86,$K$89,L6:L86)</f>
        <v>16</v>
      </c>
      <c r="M89" s="166">
        <f t="shared" si="5"/>
        <v>16</v>
      </c>
      <c r="N89" s="166">
        <f t="shared" si="5"/>
        <v>16</v>
      </c>
      <c r="O89" s="166">
        <f t="shared" si="5"/>
        <v>16</v>
      </c>
      <c r="P89" s="166">
        <f t="shared" si="5"/>
        <v>16</v>
      </c>
      <c r="Q89" s="166">
        <f t="shared" si="5"/>
        <v>16</v>
      </c>
      <c r="R89" s="166">
        <f t="shared" si="5"/>
        <v>16</v>
      </c>
      <c r="S89" s="166">
        <f t="shared" si="5"/>
        <v>16</v>
      </c>
      <c r="T89" s="166">
        <f t="shared" si="5"/>
        <v>0</v>
      </c>
      <c r="U89" s="166">
        <f t="shared" si="5"/>
        <v>0</v>
      </c>
      <c r="V89" s="166">
        <f t="shared" si="5"/>
        <v>0</v>
      </c>
      <c r="W89" s="2"/>
      <c r="X89" s="91"/>
      <c r="Y89" s="91"/>
      <c r="Z89" s="91"/>
      <c r="AA89" s="91"/>
      <c r="AB89" s="91"/>
      <c r="AC89" s="95"/>
      <c r="AD89" s="158"/>
      <c r="AH89" s="91"/>
    </row>
    <row r="90" spans="1:35" s="98" customFormat="1" ht="91.5" customHeight="1" thickTop="1" thickBot="1" x14ac:dyDescent="0.95">
      <c r="A90" s="124"/>
      <c r="B90" s="94"/>
      <c r="C90" s="91"/>
      <c r="D90" s="91"/>
      <c r="E90" s="91"/>
      <c r="F90" s="91"/>
      <c r="G90" s="91"/>
      <c r="H90" s="223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 t="s">
        <v>185</v>
      </c>
      <c r="Y90" s="91"/>
      <c r="Z90" s="91"/>
      <c r="AA90" s="91"/>
      <c r="AB90" s="91"/>
      <c r="AC90" s="95"/>
      <c r="AD90" s="158"/>
      <c r="AH90" s="91"/>
    </row>
    <row r="91" spans="1:35" s="98" customFormat="1" ht="91.5" customHeight="1" thickTop="1" thickBot="1" x14ac:dyDescent="0.95">
      <c r="A91" s="124"/>
      <c r="B91" s="94"/>
      <c r="C91" s="92"/>
      <c r="D91" s="92"/>
      <c r="E91" s="92"/>
      <c r="F91" s="92"/>
      <c r="G91" s="92"/>
      <c r="H91" s="91"/>
      <c r="I91" s="93"/>
      <c r="J91" s="92"/>
      <c r="K91" s="208" t="s">
        <v>19</v>
      </c>
      <c r="L91" s="166">
        <f t="shared" ref="L91:V91" si="6">+SUMIF($K$6:$K$86,$K$91,L6:L86)</f>
        <v>0</v>
      </c>
      <c r="M91" s="166">
        <f t="shared" si="6"/>
        <v>0</v>
      </c>
      <c r="N91" s="166">
        <f t="shared" si="6"/>
        <v>0</v>
      </c>
      <c r="O91" s="166">
        <f t="shared" si="6"/>
        <v>0</v>
      </c>
      <c r="P91" s="166">
        <f t="shared" si="6"/>
        <v>0</v>
      </c>
      <c r="Q91" s="166">
        <f t="shared" si="6"/>
        <v>0</v>
      </c>
      <c r="R91" s="166">
        <f t="shared" si="6"/>
        <v>0</v>
      </c>
      <c r="S91" s="166">
        <f t="shared" si="6"/>
        <v>0</v>
      </c>
      <c r="T91" s="166">
        <f t="shared" si="6"/>
        <v>0</v>
      </c>
      <c r="U91" s="166">
        <f t="shared" si="6"/>
        <v>0</v>
      </c>
      <c r="V91" s="166">
        <f t="shared" si="6"/>
        <v>0</v>
      </c>
      <c r="W91" s="2"/>
      <c r="X91" s="91"/>
      <c r="Y91" s="91"/>
      <c r="Z91" s="91"/>
      <c r="AA91" s="91"/>
      <c r="AB91" s="91"/>
      <c r="AC91" s="95"/>
      <c r="AD91" s="158"/>
      <c r="AH91" s="91"/>
    </row>
    <row r="92" spans="1:35" s="98" customFormat="1" ht="62.25" customHeight="1" thickTop="1" x14ac:dyDescent="0.9">
      <c r="A92" s="124"/>
      <c r="B92" s="94"/>
      <c r="C92" s="92"/>
      <c r="D92" s="92"/>
      <c r="E92" s="92"/>
      <c r="F92" s="92"/>
      <c r="G92" s="92"/>
      <c r="H92" s="91"/>
      <c r="I92" s="93"/>
      <c r="J92" s="92"/>
      <c r="K92" s="99"/>
      <c r="L92" s="209">
        <f>+IF(L89=0,"",L91/L89)</f>
        <v>0</v>
      </c>
      <c r="M92" s="209">
        <f t="shared" ref="M92:V92" si="7">+IF(M89=0,"",M91/M89)</f>
        <v>0</v>
      </c>
      <c r="N92" s="209">
        <f t="shared" si="7"/>
        <v>0</v>
      </c>
      <c r="O92" s="209">
        <f t="shared" si="7"/>
        <v>0</v>
      </c>
      <c r="P92" s="209">
        <f t="shared" si="7"/>
        <v>0</v>
      </c>
      <c r="Q92" s="209">
        <f t="shared" si="7"/>
        <v>0</v>
      </c>
      <c r="R92" s="209">
        <f t="shared" si="7"/>
        <v>0</v>
      </c>
      <c r="S92" s="209">
        <f t="shared" si="7"/>
        <v>0</v>
      </c>
      <c r="T92" s="209" t="str">
        <f t="shared" si="7"/>
        <v/>
      </c>
      <c r="U92" s="209" t="str">
        <f t="shared" si="7"/>
        <v/>
      </c>
      <c r="V92" s="209" t="str">
        <f t="shared" si="7"/>
        <v/>
      </c>
      <c r="W92" s="91"/>
      <c r="X92" s="91"/>
      <c r="Y92" s="91"/>
      <c r="Z92" s="91"/>
      <c r="AA92" s="91"/>
      <c r="AB92" s="211"/>
      <c r="AC92" s="95"/>
      <c r="AD92" s="158"/>
      <c r="AH92" s="91"/>
    </row>
    <row r="93" spans="1:35" s="98" customFormat="1" ht="62.25" customHeight="1" thickBot="1" x14ac:dyDescent="0.95">
      <c r="A93" s="124"/>
      <c r="B93" s="94"/>
      <c r="C93" s="92"/>
      <c r="D93" s="92"/>
      <c r="E93" s="92"/>
      <c r="F93" s="92"/>
      <c r="G93" s="92"/>
      <c r="H93" s="92"/>
      <c r="I93" s="93"/>
      <c r="J93" s="92"/>
      <c r="K93" s="99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5"/>
      <c r="AD93" s="158"/>
      <c r="AH93" s="91"/>
    </row>
    <row r="94" spans="1:35" s="98" customFormat="1" ht="88.5" customHeight="1" thickTop="1" thickBot="1" x14ac:dyDescent="0.95">
      <c r="A94" s="124"/>
      <c r="B94" s="94"/>
      <c r="C94" s="92"/>
      <c r="D94" s="92"/>
      <c r="E94" s="92"/>
      <c r="F94" s="92"/>
      <c r="G94" s="92"/>
      <c r="H94" s="92"/>
      <c r="I94" s="93"/>
      <c r="J94" s="212" t="s">
        <v>18</v>
      </c>
      <c r="K94" s="222" t="s">
        <v>180</v>
      </c>
      <c r="L94" s="166">
        <f t="shared" ref="L94:V94" si="8">+IF(L89=0,"",SUMIF($K$6:$K$86,$J$94,$I$6:$I$86))</f>
        <v>29</v>
      </c>
      <c r="M94" s="166">
        <f t="shared" si="8"/>
        <v>29</v>
      </c>
      <c r="N94" s="166">
        <f t="shared" si="8"/>
        <v>29</v>
      </c>
      <c r="O94" s="166">
        <f t="shared" si="8"/>
        <v>29</v>
      </c>
      <c r="P94" s="166">
        <f t="shared" si="8"/>
        <v>29</v>
      </c>
      <c r="Q94" s="166">
        <f t="shared" si="8"/>
        <v>29</v>
      </c>
      <c r="R94" s="166">
        <f t="shared" si="8"/>
        <v>29</v>
      </c>
      <c r="S94" s="166">
        <f t="shared" si="8"/>
        <v>29</v>
      </c>
      <c r="T94" s="166" t="str">
        <f t="shared" si="8"/>
        <v/>
      </c>
      <c r="U94" s="166" t="str">
        <f t="shared" si="8"/>
        <v/>
      </c>
      <c r="V94" s="166" t="str">
        <f t="shared" si="8"/>
        <v/>
      </c>
      <c r="W94" s="2"/>
      <c r="X94" s="91"/>
      <c r="Y94" s="91"/>
      <c r="Z94" s="91"/>
      <c r="AA94" s="91"/>
      <c r="AB94" s="91"/>
      <c r="AC94" s="95"/>
      <c r="AD94" s="158"/>
      <c r="AH94" s="91"/>
    </row>
    <row r="95" spans="1:35" s="98" customFormat="1" ht="62.25" customHeight="1" thickTop="1" x14ac:dyDescent="0.9">
      <c r="A95" s="124"/>
      <c r="B95" s="94"/>
      <c r="C95" s="92"/>
      <c r="D95" s="92"/>
      <c r="E95" s="92"/>
      <c r="F95" s="92"/>
      <c r="G95" s="92"/>
      <c r="H95" s="92"/>
      <c r="I95" s="93"/>
      <c r="J95" s="212"/>
      <c r="K95" s="99"/>
      <c r="L95" s="209">
        <f>+IF(L89=0,"",L94/L89)</f>
        <v>1.8125</v>
      </c>
      <c r="M95" s="209">
        <f t="shared" ref="M95:V95" si="9">+IF(M89=0,"",M94/M89)</f>
        <v>1.8125</v>
      </c>
      <c r="N95" s="209">
        <f t="shared" si="9"/>
        <v>1.8125</v>
      </c>
      <c r="O95" s="209">
        <f t="shared" si="9"/>
        <v>1.8125</v>
      </c>
      <c r="P95" s="209">
        <f t="shared" si="9"/>
        <v>1.8125</v>
      </c>
      <c r="Q95" s="209">
        <f t="shared" si="9"/>
        <v>1.8125</v>
      </c>
      <c r="R95" s="209">
        <f t="shared" si="9"/>
        <v>1.8125</v>
      </c>
      <c r="S95" s="209">
        <f t="shared" si="9"/>
        <v>1.8125</v>
      </c>
      <c r="T95" s="209" t="str">
        <f t="shared" si="9"/>
        <v/>
      </c>
      <c r="U95" s="209" t="str">
        <f t="shared" si="9"/>
        <v/>
      </c>
      <c r="V95" s="209" t="str">
        <f t="shared" si="9"/>
        <v/>
      </c>
      <c r="W95" s="91"/>
      <c r="X95" s="91"/>
      <c r="Y95" s="91"/>
      <c r="Z95" s="91"/>
      <c r="AA95" s="91"/>
      <c r="AB95" s="91"/>
      <c r="AC95" s="95"/>
      <c r="AD95" s="158"/>
      <c r="AH95" s="91"/>
    </row>
    <row r="96" spans="1:35" s="98" customFormat="1" ht="62.25" customHeight="1" thickBot="1" x14ac:dyDescent="0.95">
      <c r="A96" s="124"/>
      <c r="B96" s="94"/>
      <c r="C96" s="92"/>
      <c r="D96" s="92"/>
      <c r="E96" s="92"/>
      <c r="F96" s="92"/>
      <c r="G96" s="92"/>
      <c r="H96" s="92"/>
      <c r="I96" s="93"/>
      <c r="J96" s="212"/>
      <c r="K96" s="99"/>
      <c r="L96" s="91"/>
      <c r="M96" s="91"/>
      <c r="N96" s="91"/>
      <c r="O96" s="91"/>
      <c r="P96" s="124"/>
      <c r="Q96" s="124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5"/>
      <c r="AD96" s="158"/>
      <c r="AH96" s="91"/>
    </row>
    <row r="97" spans="1:34" s="98" customFormat="1" ht="98.25" customHeight="1" thickTop="1" thickBot="1" x14ac:dyDescent="0.95">
      <c r="A97" s="124"/>
      <c r="B97" s="94"/>
      <c r="C97" s="92"/>
      <c r="D97" s="92"/>
      <c r="E97" s="92"/>
      <c r="F97" s="92"/>
      <c r="G97" s="92"/>
      <c r="H97" s="92"/>
      <c r="I97" s="93"/>
      <c r="J97" s="212"/>
      <c r="K97" s="222" t="s">
        <v>181</v>
      </c>
      <c r="L97" s="166">
        <f t="shared" ref="L97:V97" si="10">+IF(L89=0,"",SUMIF($K$6:$K$86,$J$94,$H$6:$H$88))</f>
        <v>5</v>
      </c>
      <c r="M97" s="166">
        <f t="shared" si="10"/>
        <v>5</v>
      </c>
      <c r="N97" s="166">
        <f t="shared" si="10"/>
        <v>5</v>
      </c>
      <c r="O97" s="166">
        <f t="shared" si="10"/>
        <v>5</v>
      </c>
      <c r="P97" s="166">
        <f t="shared" si="10"/>
        <v>5</v>
      </c>
      <c r="Q97" s="166">
        <f t="shared" si="10"/>
        <v>5</v>
      </c>
      <c r="R97" s="166">
        <f t="shared" si="10"/>
        <v>5</v>
      </c>
      <c r="S97" s="166">
        <f t="shared" si="10"/>
        <v>5</v>
      </c>
      <c r="T97" s="166" t="str">
        <f t="shared" si="10"/>
        <v/>
      </c>
      <c r="U97" s="166" t="str">
        <f t="shared" si="10"/>
        <v/>
      </c>
      <c r="V97" s="166" t="str">
        <f t="shared" si="10"/>
        <v/>
      </c>
      <c r="W97" s="91"/>
      <c r="X97" s="91"/>
      <c r="Y97" s="91"/>
      <c r="Z97" s="91"/>
      <c r="AA97" s="91"/>
      <c r="AB97" s="91"/>
      <c r="AC97" s="95"/>
      <c r="AD97" s="158"/>
      <c r="AH97" s="91"/>
    </row>
    <row r="98" spans="1:34" s="98" customFormat="1" ht="62.25" customHeight="1" thickTop="1" x14ac:dyDescent="0.9">
      <c r="A98" s="124"/>
      <c r="B98" s="94"/>
      <c r="C98" s="92"/>
      <c r="D98" s="92"/>
      <c r="E98" s="92"/>
      <c r="F98" s="92"/>
      <c r="G98" s="92"/>
      <c r="H98" s="92"/>
      <c r="I98" s="93"/>
      <c r="J98" s="212"/>
      <c r="K98" s="99"/>
      <c r="L98" s="209">
        <f>+IF(L89=0,"",L97/L89)</f>
        <v>0.3125</v>
      </c>
      <c r="M98" s="209">
        <f t="shared" ref="M98:V98" si="11">+IF(M89=0,"",M97/M89)</f>
        <v>0.3125</v>
      </c>
      <c r="N98" s="209">
        <f t="shared" si="11"/>
        <v>0.3125</v>
      </c>
      <c r="O98" s="209">
        <f t="shared" si="11"/>
        <v>0.3125</v>
      </c>
      <c r="P98" s="209">
        <f t="shared" si="11"/>
        <v>0.3125</v>
      </c>
      <c r="Q98" s="209">
        <f t="shared" si="11"/>
        <v>0.3125</v>
      </c>
      <c r="R98" s="209">
        <f t="shared" si="11"/>
        <v>0.3125</v>
      </c>
      <c r="S98" s="209">
        <f t="shared" si="11"/>
        <v>0.3125</v>
      </c>
      <c r="T98" s="209" t="str">
        <f t="shared" si="11"/>
        <v/>
      </c>
      <c r="U98" s="209" t="str">
        <f t="shared" si="11"/>
        <v/>
      </c>
      <c r="V98" s="209" t="str">
        <f t="shared" si="11"/>
        <v/>
      </c>
      <c r="W98" s="91"/>
      <c r="X98" s="91"/>
      <c r="Y98" s="91"/>
      <c r="Z98" s="91"/>
      <c r="AA98" s="91"/>
      <c r="AB98" s="91"/>
      <c r="AC98" s="95"/>
      <c r="AD98" s="158"/>
      <c r="AH98" s="91"/>
    </row>
    <row r="99" spans="1:34" s="98" customFormat="1" ht="62.25" customHeight="1" x14ac:dyDescent="0.9">
      <c r="A99" s="124"/>
      <c r="B99" s="94"/>
      <c r="C99" s="92"/>
      <c r="D99" s="92"/>
      <c r="E99" s="92"/>
      <c r="F99" s="92"/>
      <c r="G99" s="92"/>
      <c r="H99" s="92"/>
      <c r="I99" s="93"/>
      <c r="J99" s="212"/>
      <c r="K99" s="99"/>
      <c r="L99" s="91"/>
      <c r="M99" s="91"/>
      <c r="N99" s="91"/>
      <c r="O99" s="91"/>
      <c r="P99" s="124"/>
      <c r="Q99" s="124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5"/>
      <c r="AD99" s="158"/>
      <c r="AH99" s="91"/>
    </row>
    <row r="100" spans="1:34" s="98" customFormat="1" x14ac:dyDescent="0.55000000000000004">
      <c r="A100" s="91"/>
      <c r="B100" s="94"/>
      <c r="C100" s="92"/>
      <c r="D100" s="92"/>
      <c r="E100" s="92"/>
      <c r="F100" s="92"/>
      <c r="G100" s="92"/>
      <c r="H100" s="92"/>
      <c r="I100" s="93"/>
      <c r="J100" s="92"/>
      <c r="K100" s="99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5"/>
      <c r="AD100" s="155"/>
      <c r="AH100" s="91"/>
    </row>
    <row r="101" spans="1:34" s="98" customFormat="1" ht="46.5" x14ac:dyDescent="0.7">
      <c r="A101" s="91"/>
      <c r="B101" s="94"/>
      <c r="C101" s="92"/>
      <c r="D101" s="92"/>
      <c r="E101" s="92"/>
      <c r="F101" s="92"/>
      <c r="G101" s="92"/>
      <c r="H101" s="92"/>
      <c r="I101" s="93"/>
      <c r="J101" s="92"/>
      <c r="K101" s="99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5"/>
      <c r="AD101" s="158"/>
      <c r="AH101" s="91"/>
    </row>
    <row r="102" spans="1:34" ht="46.5" x14ac:dyDescent="0.7">
      <c r="I102" s="91"/>
      <c r="J102" s="91"/>
      <c r="S102" s="544" t="s">
        <v>212</v>
      </c>
      <c r="T102" s="544"/>
      <c r="U102" s="544"/>
      <c r="AD102" s="158"/>
    </row>
    <row r="103" spans="1:34" ht="105" customHeight="1" x14ac:dyDescent="0.7">
      <c r="AD103" s="158"/>
    </row>
    <row r="104" spans="1:34" ht="46.5" x14ac:dyDescent="0.7">
      <c r="A104" s="91" t="s">
        <v>197</v>
      </c>
      <c r="H104" s="91"/>
      <c r="AD104" s="158"/>
    </row>
    <row r="105" spans="1:34" s="98" customFormat="1" ht="46.5" x14ac:dyDescent="0.7">
      <c r="A105" s="91"/>
      <c r="B105" s="94"/>
      <c r="C105" s="92"/>
      <c r="D105" s="92"/>
      <c r="E105" s="92"/>
      <c r="F105" s="92"/>
      <c r="G105" s="92"/>
      <c r="H105" s="92"/>
      <c r="I105" s="93"/>
      <c r="J105" s="92"/>
      <c r="K105" s="99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5"/>
      <c r="AD105" s="158"/>
      <c r="AH105" s="91"/>
    </row>
    <row r="106" spans="1:34" s="98" customFormat="1" ht="46.5" x14ac:dyDescent="0.7">
      <c r="A106" s="91"/>
      <c r="B106" s="94"/>
      <c r="C106" s="92"/>
      <c r="D106" s="92"/>
      <c r="E106" s="92"/>
      <c r="F106" s="92"/>
      <c r="G106" s="92"/>
      <c r="H106" s="92"/>
      <c r="I106" s="93"/>
      <c r="J106" s="92"/>
      <c r="K106" s="99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5"/>
      <c r="AD106" s="158"/>
      <c r="AH106" s="91"/>
    </row>
    <row r="107" spans="1:34" s="98" customFormat="1" ht="46.5" x14ac:dyDescent="0.7">
      <c r="A107" s="91"/>
      <c r="B107" s="94"/>
      <c r="C107" s="92"/>
      <c r="D107" s="92"/>
      <c r="E107" s="92"/>
      <c r="F107" s="92"/>
      <c r="G107" s="92"/>
      <c r="H107" s="92"/>
      <c r="I107" s="93"/>
      <c r="J107" s="92"/>
      <c r="K107" s="99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5"/>
      <c r="AD107" s="158"/>
      <c r="AH107" s="91"/>
    </row>
    <row r="108" spans="1:34" s="98" customFormat="1" ht="66" customHeight="1" x14ac:dyDescent="0.7">
      <c r="A108" s="91"/>
      <c r="B108" s="94"/>
      <c r="C108" s="92"/>
      <c r="D108" s="92"/>
      <c r="E108" s="92"/>
      <c r="F108" s="92"/>
      <c r="G108" s="92"/>
      <c r="H108" s="92"/>
      <c r="I108" s="93"/>
      <c r="J108" s="92"/>
      <c r="K108" s="99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5"/>
      <c r="AD108" s="158"/>
      <c r="AH108" s="91"/>
    </row>
  </sheetData>
  <sheetProtection algorithmName="SHA-512" hashValue="bKoakQcEDe5suIAow/ZrzBw6wOlxmIISCciU7+Y9jBgkJoVq+YjnX/n8pdEfC7+trtMaJq6pYTgIaOgIQM/mhg==" saltValue="Z+553yaHjCe2FataNG6Z2g==" spinCount="100000" sheet="1" objects="1" scenarios="1" selectLockedCells="1" autoFilter="0"/>
  <autoFilter ref="A1:AF92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7" showButton="0"/>
  </autoFilter>
  <mergeCells count="29">
    <mergeCell ref="X74:X76"/>
    <mergeCell ref="X78:X80"/>
    <mergeCell ref="X82:X84"/>
    <mergeCell ref="S102:U102"/>
    <mergeCell ref="X50:X52"/>
    <mergeCell ref="X54:X56"/>
    <mergeCell ref="X58:X60"/>
    <mergeCell ref="X62:X64"/>
    <mergeCell ref="X66:X68"/>
    <mergeCell ref="X70:X72"/>
    <mergeCell ref="X46:X48"/>
    <mergeCell ref="I5:J5"/>
    <mergeCell ref="X6:X8"/>
    <mergeCell ref="X10:X12"/>
    <mergeCell ref="X14:X16"/>
    <mergeCell ref="X18:X20"/>
    <mergeCell ref="X22:X24"/>
    <mergeCell ref="X26:X28"/>
    <mergeCell ref="X30:X32"/>
    <mergeCell ref="X34:X36"/>
    <mergeCell ref="X38:X40"/>
    <mergeCell ref="X42:X44"/>
    <mergeCell ref="B1:Z2"/>
    <mergeCell ref="AB1:AC1"/>
    <mergeCell ref="AB2:AC3"/>
    <mergeCell ref="J3:K3"/>
    <mergeCell ref="B4:F4"/>
    <mergeCell ref="J4:K4"/>
    <mergeCell ref="AB4:AC4"/>
  </mergeCells>
  <conditionalFormatting sqref="W8">
    <cfRule type="cellIs" dxfId="2144" priority="2" operator="lessThan">
      <formula>0</formula>
    </cfRule>
  </conditionalFormatting>
  <conditionalFormatting sqref="W12 W16 W20 W24 W28 W32 W36 W40 W44 W48 W52 W56 W60 W64 W68 W72 W76 W80 W84">
    <cfRule type="cellIs" dxfId="2143" priority="1" operator="lessThan">
      <formula>0</formula>
    </cfRule>
  </conditionalFormatting>
  <conditionalFormatting sqref="AB2:AC3">
    <cfRule type="cellIs" dxfId="2142" priority="26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/>
  <headerFooter>
    <oddHeader>&amp;L&amp;"-,Bold"&amp;48&amp;T</oddHeader>
  </headerFooter>
  <rowBreaks count="1" manualBreakCount="1">
    <brk id="49" max="29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FD1B301B-4519-4199-92D6-A207F14D02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22" id="{505469AD-6483-49E7-ADE0-7117C7D3E45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20" id="{AEA8059A-8EAE-4CC3-B625-A8E0E2D8956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18" id="{5B4A5F42-7FE5-4EF2-A53E-18E0AF66910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16" id="{5DD72E5E-641C-4908-89A1-61609D5D09E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21" id="{E541BF0A-7DC9-4E8A-B1CA-986235F1F17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4" id="{966D099F-0BC4-43E7-A698-71032823DBE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25" id="{A492CDF2-F661-43D9-8CA8-30B222503B6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17" id="{9274D561-F6E1-4BD2-8CE9-DF80D08A54B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24" id="{495BAB0B-9054-413C-B69A-556475282C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8" id="{EB57E06F-78EE-4F8E-AD36-BB4C4369744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14" id="{2B193223-21DF-4960-AA95-B012E15D1FD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11" id="{2374C62F-C6F9-4E0F-AFA8-93DB63D0334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12" id="{C3BB7DD9-9022-4A96-8236-154FC39DB8A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23" id="{6CA840CE-0B4F-4F8D-8DB8-701644B919B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7" id="{90BCC5C7-7938-4CB1-A46E-1634CBF131A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10" id="{F72FD225-6574-4DB9-BEE2-B39F344EF39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15" id="{8C074165-DF41-43C9-AE65-CA69361FE61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19" id="{2CBE5CE6-8C62-464B-A4A4-3EAF237D9E7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  <x14:conditionalFormatting xmlns:xm="http://schemas.microsoft.com/office/excel/2006/main">
          <x14:cfRule type="iconSet" priority="9" id="{E239EF33-F897-480F-93AA-EC6F036A54E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tabColor rgb="FF00B0F0"/>
  </sheetPr>
  <dimension ref="A1:BC120"/>
  <sheetViews>
    <sheetView zoomScale="23" zoomScaleNormal="23" zoomScaleSheetLayoutView="23" zoomScalePageLayoutView="23" workbookViewId="0">
      <pane xSplit="2" ySplit="5" topLeftCell="E78" activePane="bottomRight" state="frozen"/>
      <selection pane="topRight" activeCell="C1" sqref="C1"/>
      <selection pane="bottomLeft" activeCell="A6" sqref="A6"/>
      <selection pane="bottomRight" activeCell="L91" sqref="L91"/>
    </sheetView>
  </sheetViews>
  <sheetFormatPr defaultColWidth="9.140625" defaultRowHeight="36" x14ac:dyDescent="0.55000000000000004"/>
  <cols>
    <col min="1" max="1" width="1" style="91" customWidth="1"/>
    <col min="2" max="2" width="18.85546875" style="94" customWidth="1"/>
    <col min="3" max="3" width="53.140625" style="92" customWidth="1"/>
    <col min="4" max="4" width="3.85546875" style="92" hidden="1" customWidth="1"/>
    <col min="5" max="5" width="36" style="92" customWidth="1"/>
    <col min="6" max="6" width="49.42578125" style="92" customWidth="1"/>
    <col min="7" max="7" width="28" style="92" customWidth="1"/>
    <col min="8" max="8" width="45.7109375" style="92" customWidth="1"/>
    <col min="9" max="9" width="26.7109375" style="93" customWidth="1"/>
    <col min="10" max="10" width="28.7109375" style="92" customWidth="1"/>
    <col min="11" max="11" width="42.42578125" style="99" customWidth="1"/>
    <col min="12" max="22" width="25.85546875" style="91" customWidth="1"/>
    <col min="23" max="23" width="27" style="91" customWidth="1"/>
    <col min="24" max="24" width="32.28515625" style="91" customWidth="1"/>
    <col min="25" max="25" width="38.28515625" style="91" customWidth="1"/>
    <col min="26" max="26" width="33.140625" style="91" customWidth="1"/>
    <col min="27" max="27" width="31" style="91" hidden="1" customWidth="1"/>
    <col min="28" max="28" width="29.42578125" style="91" customWidth="1"/>
    <col min="29" max="29" width="29.42578125" style="95" customWidth="1"/>
    <col min="30" max="30" width="28.42578125" style="155" customWidth="1"/>
    <col min="31" max="31" width="32.42578125" style="98" hidden="1" customWidth="1"/>
    <col min="32" max="32" width="34" style="98" hidden="1" customWidth="1"/>
    <col min="33" max="33" width="35.42578125" style="98" customWidth="1"/>
    <col min="34" max="34" width="40.7109375" style="91" customWidth="1"/>
    <col min="35" max="35" width="38.28515625" style="91" customWidth="1"/>
    <col min="36" max="42" width="9.140625" style="91" customWidth="1"/>
    <col min="43" max="43" width="30.28515625" style="91" customWidth="1"/>
    <col min="44" max="99" width="9.140625" style="91" customWidth="1"/>
    <col min="100" max="16384" width="9.140625" style="91"/>
  </cols>
  <sheetData>
    <row r="1" spans="1:34" ht="23.25" customHeight="1" x14ac:dyDescent="0.5">
      <c r="B1" s="533" t="s">
        <v>29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B1" s="534" t="s">
        <v>81</v>
      </c>
      <c r="AC1" s="534"/>
    </row>
    <row r="2" spans="1:34" ht="67.5" customHeight="1" x14ac:dyDescent="0.7">
      <c r="A2" s="91">
        <v>77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  <c r="W2" s="533"/>
      <c r="X2" s="533"/>
      <c r="Y2" s="533"/>
      <c r="Z2" s="533"/>
      <c r="AA2" s="96"/>
      <c r="AB2" s="535">
        <f>+AF2/AE2</f>
        <v>0.88716419770178601</v>
      </c>
      <c r="AC2" s="535"/>
      <c r="AE2" s="183">
        <f>+SUBTOTAL(9,AE6:AE115)</f>
        <v>433380</v>
      </c>
      <c r="AF2" s="183">
        <f>+SUBTOTAL(9,AF6:AF115)</f>
        <v>384479.22000000003</v>
      </c>
    </row>
    <row r="3" spans="1:34" ht="64.5" customHeight="1" x14ac:dyDescent="0.7">
      <c r="B3" s="233"/>
      <c r="C3" s="233"/>
      <c r="D3" s="233"/>
      <c r="E3" s="231"/>
      <c r="F3" s="231"/>
      <c r="G3" s="231"/>
      <c r="H3" s="231"/>
      <c r="I3" s="231"/>
      <c r="J3" s="536" t="s">
        <v>97</v>
      </c>
      <c r="K3" s="536"/>
      <c r="L3" s="147" t="s">
        <v>229</v>
      </c>
      <c r="M3" s="147" t="s">
        <v>82</v>
      </c>
      <c r="N3" s="147" t="s">
        <v>83</v>
      </c>
      <c r="O3" s="147" t="s">
        <v>84</v>
      </c>
      <c r="P3" s="147" t="s">
        <v>230</v>
      </c>
      <c r="Q3" s="147" t="s">
        <v>86</v>
      </c>
      <c r="R3" s="147" t="s">
        <v>87</v>
      </c>
      <c r="S3" s="147" t="s">
        <v>228</v>
      </c>
      <c r="T3" s="147"/>
      <c r="U3" s="147"/>
      <c r="V3" s="147"/>
      <c r="W3" s="199"/>
      <c r="X3" s="147"/>
      <c r="Y3" s="233"/>
      <c r="Z3" s="233"/>
      <c r="AA3" s="96"/>
      <c r="AB3" s="535"/>
      <c r="AC3" s="535"/>
      <c r="AE3" s="183"/>
      <c r="AF3" s="183"/>
    </row>
    <row r="4" spans="1:34" s="141" customFormat="1" ht="57" customHeight="1" thickBot="1" x14ac:dyDescent="0.75">
      <c r="B4" s="537" t="s">
        <v>108</v>
      </c>
      <c r="C4" s="537"/>
      <c r="D4" s="537"/>
      <c r="E4" s="537"/>
      <c r="F4" s="537"/>
      <c r="G4" s="217"/>
      <c r="I4" s="142"/>
      <c r="J4" s="538" t="s">
        <v>113</v>
      </c>
      <c r="K4" s="538"/>
      <c r="L4" s="235" t="s">
        <v>222</v>
      </c>
      <c r="M4" s="235" t="s">
        <v>223</v>
      </c>
      <c r="N4" s="235" t="s">
        <v>224</v>
      </c>
      <c r="O4" s="235" t="s">
        <v>225</v>
      </c>
      <c r="P4" s="235" t="s">
        <v>85</v>
      </c>
      <c r="Q4" s="235" t="s">
        <v>226</v>
      </c>
      <c r="R4" s="235" t="s">
        <v>227</v>
      </c>
      <c r="S4" s="235" t="s">
        <v>228</v>
      </c>
      <c r="T4" s="234"/>
      <c r="U4" s="172"/>
      <c r="V4" s="172"/>
      <c r="W4" s="143" t="s">
        <v>17</v>
      </c>
      <c r="X4" s="143"/>
      <c r="Y4" s="170">
        <f>+X99</f>
        <v>8219</v>
      </c>
      <c r="Z4" s="144" t="s">
        <v>28</v>
      </c>
      <c r="AA4" s="145"/>
      <c r="AB4" s="539">
        <v>44676</v>
      </c>
      <c r="AC4" s="539"/>
      <c r="AD4" s="171">
        <f>+SUM(AD6:AD103)</f>
        <v>7223</v>
      </c>
      <c r="AE4" s="98"/>
      <c r="AF4" s="98"/>
      <c r="AG4" s="148"/>
    </row>
    <row r="5" spans="1:34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542" t="s">
        <v>95</v>
      </c>
      <c r="J5" s="543"/>
      <c r="K5" s="151"/>
      <c r="L5" s="152" t="s">
        <v>89</v>
      </c>
      <c r="M5" s="150">
        <v>2</v>
      </c>
      <c r="N5" s="150">
        <v>3</v>
      </c>
      <c r="O5" s="150">
        <v>4</v>
      </c>
      <c r="P5" s="150">
        <v>5</v>
      </c>
      <c r="Q5" s="150">
        <v>6</v>
      </c>
      <c r="R5" s="152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 t="s">
        <v>73</v>
      </c>
      <c r="AD5" s="156"/>
    </row>
    <row r="6" spans="1:34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>
        <v>40</v>
      </c>
      <c r="M6" s="215">
        <v>50</v>
      </c>
      <c r="N6" s="215">
        <v>37</v>
      </c>
      <c r="O6" s="215">
        <v>37</v>
      </c>
      <c r="P6" s="215">
        <v>40</v>
      </c>
      <c r="Q6" s="215">
        <v>37</v>
      </c>
      <c r="R6" s="215">
        <v>40</v>
      </c>
      <c r="S6" s="215"/>
      <c r="T6" s="213"/>
      <c r="U6" s="213"/>
      <c r="V6" s="213"/>
      <c r="W6" s="135"/>
      <c r="X6" s="540">
        <f>+W8</f>
        <v>-13.125</v>
      </c>
      <c r="Y6" s="135">
        <f t="shared" ref="Y6:Y37" si="0">+SUM(L6:V6)</f>
        <v>281</v>
      </c>
      <c r="Z6" s="136">
        <f>+AA6+Y6</f>
        <v>1225</v>
      </c>
      <c r="AA6" s="136">
        <v>944</v>
      </c>
      <c r="AB6" s="109"/>
      <c r="AC6" s="110"/>
      <c r="AD6" s="157"/>
      <c r="AE6" s="167"/>
      <c r="AF6" s="167"/>
      <c r="AG6" s="167"/>
      <c r="AH6" s="91"/>
    </row>
    <row r="7" spans="1:34" s="98" customFormat="1" ht="62.25" customHeight="1" x14ac:dyDescent="0.9">
      <c r="A7" s="124"/>
      <c r="B7" s="132">
        <v>1</v>
      </c>
      <c r="C7" s="111" t="s">
        <v>253</v>
      </c>
      <c r="D7" s="111"/>
      <c r="E7" s="111" t="s">
        <v>247</v>
      </c>
      <c r="F7" s="111" t="s">
        <v>248</v>
      </c>
      <c r="G7" s="111"/>
      <c r="H7" s="111" t="s">
        <v>33</v>
      </c>
      <c r="I7" s="113">
        <v>72.319999999999993</v>
      </c>
      <c r="J7" s="130">
        <v>40</v>
      </c>
      <c r="K7" s="101" t="s">
        <v>17</v>
      </c>
      <c r="L7" s="214">
        <v>25</v>
      </c>
      <c r="M7" s="214">
        <v>18</v>
      </c>
      <c r="N7" s="214">
        <v>20</v>
      </c>
      <c r="O7" s="214">
        <v>22</v>
      </c>
      <c r="P7" s="214">
        <v>30</v>
      </c>
      <c r="Q7" s="214">
        <v>30</v>
      </c>
      <c r="R7" s="214">
        <v>35</v>
      </c>
      <c r="S7" s="214">
        <v>35</v>
      </c>
      <c r="T7" s="214"/>
      <c r="U7" s="214"/>
      <c r="V7" s="214"/>
      <c r="W7" s="123">
        <f>+IF(COUNTA(L7:V7)=0,0,Y7/(COUNTA(L7:V7)))</f>
        <v>26.875</v>
      </c>
      <c r="X7" s="541"/>
      <c r="Y7" s="134">
        <f t="shared" si="0"/>
        <v>215</v>
      </c>
      <c r="Z7" s="137">
        <f>+Y7+AA7</f>
        <v>423</v>
      </c>
      <c r="AA7" s="137">
        <v>208</v>
      </c>
      <c r="AB7" s="140">
        <f>+Z6-Z7</f>
        <v>802</v>
      </c>
      <c r="AC7" s="131">
        <f>+IF(((Y8+(Y9/2))*60)=0,"",(I7*Y7)/((Y8+(Y9/2))*60))</f>
        <v>0.62899676375404523</v>
      </c>
      <c r="AD7" s="157"/>
      <c r="AE7" s="167"/>
      <c r="AF7" s="167">
        <f>+Y7*I7</f>
        <v>15548.8</v>
      </c>
      <c r="AG7" s="167"/>
      <c r="AH7" s="91"/>
    </row>
    <row r="8" spans="1:34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112"/>
      <c r="H8" s="210"/>
      <c r="I8" s="210"/>
      <c r="J8" s="114" t="s">
        <v>22</v>
      </c>
      <c r="K8" s="102" t="s">
        <v>18</v>
      </c>
      <c r="L8" s="215">
        <v>49</v>
      </c>
      <c r="M8" s="215">
        <v>49</v>
      </c>
      <c r="N8" s="215">
        <v>49</v>
      </c>
      <c r="O8" s="215">
        <v>49</v>
      </c>
      <c r="P8" s="215">
        <v>49</v>
      </c>
      <c r="Q8" s="215">
        <v>49</v>
      </c>
      <c r="R8" s="215">
        <v>49</v>
      </c>
      <c r="S8" s="215">
        <v>49</v>
      </c>
      <c r="T8" s="215"/>
      <c r="U8" s="215"/>
      <c r="V8" s="215"/>
      <c r="W8" s="160">
        <f>+W7-J7</f>
        <v>-13.125</v>
      </c>
      <c r="X8" s="541"/>
      <c r="Y8" s="103">
        <f t="shared" si="0"/>
        <v>392</v>
      </c>
      <c r="Z8" s="103"/>
      <c r="AA8" s="103"/>
      <c r="AB8" s="115"/>
      <c r="AC8" s="116"/>
      <c r="AD8" s="157"/>
      <c r="AE8" s="167"/>
      <c r="AF8" s="167"/>
      <c r="AG8" s="167"/>
      <c r="AH8" s="91"/>
    </row>
    <row r="9" spans="1:34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94</v>
      </c>
      <c r="G9" s="218"/>
      <c r="H9" s="159" t="s">
        <v>258</v>
      </c>
      <c r="I9" s="165">
        <f>+IF(J9="","",IF(J7=0,"",(J7*I7)/(J9*60)))</f>
        <v>0.89283950617283947</v>
      </c>
      <c r="J9" s="118">
        <v>54</v>
      </c>
      <c r="K9" s="104" t="s">
        <v>19</v>
      </c>
      <c r="L9" s="216">
        <v>5</v>
      </c>
      <c r="M9" s="216">
        <v>5</v>
      </c>
      <c r="N9" s="216">
        <v>5</v>
      </c>
      <c r="O9" s="216">
        <v>5</v>
      </c>
      <c r="P9" s="216">
        <v>5</v>
      </c>
      <c r="Q9" s="216">
        <v>5</v>
      </c>
      <c r="R9" s="216">
        <v>5</v>
      </c>
      <c r="S9" s="216">
        <v>5</v>
      </c>
      <c r="T9" s="216"/>
      <c r="U9" s="216"/>
      <c r="V9" s="216"/>
      <c r="W9" s="173"/>
      <c r="X9" s="168">
        <f>16.8+(COUNTA(L7:V7)-(Y7/J7))</f>
        <v>19.425000000000001</v>
      </c>
      <c r="Y9" s="105">
        <f t="shared" si="0"/>
        <v>40</v>
      </c>
      <c r="Z9" s="105"/>
      <c r="AA9" s="105"/>
      <c r="AB9" s="119">
        <f>+IFERROR(AB7/(J7*9),"")</f>
        <v>2.2277777777777779</v>
      </c>
      <c r="AC9" s="120"/>
      <c r="AD9" s="161">
        <f>+Y8+Y9/2</f>
        <v>412</v>
      </c>
      <c r="AE9" s="167">
        <f>+AD9*60</f>
        <v>24720</v>
      </c>
      <c r="AF9" s="167"/>
      <c r="AG9" s="230">
        <f>+IF((Y7-J7*9)&gt;=0,"",Y7-J7*9)</f>
        <v>-145</v>
      </c>
      <c r="AH9" s="91"/>
    </row>
    <row r="10" spans="1:34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3">
        <v>60</v>
      </c>
      <c r="M10" s="213">
        <v>60</v>
      </c>
      <c r="N10" s="213">
        <v>60</v>
      </c>
      <c r="O10" s="213">
        <v>60</v>
      </c>
      <c r="P10" s="213">
        <v>60</v>
      </c>
      <c r="Q10" s="213">
        <v>60</v>
      </c>
      <c r="R10" s="213">
        <v>60</v>
      </c>
      <c r="S10" s="213"/>
      <c r="T10" s="213"/>
      <c r="U10" s="213"/>
      <c r="V10" s="213"/>
      <c r="W10" s="135"/>
      <c r="X10" s="540">
        <f>+W12</f>
        <v>0</v>
      </c>
      <c r="Y10" s="135">
        <f t="shared" si="0"/>
        <v>420</v>
      </c>
      <c r="Z10" s="136">
        <f>+AA10+Y10</f>
        <v>5121</v>
      </c>
      <c r="AA10" s="136">
        <v>4701</v>
      </c>
      <c r="AB10" s="109"/>
      <c r="AC10" s="110"/>
      <c r="AD10" s="157"/>
      <c r="AE10" s="167">
        <f t="shared" ref="AE10:AE81" si="1">+AD10*60</f>
        <v>0</v>
      </c>
      <c r="AF10" s="167"/>
      <c r="AG10" s="167"/>
      <c r="AH10" s="91"/>
    </row>
    <row r="11" spans="1:34" s="98" customFormat="1" ht="62.25" customHeight="1" x14ac:dyDescent="0.9">
      <c r="A11" s="124"/>
      <c r="B11" s="132">
        <v>2</v>
      </c>
      <c r="C11" s="111" t="s">
        <v>233</v>
      </c>
      <c r="D11" s="111"/>
      <c r="E11" s="111" t="s">
        <v>35</v>
      </c>
      <c r="F11" s="111" t="s">
        <v>220</v>
      </c>
      <c r="G11" s="111">
        <v>5599</v>
      </c>
      <c r="H11" s="111" t="s">
        <v>221</v>
      </c>
      <c r="I11" s="113">
        <v>52.67</v>
      </c>
      <c r="J11" s="130">
        <v>50</v>
      </c>
      <c r="K11" s="101" t="s">
        <v>17</v>
      </c>
      <c r="L11" s="214">
        <v>40</v>
      </c>
      <c r="M11" s="214">
        <v>30</v>
      </c>
      <c r="N11" s="214">
        <v>55</v>
      </c>
      <c r="O11" s="214">
        <v>60</v>
      </c>
      <c r="P11" s="214">
        <v>27</v>
      </c>
      <c r="Q11" s="214">
        <v>70</v>
      </c>
      <c r="R11" s="214">
        <v>60</v>
      </c>
      <c r="S11" s="214">
        <v>58</v>
      </c>
      <c r="T11" s="214"/>
      <c r="U11" s="214"/>
      <c r="V11" s="214"/>
      <c r="W11" s="123">
        <f>+IF(COUNTA(L11:V11)=0,0,Y11/(COUNTA(L11:V11)))</f>
        <v>50</v>
      </c>
      <c r="X11" s="541"/>
      <c r="Y11" s="134">
        <f t="shared" si="0"/>
        <v>400</v>
      </c>
      <c r="Z11" s="137">
        <f>+Y11+AA11</f>
        <v>4399</v>
      </c>
      <c r="AA11" s="137">
        <v>3999</v>
      </c>
      <c r="AB11" s="140">
        <f>+Z10-Z11</f>
        <v>722</v>
      </c>
      <c r="AC11" s="131">
        <f>+IF(((Y12+(Y13/2))*60)=0,"",(I11*Y11)/((Y12+(Y13/2))*60))</f>
        <v>0.91440972222222228</v>
      </c>
      <c r="AD11" s="157"/>
      <c r="AE11" s="167">
        <f t="shared" si="1"/>
        <v>0</v>
      </c>
      <c r="AF11" s="167">
        <f>+Y11*I11</f>
        <v>21068</v>
      </c>
      <c r="AG11" s="167"/>
      <c r="AH11" s="91"/>
    </row>
    <row r="12" spans="1:34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112"/>
      <c r="H12" s="210"/>
      <c r="I12" s="113"/>
      <c r="J12" s="114" t="s">
        <v>22</v>
      </c>
      <c r="K12" s="102" t="s">
        <v>18</v>
      </c>
      <c r="L12" s="215">
        <v>48</v>
      </c>
      <c r="M12" s="215">
        <v>48</v>
      </c>
      <c r="N12" s="215">
        <v>48</v>
      </c>
      <c r="O12" s="215">
        <v>48</v>
      </c>
      <c r="P12" s="215">
        <v>48</v>
      </c>
      <c r="Q12" s="215">
        <v>48</v>
      </c>
      <c r="R12" s="215">
        <v>48</v>
      </c>
      <c r="S12" s="215">
        <v>48</v>
      </c>
      <c r="T12" s="215"/>
      <c r="U12" s="215"/>
      <c r="V12" s="215"/>
      <c r="W12" s="160">
        <f>+W11-J11</f>
        <v>0</v>
      </c>
      <c r="X12" s="541"/>
      <c r="Y12" s="103">
        <f t="shared" si="0"/>
        <v>384</v>
      </c>
      <c r="Z12" s="138"/>
      <c r="AA12" s="138"/>
      <c r="AB12" s="115"/>
      <c r="AC12" s="116"/>
      <c r="AD12" s="157"/>
      <c r="AE12" s="167">
        <f t="shared" si="1"/>
        <v>0</v>
      </c>
      <c r="AF12" s="167"/>
      <c r="AG12" s="167"/>
      <c r="AH12" s="91"/>
    </row>
    <row r="13" spans="1:34" s="98" customFormat="1" ht="62.25" customHeight="1" thickBot="1" x14ac:dyDescent="0.95">
      <c r="A13" s="124"/>
      <c r="B13" s="129">
        <f>+B11</f>
        <v>2</v>
      </c>
      <c r="C13" s="174" t="s">
        <v>75</v>
      </c>
      <c r="D13" s="175">
        <f>+D12+100</f>
        <v>102</v>
      </c>
      <c r="E13" s="175"/>
      <c r="F13" s="117" t="s">
        <v>111</v>
      </c>
      <c r="G13" s="218"/>
      <c r="H13" s="146"/>
      <c r="I13" s="165">
        <f>+IF(J13="","",IF(J11=0,"",(J11*I11)/(J13*60)))</f>
        <v>0.87783333333333335</v>
      </c>
      <c r="J13" s="118">
        <v>50</v>
      </c>
      <c r="K13" s="104" t="s">
        <v>19</v>
      </c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173"/>
      <c r="X13" s="236">
        <v>40.56</v>
      </c>
      <c r="Y13" s="105">
        <f t="shared" si="0"/>
        <v>0</v>
      </c>
      <c r="Z13" s="139"/>
      <c r="AA13" s="139"/>
      <c r="AB13" s="119">
        <f>+IFERROR(AB11/(J11*9),"")</f>
        <v>1.6044444444444443</v>
      </c>
      <c r="AC13" s="162"/>
      <c r="AD13" s="161">
        <f>+Y12+Y13/2</f>
        <v>384</v>
      </c>
      <c r="AE13" s="167">
        <f t="shared" si="1"/>
        <v>23040</v>
      </c>
      <c r="AF13" s="167"/>
      <c r="AG13" s="230">
        <f>+IF((Y11-J11*9)&gt;=0,"",Y11-J11*9)</f>
        <v>-50</v>
      </c>
      <c r="AH13" s="91"/>
    </row>
    <row r="14" spans="1:34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5">
        <v>100</v>
      </c>
      <c r="M14" s="215">
        <v>50</v>
      </c>
      <c r="N14" s="215">
        <v>50</v>
      </c>
      <c r="O14" s="215">
        <v>50</v>
      </c>
      <c r="P14" s="215">
        <v>50</v>
      </c>
      <c r="Q14" s="215">
        <v>50</v>
      </c>
      <c r="R14" s="215">
        <v>50</v>
      </c>
      <c r="S14" s="213">
        <v>50</v>
      </c>
      <c r="T14" s="213"/>
      <c r="U14" s="213"/>
      <c r="V14" s="213"/>
      <c r="W14" s="135"/>
      <c r="X14" s="540">
        <f>+W16</f>
        <v>0</v>
      </c>
      <c r="Y14" s="135">
        <f t="shared" si="0"/>
        <v>450</v>
      </c>
      <c r="Z14" s="136">
        <f>+AA14+Y14</f>
        <v>2822</v>
      </c>
      <c r="AA14" s="136">
        <v>2372</v>
      </c>
      <c r="AB14" s="109"/>
      <c r="AC14" s="110"/>
      <c r="AD14" s="157"/>
      <c r="AE14" s="167">
        <f t="shared" si="1"/>
        <v>0</v>
      </c>
      <c r="AF14" s="167"/>
      <c r="AG14" s="167"/>
      <c r="AH14" s="91"/>
    </row>
    <row r="15" spans="1:34" s="98" customFormat="1" ht="62.25" customHeight="1" x14ac:dyDescent="0.9">
      <c r="A15" s="124"/>
      <c r="B15" s="132">
        <v>3</v>
      </c>
      <c r="C15" s="111" t="s">
        <v>240</v>
      </c>
      <c r="D15" s="111"/>
      <c r="E15" s="111" t="s">
        <v>35</v>
      </c>
      <c r="F15" s="111" t="s">
        <v>241</v>
      </c>
      <c r="G15" s="111">
        <v>6600</v>
      </c>
      <c r="H15" s="111" t="s">
        <v>33</v>
      </c>
      <c r="I15" s="113">
        <v>51.08</v>
      </c>
      <c r="J15" s="130">
        <v>55</v>
      </c>
      <c r="K15" s="101" t="s">
        <v>17</v>
      </c>
      <c r="L15" s="214">
        <v>55</v>
      </c>
      <c r="M15" s="214">
        <v>50</v>
      </c>
      <c r="N15" s="214">
        <v>55</v>
      </c>
      <c r="O15" s="214">
        <v>55</v>
      </c>
      <c r="P15" s="214">
        <v>55</v>
      </c>
      <c r="Q15" s="214">
        <v>55</v>
      </c>
      <c r="R15" s="214">
        <v>55</v>
      </c>
      <c r="S15" s="214">
        <v>60</v>
      </c>
      <c r="T15" s="214"/>
      <c r="U15" s="214"/>
      <c r="V15" s="214"/>
      <c r="W15" s="123">
        <f>+IF(COUNTA(L15:V15)=0,0,Y15/(COUNTA(L15:V15)))</f>
        <v>55</v>
      </c>
      <c r="X15" s="541"/>
      <c r="Y15" s="134">
        <f t="shared" si="0"/>
        <v>440</v>
      </c>
      <c r="Z15" s="137">
        <f>+Y15+AA15</f>
        <v>1949</v>
      </c>
      <c r="AA15" s="137">
        <v>1509</v>
      </c>
      <c r="AB15" s="140">
        <f>+Z14-Z15</f>
        <v>873</v>
      </c>
      <c r="AC15" s="131">
        <f>+IF(((Y16+(Y17/2))*60)=0,"",(I15*Y15)/((Y16+(Y17/2))*60))</f>
        <v>0.95557823129251707</v>
      </c>
      <c r="AD15" s="157"/>
      <c r="AE15" s="167">
        <f t="shared" si="1"/>
        <v>0</v>
      </c>
      <c r="AF15" s="167">
        <f>+Y15*I15</f>
        <v>22475.200000000001</v>
      </c>
      <c r="AG15" s="167"/>
      <c r="AH15" s="91"/>
    </row>
    <row r="16" spans="1:34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112"/>
      <c r="H16" s="210"/>
      <c r="I16" s="113"/>
      <c r="J16" s="114" t="s">
        <v>22</v>
      </c>
      <c r="K16" s="102" t="s">
        <v>18</v>
      </c>
      <c r="L16" s="215">
        <v>48</v>
      </c>
      <c r="M16" s="215">
        <v>48</v>
      </c>
      <c r="N16" s="215">
        <v>48</v>
      </c>
      <c r="O16" s="215">
        <v>48</v>
      </c>
      <c r="P16" s="215">
        <v>48</v>
      </c>
      <c r="Q16" s="215">
        <v>48</v>
      </c>
      <c r="R16" s="215">
        <v>48</v>
      </c>
      <c r="S16" s="215">
        <v>48</v>
      </c>
      <c r="T16" s="215"/>
      <c r="U16" s="215"/>
      <c r="V16" s="215"/>
      <c r="W16" s="160">
        <f>+W15-J15</f>
        <v>0</v>
      </c>
      <c r="X16" s="541"/>
      <c r="Y16" s="103">
        <f t="shared" si="0"/>
        <v>384</v>
      </c>
      <c r="Z16" s="138"/>
      <c r="AA16" s="138"/>
      <c r="AB16" s="115"/>
      <c r="AC16" s="116"/>
      <c r="AD16" s="157"/>
      <c r="AE16" s="167">
        <f t="shared" si="1"/>
        <v>0</v>
      </c>
      <c r="AF16" s="167"/>
      <c r="AG16" s="167"/>
      <c r="AH16" s="91"/>
    </row>
    <row r="17" spans="1:55" s="98" customFormat="1" ht="62.25" customHeight="1" thickBot="1" x14ac:dyDescent="0.95">
      <c r="A17" s="124"/>
      <c r="B17" s="126">
        <f>+B15</f>
        <v>3</v>
      </c>
      <c r="C17" s="174" t="s">
        <v>78</v>
      </c>
      <c r="D17" s="175">
        <f>+D16+100</f>
        <v>103</v>
      </c>
      <c r="E17" s="175"/>
      <c r="F17" s="117" t="s">
        <v>203</v>
      </c>
      <c r="G17" s="117"/>
      <c r="H17" s="118"/>
      <c r="I17" s="165">
        <f>+IF(J17="","",IF(J15=0,"",(J15*I15)/(J17*60)))</f>
        <v>0.90044871794871795</v>
      </c>
      <c r="J17" s="118">
        <v>52</v>
      </c>
      <c r="K17" s="104" t="s">
        <v>19</v>
      </c>
      <c r="L17" s="216">
        <v>2</v>
      </c>
      <c r="M17" s="216">
        <v>2</v>
      </c>
      <c r="N17" s="216">
        <v>2</v>
      </c>
      <c r="O17" s="216">
        <v>2</v>
      </c>
      <c r="P17" s="216">
        <v>2</v>
      </c>
      <c r="Q17" s="216">
        <v>2</v>
      </c>
      <c r="R17" s="216">
        <v>2</v>
      </c>
      <c r="S17" s="216">
        <v>2</v>
      </c>
      <c r="T17" s="216"/>
      <c r="U17" s="216"/>
      <c r="V17" s="216"/>
      <c r="W17" s="173"/>
      <c r="X17" s="168">
        <f>11.59+(COUNTA(L15:V15)-(Y15/J15))</f>
        <v>11.59</v>
      </c>
      <c r="Y17" s="105">
        <f t="shared" si="0"/>
        <v>16</v>
      </c>
      <c r="Z17" s="139"/>
      <c r="AA17" s="139"/>
      <c r="AB17" s="119">
        <f>+IFERROR(AB15/(J15*9),"")</f>
        <v>1.7636363636363637</v>
      </c>
      <c r="AC17" s="120"/>
      <c r="AD17" s="161">
        <f>+Y16+Y17/2</f>
        <v>392</v>
      </c>
      <c r="AE17" s="167">
        <f t="shared" si="1"/>
        <v>23520</v>
      </c>
      <c r="AF17" s="167"/>
      <c r="AG17" s="230">
        <f>+IF((Y15-J15*9)&gt;=0,"",Y15-J15*9)</f>
        <v>-55</v>
      </c>
      <c r="AH17" s="91"/>
    </row>
    <row r="18" spans="1:55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>
        <v>50</v>
      </c>
      <c r="M18" s="215">
        <v>50</v>
      </c>
      <c r="N18" s="215">
        <v>50</v>
      </c>
      <c r="O18" s="215">
        <v>100</v>
      </c>
      <c r="P18" s="215">
        <v>100</v>
      </c>
      <c r="Q18" s="215">
        <v>50</v>
      </c>
      <c r="R18" s="215">
        <v>50</v>
      </c>
      <c r="S18" s="215"/>
      <c r="T18" s="213"/>
      <c r="U18" s="213"/>
      <c r="V18" s="213"/>
      <c r="W18" s="135"/>
      <c r="X18" s="540">
        <f>+W20</f>
        <v>0</v>
      </c>
      <c r="Y18" s="135">
        <f t="shared" si="0"/>
        <v>450</v>
      </c>
      <c r="Z18" s="136">
        <f>+AA18+Y18</f>
        <v>1851</v>
      </c>
      <c r="AA18" s="136">
        <v>1401</v>
      </c>
      <c r="AB18" s="109"/>
      <c r="AC18" s="110"/>
      <c r="AD18" s="157"/>
      <c r="AE18" s="167">
        <f t="shared" si="1"/>
        <v>0</v>
      </c>
      <c r="AF18" s="167"/>
      <c r="AG18" s="167"/>
      <c r="AH18" s="91"/>
    </row>
    <row r="19" spans="1:55" s="98" customFormat="1" ht="62.25" customHeight="1" x14ac:dyDescent="0.9">
      <c r="A19" s="124"/>
      <c r="B19" s="132">
        <v>4</v>
      </c>
      <c r="C19" s="111" t="s">
        <v>240</v>
      </c>
      <c r="D19" s="111"/>
      <c r="E19" s="111" t="s">
        <v>35</v>
      </c>
      <c r="F19" s="111" t="s">
        <v>241</v>
      </c>
      <c r="G19" s="111">
        <v>6600</v>
      </c>
      <c r="H19" s="111" t="s">
        <v>33</v>
      </c>
      <c r="I19" s="113">
        <v>51.08</v>
      </c>
      <c r="J19" s="130">
        <v>55</v>
      </c>
      <c r="K19" s="101" t="s">
        <v>17</v>
      </c>
      <c r="L19" s="214">
        <v>55</v>
      </c>
      <c r="M19" s="214">
        <v>49</v>
      </c>
      <c r="N19" s="214">
        <v>55</v>
      </c>
      <c r="O19" s="214">
        <v>60</v>
      </c>
      <c r="P19" s="214">
        <v>56</v>
      </c>
      <c r="Q19" s="214">
        <v>55</v>
      </c>
      <c r="R19" s="214">
        <v>55</v>
      </c>
      <c r="S19" s="214">
        <v>55</v>
      </c>
      <c r="T19" s="214"/>
      <c r="U19" s="214"/>
      <c r="V19" s="214"/>
      <c r="W19" s="123">
        <f>+IF(COUNTA(L19:V19)=0,0,Y19/(COUNTA(L19:V19)))</f>
        <v>55</v>
      </c>
      <c r="X19" s="541"/>
      <c r="Y19" s="134">
        <f t="shared" si="0"/>
        <v>440</v>
      </c>
      <c r="Z19" s="137">
        <f>+Y19+AA19</f>
        <v>1095</v>
      </c>
      <c r="AA19" s="137">
        <v>655</v>
      </c>
      <c r="AB19" s="140">
        <f>+Z18-Z19</f>
        <v>756</v>
      </c>
      <c r="AC19" s="131">
        <f>+IF(((Y20+(Y21/2))*60)=0,"",(I19*Y19)/((Y20+(Y21/2))*60))</f>
        <v>0.88554767533490941</v>
      </c>
      <c r="AD19" s="157"/>
      <c r="AE19" s="167">
        <f t="shared" si="1"/>
        <v>0</v>
      </c>
      <c r="AF19" s="167">
        <f>+Y19*I19</f>
        <v>22475.200000000001</v>
      </c>
      <c r="AG19" s="167"/>
      <c r="AH19" s="91"/>
    </row>
    <row r="20" spans="1:55" s="98" customFormat="1" ht="62.25" customHeight="1" x14ac:dyDescent="0.9">
      <c r="A20" s="124"/>
      <c r="B20" s="125">
        <f>+B19</f>
        <v>4</v>
      </c>
      <c r="C20" s="184" t="s">
        <v>96</v>
      </c>
      <c r="D20" s="111">
        <f>+B19</f>
        <v>4</v>
      </c>
      <c r="E20" s="111"/>
      <c r="F20" s="112" t="e">
        <f>+VLOOKUP(F19,'Obj Prix'!$H:$H,2,FALSE)</f>
        <v>#N/A</v>
      </c>
      <c r="G20" s="112"/>
      <c r="H20" s="210"/>
      <c r="I20" s="113"/>
      <c r="J20" s="114" t="s">
        <v>22</v>
      </c>
      <c r="K20" s="102" t="s">
        <v>18</v>
      </c>
      <c r="L20" s="215">
        <v>51</v>
      </c>
      <c r="M20" s="215">
        <v>52</v>
      </c>
      <c r="N20" s="215">
        <v>52</v>
      </c>
      <c r="O20" s="215">
        <v>52</v>
      </c>
      <c r="P20" s="215">
        <v>52</v>
      </c>
      <c r="Q20" s="215">
        <v>52</v>
      </c>
      <c r="R20" s="215">
        <v>52</v>
      </c>
      <c r="S20" s="215">
        <v>52</v>
      </c>
      <c r="T20" s="215"/>
      <c r="U20" s="215"/>
      <c r="V20" s="215"/>
      <c r="W20" s="160">
        <f>+W19-J19</f>
        <v>0</v>
      </c>
      <c r="X20" s="541"/>
      <c r="Y20" s="103">
        <f t="shared" si="0"/>
        <v>415</v>
      </c>
      <c r="Z20" s="138"/>
      <c r="AA20" s="138"/>
      <c r="AB20" s="115"/>
      <c r="AC20" s="116"/>
      <c r="AD20" s="157"/>
      <c r="AE20" s="167">
        <f t="shared" si="1"/>
        <v>0</v>
      </c>
      <c r="AF20" s="167"/>
      <c r="AG20" s="167"/>
      <c r="AH20" s="91"/>
    </row>
    <row r="21" spans="1:55" s="98" customFormat="1" ht="62.25" customHeight="1" thickBot="1" x14ac:dyDescent="0.95">
      <c r="A21" s="124"/>
      <c r="B21" s="126">
        <f>+B19</f>
        <v>4</v>
      </c>
      <c r="C21" s="174"/>
      <c r="D21" s="175">
        <f>+D20+100</f>
        <v>104</v>
      </c>
      <c r="E21" s="175"/>
      <c r="F21" s="117" t="s">
        <v>203</v>
      </c>
      <c r="G21" s="117"/>
      <c r="H21" s="146"/>
      <c r="I21" s="165">
        <f>+IF(J21="","",IF(J19=0,"",(J19*I19)/(J21*60)))</f>
        <v>0.90044871794871795</v>
      </c>
      <c r="J21" s="118">
        <v>52</v>
      </c>
      <c r="K21" s="104" t="s">
        <v>19</v>
      </c>
      <c r="L21" s="216">
        <v>2</v>
      </c>
      <c r="M21" s="216">
        <v>2</v>
      </c>
      <c r="N21" s="216">
        <v>2</v>
      </c>
      <c r="O21" s="216">
        <v>2</v>
      </c>
      <c r="P21" s="216">
        <v>2</v>
      </c>
      <c r="Q21" s="216">
        <v>2</v>
      </c>
      <c r="R21" s="216">
        <v>2</v>
      </c>
      <c r="S21" s="216">
        <v>2</v>
      </c>
      <c r="T21" s="216"/>
      <c r="U21" s="216"/>
      <c r="V21" s="216"/>
      <c r="W21" s="173"/>
      <c r="X21" s="169">
        <v>4.54</v>
      </c>
      <c r="Y21" s="105">
        <f t="shared" si="0"/>
        <v>16</v>
      </c>
      <c r="Z21" s="139"/>
      <c r="AA21" s="139"/>
      <c r="AB21" s="119">
        <f>+IFERROR(AB19/(J19*9),"")</f>
        <v>1.5272727272727273</v>
      </c>
      <c r="AC21" s="120"/>
      <c r="AD21" s="161">
        <f>+Y20+Y21/2</f>
        <v>423</v>
      </c>
      <c r="AE21" s="167">
        <f t="shared" si="1"/>
        <v>25380</v>
      </c>
      <c r="AF21" s="167"/>
      <c r="AG21" s="230">
        <f>+IF((Y19-J19*9)&gt;=0,"",Y19-J19*9)</f>
        <v>-55</v>
      </c>
      <c r="AH21" s="91"/>
    </row>
    <row r="22" spans="1:55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3">
        <v>70</v>
      </c>
      <c r="M22" s="213">
        <v>70</v>
      </c>
      <c r="N22" s="213">
        <v>70</v>
      </c>
      <c r="O22" s="213">
        <v>70</v>
      </c>
      <c r="P22" s="213">
        <v>70</v>
      </c>
      <c r="Q22" s="213">
        <v>70</v>
      </c>
      <c r="R22" s="213"/>
      <c r="S22" s="213"/>
      <c r="T22" s="213"/>
      <c r="U22" s="213"/>
      <c r="V22" s="213"/>
      <c r="W22" s="135"/>
      <c r="X22" s="540">
        <f>+W24</f>
        <v>1.5</v>
      </c>
      <c r="Y22" s="135">
        <f t="shared" si="0"/>
        <v>420</v>
      </c>
      <c r="Z22" s="136">
        <f>+AA22+Y22</f>
        <v>6301</v>
      </c>
      <c r="AA22" s="136">
        <v>5881</v>
      </c>
      <c r="AB22" s="121"/>
      <c r="AC22" s="110"/>
      <c r="AD22" s="157"/>
      <c r="AE22" s="167">
        <f t="shared" si="1"/>
        <v>0</v>
      </c>
      <c r="AF22" s="167"/>
      <c r="AG22" s="167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</row>
    <row r="23" spans="1:55" ht="62.25" customHeight="1" x14ac:dyDescent="0.9">
      <c r="A23" s="124"/>
      <c r="B23" s="132">
        <v>5</v>
      </c>
      <c r="C23" s="111" t="s">
        <v>234</v>
      </c>
      <c r="D23" s="111"/>
      <c r="E23" s="111" t="s">
        <v>35</v>
      </c>
      <c r="F23" s="111" t="s">
        <v>235</v>
      </c>
      <c r="G23" s="111">
        <v>12500</v>
      </c>
      <c r="H23" s="111" t="s">
        <v>33</v>
      </c>
      <c r="I23" s="113">
        <v>52.3</v>
      </c>
      <c r="J23" s="130">
        <v>55</v>
      </c>
      <c r="K23" s="101" t="s">
        <v>17</v>
      </c>
      <c r="L23" s="214">
        <v>58</v>
      </c>
      <c r="M23" s="214">
        <v>51</v>
      </c>
      <c r="N23" s="214">
        <v>56</v>
      </c>
      <c r="O23" s="214">
        <v>55</v>
      </c>
      <c r="P23" s="214">
        <v>55</v>
      </c>
      <c r="Q23" s="214">
        <v>55</v>
      </c>
      <c r="R23" s="214">
        <v>66</v>
      </c>
      <c r="S23" s="214">
        <v>56</v>
      </c>
      <c r="T23" s="214"/>
      <c r="U23" s="214"/>
      <c r="V23" s="214"/>
      <c r="W23" s="123">
        <f>+IF(COUNTA(L23:V23)=0,0,Y23/(COUNTA(L23:V23)))</f>
        <v>56.5</v>
      </c>
      <c r="X23" s="541"/>
      <c r="Y23" s="134">
        <f t="shared" si="0"/>
        <v>452</v>
      </c>
      <c r="Z23" s="137">
        <f>+Y23+AA23</f>
        <v>5476</v>
      </c>
      <c r="AA23" s="137">
        <v>5024</v>
      </c>
      <c r="AB23" s="140">
        <f>+Z22-Z23</f>
        <v>825</v>
      </c>
      <c r="AC23" s="131">
        <f>+IF(((Y24+(Y25/2))*60)=0,"",(I23*Y23)/((Y24+(Y25/2))*60))</f>
        <v>0.90365443425076442</v>
      </c>
      <c r="AD23" s="157"/>
      <c r="AE23" s="167">
        <f t="shared" si="1"/>
        <v>0</v>
      </c>
      <c r="AF23" s="167">
        <f>+Y23*I23</f>
        <v>23639.599999999999</v>
      </c>
      <c r="AG23" s="167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</row>
    <row r="24" spans="1:55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112"/>
      <c r="H24" s="210"/>
      <c r="I24" s="113">
        <v>2</v>
      </c>
      <c r="J24" s="114" t="s">
        <v>22</v>
      </c>
      <c r="K24" s="102" t="s">
        <v>18</v>
      </c>
      <c r="L24" s="215">
        <v>54</v>
      </c>
      <c r="M24" s="215">
        <v>54</v>
      </c>
      <c r="N24" s="215">
        <v>54</v>
      </c>
      <c r="O24" s="215">
        <v>54</v>
      </c>
      <c r="P24" s="215">
        <v>54</v>
      </c>
      <c r="Q24" s="215">
        <v>54</v>
      </c>
      <c r="R24" s="215">
        <v>54</v>
      </c>
      <c r="S24" s="215">
        <v>54</v>
      </c>
      <c r="T24" s="215"/>
      <c r="U24" s="215"/>
      <c r="V24" s="215"/>
      <c r="W24" s="160">
        <f>+W23-J23</f>
        <v>1.5</v>
      </c>
      <c r="X24" s="541"/>
      <c r="Y24" s="103">
        <f t="shared" si="0"/>
        <v>432</v>
      </c>
      <c r="Z24" s="138"/>
      <c r="AA24" s="138"/>
      <c r="AB24" s="122"/>
      <c r="AC24" s="116"/>
      <c r="AD24" s="157"/>
      <c r="AE24" s="167">
        <f t="shared" si="1"/>
        <v>0</v>
      </c>
      <c r="AF24" s="167"/>
      <c r="AG24" s="167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</row>
    <row r="25" spans="1:55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111</v>
      </c>
      <c r="G25" s="117"/>
      <c r="H25" s="146"/>
      <c r="I25" s="165">
        <f>+IF(J25="","",IF(J23=0,"",(J23*I23)/(J25*60)))</f>
        <v>0.92195512820512826</v>
      </c>
      <c r="J25" s="118">
        <v>52</v>
      </c>
      <c r="K25" s="104" t="s">
        <v>19</v>
      </c>
      <c r="L25" s="216">
        <v>1</v>
      </c>
      <c r="M25" s="216">
        <v>1</v>
      </c>
      <c r="N25" s="216">
        <v>1</v>
      </c>
      <c r="O25" s="216">
        <v>1</v>
      </c>
      <c r="P25" s="216">
        <v>1</v>
      </c>
      <c r="Q25" s="216">
        <v>1</v>
      </c>
      <c r="R25" s="216">
        <v>1</v>
      </c>
      <c r="S25" s="216">
        <v>1</v>
      </c>
      <c r="T25" s="216"/>
      <c r="U25" s="216"/>
      <c r="V25" s="216"/>
      <c r="W25" s="173"/>
      <c r="X25" s="169">
        <v>9.64</v>
      </c>
      <c r="Y25" s="105">
        <f t="shared" si="0"/>
        <v>8</v>
      </c>
      <c r="Z25" s="139"/>
      <c r="AA25" s="139"/>
      <c r="AB25" s="119">
        <f>+IFERROR(AB23/(J23*9),"")</f>
        <v>1.6666666666666667</v>
      </c>
      <c r="AC25" s="120"/>
      <c r="AD25" s="161">
        <f>+Y24+Y25/2</f>
        <v>436</v>
      </c>
      <c r="AE25" s="167">
        <f t="shared" si="1"/>
        <v>26160</v>
      </c>
      <c r="AF25" s="167"/>
      <c r="AG25" s="230">
        <f>+IF((Y23-J23*9)&gt;=0,"",Y23-J23*9)</f>
        <v>-43</v>
      </c>
      <c r="AH25" s="91"/>
    </row>
    <row r="26" spans="1:55" ht="62.25" customHeight="1" thickTop="1" x14ac:dyDescent="0.9">
      <c r="A26" s="124"/>
      <c r="B26" s="127">
        <f>+B27</f>
        <v>6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135"/>
      <c r="X26" s="540">
        <f>+W28</f>
        <v>-27.5</v>
      </c>
      <c r="Y26" s="135">
        <f t="shared" si="0"/>
        <v>0</v>
      </c>
      <c r="Z26" s="136">
        <f>+AA26+Y26</f>
        <v>1826</v>
      </c>
      <c r="AA26" s="136">
        <v>1826</v>
      </c>
      <c r="AB26" s="121"/>
      <c r="AC26" s="110"/>
      <c r="AD26" s="157"/>
      <c r="AE26" s="167">
        <f t="shared" si="1"/>
        <v>0</v>
      </c>
      <c r="AF26" s="167"/>
      <c r="AG26" s="167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</row>
    <row r="27" spans="1:55" ht="62.25" customHeight="1" x14ac:dyDescent="0.9">
      <c r="A27" s="124"/>
      <c r="B27" s="132">
        <v>6</v>
      </c>
      <c r="C27" s="111" t="s">
        <v>254</v>
      </c>
      <c r="D27" s="111"/>
      <c r="E27" s="111" t="s">
        <v>219</v>
      </c>
      <c r="F27" s="111">
        <v>221403013</v>
      </c>
      <c r="G27" s="111"/>
      <c r="H27" s="111" t="s">
        <v>252</v>
      </c>
      <c r="I27" s="113">
        <v>22.45</v>
      </c>
      <c r="J27" s="130">
        <v>60</v>
      </c>
      <c r="K27" s="101" t="s">
        <v>17</v>
      </c>
      <c r="L27" s="214">
        <v>30</v>
      </c>
      <c r="M27" s="214">
        <v>30</v>
      </c>
      <c r="N27" s="214">
        <v>30</v>
      </c>
      <c r="O27" s="214">
        <v>30</v>
      </c>
      <c r="P27" s="214">
        <v>35</v>
      </c>
      <c r="Q27" s="214">
        <v>35</v>
      </c>
      <c r="R27" s="214">
        <v>35</v>
      </c>
      <c r="S27" s="214">
        <v>35</v>
      </c>
      <c r="T27" s="214"/>
      <c r="U27" s="214"/>
      <c r="V27" s="214"/>
      <c r="W27" s="123">
        <f>+IF(COUNTA(L27:V27)=0,0,Y27/(COUNTA(L27:V27)))</f>
        <v>32.5</v>
      </c>
      <c r="X27" s="541"/>
      <c r="Y27" s="134">
        <f t="shared" si="0"/>
        <v>260</v>
      </c>
      <c r="Z27" s="137">
        <f>+Y27+AA27</f>
        <v>315</v>
      </c>
      <c r="AA27" s="137">
        <v>55</v>
      </c>
      <c r="AB27" s="140">
        <f>+Z26-Z27</f>
        <v>1511</v>
      </c>
      <c r="AC27" s="131">
        <f>+IF(((Y28+(Y29/2))*60)=0,"",(I27*Y27)/((Y28+(Y29/2))*60))</f>
        <v>0.50668402777777777</v>
      </c>
      <c r="AD27" s="157"/>
      <c r="AE27" s="167">
        <f t="shared" si="1"/>
        <v>0</v>
      </c>
      <c r="AF27" s="167">
        <f>+Y27*I27</f>
        <v>5837</v>
      </c>
      <c r="AG27" s="167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</row>
    <row r="28" spans="1:55" ht="62.25" customHeight="1" x14ac:dyDescent="0.9">
      <c r="A28" s="124"/>
      <c r="B28" s="125">
        <f>+B27</f>
        <v>6</v>
      </c>
      <c r="C28" s="184"/>
      <c r="D28" s="111">
        <f>+B27</f>
        <v>6</v>
      </c>
      <c r="E28" s="111"/>
      <c r="F28" s="112" t="e">
        <f>+VLOOKUP(F27,'Obj Prix'!$H:$H,2,FALSE)</f>
        <v>#N/A</v>
      </c>
      <c r="G28" s="112"/>
      <c r="H28" s="210"/>
      <c r="I28" s="113"/>
      <c r="J28" s="114" t="s">
        <v>22</v>
      </c>
      <c r="K28" s="102" t="s">
        <v>18</v>
      </c>
      <c r="L28" s="215">
        <v>22</v>
      </c>
      <c r="M28" s="215">
        <v>22</v>
      </c>
      <c r="N28" s="215">
        <v>22</v>
      </c>
      <c r="O28" s="215">
        <v>22</v>
      </c>
      <c r="P28" s="215">
        <v>22</v>
      </c>
      <c r="Q28" s="215">
        <v>22</v>
      </c>
      <c r="R28" s="215">
        <v>22</v>
      </c>
      <c r="S28" s="215">
        <v>22</v>
      </c>
      <c r="T28" s="215"/>
      <c r="U28" s="215"/>
      <c r="V28" s="215"/>
      <c r="W28" s="160">
        <f>+W27-J27</f>
        <v>-27.5</v>
      </c>
      <c r="X28" s="541"/>
      <c r="Y28" s="103">
        <f t="shared" si="0"/>
        <v>176</v>
      </c>
      <c r="Z28" s="138"/>
      <c r="AA28" s="138"/>
      <c r="AB28" s="122"/>
      <c r="AC28" s="116"/>
      <c r="AD28" s="157"/>
      <c r="AE28" s="167">
        <f t="shared" si="1"/>
        <v>0</v>
      </c>
      <c r="AF28" s="167"/>
      <c r="AG28" s="167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</row>
    <row r="29" spans="1:55" s="98" customFormat="1" ht="62.25" customHeight="1" thickBot="1" x14ac:dyDescent="0.95">
      <c r="A29" s="124"/>
      <c r="B29" s="129">
        <f>+B27</f>
        <v>6</v>
      </c>
      <c r="C29" s="174" t="s">
        <v>214</v>
      </c>
      <c r="D29" s="175">
        <f>+D28+100</f>
        <v>106</v>
      </c>
      <c r="E29" s="175"/>
      <c r="F29" s="117" t="s">
        <v>111</v>
      </c>
      <c r="G29" s="117"/>
      <c r="H29" s="146"/>
      <c r="I29" s="165">
        <f>+IF(J29="","",IF(J27=0,"",(J27*I27)/(J29*60)))</f>
        <v>0.8634615384615385</v>
      </c>
      <c r="J29" s="118">
        <v>26</v>
      </c>
      <c r="K29" s="104" t="s">
        <v>19</v>
      </c>
      <c r="L29" s="216">
        <v>4</v>
      </c>
      <c r="M29" s="216">
        <v>4</v>
      </c>
      <c r="N29" s="216">
        <v>4</v>
      </c>
      <c r="O29" s="216">
        <v>4</v>
      </c>
      <c r="P29" s="216">
        <v>4</v>
      </c>
      <c r="Q29" s="216">
        <v>4</v>
      </c>
      <c r="R29" s="216">
        <v>4</v>
      </c>
      <c r="S29" s="216">
        <v>4</v>
      </c>
      <c r="T29" s="216"/>
      <c r="U29" s="216"/>
      <c r="V29" s="216"/>
      <c r="W29" s="173"/>
      <c r="X29" s="168">
        <f>14.33+(COUNTA(L27:V27)-(Y27/J27))</f>
        <v>17.996666666666666</v>
      </c>
      <c r="Y29" s="105">
        <f t="shared" si="0"/>
        <v>32</v>
      </c>
      <c r="Z29" s="139"/>
      <c r="AA29" s="139"/>
      <c r="AB29" s="119">
        <f>+IFERROR(AB27/(J27*9),"")</f>
        <v>2.7981481481481483</v>
      </c>
      <c r="AC29" s="120"/>
      <c r="AD29" s="161">
        <f>+Y28+Y29/2</f>
        <v>192</v>
      </c>
      <c r="AE29" s="167">
        <f t="shared" si="1"/>
        <v>11520</v>
      </c>
      <c r="AF29" s="167"/>
      <c r="AG29" s="230">
        <f>+IF((Y27-J27*9)&gt;=0,"",Y27-J27*9)</f>
        <v>-280</v>
      </c>
      <c r="AH29" s="91"/>
    </row>
    <row r="30" spans="1:55" ht="62.25" customHeight="1" thickTop="1" x14ac:dyDescent="0.9">
      <c r="A30" s="124"/>
      <c r="B30" s="127">
        <f>+B31</f>
        <v>6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135"/>
      <c r="X30" s="540">
        <f>+W32</f>
        <v>0</v>
      </c>
      <c r="Y30" s="135">
        <f t="shared" si="0"/>
        <v>0</v>
      </c>
      <c r="Z30" s="136">
        <f>+AA30+Y30</f>
        <v>0</v>
      </c>
      <c r="AA30" s="136"/>
      <c r="AB30" s="121"/>
      <c r="AC30" s="110"/>
      <c r="AD30" s="157"/>
      <c r="AE30" s="167">
        <f t="shared" si="1"/>
        <v>0</v>
      </c>
      <c r="AF30" s="167"/>
      <c r="AG30" s="167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</row>
    <row r="31" spans="1:55" ht="62.25" customHeight="1" x14ac:dyDescent="0.9">
      <c r="A31" s="124"/>
      <c r="B31" s="132">
        <v>6</v>
      </c>
      <c r="C31" s="111" t="s">
        <v>261</v>
      </c>
      <c r="D31" s="111"/>
      <c r="E31" s="111" t="s">
        <v>219</v>
      </c>
      <c r="F31" s="111">
        <v>221405021</v>
      </c>
      <c r="G31" s="111"/>
      <c r="H31" s="111" t="s">
        <v>40</v>
      </c>
      <c r="I31" s="113"/>
      <c r="J31" s="130"/>
      <c r="K31" s="101" t="s">
        <v>17</v>
      </c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123">
        <f>+IF(COUNTA(L31:V31)=0,0,Y31/(COUNTA(L31:V31)))</f>
        <v>0</v>
      </c>
      <c r="X31" s="541"/>
      <c r="Y31" s="134">
        <f t="shared" si="0"/>
        <v>0</v>
      </c>
      <c r="Z31" s="137">
        <f>+Y31+AA31</f>
        <v>0</v>
      </c>
      <c r="AA31" s="137"/>
      <c r="AB31" s="140">
        <f>+Z30-Z31</f>
        <v>0</v>
      </c>
      <c r="AC31" s="131" t="str">
        <f>+IF(((Y32+(Y33/2))*60)=0,"",(I31*Y31)/((Y32+(Y33/2))*60))</f>
        <v/>
      </c>
      <c r="AD31" s="157"/>
      <c r="AE31" s="167">
        <f t="shared" si="1"/>
        <v>0</v>
      </c>
      <c r="AF31" s="167">
        <f>+Y31*I31</f>
        <v>0</v>
      </c>
      <c r="AG31" s="167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</row>
    <row r="32" spans="1:55" ht="62.25" customHeight="1" x14ac:dyDescent="0.9">
      <c r="A32" s="124"/>
      <c r="B32" s="125">
        <f>+B31</f>
        <v>6</v>
      </c>
      <c r="C32" s="184"/>
      <c r="D32" s="111">
        <f>+B31</f>
        <v>6</v>
      </c>
      <c r="E32" s="111"/>
      <c r="F32" s="112" t="e">
        <f>+VLOOKUP(F31,'Obj Prix'!$H:$H,2,FALSE)</f>
        <v>#N/A</v>
      </c>
      <c r="G32" s="112"/>
      <c r="H32" s="210"/>
      <c r="I32" s="113"/>
      <c r="J32" s="114" t="s">
        <v>22</v>
      </c>
      <c r="K32" s="102" t="s">
        <v>18</v>
      </c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160">
        <f>+W31-J31</f>
        <v>0</v>
      </c>
      <c r="X32" s="541"/>
      <c r="Y32" s="103">
        <f t="shared" si="0"/>
        <v>0</v>
      </c>
      <c r="Z32" s="138"/>
      <c r="AA32" s="138"/>
      <c r="AB32" s="122"/>
      <c r="AC32" s="116"/>
      <c r="AD32" s="157"/>
      <c r="AE32" s="167">
        <f t="shared" si="1"/>
        <v>0</v>
      </c>
      <c r="AF32" s="167"/>
      <c r="AG32" s="167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</row>
    <row r="33" spans="1:34" s="98" customFormat="1" ht="62.25" customHeight="1" thickBot="1" x14ac:dyDescent="0.95">
      <c r="A33" s="124"/>
      <c r="B33" s="129">
        <f>+B31</f>
        <v>6</v>
      </c>
      <c r="C33" s="174" t="s">
        <v>214</v>
      </c>
      <c r="D33" s="175">
        <f>+D32+100</f>
        <v>106</v>
      </c>
      <c r="E33" s="175"/>
      <c r="F33" s="117" t="s">
        <v>111</v>
      </c>
      <c r="G33" s="117"/>
      <c r="H33" s="146"/>
      <c r="I33" s="165" t="str">
        <f>+IF(J33="","",IF(J31=0,"",(J31*I31)/(J33*60)))</f>
        <v/>
      </c>
      <c r="J33" s="118">
        <v>23</v>
      </c>
      <c r="K33" s="104" t="s">
        <v>19</v>
      </c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173"/>
      <c r="X33" s="168"/>
      <c r="Y33" s="105">
        <f t="shared" si="0"/>
        <v>0</v>
      </c>
      <c r="Z33" s="139"/>
      <c r="AA33" s="139"/>
      <c r="AB33" s="119" t="str">
        <f>+IFERROR(AB31/(J31*9),"")</f>
        <v/>
      </c>
      <c r="AC33" s="120"/>
      <c r="AD33" s="161">
        <f>+Y32+Y33/2</f>
        <v>0</v>
      </c>
      <c r="AE33" s="167">
        <f t="shared" si="1"/>
        <v>0</v>
      </c>
      <c r="AF33" s="167"/>
      <c r="AG33" s="230" t="str">
        <f>+IF((Y31-J31*9)&gt;=0,"",Y31-J31*9)</f>
        <v/>
      </c>
      <c r="AH33" s="91"/>
    </row>
    <row r="34" spans="1:34" s="98" customFormat="1" ht="65.25" customHeight="1" thickTop="1" x14ac:dyDescent="0.9">
      <c r="A34" s="124"/>
      <c r="B34" s="127">
        <f>+B35</f>
        <v>7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3">
        <v>100</v>
      </c>
      <c r="M34" s="213">
        <v>50</v>
      </c>
      <c r="N34" s="213">
        <v>50</v>
      </c>
      <c r="O34" s="213">
        <v>100</v>
      </c>
      <c r="P34" s="213">
        <v>50</v>
      </c>
      <c r="Q34" s="213">
        <v>100</v>
      </c>
      <c r="R34" s="213">
        <v>50</v>
      </c>
      <c r="S34" s="213"/>
      <c r="T34" s="213"/>
      <c r="U34" s="213"/>
      <c r="V34" s="213"/>
      <c r="W34" s="135"/>
      <c r="X34" s="540">
        <f>+W36</f>
        <v>2</v>
      </c>
      <c r="Y34" s="135">
        <f t="shared" si="0"/>
        <v>500</v>
      </c>
      <c r="Z34" s="136">
        <f>+AA34+Y34</f>
        <v>3826</v>
      </c>
      <c r="AA34" s="136">
        <v>3326</v>
      </c>
      <c r="AB34" s="121"/>
      <c r="AC34" s="110"/>
      <c r="AD34" s="157"/>
      <c r="AE34" s="167">
        <f t="shared" si="1"/>
        <v>0</v>
      </c>
      <c r="AF34" s="167"/>
      <c r="AG34" s="167"/>
      <c r="AH34" s="91"/>
    </row>
    <row r="35" spans="1:34" s="98" customFormat="1" ht="62.25" customHeight="1" x14ac:dyDescent="0.9">
      <c r="A35" s="124"/>
      <c r="B35" s="132">
        <v>7</v>
      </c>
      <c r="C35" s="111" t="s">
        <v>240</v>
      </c>
      <c r="D35" s="111"/>
      <c r="E35" s="111" t="s">
        <v>35</v>
      </c>
      <c r="F35" s="111" t="s">
        <v>241</v>
      </c>
      <c r="G35" s="111">
        <v>6600</v>
      </c>
      <c r="H35" s="111" t="s">
        <v>33</v>
      </c>
      <c r="I35" s="113">
        <v>51.08</v>
      </c>
      <c r="J35" s="130">
        <v>55</v>
      </c>
      <c r="K35" s="101" t="s">
        <v>17</v>
      </c>
      <c r="L35" s="214">
        <v>57</v>
      </c>
      <c r="M35" s="214">
        <v>57</v>
      </c>
      <c r="N35" s="214">
        <v>57</v>
      </c>
      <c r="O35" s="214">
        <v>57</v>
      </c>
      <c r="P35" s="214">
        <v>57</v>
      </c>
      <c r="Q35" s="214">
        <v>57</v>
      </c>
      <c r="R35" s="214">
        <v>57</v>
      </c>
      <c r="S35" s="214">
        <v>57</v>
      </c>
      <c r="T35" s="214"/>
      <c r="U35" s="214"/>
      <c r="V35" s="214"/>
      <c r="W35" s="123">
        <f>+IF(COUNTA(L35:V35)=0,0,Y35/(COUNTA(L35:V35)))</f>
        <v>57</v>
      </c>
      <c r="X35" s="541"/>
      <c r="Y35" s="134">
        <f t="shared" si="0"/>
        <v>456</v>
      </c>
      <c r="Z35" s="137">
        <f>+Y35+AA35</f>
        <v>3073</v>
      </c>
      <c r="AA35" s="137">
        <v>2617</v>
      </c>
      <c r="AB35" s="140">
        <f>+Z34-Z35</f>
        <v>753</v>
      </c>
      <c r="AC35" s="131">
        <f>+IF(((Y36+(Y37/2))*60)=0,"",(I35*Y35)/((Y36+(Y37/2))*60))</f>
        <v>0.93319230769230765</v>
      </c>
      <c r="AD35" s="157"/>
      <c r="AE35" s="167">
        <f t="shared" si="1"/>
        <v>0</v>
      </c>
      <c r="AF35" s="167">
        <f>+Y35*I35</f>
        <v>23292.48</v>
      </c>
      <c r="AG35" s="167"/>
      <c r="AH35" s="91"/>
    </row>
    <row r="36" spans="1:34" s="98" customFormat="1" ht="62.25" customHeight="1" x14ac:dyDescent="0.9">
      <c r="A36" s="124"/>
      <c r="B36" s="125">
        <f>+B35</f>
        <v>7</v>
      </c>
      <c r="C36" s="184"/>
      <c r="D36" s="111">
        <f>+B35</f>
        <v>7</v>
      </c>
      <c r="E36" s="111"/>
      <c r="F36" s="112" t="e">
        <f>+VLOOKUP(F35,'Obj Prix'!$H:$H,2,FALSE)</f>
        <v>#N/A</v>
      </c>
      <c r="G36" s="112"/>
      <c r="H36" s="210"/>
      <c r="I36" s="210">
        <v>2</v>
      </c>
      <c r="J36" s="114" t="s">
        <v>22</v>
      </c>
      <c r="K36" s="102" t="s">
        <v>18</v>
      </c>
      <c r="L36" s="215">
        <v>51</v>
      </c>
      <c r="M36" s="215">
        <v>51</v>
      </c>
      <c r="N36" s="215">
        <v>51</v>
      </c>
      <c r="O36" s="215">
        <v>51</v>
      </c>
      <c r="P36" s="215">
        <v>51</v>
      </c>
      <c r="Q36" s="215">
        <v>51</v>
      </c>
      <c r="R36" s="215">
        <v>51</v>
      </c>
      <c r="S36" s="215">
        <v>51</v>
      </c>
      <c r="T36" s="215"/>
      <c r="U36" s="215"/>
      <c r="V36" s="215"/>
      <c r="W36" s="160">
        <f>+W35-J35</f>
        <v>2</v>
      </c>
      <c r="X36" s="541"/>
      <c r="Y36" s="103">
        <f t="shared" si="0"/>
        <v>408</v>
      </c>
      <c r="Z36" s="138"/>
      <c r="AA36" s="138"/>
      <c r="AB36" s="122"/>
      <c r="AC36" s="116"/>
      <c r="AD36" s="157"/>
      <c r="AE36" s="167">
        <f t="shared" si="1"/>
        <v>0</v>
      </c>
      <c r="AF36" s="167"/>
      <c r="AG36" s="167"/>
      <c r="AH36" s="91"/>
    </row>
    <row r="37" spans="1:34" s="98" customFormat="1" ht="62.25" customHeight="1" thickBot="1" x14ac:dyDescent="0.95">
      <c r="A37" s="124"/>
      <c r="B37" s="126">
        <f>+B35</f>
        <v>7</v>
      </c>
      <c r="C37" s="174" t="s">
        <v>93</v>
      </c>
      <c r="D37" s="175">
        <f>+D36+100</f>
        <v>107</v>
      </c>
      <c r="E37" s="175"/>
      <c r="F37" s="117" t="s">
        <v>203</v>
      </c>
      <c r="G37" s="218"/>
      <c r="H37" s="146"/>
      <c r="I37" s="165">
        <f>+IF(J37="","",IF(J35=0,"",(J35*I35)/(J37*60)))</f>
        <v>0.90044871794871795</v>
      </c>
      <c r="J37" s="118">
        <v>52</v>
      </c>
      <c r="K37" s="104" t="s">
        <v>19</v>
      </c>
      <c r="L37" s="216">
        <v>2</v>
      </c>
      <c r="M37" s="216">
        <v>2</v>
      </c>
      <c r="N37" s="216">
        <v>2</v>
      </c>
      <c r="O37" s="216">
        <v>2</v>
      </c>
      <c r="P37" s="216">
        <v>2</v>
      </c>
      <c r="Q37" s="216">
        <v>2</v>
      </c>
      <c r="R37" s="216">
        <v>2</v>
      </c>
      <c r="S37" s="216">
        <v>2</v>
      </c>
      <c r="T37" s="216"/>
      <c r="U37" s="216"/>
      <c r="V37" s="216"/>
      <c r="W37" s="173"/>
      <c r="X37" s="169">
        <v>4.95</v>
      </c>
      <c r="Y37" s="105">
        <f t="shared" si="0"/>
        <v>16</v>
      </c>
      <c r="Z37" s="139"/>
      <c r="AA37" s="139"/>
      <c r="AB37" s="119">
        <f>+IFERROR(AB35/(J35*9),"")</f>
        <v>1.5212121212121212</v>
      </c>
      <c r="AC37" s="120"/>
      <c r="AD37" s="161">
        <f>+Y36+Y37/2</f>
        <v>416</v>
      </c>
      <c r="AE37" s="167">
        <f t="shared" si="1"/>
        <v>24960</v>
      </c>
      <c r="AF37" s="167"/>
      <c r="AG37" s="230">
        <f>+IF((Y35-J35*9)&gt;=0,"",Y35-J35*9)</f>
        <v>-39</v>
      </c>
      <c r="AH37" s="91"/>
    </row>
    <row r="38" spans="1:34" ht="62.25" customHeight="1" thickTop="1" x14ac:dyDescent="0.9">
      <c r="A38" s="124"/>
      <c r="B38" s="127">
        <f>+B39</f>
        <v>8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135"/>
      <c r="X38" s="540">
        <f>+W40</f>
        <v>3</v>
      </c>
      <c r="Y38" s="135">
        <f t="shared" ref="Y38:Y69" si="2">+SUM(L38:V38)</f>
        <v>0</v>
      </c>
      <c r="Z38" s="136">
        <f>+AA38+Y38</f>
        <v>6320</v>
      </c>
      <c r="AA38" s="136">
        <v>6320</v>
      </c>
      <c r="AB38" s="109"/>
      <c r="AC38" s="110"/>
      <c r="AD38" s="157"/>
      <c r="AE38" s="167">
        <f t="shared" si="1"/>
        <v>0</v>
      </c>
      <c r="AF38" s="167"/>
      <c r="AG38" s="167"/>
    </row>
    <row r="39" spans="1:34" ht="62.25" customHeight="1" x14ac:dyDescent="0.9">
      <c r="A39" s="124"/>
      <c r="B39" s="132">
        <v>8</v>
      </c>
      <c r="C39" s="111" t="s">
        <v>242</v>
      </c>
      <c r="D39" s="111"/>
      <c r="E39" s="111" t="s">
        <v>35</v>
      </c>
      <c r="F39" s="111" t="s">
        <v>215</v>
      </c>
      <c r="G39" s="111">
        <v>5500</v>
      </c>
      <c r="H39" s="111" t="s">
        <v>207</v>
      </c>
      <c r="I39" s="113">
        <v>28.04</v>
      </c>
      <c r="J39" s="130">
        <v>107</v>
      </c>
      <c r="K39" s="101" t="s">
        <v>17</v>
      </c>
      <c r="L39" s="214">
        <v>110</v>
      </c>
      <c r="M39" s="214">
        <v>110</v>
      </c>
      <c r="N39" s="214">
        <v>110</v>
      </c>
      <c r="O39" s="214">
        <v>110</v>
      </c>
      <c r="P39" s="214">
        <v>110</v>
      </c>
      <c r="Q39" s="214">
        <v>110</v>
      </c>
      <c r="R39" s="214">
        <v>110</v>
      </c>
      <c r="S39" s="214">
        <v>110</v>
      </c>
      <c r="T39" s="214"/>
      <c r="U39" s="214"/>
      <c r="V39" s="214"/>
      <c r="W39" s="123">
        <f>+IF(COUNTA(L39:V39)=0,0,Y39/(COUNTA(L39:V39)))</f>
        <v>110</v>
      </c>
      <c r="X39" s="541"/>
      <c r="Y39" s="134">
        <f t="shared" si="2"/>
        <v>880</v>
      </c>
      <c r="Z39" s="137">
        <f>+Y39+AA39</f>
        <v>5164</v>
      </c>
      <c r="AA39" s="137">
        <v>4284</v>
      </c>
      <c r="AB39" s="140">
        <f>+Z38-Z39</f>
        <v>1156</v>
      </c>
      <c r="AC39" s="131">
        <f>+IF(((Y40+(Y41/2))*60)=0,"",(I39*Y39)/((Y40+(Y41/2))*60))</f>
        <v>0.9262462462462463</v>
      </c>
      <c r="AD39" s="157"/>
      <c r="AE39" s="167">
        <f t="shared" si="1"/>
        <v>0</v>
      </c>
      <c r="AF39" s="167">
        <f>+Y39*I39</f>
        <v>24675.200000000001</v>
      </c>
      <c r="AG39" s="167"/>
    </row>
    <row r="40" spans="1:34" ht="62.25" customHeight="1" x14ac:dyDescent="0.9">
      <c r="A40" s="124"/>
      <c r="B40" s="125">
        <f>+B39</f>
        <v>8</v>
      </c>
      <c r="C40" s="184"/>
      <c r="D40" s="111">
        <f>+B39</f>
        <v>8</v>
      </c>
      <c r="E40" s="111"/>
      <c r="F40" s="112" t="e">
        <f>+VLOOKUP(F39,'Obj Prix'!$H:$H,2,FALSE)</f>
        <v>#N/A</v>
      </c>
      <c r="G40" s="112"/>
      <c r="H40" s="210"/>
      <c r="I40" s="210">
        <v>1</v>
      </c>
      <c r="J40" s="114" t="s">
        <v>22</v>
      </c>
      <c r="K40" s="102" t="s">
        <v>18</v>
      </c>
      <c r="L40" s="215">
        <v>55</v>
      </c>
      <c r="M40" s="215">
        <v>55</v>
      </c>
      <c r="N40" s="215">
        <v>55</v>
      </c>
      <c r="O40" s="215">
        <v>55</v>
      </c>
      <c r="P40" s="215">
        <v>54</v>
      </c>
      <c r="Q40" s="215">
        <v>54</v>
      </c>
      <c r="R40" s="215">
        <v>54</v>
      </c>
      <c r="S40" s="215">
        <v>54</v>
      </c>
      <c r="T40" s="215"/>
      <c r="U40" s="215"/>
      <c r="V40" s="215"/>
      <c r="W40" s="160">
        <f>+W39-J39</f>
        <v>3</v>
      </c>
      <c r="X40" s="541"/>
      <c r="Y40" s="103">
        <f t="shared" si="2"/>
        <v>436</v>
      </c>
      <c r="Z40" s="138"/>
      <c r="AA40" s="138"/>
      <c r="AB40" s="115"/>
      <c r="AC40" s="116"/>
      <c r="AD40" s="157"/>
      <c r="AE40" s="167">
        <f t="shared" si="1"/>
        <v>0</v>
      </c>
      <c r="AF40" s="167"/>
      <c r="AG40" s="167"/>
    </row>
    <row r="41" spans="1:34" s="98" customFormat="1" ht="62.25" customHeight="1" thickBot="1" x14ac:dyDescent="0.95">
      <c r="A41" s="124"/>
      <c r="B41" s="126">
        <f>+B39</f>
        <v>8</v>
      </c>
      <c r="C41" s="174" t="s">
        <v>130</v>
      </c>
      <c r="D41" s="175">
        <f>+D40+100</f>
        <v>108</v>
      </c>
      <c r="E41" s="175"/>
      <c r="F41" s="117" t="s">
        <v>94</v>
      </c>
      <c r="G41" s="117"/>
      <c r="H41" s="159" t="s">
        <v>237</v>
      </c>
      <c r="I41" s="165">
        <f>+IF(J41="","",IF(J39=0,"",(J39*I39)/(J41*60)))</f>
        <v>0.90917575757575753</v>
      </c>
      <c r="J41" s="118">
        <v>55</v>
      </c>
      <c r="K41" s="104" t="s">
        <v>19</v>
      </c>
      <c r="L41" s="216">
        <v>2</v>
      </c>
      <c r="M41" s="216">
        <v>2</v>
      </c>
      <c r="N41" s="216">
        <v>2</v>
      </c>
      <c r="O41" s="216">
        <v>2</v>
      </c>
      <c r="P41" s="216">
        <v>2</v>
      </c>
      <c r="Q41" s="216">
        <v>2</v>
      </c>
      <c r="R41" s="216">
        <v>2</v>
      </c>
      <c r="S41" s="216">
        <v>2</v>
      </c>
      <c r="T41" s="216"/>
      <c r="U41" s="216"/>
      <c r="V41" s="216"/>
      <c r="W41" s="173"/>
      <c r="X41" s="236">
        <v>32.06</v>
      </c>
      <c r="Y41" s="105">
        <f t="shared" si="2"/>
        <v>16</v>
      </c>
      <c r="Z41" s="139"/>
      <c r="AA41" s="139"/>
      <c r="AB41" s="119">
        <f>+IFERROR(AB39/(J39*9),"")</f>
        <v>1.2004153686396677</v>
      </c>
      <c r="AC41" s="120"/>
      <c r="AD41" s="161">
        <f>+Y40+Y41/2</f>
        <v>444</v>
      </c>
      <c r="AE41" s="167">
        <f t="shared" si="1"/>
        <v>26640</v>
      </c>
      <c r="AF41" s="167"/>
      <c r="AG41" s="230">
        <f>+IF((Y39-J39*9)&gt;=0,"",Y39-J39*9)</f>
        <v>-83</v>
      </c>
      <c r="AH41" s="91"/>
    </row>
    <row r="42" spans="1:34" ht="62.25" customHeight="1" thickTop="1" x14ac:dyDescent="0.9">
      <c r="A42" s="124"/>
      <c r="B42" s="127">
        <f>+B43</f>
        <v>8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3"/>
      <c r="M42" s="213">
        <v>70</v>
      </c>
      <c r="N42" s="213"/>
      <c r="O42" s="213"/>
      <c r="P42" s="213">
        <v>70</v>
      </c>
      <c r="Q42" s="213"/>
      <c r="R42" s="213"/>
      <c r="S42" s="213"/>
      <c r="T42" s="213"/>
      <c r="U42" s="213"/>
      <c r="V42" s="213"/>
      <c r="W42" s="135"/>
      <c r="X42" s="540">
        <f>+W44</f>
        <v>0</v>
      </c>
      <c r="Y42" s="135">
        <f t="shared" si="2"/>
        <v>140</v>
      </c>
      <c r="Z42" s="136">
        <f>+AA42+Y42</f>
        <v>140</v>
      </c>
      <c r="AA42" s="136"/>
      <c r="AB42" s="109"/>
      <c r="AC42" s="110"/>
      <c r="AD42" s="157"/>
      <c r="AE42" s="167">
        <f t="shared" si="1"/>
        <v>0</v>
      </c>
      <c r="AF42" s="167"/>
      <c r="AG42" s="167"/>
    </row>
    <row r="43" spans="1:34" ht="62.25" customHeight="1" x14ac:dyDescent="0.9">
      <c r="A43" s="124"/>
      <c r="B43" s="132">
        <v>8</v>
      </c>
      <c r="C43" s="111" t="s">
        <v>259</v>
      </c>
      <c r="D43" s="111"/>
      <c r="E43" s="111" t="s">
        <v>35</v>
      </c>
      <c r="F43" s="111" t="s">
        <v>260</v>
      </c>
      <c r="G43" s="111"/>
      <c r="H43" s="111" t="s">
        <v>38</v>
      </c>
      <c r="I43" s="113"/>
      <c r="J43" s="130"/>
      <c r="K43" s="101" t="s">
        <v>17</v>
      </c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123">
        <f>+IF(COUNTA(L43:V43)=0,0,Y43/(COUNTA(L43:V43)))</f>
        <v>0</v>
      </c>
      <c r="X43" s="541"/>
      <c r="Y43" s="134">
        <f t="shared" si="2"/>
        <v>0</v>
      </c>
      <c r="Z43" s="137">
        <f>+Y43+AA43</f>
        <v>0</v>
      </c>
      <c r="AA43" s="137"/>
      <c r="AB43" s="140">
        <f>+Z42-Z43</f>
        <v>140</v>
      </c>
      <c r="AC43" s="131" t="str">
        <f>+IF(((Y44+(Y45/2))*60)=0,"",(I43*Y43)/((Y44+(Y45/2))*60))</f>
        <v/>
      </c>
      <c r="AD43" s="157"/>
      <c r="AE43" s="167">
        <f t="shared" si="1"/>
        <v>0</v>
      </c>
      <c r="AF43" s="167">
        <f>+Y43*I43</f>
        <v>0</v>
      </c>
      <c r="AG43" s="167"/>
    </row>
    <row r="44" spans="1:34" ht="62.25" customHeight="1" x14ac:dyDescent="0.9">
      <c r="A44" s="124"/>
      <c r="B44" s="125">
        <f>+B43</f>
        <v>8</v>
      </c>
      <c r="C44" s="184"/>
      <c r="D44" s="111">
        <f>+B43</f>
        <v>8</v>
      </c>
      <c r="E44" s="111"/>
      <c r="F44" s="112" t="e">
        <f>+VLOOKUP(F43,'Obj Prix'!$H:$H,2,FALSE)</f>
        <v>#N/A</v>
      </c>
      <c r="G44" s="112"/>
      <c r="H44" s="210"/>
      <c r="I44" s="210"/>
      <c r="J44" s="114" t="s">
        <v>22</v>
      </c>
      <c r="K44" s="102" t="s">
        <v>18</v>
      </c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160"/>
      <c r="X44" s="541"/>
      <c r="Y44" s="103">
        <f t="shared" si="2"/>
        <v>0</v>
      </c>
      <c r="Z44" s="138"/>
      <c r="AA44" s="138"/>
      <c r="AB44" s="115"/>
      <c r="AC44" s="116"/>
      <c r="AD44" s="157"/>
      <c r="AE44" s="167">
        <f t="shared" si="1"/>
        <v>0</v>
      </c>
      <c r="AF44" s="167"/>
      <c r="AG44" s="167"/>
    </row>
    <row r="45" spans="1:34" s="98" customFormat="1" ht="62.25" customHeight="1" thickBot="1" x14ac:dyDescent="0.95">
      <c r="A45" s="124"/>
      <c r="B45" s="126">
        <f>+B43</f>
        <v>8</v>
      </c>
      <c r="C45" s="174" t="s">
        <v>130</v>
      </c>
      <c r="D45" s="175">
        <f>+D44+100</f>
        <v>108</v>
      </c>
      <c r="E45" s="175"/>
      <c r="F45" s="117" t="s">
        <v>94</v>
      </c>
      <c r="G45" s="117"/>
      <c r="H45" s="159"/>
      <c r="I45" s="165" t="str">
        <f>+IF(J45="","",IF(J43=0,"",(J43*I43)/(J45*60)))</f>
        <v/>
      </c>
      <c r="J45" s="118"/>
      <c r="K45" s="104" t="s">
        <v>19</v>
      </c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173"/>
      <c r="X45" s="236"/>
      <c r="Y45" s="105">
        <f t="shared" si="2"/>
        <v>0</v>
      </c>
      <c r="Z45" s="139"/>
      <c r="AA45" s="139"/>
      <c r="AB45" s="119" t="str">
        <f>+IFERROR(AB43/(J43*9),"")</f>
        <v/>
      </c>
      <c r="AC45" s="120"/>
      <c r="AD45" s="161">
        <f>+Y44+Y45/2</f>
        <v>0</v>
      </c>
      <c r="AE45" s="167">
        <f t="shared" si="1"/>
        <v>0</v>
      </c>
      <c r="AF45" s="167"/>
      <c r="AG45" s="230" t="str">
        <f>+IF((Y43-J43*9)&gt;=0,"",Y43-J43*9)</f>
        <v/>
      </c>
      <c r="AH45" s="91"/>
    </row>
    <row r="46" spans="1:34" s="98" customFormat="1" ht="62.25" customHeight="1" thickTop="1" x14ac:dyDescent="0.9">
      <c r="A46" s="124"/>
      <c r="B46" s="127">
        <f>+B47</f>
        <v>9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3">
        <v>70</v>
      </c>
      <c r="M46" s="213">
        <v>70</v>
      </c>
      <c r="N46" s="213">
        <v>70</v>
      </c>
      <c r="O46" s="213">
        <v>70</v>
      </c>
      <c r="P46" s="213">
        <v>70</v>
      </c>
      <c r="Q46" s="213"/>
      <c r="R46" s="213"/>
      <c r="S46" s="213"/>
      <c r="T46" s="213"/>
      <c r="U46" s="213"/>
      <c r="V46" s="213"/>
      <c r="W46" s="135"/>
      <c r="X46" s="540">
        <f>+W48</f>
        <v>1.125</v>
      </c>
      <c r="Y46" s="135">
        <f t="shared" si="2"/>
        <v>350</v>
      </c>
      <c r="Z46" s="136">
        <f>+AA46+Y46</f>
        <v>6021</v>
      </c>
      <c r="AA46" s="136">
        <v>5671</v>
      </c>
      <c r="AB46" s="109"/>
      <c r="AC46" s="110"/>
      <c r="AD46" s="157"/>
      <c r="AE46" s="167">
        <f t="shared" si="1"/>
        <v>0</v>
      </c>
      <c r="AF46" s="167"/>
      <c r="AG46" s="167"/>
      <c r="AH46" s="91"/>
    </row>
    <row r="47" spans="1:34" s="98" customFormat="1" ht="62.25" customHeight="1" x14ac:dyDescent="0.9">
      <c r="A47" s="124"/>
      <c r="B47" s="132">
        <v>9</v>
      </c>
      <c r="C47" s="111" t="s">
        <v>234</v>
      </c>
      <c r="D47" s="111"/>
      <c r="E47" s="111" t="s">
        <v>35</v>
      </c>
      <c r="F47" s="111" t="s">
        <v>235</v>
      </c>
      <c r="G47" s="111">
        <v>12500</v>
      </c>
      <c r="H47" s="111" t="s">
        <v>33</v>
      </c>
      <c r="I47" s="113">
        <v>52.3</v>
      </c>
      <c r="J47" s="130">
        <v>55</v>
      </c>
      <c r="K47" s="101" t="s">
        <v>17</v>
      </c>
      <c r="L47" s="214">
        <v>57</v>
      </c>
      <c r="M47" s="214">
        <v>57</v>
      </c>
      <c r="N47" s="214">
        <v>57</v>
      </c>
      <c r="O47" s="214">
        <v>57</v>
      </c>
      <c r="P47" s="214">
        <v>57</v>
      </c>
      <c r="Q47" s="214">
        <v>57</v>
      </c>
      <c r="R47" s="214">
        <v>50</v>
      </c>
      <c r="S47" s="214">
        <v>57</v>
      </c>
      <c r="T47" s="214"/>
      <c r="U47" s="214"/>
      <c r="V47" s="214"/>
      <c r="W47" s="123">
        <f>+IF(COUNTA(L47:V47)=0,0,Y47/(COUNTA(L47:V47)))</f>
        <v>56.125</v>
      </c>
      <c r="X47" s="541"/>
      <c r="Y47" s="134">
        <f t="shared" si="2"/>
        <v>449</v>
      </c>
      <c r="Z47" s="137">
        <f>+Y47+AA47</f>
        <v>5398</v>
      </c>
      <c r="AA47" s="137">
        <v>4949</v>
      </c>
      <c r="AB47" s="140">
        <f>+Z46-Z47</f>
        <v>623</v>
      </c>
      <c r="AC47" s="131">
        <f>+IF(((Y48+(Y49/2))*60)=0,"",(I47*Y47)/((Y48+(Y49/2))*60))</f>
        <v>0.88949621212121199</v>
      </c>
      <c r="AD47" s="157"/>
      <c r="AE47" s="167">
        <f t="shared" si="1"/>
        <v>0</v>
      </c>
      <c r="AF47" s="167">
        <f>+Y47*I47</f>
        <v>23482.699999999997</v>
      </c>
      <c r="AG47" s="167"/>
      <c r="AH47" s="91"/>
    </row>
    <row r="48" spans="1:34" ht="62.25" customHeight="1" x14ac:dyDescent="0.9">
      <c r="A48" s="124"/>
      <c r="B48" s="182">
        <f>+B47</f>
        <v>9</v>
      </c>
      <c r="C48" s="185"/>
      <c r="D48" s="111"/>
      <c r="E48" s="185"/>
      <c r="F48" s="112" t="e">
        <f>+VLOOKUP(F47,'Obj Prix'!$H:$H,2,FALSE)</f>
        <v>#N/A</v>
      </c>
      <c r="G48" s="112"/>
      <c r="H48" s="210"/>
      <c r="I48" s="210"/>
      <c r="J48" s="114" t="s">
        <v>22</v>
      </c>
      <c r="K48" s="102" t="s">
        <v>18</v>
      </c>
      <c r="L48" s="215">
        <v>54</v>
      </c>
      <c r="M48" s="215">
        <v>54</v>
      </c>
      <c r="N48" s="215">
        <v>54</v>
      </c>
      <c r="O48" s="215">
        <v>54</v>
      </c>
      <c r="P48" s="215">
        <v>54</v>
      </c>
      <c r="Q48" s="215">
        <v>54</v>
      </c>
      <c r="R48" s="215">
        <v>54</v>
      </c>
      <c r="S48" s="215">
        <v>54</v>
      </c>
      <c r="T48" s="215"/>
      <c r="U48" s="215"/>
      <c r="V48" s="215"/>
      <c r="W48" s="160">
        <f>+W47-J47</f>
        <v>1.125</v>
      </c>
      <c r="X48" s="541"/>
      <c r="Y48" s="103">
        <f t="shared" si="2"/>
        <v>432</v>
      </c>
      <c r="Z48" s="138"/>
      <c r="AA48" s="138"/>
      <c r="AB48" s="115"/>
      <c r="AC48" s="116"/>
      <c r="AD48" s="157"/>
      <c r="AE48" s="167">
        <f t="shared" si="1"/>
        <v>0</v>
      </c>
      <c r="AF48" s="180"/>
      <c r="AG48" s="167"/>
    </row>
    <row r="49" spans="1:34" s="98" customFormat="1" ht="62.25" customHeight="1" thickBot="1" x14ac:dyDescent="0.95">
      <c r="A49" s="124"/>
      <c r="B49" s="129">
        <f>+B47</f>
        <v>9</v>
      </c>
      <c r="C49" s="174" t="s">
        <v>112</v>
      </c>
      <c r="D49" s="175">
        <f>+D48+100</f>
        <v>100</v>
      </c>
      <c r="E49" s="175"/>
      <c r="F49" s="117" t="s">
        <v>203</v>
      </c>
      <c r="G49" s="117"/>
      <c r="H49" s="146"/>
      <c r="I49" s="165">
        <f>+IF(J49="","",IF(J47=0,"",(J47*I47)/(J49*60)))</f>
        <v>0.92195512820512826</v>
      </c>
      <c r="J49" s="118">
        <v>52</v>
      </c>
      <c r="K49" s="104" t="s">
        <v>19</v>
      </c>
      <c r="L49" s="216">
        <v>2</v>
      </c>
      <c r="M49" s="216">
        <v>2</v>
      </c>
      <c r="N49" s="216">
        <v>2</v>
      </c>
      <c r="O49" s="216">
        <v>2</v>
      </c>
      <c r="P49" s="216">
        <v>2</v>
      </c>
      <c r="Q49" s="216">
        <v>2</v>
      </c>
      <c r="R49" s="216">
        <v>2</v>
      </c>
      <c r="S49" s="216">
        <v>2</v>
      </c>
      <c r="T49" s="216"/>
      <c r="U49" s="216"/>
      <c r="V49" s="216"/>
      <c r="W49" s="173"/>
      <c r="X49" s="169">
        <v>16.920000000000002</v>
      </c>
      <c r="Y49" s="105">
        <f t="shared" si="2"/>
        <v>16</v>
      </c>
      <c r="Z49" s="139"/>
      <c r="AA49" s="139"/>
      <c r="AB49" s="119">
        <f>+IFERROR(AB47/(J47*9),"")</f>
        <v>1.2585858585858587</v>
      </c>
      <c r="AC49" s="120"/>
      <c r="AD49" s="161">
        <f>+Y48+Y49/2</f>
        <v>440</v>
      </c>
      <c r="AE49" s="167">
        <f t="shared" si="1"/>
        <v>26400</v>
      </c>
      <c r="AF49" s="167"/>
      <c r="AG49" s="230">
        <f>+IF((Y47-J47*9)&gt;=0,"",Y47-J47*9)</f>
        <v>-46</v>
      </c>
      <c r="AH49" s="91"/>
    </row>
    <row r="50" spans="1:34" ht="62.25" customHeight="1" thickTop="1" x14ac:dyDescent="0.9">
      <c r="A50" s="124"/>
      <c r="B50" s="127">
        <f>+B51</f>
        <v>11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135"/>
      <c r="X50" s="540">
        <f>+W52</f>
        <v>0</v>
      </c>
      <c r="Y50" s="135">
        <f t="shared" si="2"/>
        <v>0</v>
      </c>
      <c r="Z50" s="136">
        <f>+AA50+Y50</f>
        <v>8804</v>
      </c>
      <c r="AA50" s="136">
        <v>8804</v>
      </c>
      <c r="AB50" s="109"/>
      <c r="AC50" s="110"/>
      <c r="AD50" s="157"/>
      <c r="AE50" s="167">
        <f t="shared" si="1"/>
        <v>0</v>
      </c>
      <c r="AF50" s="167"/>
      <c r="AG50" s="167"/>
    </row>
    <row r="51" spans="1:34" ht="62.25" customHeight="1" x14ac:dyDescent="0.9">
      <c r="A51" s="124"/>
      <c r="B51" s="132">
        <v>11</v>
      </c>
      <c r="C51" s="111" t="s">
        <v>216</v>
      </c>
      <c r="D51" s="111"/>
      <c r="E51" s="111" t="s">
        <v>35</v>
      </c>
      <c r="F51" s="111" t="s">
        <v>215</v>
      </c>
      <c r="G51" s="111">
        <v>8270</v>
      </c>
      <c r="H51" s="111" t="s">
        <v>207</v>
      </c>
      <c r="I51" s="113">
        <v>28.04</v>
      </c>
      <c r="J51" s="130">
        <v>107</v>
      </c>
      <c r="K51" s="101" t="s">
        <v>17</v>
      </c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123">
        <f>+IF(COUNTA(L51:V51)=0,0,Y51/(COUNTA(L51:V51)))</f>
        <v>0</v>
      </c>
      <c r="X51" s="541"/>
      <c r="Y51" s="134">
        <f t="shared" si="2"/>
        <v>0</v>
      </c>
      <c r="Z51" s="137">
        <f>+Y51+AA51</f>
        <v>8719</v>
      </c>
      <c r="AA51" s="137">
        <v>8719</v>
      </c>
      <c r="AB51" s="140">
        <f>+Z50-Z51</f>
        <v>85</v>
      </c>
      <c r="AC51" s="131" t="str">
        <f>+IF(((Y52+(Y53/2))*60)=0,"",(I51*Y51)/((Y52+(Y53/2))*60))</f>
        <v/>
      </c>
      <c r="AD51" s="157"/>
      <c r="AE51" s="167">
        <f t="shared" si="1"/>
        <v>0</v>
      </c>
      <c r="AF51" s="167">
        <f>+Y51*I51</f>
        <v>0</v>
      </c>
      <c r="AG51" s="167"/>
    </row>
    <row r="52" spans="1:34" ht="62.25" customHeight="1" x14ac:dyDescent="0.9">
      <c r="A52" s="124"/>
      <c r="B52" s="125">
        <f>+B51</f>
        <v>11</v>
      </c>
      <c r="C52" s="184"/>
      <c r="D52" s="111"/>
      <c r="E52" s="111"/>
      <c r="F52" s="112" t="e">
        <f>+VLOOKUP(F51,'Obj Prix'!$H:$H,2,FALSE)</f>
        <v>#N/A</v>
      </c>
      <c r="G52" s="112"/>
      <c r="H52" s="210"/>
      <c r="I52" s="210">
        <v>0</v>
      </c>
      <c r="J52" s="114" t="s">
        <v>22</v>
      </c>
      <c r="K52" s="102" t="s">
        <v>18</v>
      </c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160"/>
      <c r="X52" s="541"/>
      <c r="Y52" s="103">
        <f t="shared" si="2"/>
        <v>0</v>
      </c>
      <c r="Z52" s="138"/>
      <c r="AA52" s="138"/>
      <c r="AB52" s="115"/>
      <c r="AC52" s="116"/>
      <c r="AD52" s="157"/>
      <c r="AE52" s="167">
        <f t="shared" si="1"/>
        <v>0</v>
      </c>
      <c r="AF52" s="167"/>
      <c r="AG52" s="167"/>
    </row>
    <row r="53" spans="1:34" s="98" customFormat="1" ht="62.25" customHeight="1" thickBot="1" x14ac:dyDescent="0.95">
      <c r="A53" s="124"/>
      <c r="B53" s="126">
        <f>+B51</f>
        <v>11</v>
      </c>
      <c r="C53" s="174" t="s">
        <v>175</v>
      </c>
      <c r="D53" s="175">
        <f>+D52+100</f>
        <v>100</v>
      </c>
      <c r="E53" s="175"/>
      <c r="F53" s="117" t="s">
        <v>94</v>
      </c>
      <c r="G53" s="117"/>
      <c r="H53" s="146"/>
      <c r="I53" s="165">
        <f>+IF(J53="","",IF(J51=0,"",(J51*I51)/(J53*60)))</f>
        <v>0.86214942528735627</v>
      </c>
      <c r="J53" s="118">
        <v>58</v>
      </c>
      <c r="K53" s="104" t="s">
        <v>19</v>
      </c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173"/>
      <c r="X53" s="169">
        <v>21.71</v>
      </c>
      <c r="Y53" s="105">
        <f t="shared" si="2"/>
        <v>0</v>
      </c>
      <c r="Z53" s="139"/>
      <c r="AA53" s="139"/>
      <c r="AB53" s="119">
        <f>+IFERROR(AB51/(J51*9),"")</f>
        <v>8.8265835929387332E-2</v>
      </c>
      <c r="AC53" s="120"/>
      <c r="AD53" s="161">
        <f>+Y52+Y53/2</f>
        <v>0</v>
      </c>
      <c r="AE53" s="167">
        <f t="shared" si="1"/>
        <v>0</v>
      </c>
      <c r="AF53" s="167"/>
      <c r="AG53" s="230">
        <f>+IF((Y51-J51*9)&gt;=0,"",Y51-J51*9)</f>
        <v>-963</v>
      </c>
      <c r="AH53" s="91"/>
    </row>
    <row r="54" spans="1:34" ht="62.25" customHeight="1" thickTop="1" x14ac:dyDescent="0.9">
      <c r="A54" s="124"/>
      <c r="B54" s="127">
        <f>+B55</f>
        <v>11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135"/>
      <c r="X54" s="540">
        <f>+W56</f>
        <v>13</v>
      </c>
      <c r="Y54" s="135">
        <f t="shared" si="2"/>
        <v>0</v>
      </c>
      <c r="Z54" s="136">
        <f>+AA54+Y54</f>
        <v>6770</v>
      </c>
      <c r="AA54" s="136">
        <v>6770</v>
      </c>
      <c r="AB54" s="109"/>
      <c r="AC54" s="110"/>
      <c r="AD54" s="157"/>
      <c r="AE54" s="167">
        <f t="shared" si="1"/>
        <v>0</v>
      </c>
      <c r="AF54" s="167"/>
      <c r="AG54" s="167"/>
    </row>
    <row r="55" spans="1:34" ht="62.25" customHeight="1" x14ac:dyDescent="0.9">
      <c r="A55" s="124"/>
      <c r="B55" s="132">
        <v>11</v>
      </c>
      <c r="C55" s="111" t="s">
        <v>242</v>
      </c>
      <c r="D55" s="111"/>
      <c r="E55" s="111" t="s">
        <v>35</v>
      </c>
      <c r="F55" s="111" t="s">
        <v>215</v>
      </c>
      <c r="G55" s="111">
        <v>7730</v>
      </c>
      <c r="H55" s="111" t="s">
        <v>207</v>
      </c>
      <c r="I55" s="113">
        <v>28.04</v>
      </c>
      <c r="J55" s="130">
        <v>107</v>
      </c>
      <c r="K55" s="101" t="s">
        <v>17</v>
      </c>
      <c r="L55" s="214">
        <v>70</v>
      </c>
      <c r="M55" s="214">
        <v>150</v>
      </c>
      <c r="N55" s="214">
        <v>125</v>
      </c>
      <c r="O55" s="214">
        <v>130</v>
      </c>
      <c r="P55" s="214">
        <v>125</v>
      </c>
      <c r="Q55" s="214">
        <v>120</v>
      </c>
      <c r="R55" s="214">
        <v>120</v>
      </c>
      <c r="S55" s="214">
        <v>120</v>
      </c>
      <c r="T55" s="214"/>
      <c r="U55" s="214"/>
      <c r="V55" s="214"/>
      <c r="W55" s="123">
        <f>+IF(COUNTA(L55:V55)=0,0,Y55/(COUNTA(L55:V55)))</f>
        <v>120</v>
      </c>
      <c r="X55" s="541"/>
      <c r="Y55" s="134">
        <f t="shared" si="2"/>
        <v>960</v>
      </c>
      <c r="Z55" s="137">
        <f>+Y55+AA55</f>
        <v>6288</v>
      </c>
      <c r="AA55" s="137">
        <v>5328</v>
      </c>
      <c r="AB55" s="140">
        <f>+Z54-Z55</f>
        <v>482</v>
      </c>
      <c r="AC55" s="131">
        <f>+IF(((Y56+(Y57/2))*60)=0,"",(I55*Y55)/((Y56+(Y57/2))*60))</f>
        <v>1.8237398373983738</v>
      </c>
      <c r="AD55" s="157"/>
      <c r="AE55" s="167">
        <f t="shared" si="1"/>
        <v>0</v>
      </c>
      <c r="AF55" s="167">
        <f>+Y55*I55</f>
        <v>26918.399999999998</v>
      </c>
      <c r="AG55" s="167"/>
    </row>
    <row r="56" spans="1:34" ht="62.25" customHeight="1" x14ac:dyDescent="0.9">
      <c r="A56" s="124"/>
      <c r="B56" s="125">
        <f>+B55</f>
        <v>11</v>
      </c>
      <c r="C56" s="184"/>
      <c r="D56" s="111"/>
      <c r="E56" s="111"/>
      <c r="F56" s="112" t="e">
        <f>+VLOOKUP(F55,'Obj Prix'!$H:$H,2,FALSE)</f>
        <v>#N/A</v>
      </c>
      <c r="G56" s="112"/>
      <c r="H56" s="210"/>
      <c r="I56" s="210">
        <v>0</v>
      </c>
      <c r="J56" s="114" t="s">
        <v>22</v>
      </c>
      <c r="K56" s="102" t="s">
        <v>18</v>
      </c>
      <c r="L56" s="215">
        <v>43</v>
      </c>
      <c r="M56" s="215">
        <v>36</v>
      </c>
      <c r="N56" s="215">
        <v>34</v>
      </c>
      <c r="O56" s="215">
        <v>32</v>
      </c>
      <c r="P56" s="215">
        <v>30</v>
      </c>
      <c r="Q56" s="215">
        <v>25</v>
      </c>
      <c r="R56" s="215">
        <v>23</v>
      </c>
      <c r="S56" s="215">
        <v>23</v>
      </c>
      <c r="T56" s="215"/>
      <c r="U56" s="215"/>
      <c r="V56" s="215"/>
      <c r="W56" s="160">
        <f>+W55-J55</f>
        <v>13</v>
      </c>
      <c r="X56" s="541"/>
      <c r="Y56" s="103">
        <f t="shared" si="2"/>
        <v>246</v>
      </c>
      <c r="Z56" s="138"/>
      <c r="AA56" s="138"/>
      <c r="AB56" s="115"/>
      <c r="AC56" s="116"/>
      <c r="AD56" s="157"/>
      <c r="AE56" s="167">
        <f t="shared" si="1"/>
        <v>0</v>
      </c>
      <c r="AF56" s="167"/>
      <c r="AG56" s="167"/>
    </row>
    <row r="57" spans="1:34" s="98" customFormat="1" ht="62.25" customHeight="1" thickBot="1" x14ac:dyDescent="0.95">
      <c r="A57" s="124"/>
      <c r="B57" s="126">
        <f>+B55</f>
        <v>11</v>
      </c>
      <c r="C57" s="174" t="s">
        <v>175</v>
      </c>
      <c r="D57" s="175">
        <f>+D56+100</f>
        <v>100</v>
      </c>
      <c r="E57" s="175"/>
      <c r="F57" s="117" t="s">
        <v>94</v>
      </c>
      <c r="G57" s="117"/>
      <c r="H57" s="159" t="s">
        <v>246</v>
      </c>
      <c r="I57" s="165">
        <f>+IF(J57="","",IF(J55=0,"",(J55*I55)/(J57*60)))</f>
        <v>0.86214942528735627</v>
      </c>
      <c r="J57" s="118">
        <v>58</v>
      </c>
      <c r="K57" s="104" t="s">
        <v>19</v>
      </c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173"/>
      <c r="X57" s="169"/>
      <c r="Y57" s="105">
        <f t="shared" si="2"/>
        <v>0</v>
      </c>
      <c r="Z57" s="139"/>
      <c r="AA57" s="139"/>
      <c r="AB57" s="119">
        <f>+IFERROR(AB55/(J55*9),"")</f>
        <v>0.50051921079958461</v>
      </c>
      <c r="AC57" s="120"/>
      <c r="AD57" s="161">
        <f>+Y56+Y57/2</f>
        <v>246</v>
      </c>
      <c r="AE57" s="167">
        <f t="shared" si="1"/>
        <v>14760</v>
      </c>
      <c r="AF57" s="167"/>
      <c r="AG57" s="230">
        <f>+IF((Y55-J55*9)&gt;=0,"",Y55-J55*9)</f>
        <v>-3</v>
      </c>
      <c r="AH57" s="91"/>
    </row>
    <row r="58" spans="1:34" ht="62.25" customHeight="1" thickTop="1" x14ac:dyDescent="0.9">
      <c r="A58" s="124"/>
      <c r="B58" s="127">
        <f>+B59</f>
        <v>11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3">
        <v>70</v>
      </c>
      <c r="M58" s="213"/>
      <c r="N58" s="213"/>
      <c r="O58" s="213">
        <v>70</v>
      </c>
      <c r="P58" s="213"/>
      <c r="Q58" s="213"/>
      <c r="R58" s="213"/>
      <c r="S58" s="213"/>
      <c r="T58" s="213"/>
      <c r="U58" s="213"/>
      <c r="V58" s="213"/>
      <c r="W58" s="135"/>
      <c r="X58" s="540">
        <f>+W60</f>
        <v>0</v>
      </c>
      <c r="Y58" s="135">
        <f t="shared" si="2"/>
        <v>140</v>
      </c>
      <c r="Z58" s="136">
        <f>+AA58+Y58</f>
        <v>140</v>
      </c>
      <c r="AA58" s="136"/>
      <c r="AB58" s="109"/>
      <c r="AC58" s="110"/>
      <c r="AD58" s="157"/>
      <c r="AE58" s="167">
        <f t="shared" si="1"/>
        <v>0</v>
      </c>
      <c r="AF58" s="167"/>
      <c r="AG58" s="167"/>
    </row>
    <row r="59" spans="1:34" ht="62.25" customHeight="1" x14ac:dyDescent="0.9">
      <c r="A59" s="124"/>
      <c r="B59" s="132">
        <v>11</v>
      </c>
      <c r="C59" s="111" t="s">
        <v>259</v>
      </c>
      <c r="D59" s="111"/>
      <c r="E59" s="111" t="s">
        <v>35</v>
      </c>
      <c r="F59" s="111" t="s">
        <v>260</v>
      </c>
      <c r="G59" s="111"/>
      <c r="H59" s="111" t="s">
        <v>38</v>
      </c>
      <c r="I59" s="113"/>
      <c r="J59" s="130"/>
      <c r="K59" s="101" t="s">
        <v>17</v>
      </c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123">
        <f>+IF(COUNTA(L59:V59)=0,0,Y59/(COUNTA(L59:V59)))</f>
        <v>0</v>
      </c>
      <c r="X59" s="541"/>
      <c r="Y59" s="134">
        <f t="shared" si="2"/>
        <v>0</v>
      </c>
      <c r="Z59" s="137">
        <f>+Y59+AA59</f>
        <v>0</v>
      </c>
      <c r="AA59" s="137"/>
      <c r="AB59" s="140">
        <f>+Z58-Z59</f>
        <v>140</v>
      </c>
      <c r="AC59" s="131">
        <f>+IF(((Y60+(Y61/2))*60)=0,"",(I59*Y59)/((Y60+(Y61/2))*60))</f>
        <v>0</v>
      </c>
      <c r="AD59" s="157"/>
      <c r="AE59" s="167">
        <f t="shared" si="1"/>
        <v>0</v>
      </c>
      <c r="AF59" s="167">
        <f>+Y59*I59</f>
        <v>0</v>
      </c>
      <c r="AG59" s="167"/>
    </row>
    <row r="60" spans="1:34" ht="62.25" customHeight="1" x14ac:dyDescent="0.9">
      <c r="A60" s="124"/>
      <c r="B60" s="125">
        <f>+B59</f>
        <v>11</v>
      </c>
      <c r="C60" s="184"/>
      <c r="D60" s="111"/>
      <c r="E60" s="111"/>
      <c r="F60" s="112" t="e">
        <f>+VLOOKUP(F59,'Obj Prix'!$H:$H,2,FALSE)</f>
        <v>#N/A</v>
      </c>
      <c r="G60" s="112"/>
      <c r="H60" s="210"/>
      <c r="I60" s="210">
        <v>0</v>
      </c>
      <c r="J60" s="114" t="s">
        <v>22</v>
      </c>
      <c r="K60" s="102" t="s">
        <v>18</v>
      </c>
      <c r="L60" s="215">
        <f>56-L56</f>
        <v>13</v>
      </c>
      <c r="M60" s="215">
        <f>56-M56</f>
        <v>20</v>
      </c>
      <c r="N60" s="215">
        <v>22</v>
      </c>
      <c r="O60" s="215">
        <v>24</v>
      </c>
      <c r="P60" s="215">
        <v>26</v>
      </c>
      <c r="Q60" s="215">
        <v>31</v>
      </c>
      <c r="R60" s="215">
        <v>33</v>
      </c>
      <c r="S60" s="215">
        <v>33</v>
      </c>
      <c r="T60" s="215"/>
      <c r="U60" s="215"/>
      <c r="V60" s="215"/>
      <c r="W60" s="160"/>
      <c r="X60" s="541"/>
      <c r="Y60" s="103">
        <f t="shared" si="2"/>
        <v>202</v>
      </c>
      <c r="Z60" s="138"/>
      <c r="AA60" s="138"/>
      <c r="AB60" s="115"/>
      <c r="AC60" s="116"/>
      <c r="AD60" s="157"/>
      <c r="AE60" s="167">
        <f t="shared" si="1"/>
        <v>0</v>
      </c>
      <c r="AF60" s="167"/>
      <c r="AG60" s="167"/>
    </row>
    <row r="61" spans="1:34" s="98" customFormat="1" ht="62.25" customHeight="1" thickBot="1" x14ac:dyDescent="0.95">
      <c r="A61" s="124"/>
      <c r="B61" s="126">
        <f>+B59</f>
        <v>11</v>
      </c>
      <c r="C61" s="174" t="s">
        <v>175</v>
      </c>
      <c r="D61" s="175">
        <f>+D60+100</f>
        <v>100</v>
      </c>
      <c r="E61" s="175"/>
      <c r="F61" s="117" t="s">
        <v>94</v>
      </c>
      <c r="G61" s="117"/>
      <c r="H61" s="159"/>
      <c r="I61" s="165" t="str">
        <f>+IF(J61="","",IF(J59=0,"",(J59*I59)/(J61*60)))</f>
        <v/>
      </c>
      <c r="J61" s="118"/>
      <c r="K61" s="104" t="s">
        <v>19</v>
      </c>
      <c r="L61" s="216">
        <v>3</v>
      </c>
      <c r="M61" s="216">
        <v>3</v>
      </c>
      <c r="N61" s="216">
        <v>3</v>
      </c>
      <c r="O61" s="216">
        <v>3</v>
      </c>
      <c r="P61" s="216">
        <v>3</v>
      </c>
      <c r="Q61" s="216">
        <v>3</v>
      </c>
      <c r="R61" s="216">
        <v>3</v>
      </c>
      <c r="S61" s="216">
        <v>3</v>
      </c>
      <c r="T61" s="216"/>
      <c r="U61" s="216"/>
      <c r="V61" s="216"/>
      <c r="W61" s="173"/>
      <c r="X61" s="169"/>
      <c r="Y61" s="105">
        <f t="shared" si="2"/>
        <v>24</v>
      </c>
      <c r="Z61" s="139"/>
      <c r="AA61" s="139"/>
      <c r="AB61" s="119" t="str">
        <f>+IFERROR(AB59/(J59*9),"")</f>
        <v/>
      </c>
      <c r="AC61" s="120"/>
      <c r="AD61" s="161">
        <f>+Y60+Y61/2</f>
        <v>214</v>
      </c>
      <c r="AE61" s="167">
        <f t="shared" si="1"/>
        <v>12840</v>
      </c>
      <c r="AF61" s="167"/>
      <c r="AG61" s="230" t="str">
        <f>+IF((Y59-J59*9)&gt;=0,"",Y59-J59*9)</f>
        <v/>
      </c>
      <c r="AH61" s="91"/>
    </row>
    <row r="62" spans="1:34" ht="62.25" customHeight="1" thickTop="1" x14ac:dyDescent="0.9">
      <c r="A62" s="124"/>
      <c r="B62" s="127">
        <f>+B63</f>
        <v>12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135"/>
      <c r="X62" s="540">
        <f>+W64</f>
        <v>0</v>
      </c>
      <c r="Y62" s="135">
        <f t="shared" si="2"/>
        <v>0</v>
      </c>
      <c r="Z62" s="136">
        <f>+AA62+Y62</f>
        <v>4158</v>
      </c>
      <c r="AA62" s="136">
        <v>4158</v>
      </c>
      <c r="AB62" s="121"/>
      <c r="AC62" s="110"/>
      <c r="AD62" s="157"/>
      <c r="AE62" s="167">
        <f t="shared" si="1"/>
        <v>0</v>
      </c>
      <c r="AF62" s="167"/>
      <c r="AG62" s="167"/>
    </row>
    <row r="63" spans="1:34" ht="62.25" customHeight="1" x14ac:dyDescent="0.9">
      <c r="A63" s="124"/>
      <c r="B63" s="132">
        <v>12</v>
      </c>
      <c r="C63" s="111" t="s">
        <v>231</v>
      </c>
      <c r="D63" s="111"/>
      <c r="E63" s="111" t="s">
        <v>35</v>
      </c>
      <c r="F63" s="111" t="s">
        <v>232</v>
      </c>
      <c r="G63" s="111">
        <v>4000</v>
      </c>
      <c r="H63" s="111" t="s">
        <v>33</v>
      </c>
      <c r="I63" s="113">
        <v>58.32</v>
      </c>
      <c r="J63" s="130">
        <v>49</v>
      </c>
      <c r="K63" s="101" t="s">
        <v>17</v>
      </c>
      <c r="L63" s="214">
        <v>35</v>
      </c>
      <c r="M63" s="214">
        <v>50</v>
      </c>
      <c r="N63" s="214">
        <v>64</v>
      </c>
      <c r="O63" s="214">
        <v>40</v>
      </c>
      <c r="P63" s="214">
        <v>55</v>
      </c>
      <c r="Q63" s="214">
        <v>50</v>
      </c>
      <c r="R63" s="214">
        <v>49</v>
      </c>
      <c r="S63" s="214">
        <v>49</v>
      </c>
      <c r="T63" s="214"/>
      <c r="U63" s="214"/>
      <c r="V63" s="214"/>
      <c r="W63" s="123">
        <f>+IF(COUNTA(L63:V63)=0,0,Y63/(COUNTA(L63:V63)))</f>
        <v>49</v>
      </c>
      <c r="X63" s="541"/>
      <c r="Y63" s="134">
        <f t="shared" si="2"/>
        <v>392</v>
      </c>
      <c r="Z63" s="137">
        <f>+Y63+AA63</f>
        <v>4114</v>
      </c>
      <c r="AA63" s="137">
        <v>3722</v>
      </c>
      <c r="AB63" s="140">
        <f>+Z62-Z63</f>
        <v>44</v>
      </c>
      <c r="AC63" s="131">
        <f>+IF(((Y64+(Y65/2))*60)=0,"",(I63*Y63)/((Y64+(Y65/2))*60))</f>
        <v>1.5488780487804876</v>
      </c>
      <c r="AD63" s="157"/>
      <c r="AE63" s="167">
        <f t="shared" si="1"/>
        <v>0</v>
      </c>
      <c r="AF63" s="167">
        <f>+Y63*I63</f>
        <v>22861.439999999999</v>
      </c>
      <c r="AG63" s="167"/>
    </row>
    <row r="64" spans="1:34" ht="62.25" customHeight="1" x14ac:dyDescent="0.9">
      <c r="A64" s="124"/>
      <c r="B64" s="125">
        <f>+B63</f>
        <v>12</v>
      </c>
      <c r="C64" s="184"/>
      <c r="D64" s="111">
        <f>+B63</f>
        <v>12</v>
      </c>
      <c r="E64" s="111"/>
      <c r="F64" s="112" t="e">
        <f>+VLOOKUP(F63,'Obj Prix'!$H:$H,2,FALSE)</f>
        <v>#N/A</v>
      </c>
      <c r="G64" s="112"/>
      <c r="H64" s="210"/>
      <c r="I64" s="113">
        <v>2</v>
      </c>
      <c r="J64" s="114" t="s">
        <v>22</v>
      </c>
      <c r="K64" s="102" t="s">
        <v>18</v>
      </c>
      <c r="L64" s="215">
        <v>47</v>
      </c>
      <c r="M64" s="215">
        <v>41</v>
      </c>
      <c r="N64" s="215">
        <v>38</v>
      </c>
      <c r="O64" s="215">
        <v>35</v>
      </c>
      <c r="P64" s="215">
        <v>30</v>
      </c>
      <c r="Q64" s="215">
        <v>25</v>
      </c>
      <c r="R64" s="215">
        <v>15</v>
      </c>
      <c r="S64" s="215">
        <v>10</v>
      </c>
      <c r="T64" s="215"/>
      <c r="U64" s="215"/>
      <c r="V64" s="215"/>
      <c r="W64" s="160">
        <f>+W63-J63</f>
        <v>0</v>
      </c>
      <c r="X64" s="541"/>
      <c r="Y64" s="103">
        <f t="shared" si="2"/>
        <v>241</v>
      </c>
      <c r="Z64" s="138"/>
      <c r="AA64" s="138"/>
      <c r="AB64" s="122"/>
      <c r="AC64" s="116"/>
      <c r="AD64" s="157"/>
      <c r="AE64" s="167">
        <f t="shared" si="1"/>
        <v>0</v>
      </c>
      <c r="AF64" s="167"/>
      <c r="AG64" s="167"/>
    </row>
    <row r="65" spans="1:34" ht="69" customHeight="1" thickBot="1" x14ac:dyDescent="0.95">
      <c r="A65" s="124"/>
      <c r="B65" s="126">
        <f>+B63</f>
        <v>12</v>
      </c>
      <c r="C65" s="174" t="s">
        <v>236</v>
      </c>
      <c r="D65" s="175">
        <f>+D64+100</f>
        <v>112</v>
      </c>
      <c r="E65" s="175"/>
      <c r="F65" s="117" t="s">
        <v>94</v>
      </c>
      <c r="G65" s="117"/>
      <c r="H65" s="146"/>
      <c r="I65" s="165">
        <f>+IF(J65="","",IF(J63=0,"",(J63*I63)/(J65*60)))</f>
        <v>0.8819999999999999</v>
      </c>
      <c r="J65" s="118">
        <v>54</v>
      </c>
      <c r="K65" s="104" t="s">
        <v>19</v>
      </c>
      <c r="L65" s="216">
        <v>2</v>
      </c>
      <c r="M65" s="216">
        <v>2</v>
      </c>
      <c r="N65" s="216">
        <v>2</v>
      </c>
      <c r="O65" s="216">
        <v>2</v>
      </c>
      <c r="P65" s="216">
        <v>2</v>
      </c>
      <c r="Q65" s="216"/>
      <c r="R65" s="216"/>
      <c r="S65" s="216"/>
      <c r="T65" s="216"/>
      <c r="U65" s="216"/>
      <c r="V65" s="216"/>
      <c r="W65" s="173"/>
      <c r="X65" s="169">
        <v>32.21</v>
      </c>
      <c r="Y65" s="105">
        <f t="shared" si="2"/>
        <v>10</v>
      </c>
      <c r="Z65" s="139"/>
      <c r="AA65" s="139"/>
      <c r="AB65" s="119">
        <f>+IFERROR(AB63/(J63*9),"")</f>
        <v>9.9773242630385492E-2</v>
      </c>
      <c r="AC65" s="162"/>
      <c r="AD65" s="161">
        <f>+Y64+Y65/2</f>
        <v>246</v>
      </c>
      <c r="AE65" s="167">
        <f t="shared" si="1"/>
        <v>14760</v>
      </c>
      <c r="AF65" s="167"/>
      <c r="AG65" s="230">
        <f>+IF((Y63-J63*9)&gt;=0,"",Y63-J63*9)</f>
        <v>-49</v>
      </c>
    </row>
    <row r="66" spans="1:34" ht="62.25" customHeight="1" thickTop="1" x14ac:dyDescent="0.9">
      <c r="A66" s="124"/>
      <c r="B66" s="127">
        <f>+B67</f>
        <v>12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3">
        <v>70</v>
      </c>
      <c r="M66" s="213">
        <v>35</v>
      </c>
      <c r="N66" s="213">
        <v>35</v>
      </c>
      <c r="O66" s="213">
        <v>70</v>
      </c>
      <c r="P66" s="213"/>
      <c r="Q66" s="213">
        <v>70</v>
      </c>
      <c r="R66" s="213">
        <v>70</v>
      </c>
      <c r="S66" s="213"/>
      <c r="T66" s="213"/>
      <c r="U66" s="213"/>
      <c r="V66" s="213"/>
      <c r="W66" s="135"/>
      <c r="X66" s="540">
        <f>+W68</f>
        <v>0</v>
      </c>
      <c r="Y66" s="135">
        <f t="shared" si="2"/>
        <v>350</v>
      </c>
      <c r="Z66" s="136">
        <f>+AA66+Y66</f>
        <v>420</v>
      </c>
      <c r="AA66" s="136">
        <v>70</v>
      </c>
      <c r="AB66" s="121"/>
      <c r="AC66" s="110"/>
      <c r="AD66" s="157"/>
      <c r="AE66" s="167">
        <f t="shared" si="1"/>
        <v>0</v>
      </c>
      <c r="AF66" s="167"/>
      <c r="AG66" s="167"/>
    </row>
    <row r="67" spans="1:34" ht="62.25" customHeight="1" x14ac:dyDescent="0.9">
      <c r="A67" s="124"/>
      <c r="B67" s="132">
        <v>12</v>
      </c>
      <c r="C67" s="111" t="s">
        <v>234</v>
      </c>
      <c r="D67" s="111"/>
      <c r="E67" s="111" t="s">
        <v>35</v>
      </c>
      <c r="F67" s="111" t="s">
        <v>235</v>
      </c>
      <c r="G67" s="111">
        <v>12500</v>
      </c>
      <c r="H67" s="111" t="s">
        <v>33</v>
      </c>
      <c r="I67" s="113">
        <v>52.3</v>
      </c>
      <c r="J67" s="130">
        <v>55</v>
      </c>
      <c r="K67" s="101" t="s">
        <v>17</v>
      </c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123">
        <f>+IF(COUNTA(L67:V67)=0,0,Y67/(COUNTA(L67:V67)))</f>
        <v>0</v>
      </c>
      <c r="X67" s="541"/>
      <c r="Y67" s="134">
        <f t="shared" si="2"/>
        <v>0</v>
      </c>
      <c r="Z67" s="137">
        <f>+Y67+AA67</f>
        <v>0</v>
      </c>
      <c r="AA67" s="137">
        <v>0</v>
      </c>
      <c r="AB67" s="140">
        <f>+Z66-Z67</f>
        <v>420</v>
      </c>
      <c r="AC67" s="131">
        <f>+IF(((Y68+(Y69/2))*60)=0,"",(I67*Y67)/((Y68+(Y69/2))*60))</f>
        <v>0</v>
      </c>
      <c r="AD67" s="157"/>
      <c r="AE67" s="167">
        <f t="shared" si="1"/>
        <v>0</v>
      </c>
      <c r="AF67" s="167">
        <f>+Y67*I67</f>
        <v>0</v>
      </c>
      <c r="AG67" s="167"/>
    </row>
    <row r="68" spans="1:34" ht="62.25" customHeight="1" x14ac:dyDescent="0.9">
      <c r="A68" s="124"/>
      <c r="B68" s="125">
        <f>+B67</f>
        <v>12</v>
      </c>
      <c r="C68" s="184"/>
      <c r="D68" s="111">
        <f>+B67</f>
        <v>12</v>
      </c>
      <c r="E68" s="111"/>
      <c r="F68" s="112" t="e">
        <f>+VLOOKUP(F67,'Obj Prix'!$H:$H,2,FALSE)</f>
        <v>#N/A</v>
      </c>
      <c r="G68" s="112"/>
      <c r="H68" s="210"/>
      <c r="I68" s="113"/>
      <c r="J68" s="114" t="s">
        <v>22</v>
      </c>
      <c r="K68" s="102" t="s">
        <v>18</v>
      </c>
      <c r="L68" s="215">
        <f>52-L64</f>
        <v>5</v>
      </c>
      <c r="M68" s="215">
        <f>52-M64</f>
        <v>11</v>
      </c>
      <c r="N68" s="215">
        <v>14</v>
      </c>
      <c r="O68" s="215">
        <v>17</v>
      </c>
      <c r="P68" s="215">
        <v>22</v>
      </c>
      <c r="Q68" s="215">
        <v>27</v>
      </c>
      <c r="R68" s="215">
        <v>37</v>
      </c>
      <c r="S68" s="215">
        <v>42</v>
      </c>
      <c r="T68" s="215"/>
      <c r="U68" s="215"/>
      <c r="V68" s="215"/>
      <c r="W68" s="160"/>
      <c r="X68" s="541"/>
      <c r="Y68" s="103">
        <f t="shared" si="2"/>
        <v>175</v>
      </c>
      <c r="Z68" s="138"/>
      <c r="AA68" s="138"/>
      <c r="AB68" s="122"/>
      <c r="AC68" s="116"/>
      <c r="AD68" s="157"/>
      <c r="AE68" s="167">
        <f t="shared" si="1"/>
        <v>0</v>
      </c>
      <c r="AF68" s="167"/>
      <c r="AG68" s="167"/>
    </row>
    <row r="69" spans="1:34" ht="69" customHeight="1" thickBot="1" x14ac:dyDescent="0.95">
      <c r="A69" s="124"/>
      <c r="B69" s="126">
        <f>+B67</f>
        <v>12</v>
      </c>
      <c r="C69" s="174" t="s">
        <v>236</v>
      </c>
      <c r="D69" s="175">
        <f>+D68+100</f>
        <v>112</v>
      </c>
      <c r="E69" s="175"/>
      <c r="F69" s="117" t="s">
        <v>94</v>
      </c>
      <c r="G69" s="117"/>
      <c r="H69" s="146"/>
      <c r="I69" s="165">
        <f>+IF(J69="","",IF(J67=0,"",(J67*I67)/(J69*60)))</f>
        <v>0.88780864197530862</v>
      </c>
      <c r="J69" s="118">
        <v>54</v>
      </c>
      <c r="K69" s="104" t="s">
        <v>19</v>
      </c>
      <c r="L69" s="216">
        <v>1</v>
      </c>
      <c r="M69" s="216">
        <v>1</v>
      </c>
      <c r="N69" s="216">
        <v>1</v>
      </c>
      <c r="O69" s="216">
        <v>1</v>
      </c>
      <c r="P69" s="216">
        <v>1</v>
      </c>
      <c r="Q69" s="216">
        <v>3</v>
      </c>
      <c r="R69" s="216">
        <v>3</v>
      </c>
      <c r="S69" s="216">
        <v>3</v>
      </c>
      <c r="T69" s="216"/>
      <c r="U69" s="216"/>
      <c r="V69" s="216"/>
      <c r="W69" s="173"/>
      <c r="X69" s="169"/>
      <c r="Y69" s="105">
        <f t="shared" si="2"/>
        <v>14</v>
      </c>
      <c r="Z69" s="139"/>
      <c r="AA69" s="139"/>
      <c r="AB69" s="119">
        <f>+IFERROR(AB67/(J67*9),"")</f>
        <v>0.84848484848484851</v>
      </c>
      <c r="AC69" s="162"/>
      <c r="AD69" s="161">
        <f>+Y68+Y69/2</f>
        <v>182</v>
      </c>
      <c r="AE69" s="167">
        <f t="shared" si="1"/>
        <v>10920</v>
      </c>
      <c r="AF69" s="167"/>
      <c r="AG69" s="230">
        <f>+IF((Y67-J67*9)&gt;=0,"",Y67-J67*9)</f>
        <v>-495</v>
      </c>
    </row>
    <row r="70" spans="1:34" ht="62.25" customHeight="1" thickTop="1" x14ac:dyDescent="0.9">
      <c r="A70" s="124"/>
      <c r="B70" s="127">
        <f>+B71</f>
        <v>13</v>
      </c>
      <c r="C70" s="106"/>
      <c r="D70" s="106"/>
      <c r="E70" s="106"/>
      <c r="F70" s="106"/>
      <c r="G70" s="106"/>
      <c r="H70" s="106"/>
      <c r="I70" s="107" t="s">
        <v>20</v>
      </c>
      <c r="J70" s="108" t="s">
        <v>23</v>
      </c>
      <c r="K70" s="100" t="s">
        <v>21</v>
      </c>
      <c r="L70" s="213">
        <v>150</v>
      </c>
      <c r="M70" s="213">
        <v>75</v>
      </c>
      <c r="N70" s="213">
        <v>75</v>
      </c>
      <c r="O70" s="213"/>
      <c r="P70" s="213">
        <v>75</v>
      </c>
      <c r="Q70" s="213">
        <v>75</v>
      </c>
      <c r="R70" s="213"/>
      <c r="S70" s="213"/>
      <c r="T70" s="213"/>
      <c r="U70" s="213"/>
      <c r="V70" s="213"/>
      <c r="W70" s="135"/>
      <c r="X70" s="540">
        <f>+W72</f>
        <v>0</v>
      </c>
      <c r="Y70" s="135">
        <f t="shared" ref="Y70:Y97" si="3">+SUM(L70:V70)</f>
        <v>450</v>
      </c>
      <c r="Z70" s="136">
        <f>+AA70+Y70</f>
        <v>3801</v>
      </c>
      <c r="AA70" s="136">
        <v>3351</v>
      </c>
      <c r="AB70" s="109"/>
      <c r="AC70" s="110"/>
      <c r="AD70" s="157"/>
      <c r="AE70" s="167">
        <f t="shared" si="1"/>
        <v>0</v>
      </c>
      <c r="AF70" s="167"/>
      <c r="AG70" s="167"/>
    </row>
    <row r="71" spans="1:34" ht="62.25" customHeight="1" x14ac:dyDescent="0.9">
      <c r="A71" s="124"/>
      <c r="B71" s="132">
        <v>13</v>
      </c>
      <c r="C71" s="111" t="s">
        <v>238</v>
      </c>
      <c r="D71" s="111"/>
      <c r="E71" s="111" t="s">
        <v>110</v>
      </c>
      <c r="F71" s="111" t="s">
        <v>239</v>
      </c>
      <c r="G71" s="111">
        <v>16666</v>
      </c>
      <c r="H71" s="111" t="s">
        <v>37</v>
      </c>
      <c r="I71" s="113">
        <v>55.8</v>
      </c>
      <c r="J71" s="130">
        <v>60</v>
      </c>
      <c r="K71" s="101" t="s">
        <v>17</v>
      </c>
      <c r="L71" s="214">
        <v>60</v>
      </c>
      <c r="M71" s="214">
        <v>60</v>
      </c>
      <c r="N71" s="214">
        <v>60</v>
      </c>
      <c r="O71" s="214">
        <v>60</v>
      </c>
      <c r="P71" s="214">
        <v>60</v>
      </c>
      <c r="Q71" s="214">
        <v>60</v>
      </c>
      <c r="R71" s="214">
        <v>53</v>
      </c>
      <c r="S71" s="214">
        <v>67</v>
      </c>
      <c r="T71" s="214"/>
      <c r="U71" s="214"/>
      <c r="V71" s="214"/>
      <c r="W71" s="123">
        <f>+IF(COUNTA(L71:V71)=0,0,Y71/(COUNTA(L71:V71)))</f>
        <v>60</v>
      </c>
      <c r="X71" s="541"/>
      <c r="Y71" s="134">
        <f t="shared" si="3"/>
        <v>480</v>
      </c>
      <c r="Z71" s="137">
        <f>+Y71+AA71</f>
        <v>2552</v>
      </c>
      <c r="AA71" s="137">
        <v>2072</v>
      </c>
      <c r="AB71" s="140">
        <f>+Z70-Z71</f>
        <v>1249</v>
      </c>
      <c r="AC71" s="131">
        <f>+IF(((Y72+(Y73/2))*60)=0,"",(I71*Y71)/((Y72+(Y73/2))*60))</f>
        <v>0.94576271186440675</v>
      </c>
      <c r="AD71" s="157"/>
      <c r="AE71" s="167">
        <f t="shared" si="1"/>
        <v>0</v>
      </c>
      <c r="AF71" s="167">
        <f>+Y71*I71</f>
        <v>26784</v>
      </c>
      <c r="AG71" s="167"/>
    </row>
    <row r="72" spans="1:34" ht="62.25" customHeight="1" x14ac:dyDescent="0.9">
      <c r="A72" s="124"/>
      <c r="B72" s="125">
        <f>+B71</f>
        <v>13</v>
      </c>
      <c r="C72" s="184"/>
      <c r="D72" s="111"/>
      <c r="E72" s="111"/>
      <c r="F72" s="112" t="e">
        <f>+VLOOKUP(F71,'Obj Prix'!$H:$H,2,FALSE)</f>
        <v>#N/A</v>
      </c>
      <c r="G72" s="112"/>
      <c r="H72" s="210"/>
      <c r="I72" s="210">
        <v>2</v>
      </c>
      <c r="J72" s="114" t="s">
        <v>22</v>
      </c>
      <c r="K72" s="102" t="s">
        <v>18</v>
      </c>
      <c r="L72" s="215">
        <v>57</v>
      </c>
      <c r="M72" s="215">
        <v>57</v>
      </c>
      <c r="N72" s="215">
        <v>57</v>
      </c>
      <c r="O72" s="215">
        <v>57</v>
      </c>
      <c r="P72" s="215">
        <v>57</v>
      </c>
      <c r="Q72" s="215">
        <v>57</v>
      </c>
      <c r="R72" s="215">
        <v>57</v>
      </c>
      <c r="S72" s="215">
        <v>57</v>
      </c>
      <c r="T72" s="215"/>
      <c r="U72" s="215"/>
      <c r="V72" s="215"/>
      <c r="W72" s="160">
        <f>+W71-J71</f>
        <v>0</v>
      </c>
      <c r="X72" s="541"/>
      <c r="Y72" s="103">
        <f t="shared" si="3"/>
        <v>456</v>
      </c>
      <c r="Z72" s="138"/>
      <c r="AA72" s="138"/>
      <c r="AB72" s="115"/>
      <c r="AC72" s="116"/>
      <c r="AD72" s="157"/>
      <c r="AE72" s="167">
        <f t="shared" si="1"/>
        <v>0</v>
      </c>
      <c r="AF72" s="167"/>
      <c r="AG72" s="167"/>
    </row>
    <row r="73" spans="1:34" ht="62.25" customHeight="1" thickBot="1" x14ac:dyDescent="0.95">
      <c r="A73" s="124"/>
      <c r="B73" s="126">
        <f>+B71</f>
        <v>13</v>
      </c>
      <c r="C73" s="174" t="s">
        <v>76</v>
      </c>
      <c r="D73" s="175">
        <f>+D72+100</f>
        <v>100</v>
      </c>
      <c r="E73" s="175"/>
      <c r="F73" s="117" t="s">
        <v>94</v>
      </c>
      <c r="G73" s="218"/>
      <c r="H73" s="159" t="s">
        <v>245</v>
      </c>
      <c r="I73" s="165">
        <f>+IF(J73="","",IF(J71=0,"",(J71*I71)/(J73*60)))</f>
        <v>0.88571428571428568</v>
      </c>
      <c r="J73" s="118">
        <v>63</v>
      </c>
      <c r="K73" s="104" t="s">
        <v>19</v>
      </c>
      <c r="L73" s="216">
        <v>4</v>
      </c>
      <c r="M73" s="216">
        <v>4</v>
      </c>
      <c r="N73" s="216">
        <v>4</v>
      </c>
      <c r="O73" s="216">
        <v>4</v>
      </c>
      <c r="P73" s="216">
        <v>4</v>
      </c>
      <c r="Q73" s="216">
        <v>4</v>
      </c>
      <c r="R73" s="216">
        <v>4</v>
      </c>
      <c r="S73" s="216">
        <v>4</v>
      </c>
      <c r="T73" s="216"/>
      <c r="U73" s="216"/>
      <c r="V73" s="216"/>
      <c r="W73" s="173"/>
      <c r="X73" s="169">
        <v>39</v>
      </c>
      <c r="Y73" s="105">
        <f t="shared" si="3"/>
        <v>32</v>
      </c>
      <c r="Z73" s="139"/>
      <c r="AA73" s="139"/>
      <c r="AB73" s="119">
        <f>+IFERROR(AB71/(J71*9),"")</f>
        <v>2.3129629629629629</v>
      </c>
      <c r="AC73" s="120"/>
      <c r="AD73" s="161">
        <f>+Y72+Y73/2</f>
        <v>472</v>
      </c>
      <c r="AE73" s="167">
        <f t="shared" si="1"/>
        <v>28320</v>
      </c>
      <c r="AF73" s="167"/>
      <c r="AG73" s="230">
        <f>+IF((Y71-J71*9)&gt;=0,"",Y71-J71*9)</f>
        <v>-60</v>
      </c>
    </row>
    <row r="74" spans="1:34" s="98" customFormat="1" ht="62.25" customHeight="1" thickTop="1" x14ac:dyDescent="0.9">
      <c r="A74" s="124"/>
      <c r="B74" s="127">
        <f>+B75</f>
        <v>14</v>
      </c>
      <c r="C74" s="106"/>
      <c r="D74" s="106"/>
      <c r="E74" s="106"/>
      <c r="F74" s="106"/>
      <c r="G74" s="106"/>
      <c r="H74" s="106"/>
      <c r="I74" s="107" t="s">
        <v>20</v>
      </c>
      <c r="J74" s="108" t="s">
        <v>23</v>
      </c>
      <c r="K74" s="100" t="s">
        <v>21</v>
      </c>
      <c r="L74" s="213">
        <v>150</v>
      </c>
      <c r="M74" s="213">
        <v>75</v>
      </c>
      <c r="N74" s="213">
        <v>75</v>
      </c>
      <c r="O74" s="213"/>
      <c r="P74" s="213">
        <v>75</v>
      </c>
      <c r="Q74" s="213">
        <v>75</v>
      </c>
      <c r="R74" s="213"/>
      <c r="S74" s="213"/>
      <c r="T74" s="213"/>
      <c r="U74" s="213"/>
      <c r="V74" s="213"/>
      <c r="W74" s="135"/>
      <c r="X74" s="540">
        <f>+W76</f>
        <v>0</v>
      </c>
      <c r="Y74" s="135">
        <f t="shared" si="3"/>
        <v>450</v>
      </c>
      <c r="Z74" s="136">
        <f>+AA74+Y74</f>
        <v>3953</v>
      </c>
      <c r="AA74" s="136">
        <v>3503</v>
      </c>
      <c r="AB74" s="109"/>
      <c r="AC74" s="110"/>
      <c r="AD74" s="157"/>
      <c r="AE74" s="167">
        <f t="shared" si="1"/>
        <v>0</v>
      </c>
      <c r="AF74" s="167"/>
      <c r="AG74" s="167"/>
      <c r="AH74" s="91"/>
    </row>
    <row r="75" spans="1:34" s="98" customFormat="1" ht="62.25" customHeight="1" x14ac:dyDescent="0.9">
      <c r="A75" s="124"/>
      <c r="B75" s="133">
        <v>14</v>
      </c>
      <c r="C75" s="111" t="s">
        <v>238</v>
      </c>
      <c r="D75" s="111"/>
      <c r="E75" s="111" t="s">
        <v>110</v>
      </c>
      <c r="F75" s="111" t="s">
        <v>239</v>
      </c>
      <c r="G75" s="111">
        <v>16666</v>
      </c>
      <c r="H75" s="111" t="s">
        <v>37</v>
      </c>
      <c r="I75" s="113">
        <v>55.8</v>
      </c>
      <c r="J75" s="130">
        <v>60</v>
      </c>
      <c r="K75" s="101" t="s">
        <v>17</v>
      </c>
      <c r="L75" s="214">
        <v>45</v>
      </c>
      <c r="M75" s="214">
        <v>60</v>
      </c>
      <c r="N75" s="214">
        <v>60</v>
      </c>
      <c r="O75" s="214">
        <v>60</v>
      </c>
      <c r="P75" s="214">
        <v>60</v>
      </c>
      <c r="Q75" s="214">
        <v>60</v>
      </c>
      <c r="R75" s="214">
        <v>60</v>
      </c>
      <c r="S75" s="214">
        <v>75</v>
      </c>
      <c r="T75" s="214"/>
      <c r="U75" s="214"/>
      <c r="V75" s="214"/>
      <c r="W75" s="123">
        <f>+IF(COUNTA(L75:V75)=0,0,Y75/(COUNTA(L75:V75)))</f>
        <v>60</v>
      </c>
      <c r="X75" s="541"/>
      <c r="Y75" s="134">
        <f t="shared" si="3"/>
        <v>480</v>
      </c>
      <c r="Z75" s="137">
        <f>+Y75+AA75</f>
        <v>3057</v>
      </c>
      <c r="AA75" s="137">
        <v>2577</v>
      </c>
      <c r="AB75" s="140">
        <f>+Z74-Z75</f>
        <v>896</v>
      </c>
      <c r="AC75" s="131">
        <f>+IF(((Y76+(Y77/2))*60)=0,"",(I75*Y75)/((Y76+(Y77/2))*60))</f>
        <v>0.94978723404255316</v>
      </c>
      <c r="AD75" s="157"/>
      <c r="AE75" s="167">
        <f t="shared" si="1"/>
        <v>0</v>
      </c>
      <c r="AF75" s="167">
        <f>+Y75*I75</f>
        <v>26784</v>
      </c>
      <c r="AG75" s="167"/>
      <c r="AH75" s="91"/>
    </row>
    <row r="76" spans="1:34" s="98" customFormat="1" ht="62.25" customHeight="1" x14ac:dyDescent="0.9">
      <c r="A76" s="124"/>
      <c r="B76" s="125">
        <f>+B75</f>
        <v>14</v>
      </c>
      <c r="C76" s="184"/>
      <c r="D76" s="111">
        <f>+B75</f>
        <v>14</v>
      </c>
      <c r="E76" s="111"/>
      <c r="F76" s="112" t="e">
        <f>+VLOOKUP(F75,'Obj Prix'!$H:$H,2,FALSE)</f>
        <v>#N/A</v>
      </c>
      <c r="G76" s="112"/>
      <c r="H76" s="210"/>
      <c r="I76" s="210">
        <v>1</v>
      </c>
      <c r="J76" s="114" t="s">
        <v>22</v>
      </c>
      <c r="K76" s="102" t="s">
        <v>18</v>
      </c>
      <c r="L76" s="215">
        <v>55</v>
      </c>
      <c r="M76" s="215">
        <v>57</v>
      </c>
      <c r="N76" s="215">
        <v>57</v>
      </c>
      <c r="O76" s="215">
        <v>57</v>
      </c>
      <c r="P76" s="215">
        <v>57</v>
      </c>
      <c r="Q76" s="215">
        <v>57</v>
      </c>
      <c r="R76" s="215">
        <v>57</v>
      </c>
      <c r="S76" s="215">
        <v>57</v>
      </c>
      <c r="T76" s="215"/>
      <c r="U76" s="215"/>
      <c r="V76" s="215"/>
      <c r="W76" s="160">
        <f>+W75-J75</f>
        <v>0</v>
      </c>
      <c r="X76" s="541"/>
      <c r="Y76" s="103">
        <f t="shared" si="3"/>
        <v>454</v>
      </c>
      <c r="Z76" s="138"/>
      <c r="AA76" s="138"/>
      <c r="AB76" s="115"/>
      <c r="AC76" s="116"/>
      <c r="AD76" s="157"/>
      <c r="AE76" s="167">
        <f t="shared" si="1"/>
        <v>0</v>
      </c>
      <c r="AF76" s="167"/>
      <c r="AG76" s="167"/>
      <c r="AH76" s="91"/>
    </row>
    <row r="77" spans="1:34" s="98" customFormat="1" ht="62.25" customHeight="1" thickBot="1" x14ac:dyDescent="0.95">
      <c r="A77" s="124"/>
      <c r="B77" s="126">
        <f>+B75</f>
        <v>14</v>
      </c>
      <c r="C77" s="174" t="s">
        <v>112</v>
      </c>
      <c r="D77" s="175">
        <f>+D76+100</f>
        <v>114</v>
      </c>
      <c r="E77" s="175"/>
      <c r="F77" s="117" t="s">
        <v>94</v>
      </c>
      <c r="G77" s="117"/>
      <c r="H77" s="159" t="s">
        <v>245</v>
      </c>
      <c r="I77" s="165">
        <f>+IF(J77="","",IF(J75=0,"",(J75*I75)/(J77*60)))</f>
        <v>0.88571428571428568</v>
      </c>
      <c r="J77" s="118">
        <v>63</v>
      </c>
      <c r="K77" s="104" t="s">
        <v>19</v>
      </c>
      <c r="L77" s="216">
        <v>4</v>
      </c>
      <c r="M77" s="216">
        <v>4</v>
      </c>
      <c r="N77" s="216">
        <v>4</v>
      </c>
      <c r="O77" s="216">
        <v>4</v>
      </c>
      <c r="P77" s="216">
        <v>4</v>
      </c>
      <c r="Q77" s="216">
        <v>4</v>
      </c>
      <c r="R77" s="216">
        <v>4</v>
      </c>
      <c r="S77" s="216">
        <v>4</v>
      </c>
      <c r="T77" s="216"/>
      <c r="U77" s="216"/>
      <c r="V77" s="216"/>
      <c r="W77" s="173"/>
      <c r="X77" s="169">
        <v>42.54</v>
      </c>
      <c r="Y77" s="105">
        <f t="shared" si="3"/>
        <v>32</v>
      </c>
      <c r="Z77" s="139"/>
      <c r="AA77" s="139"/>
      <c r="AB77" s="119">
        <f>+IFERROR(AB75/(J75*9),"")</f>
        <v>1.6592592592592592</v>
      </c>
      <c r="AC77" s="120"/>
      <c r="AD77" s="161">
        <f>+Y76+Y77/2</f>
        <v>470</v>
      </c>
      <c r="AE77" s="167">
        <f t="shared" si="1"/>
        <v>28200</v>
      </c>
      <c r="AF77" s="167"/>
      <c r="AG77" s="230">
        <f>+IF((Y75-J75*9)&gt;=0,"",Y75-J75*9)</f>
        <v>-60</v>
      </c>
      <c r="AH77" s="91"/>
    </row>
    <row r="78" spans="1:34" ht="62.25" customHeight="1" thickTop="1" x14ac:dyDescent="0.9">
      <c r="A78" s="124"/>
      <c r="B78" s="127">
        <f>+B79</f>
        <v>15</v>
      </c>
      <c r="C78" s="106"/>
      <c r="D78" s="106"/>
      <c r="E78" s="106"/>
      <c r="F78" s="106"/>
      <c r="G78" s="106"/>
      <c r="H78" s="106"/>
      <c r="I78" s="107" t="s">
        <v>20</v>
      </c>
      <c r="J78" s="108" t="s">
        <v>23</v>
      </c>
      <c r="K78" s="100" t="s">
        <v>21</v>
      </c>
      <c r="L78" s="213">
        <v>50</v>
      </c>
      <c r="M78" s="213">
        <v>50</v>
      </c>
      <c r="N78" s="213">
        <v>50</v>
      </c>
      <c r="O78" s="213">
        <v>100</v>
      </c>
      <c r="P78" s="213">
        <v>50</v>
      </c>
      <c r="Q78" s="213">
        <v>100</v>
      </c>
      <c r="R78" s="213">
        <v>100</v>
      </c>
      <c r="S78" s="213"/>
      <c r="T78" s="213"/>
      <c r="U78" s="213"/>
      <c r="V78" s="213"/>
      <c r="W78" s="135"/>
      <c r="X78" s="540">
        <f>+W80</f>
        <v>0</v>
      </c>
      <c r="Y78" s="135">
        <f t="shared" si="3"/>
        <v>500</v>
      </c>
      <c r="Z78" s="136">
        <f>+AA78+Y78</f>
        <v>2201</v>
      </c>
      <c r="AA78" s="136">
        <v>1701</v>
      </c>
      <c r="AB78" s="121"/>
      <c r="AC78" s="110"/>
      <c r="AD78" s="157"/>
      <c r="AE78" s="167">
        <f t="shared" si="1"/>
        <v>0</v>
      </c>
      <c r="AF78" s="167"/>
      <c r="AG78" s="167"/>
    </row>
    <row r="79" spans="1:34" ht="62.25" customHeight="1" x14ac:dyDescent="0.9">
      <c r="A79" s="124"/>
      <c r="B79" s="133">
        <v>15</v>
      </c>
      <c r="C79" s="111" t="s">
        <v>240</v>
      </c>
      <c r="D79" s="111"/>
      <c r="E79" s="111" t="s">
        <v>35</v>
      </c>
      <c r="F79" s="111" t="s">
        <v>241</v>
      </c>
      <c r="G79" s="111">
        <v>6600</v>
      </c>
      <c r="H79" s="111" t="s">
        <v>33</v>
      </c>
      <c r="I79" s="113">
        <v>51.08</v>
      </c>
      <c r="J79" s="130">
        <v>55</v>
      </c>
      <c r="K79" s="101" t="s">
        <v>17</v>
      </c>
      <c r="L79" s="214">
        <v>55</v>
      </c>
      <c r="M79" s="214">
        <v>55</v>
      </c>
      <c r="N79" s="214">
        <v>55</v>
      </c>
      <c r="O79" s="214">
        <v>55</v>
      </c>
      <c r="P79" s="214">
        <v>55</v>
      </c>
      <c r="Q79" s="214">
        <v>55</v>
      </c>
      <c r="R79" s="214">
        <v>55</v>
      </c>
      <c r="S79" s="214">
        <v>55</v>
      </c>
      <c r="T79" s="214"/>
      <c r="U79" s="214"/>
      <c r="V79" s="214"/>
      <c r="W79" s="123">
        <f>+IF(COUNTA(L79:V79)=0,0,Y79/(COUNTA(L79:V79)))</f>
        <v>55</v>
      </c>
      <c r="X79" s="541"/>
      <c r="Y79" s="134">
        <f t="shared" si="3"/>
        <v>440</v>
      </c>
      <c r="Z79" s="137">
        <f>+Y79+AA79</f>
        <v>1311</v>
      </c>
      <c r="AA79" s="137">
        <v>871</v>
      </c>
      <c r="AB79" s="140">
        <f>+Z78-Z79</f>
        <v>890</v>
      </c>
      <c r="AC79" s="131">
        <f>+IF(((Y80+(Y81/2))*60)=0,"",(I79*Y79)/((Y80+(Y81/2))*60))</f>
        <v>0.96542955326460489</v>
      </c>
      <c r="AD79" s="157"/>
      <c r="AE79" s="167">
        <f t="shared" si="1"/>
        <v>0</v>
      </c>
      <c r="AF79" s="167">
        <f>+Y79*I79</f>
        <v>22475.200000000001</v>
      </c>
      <c r="AG79" s="167"/>
    </row>
    <row r="80" spans="1:34" ht="62.25" customHeight="1" x14ac:dyDescent="0.9">
      <c r="A80" s="124"/>
      <c r="B80" s="125">
        <f>+B79</f>
        <v>15</v>
      </c>
      <c r="C80" s="184"/>
      <c r="D80" s="111">
        <f>+B79</f>
        <v>15</v>
      </c>
      <c r="E80" s="111"/>
      <c r="F80" s="112" t="e">
        <f>+VLOOKUP(F79,'Obj Prix'!$H:$H,2,FALSE)</f>
        <v>#N/A</v>
      </c>
      <c r="G80" s="112"/>
      <c r="H80" s="210"/>
      <c r="I80" s="210">
        <v>1</v>
      </c>
      <c r="J80" s="114" t="s">
        <v>22</v>
      </c>
      <c r="K80" s="102" t="s">
        <v>18</v>
      </c>
      <c r="L80" s="215">
        <v>48</v>
      </c>
      <c r="M80" s="215">
        <v>48</v>
      </c>
      <c r="N80" s="215">
        <v>48</v>
      </c>
      <c r="O80" s="215">
        <v>48</v>
      </c>
      <c r="P80" s="215">
        <v>48</v>
      </c>
      <c r="Q80" s="215">
        <v>48</v>
      </c>
      <c r="R80" s="215">
        <v>48</v>
      </c>
      <c r="S80" s="215">
        <v>48</v>
      </c>
      <c r="T80" s="215"/>
      <c r="U80" s="215"/>
      <c r="V80" s="215"/>
      <c r="W80" s="160">
        <f>+W79-J79</f>
        <v>0</v>
      </c>
      <c r="X80" s="541"/>
      <c r="Y80" s="103">
        <f t="shared" si="3"/>
        <v>384</v>
      </c>
      <c r="Z80" s="138"/>
      <c r="AA80" s="138"/>
      <c r="AB80" s="122"/>
      <c r="AC80" s="116"/>
      <c r="AD80" s="157"/>
      <c r="AE80" s="167">
        <f t="shared" si="1"/>
        <v>0</v>
      </c>
      <c r="AF80" s="167"/>
      <c r="AG80" s="167"/>
    </row>
    <row r="81" spans="1:55" ht="59.25" customHeight="1" thickBot="1" x14ac:dyDescent="0.95">
      <c r="A81" s="124"/>
      <c r="B81" s="126">
        <f>+B79</f>
        <v>15</v>
      </c>
      <c r="C81" s="174" t="s">
        <v>80</v>
      </c>
      <c r="D81" s="175">
        <f>+D80+100</f>
        <v>115</v>
      </c>
      <c r="E81" s="175"/>
      <c r="F81" s="117" t="s">
        <v>203</v>
      </c>
      <c r="G81" s="117"/>
      <c r="H81" s="146"/>
      <c r="I81" s="165">
        <f>+IF(J81="","",IF(J79=0,"",(J79*I79)/(J81*60)))</f>
        <v>0.90044871794871795</v>
      </c>
      <c r="J81" s="118">
        <v>52</v>
      </c>
      <c r="K81" s="104" t="s">
        <v>19</v>
      </c>
      <c r="L81" s="216">
        <v>1</v>
      </c>
      <c r="M81" s="216">
        <v>1</v>
      </c>
      <c r="N81" s="216">
        <v>1</v>
      </c>
      <c r="O81" s="216">
        <v>1</v>
      </c>
      <c r="P81" s="216">
        <v>1</v>
      </c>
      <c r="Q81" s="216">
        <v>1</v>
      </c>
      <c r="R81" s="216">
        <v>1</v>
      </c>
      <c r="S81" s="216">
        <v>1</v>
      </c>
      <c r="T81" s="216"/>
      <c r="U81" s="216"/>
      <c r="V81" s="216"/>
      <c r="W81" s="173"/>
      <c r="X81" s="169">
        <v>11.95</v>
      </c>
      <c r="Y81" s="105">
        <f t="shared" si="3"/>
        <v>8</v>
      </c>
      <c r="Z81" s="139"/>
      <c r="AA81" s="139"/>
      <c r="AB81" s="119">
        <f>+IFERROR(AB79/(J79*9),"")</f>
        <v>1.797979797979798</v>
      </c>
      <c r="AC81" s="120"/>
      <c r="AD81" s="161">
        <f>+Y80+Y81/2</f>
        <v>388</v>
      </c>
      <c r="AE81" s="167">
        <f t="shared" si="1"/>
        <v>23280</v>
      </c>
      <c r="AF81" s="167"/>
      <c r="AG81" s="230">
        <f>+IF((Y79-J79*9)&gt;=0,"",Y79-J79*9)</f>
        <v>-55</v>
      </c>
    </row>
    <row r="82" spans="1:55" s="98" customFormat="1" ht="62.25" customHeight="1" thickTop="1" x14ac:dyDescent="0.9">
      <c r="A82" s="124"/>
      <c r="B82" s="127">
        <f>+B83</f>
        <v>17</v>
      </c>
      <c r="C82" s="106"/>
      <c r="D82" s="106"/>
      <c r="E82" s="106"/>
      <c r="F82" s="111"/>
      <c r="G82" s="106"/>
      <c r="H82" s="106"/>
      <c r="I82" s="107" t="s">
        <v>20</v>
      </c>
      <c r="J82" s="108" t="s">
        <v>23</v>
      </c>
      <c r="K82" s="100" t="s">
        <v>21</v>
      </c>
      <c r="L82" s="213">
        <v>140</v>
      </c>
      <c r="M82" s="213">
        <v>140</v>
      </c>
      <c r="N82" s="213">
        <v>140</v>
      </c>
      <c r="O82" s="213"/>
      <c r="P82" s="213"/>
      <c r="Q82" s="213"/>
      <c r="R82" s="213"/>
      <c r="S82" s="213"/>
      <c r="T82" s="213"/>
      <c r="U82" s="213"/>
      <c r="V82" s="213"/>
      <c r="W82" s="135"/>
      <c r="X82" s="540">
        <f>+W84</f>
        <v>-13.75</v>
      </c>
      <c r="Y82" s="135">
        <f t="shared" si="3"/>
        <v>420</v>
      </c>
      <c r="Z82" s="136">
        <f>+AA82+Y82</f>
        <v>3089</v>
      </c>
      <c r="AA82" s="136">
        <v>2669</v>
      </c>
      <c r="AB82" s="121"/>
      <c r="AC82" s="110"/>
      <c r="AD82" s="157"/>
      <c r="AE82" s="167">
        <f t="shared" ref="AE82:AE97" si="4">+AD82*60</f>
        <v>0</v>
      </c>
      <c r="AF82" s="167"/>
      <c r="AG82" s="167"/>
      <c r="AH82" s="91"/>
    </row>
    <row r="83" spans="1:55" s="98" customFormat="1" ht="62.25" customHeight="1" x14ac:dyDescent="0.9">
      <c r="A83" s="124"/>
      <c r="B83" s="132">
        <v>17</v>
      </c>
      <c r="C83" s="111" t="s">
        <v>244</v>
      </c>
      <c r="D83" s="111"/>
      <c r="E83" s="111" t="s">
        <v>219</v>
      </c>
      <c r="F83" s="111" t="s">
        <v>243</v>
      </c>
      <c r="G83" s="111">
        <v>10000</v>
      </c>
      <c r="H83" s="111" t="s">
        <v>37</v>
      </c>
      <c r="I83" s="113">
        <v>39.5</v>
      </c>
      <c r="J83" s="130">
        <v>80</v>
      </c>
      <c r="K83" s="101" t="s">
        <v>17</v>
      </c>
      <c r="L83" s="214">
        <v>60</v>
      </c>
      <c r="M83" s="214">
        <v>60</v>
      </c>
      <c r="N83" s="214">
        <v>60</v>
      </c>
      <c r="O83" s="214">
        <v>70</v>
      </c>
      <c r="P83" s="214">
        <v>70</v>
      </c>
      <c r="Q83" s="214">
        <v>70</v>
      </c>
      <c r="R83" s="214">
        <v>70</v>
      </c>
      <c r="S83" s="214">
        <v>70</v>
      </c>
      <c r="T83" s="214"/>
      <c r="U83" s="214"/>
      <c r="V83" s="214"/>
      <c r="W83" s="123">
        <f>+IF(COUNTA(L83:V83)=0,0,Y83/(COUNTA(L83:V83)))</f>
        <v>66.25</v>
      </c>
      <c r="X83" s="541"/>
      <c r="Y83" s="134">
        <f t="shared" si="3"/>
        <v>530</v>
      </c>
      <c r="Z83" s="137">
        <f>+Y83+AA83</f>
        <v>1048</v>
      </c>
      <c r="AA83" s="137">
        <v>518</v>
      </c>
      <c r="AB83" s="140">
        <f>+Z82-Z83</f>
        <v>2041</v>
      </c>
      <c r="AC83" s="131">
        <f>+IF(((Y84+(Y85/2))*60)=0,"",(I83*Y83)/((Y84+(Y85/2))*60))</f>
        <v>0.71793552812071326</v>
      </c>
      <c r="AD83" s="157"/>
      <c r="AE83" s="167">
        <f t="shared" si="4"/>
        <v>0</v>
      </c>
      <c r="AF83" s="167">
        <f>+Y83*I83</f>
        <v>20935</v>
      </c>
      <c r="AG83" s="167"/>
      <c r="AH83" s="91"/>
    </row>
    <row r="84" spans="1:55" s="98" customFormat="1" ht="62.25" customHeight="1" x14ac:dyDescent="0.9">
      <c r="A84" s="124"/>
      <c r="B84" s="125">
        <f>+B83</f>
        <v>17</v>
      </c>
      <c r="C84" s="184"/>
      <c r="D84" s="111"/>
      <c r="E84" s="111"/>
      <c r="F84" s="112" t="e">
        <f>+VLOOKUP(F83,'Obj Prix'!$H:$H,2,FALSE)</f>
        <v>#N/A</v>
      </c>
      <c r="G84" s="219"/>
      <c r="H84" s="210"/>
      <c r="I84" s="210"/>
      <c r="J84" s="114" t="s">
        <v>22</v>
      </c>
      <c r="K84" s="102" t="s">
        <v>18</v>
      </c>
      <c r="L84" s="215">
        <v>58</v>
      </c>
      <c r="M84" s="215">
        <v>60</v>
      </c>
      <c r="N84" s="215">
        <v>60</v>
      </c>
      <c r="O84" s="215">
        <v>60</v>
      </c>
      <c r="P84" s="215">
        <v>60</v>
      </c>
      <c r="Q84" s="215">
        <v>60</v>
      </c>
      <c r="R84" s="215">
        <v>60</v>
      </c>
      <c r="S84" s="215">
        <v>60</v>
      </c>
      <c r="T84" s="215"/>
      <c r="U84" s="215"/>
      <c r="V84" s="215"/>
      <c r="W84" s="160">
        <f>+W83-J83</f>
        <v>-13.75</v>
      </c>
      <c r="X84" s="541"/>
      <c r="Y84" s="103">
        <f t="shared" si="3"/>
        <v>478</v>
      </c>
      <c r="Z84" s="138"/>
      <c r="AA84" s="138"/>
      <c r="AB84" s="122"/>
      <c r="AC84" s="116"/>
      <c r="AD84" s="157"/>
      <c r="AE84" s="167">
        <f t="shared" si="4"/>
        <v>0</v>
      </c>
      <c r="AF84" s="167"/>
      <c r="AG84" s="167"/>
      <c r="AH84" s="91"/>
    </row>
    <row r="85" spans="1:55" s="98" customFormat="1" ht="62.25" customHeight="1" thickBot="1" x14ac:dyDescent="0.95">
      <c r="A85" s="124"/>
      <c r="B85" s="126">
        <f>+B83</f>
        <v>17</v>
      </c>
      <c r="C85" s="174" t="s">
        <v>151</v>
      </c>
      <c r="D85" s="175">
        <f>+D84+100</f>
        <v>100</v>
      </c>
      <c r="E85" s="175"/>
      <c r="F85" s="117" t="s">
        <v>203</v>
      </c>
      <c r="G85" s="218"/>
      <c r="H85" s="159" t="s">
        <v>237</v>
      </c>
      <c r="I85" s="165">
        <f>+IF(J85="","",IF(J83=0,"",(J83*I83)/(J85*60)))</f>
        <v>0.87777777777777777</v>
      </c>
      <c r="J85" s="118">
        <v>60</v>
      </c>
      <c r="K85" s="104" t="s">
        <v>19</v>
      </c>
      <c r="L85" s="216">
        <v>2</v>
      </c>
      <c r="M85" s="216">
        <v>2</v>
      </c>
      <c r="N85" s="216">
        <v>2</v>
      </c>
      <c r="O85" s="216">
        <v>2</v>
      </c>
      <c r="P85" s="216">
        <v>2</v>
      </c>
      <c r="Q85" s="216">
        <v>2</v>
      </c>
      <c r="R85" s="216">
        <v>2</v>
      </c>
      <c r="S85" s="216">
        <v>2</v>
      </c>
      <c r="T85" s="216"/>
      <c r="U85" s="216"/>
      <c r="V85" s="216"/>
      <c r="W85" s="173"/>
      <c r="X85" s="168">
        <f>31.53+(COUNTA(L83:V83)-(Y83/J83))</f>
        <v>32.905000000000001</v>
      </c>
      <c r="Y85" s="105">
        <f t="shared" si="3"/>
        <v>16</v>
      </c>
      <c r="Z85" s="139"/>
      <c r="AA85" s="139"/>
      <c r="AB85" s="119">
        <f>+IFERROR(AB83/(J83*9),"")</f>
        <v>2.8347222222222221</v>
      </c>
      <c r="AC85" s="120"/>
      <c r="AD85" s="161">
        <f>+Y84+Y85/2</f>
        <v>486</v>
      </c>
      <c r="AE85" s="167">
        <f t="shared" si="4"/>
        <v>29160</v>
      </c>
      <c r="AF85" s="167"/>
      <c r="AG85" s="230">
        <f>+IF((Y83-J83*9)&gt;=0,"",Y83-J83*9)</f>
        <v>-190</v>
      </c>
      <c r="AH85" s="91"/>
    </row>
    <row r="86" spans="1:55" s="98" customFormat="1" ht="62.25" customHeight="1" thickTop="1" x14ac:dyDescent="0.9">
      <c r="A86" s="124"/>
      <c r="B86" s="127">
        <f>+B87</f>
        <v>18</v>
      </c>
      <c r="C86" s="106"/>
      <c r="D86" s="106"/>
      <c r="E86" s="106"/>
      <c r="F86" s="106"/>
      <c r="G86" s="106"/>
      <c r="H86" s="106"/>
      <c r="I86" s="107" t="s">
        <v>20</v>
      </c>
      <c r="J86" s="108" t="s">
        <v>23</v>
      </c>
      <c r="K86" s="100" t="s">
        <v>21</v>
      </c>
      <c r="L86" s="213">
        <v>75</v>
      </c>
      <c r="M86" s="213">
        <v>75</v>
      </c>
      <c r="N86" s="213">
        <v>75</v>
      </c>
      <c r="O86" s="213"/>
      <c r="P86" s="213">
        <v>75</v>
      </c>
      <c r="Q86" s="213">
        <v>75</v>
      </c>
      <c r="R86" s="213">
        <v>75</v>
      </c>
      <c r="S86" s="213"/>
      <c r="T86" s="213"/>
      <c r="U86" s="213"/>
      <c r="V86" s="213"/>
      <c r="W86" s="135"/>
      <c r="X86" s="540">
        <f>+W88</f>
        <v>-1.875</v>
      </c>
      <c r="Y86" s="135">
        <f t="shared" si="3"/>
        <v>450</v>
      </c>
      <c r="Z86" s="136">
        <f>+AA86+Y86</f>
        <v>3670</v>
      </c>
      <c r="AA86" s="136">
        <v>3220</v>
      </c>
      <c r="AB86" s="121"/>
      <c r="AC86" s="110"/>
      <c r="AD86" s="157"/>
      <c r="AE86" s="167">
        <f t="shared" si="4"/>
        <v>0</v>
      </c>
      <c r="AF86" s="167"/>
      <c r="AG86" s="167"/>
      <c r="AH86" s="91"/>
    </row>
    <row r="87" spans="1:55" s="98" customFormat="1" ht="62.25" customHeight="1" x14ac:dyDescent="0.9">
      <c r="A87" s="124"/>
      <c r="B87" s="132">
        <v>18</v>
      </c>
      <c r="C87" s="111" t="s">
        <v>238</v>
      </c>
      <c r="D87" s="111"/>
      <c r="E87" s="111" t="s">
        <v>110</v>
      </c>
      <c r="F87" s="111" t="s">
        <v>239</v>
      </c>
      <c r="G87" s="111">
        <v>16666</v>
      </c>
      <c r="H87" s="111" t="s">
        <v>37</v>
      </c>
      <c r="I87" s="113">
        <v>55.8</v>
      </c>
      <c r="J87" s="130">
        <v>60</v>
      </c>
      <c r="K87" s="101" t="s">
        <v>17</v>
      </c>
      <c r="L87" s="214">
        <v>55</v>
      </c>
      <c r="M87" s="214">
        <v>60</v>
      </c>
      <c r="N87" s="214">
        <v>60</v>
      </c>
      <c r="O87" s="214">
        <v>60</v>
      </c>
      <c r="P87" s="214">
        <v>60</v>
      </c>
      <c r="Q87" s="214">
        <v>60</v>
      </c>
      <c r="R87" s="214">
        <v>60</v>
      </c>
      <c r="S87" s="214">
        <v>50</v>
      </c>
      <c r="T87" s="214"/>
      <c r="U87" s="214"/>
      <c r="V87" s="214"/>
      <c r="W87" s="123">
        <f>+IF(COUNTA(L87:V87)=0,0,Y87/(COUNTA(L87:V87)))</f>
        <v>58.125</v>
      </c>
      <c r="X87" s="541"/>
      <c r="Y87" s="134">
        <f t="shared" si="3"/>
        <v>465</v>
      </c>
      <c r="Z87" s="137">
        <f>+Y87+AA87</f>
        <v>2474</v>
      </c>
      <c r="AA87" s="137">
        <v>2009</v>
      </c>
      <c r="AB87" s="140">
        <f>+Z86-Z87</f>
        <v>1196</v>
      </c>
      <c r="AC87" s="131">
        <f>+IF(((Y88+(Y89/2))*60)=0,"",(I87*Y87)/((Y88+(Y89/2))*60))</f>
        <v>0.87896341463414629</v>
      </c>
      <c r="AD87" s="157"/>
      <c r="AE87" s="167">
        <f t="shared" si="4"/>
        <v>0</v>
      </c>
      <c r="AF87" s="167">
        <f>+Y87*I87</f>
        <v>25947</v>
      </c>
      <c r="AG87" s="167"/>
      <c r="AH87" s="91"/>
    </row>
    <row r="88" spans="1:55" s="98" customFormat="1" ht="62.25" customHeight="1" x14ac:dyDescent="0.9">
      <c r="A88" s="124"/>
      <c r="B88" s="125">
        <f>+B87</f>
        <v>18</v>
      </c>
      <c r="C88" s="184"/>
      <c r="D88" s="111">
        <f>+B87</f>
        <v>18</v>
      </c>
      <c r="E88" s="111"/>
      <c r="F88" s="112" t="e">
        <f>+VLOOKUP(F87,'Obj Prix'!$H:$H,2,FALSE)</f>
        <v>#N/A</v>
      </c>
      <c r="G88" s="219"/>
      <c r="H88" s="210">
        <v>1</v>
      </c>
      <c r="I88" s="210"/>
      <c r="J88" s="114" t="s">
        <v>22</v>
      </c>
      <c r="K88" s="102" t="s">
        <v>18</v>
      </c>
      <c r="L88" s="215">
        <v>61</v>
      </c>
      <c r="M88" s="215">
        <v>61</v>
      </c>
      <c r="N88" s="215">
        <v>61</v>
      </c>
      <c r="O88" s="215">
        <v>61</v>
      </c>
      <c r="P88" s="215">
        <v>61</v>
      </c>
      <c r="Q88" s="215">
        <v>61</v>
      </c>
      <c r="R88" s="215">
        <v>61</v>
      </c>
      <c r="S88" s="215">
        <v>61</v>
      </c>
      <c r="T88" s="215"/>
      <c r="U88" s="215"/>
      <c r="V88" s="215"/>
      <c r="W88" s="160">
        <f>+W87-J87</f>
        <v>-1.875</v>
      </c>
      <c r="X88" s="541"/>
      <c r="Y88" s="103">
        <f t="shared" si="3"/>
        <v>488</v>
      </c>
      <c r="Z88" s="138"/>
      <c r="AA88" s="138"/>
      <c r="AB88" s="122"/>
      <c r="AC88" s="116"/>
      <c r="AD88" s="157"/>
      <c r="AE88" s="167">
        <f t="shared" si="4"/>
        <v>0</v>
      </c>
      <c r="AF88" s="167"/>
      <c r="AG88" s="167"/>
      <c r="AH88" s="91"/>
    </row>
    <row r="89" spans="1:55" s="98" customFormat="1" ht="62.25" customHeight="1" thickBot="1" x14ac:dyDescent="0.95">
      <c r="A89" s="124"/>
      <c r="B89" s="126">
        <f>+B87</f>
        <v>18</v>
      </c>
      <c r="C89" s="174" t="s">
        <v>79</v>
      </c>
      <c r="D89" s="175">
        <f>+D88+100</f>
        <v>118</v>
      </c>
      <c r="E89" s="175"/>
      <c r="F89" s="117" t="s">
        <v>94</v>
      </c>
      <c r="G89" s="117"/>
      <c r="H89" s="146"/>
      <c r="I89" s="165">
        <f>+IF(J89="","",IF(J87=0,"",(J87*I87)/(J89*60)))</f>
        <v>0.97894736842105268</v>
      </c>
      <c r="J89" s="118">
        <v>57</v>
      </c>
      <c r="K89" s="104" t="s">
        <v>19</v>
      </c>
      <c r="L89" s="216">
        <v>1</v>
      </c>
      <c r="M89" s="216">
        <v>1</v>
      </c>
      <c r="N89" s="216">
        <v>1</v>
      </c>
      <c r="O89" s="216">
        <v>1</v>
      </c>
      <c r="P89" s="216">
        <v>1</v>
      </c>
      <c r="Q89" s="216">
        <v>1</v>
      </c>
      <c r="R89" s="216">
        <v>1</v>
      </c>
      <c r="S89" s="216">
        <v>1</v>
      </c>
      <c r="T89" s="216"/>
      <c r="U89" s="216"/>
      <c r="V89" s="216"/>
      <c r="W89" s="173"/>
      <c r="X89" s="168">
        <f>51.79+(COUNTA(L87:V87)-(Y87/J87))</f>
        <v>52.04</v>
      </c>
      <c r="Y89" s="105">
        <f t="shared" si="3"/>
        <v>8</v>
      </c>
      <c r="Z89" s="139"/>
      <c r="AA89" s="139"/>
      <c r="AB89" s="119">
        <f>+IFERROR(AB87/(J87*9),"")</f>
        <v>2.2148148148148148</v>
      </c>
      <c r="AC89" s="120"/>
      <c r="AD89" s="161">
        <f>+Y88+Y89/2</f>
        <v>492</v>
      </c>
      <c r="AE89" s="167">
        <f t="shared" si="4"/>
        <v>29520</v>
      </c>
      <c r="AF89" s="167"/>
      <c r="AG89" s="230">
        <f>+IF((Y87-J87*9)&gt;=0,"",Y87-J87*9)</f>
        <v>-75</v>
      </c>
      <c r="AH89" s="91"/>
    </row>
    <row r="90" spans="1:55" ht="62.25" customHeight="1" thickTop="1" x14ac:dyDescent="0.9">
      <c r="A90" s="124"/>
      <c r="B90" s="127">
        <f>+B91</f>
        <v>19</v>
      </c>
      <c r="C90" s="106"/>
      <c r="D90" s="106"/>
      <c r="E90" s="106"/>
      <c r="F90" s="106"/>
      <c r="G90" s="106"/>
      <c r="H90" s="106"/>
      <c r="I90" s="107" t="s">
        <v>20</v>
      </c>
      <c r="J90" s="108" t="s">
        <v>23</v>
      </c>
      <c r="K90" s="100" t="s">
        <v>21</v>
      </c>
      <c r="L90" s="213">
        <v>70</v>
      </c>
      <c r="M90" s="213">
        <v>70</v>
      </c>
      <c r="N90" s="213">
        <v>51</v>
      </c>
      <c r="O90" s="213">
        <v>51</v>
      </c>
      <c r="P90" s="213">
        <v>70</v>
      </c>
      <c r="Q90" s="213">
        <v>26</v>
      </c>
      <c r="R90" s="213">
        <v>26</v>
      </c>
      <c r="S90" s="213"/>
      <c r="T90" s="213"/>
      <c r="U90" s="213"/>
      <c r="V90" s="213"/>
      <c r="W90" s="135"/>
      <c r="X90" s="540">
        <f>+W92</f>
        <v>5</v>
      </c>
      <c r="Y90" s="135">
        <f t="shared" si="3"/>
        <v>364</v>
      </c>
      <c r="Z90" s="136">
        <f>+AA90+Y90</f>
        <v>1947</v>
      </c>
      <c r="AA90" s="136">
        <v>1583</v>
      </c>
      <c r="AB90" s="109"/>
      <c r="AC90" s="110"/>
      <c r="AD90" s="157"/>
      <c r="AE90" s="167">
        <f t="shared" si="4"/>
        <v>0</v>
      </c>
      <c r="AF90" s="167"/>
      <c r="AG90" s="167"/>
    </row>
    <row r="91" spans="1:55" ht="62.25" customHeight="1" x14ac:dyDescent="0.9">
      <c r="A91" s="124"/>
      <c r="B91" s="133">
        <v>19</v>
      </c>
      <c r="C91" s="111" t="s">
        <v>249</v>
      </c>
      <c r="D91" s="111"/>
      <c r="E91" s="111" t="s">
        <v>35</v>
      </c>
      <c r="F91" s="111" t="s">
        <v>250</v>
      </c>
      <c r="G91" s="111"/>
      <c r="H91" s="111" t="s">
        <v>251</v>
      </c>
      <c r="I91" s="113">
        <v>61</v>
      </c>
      <c r="J91" s="130">
        <v>55</v>
      </c>
      <c r="K91" s="101" t="s">
        <v>17</v>
      </c>
      <c r="L91" s="237">
        <v>60</v>
      </c>
      <c r="M91" s="237">
        <v>60</v>
      </c>
      <c r="N91" s="237">
        <v>60</v>
      </c>
      <c r="O91" s="237">
        <v>60</v>
      </c>
      <c r="P91" s="237">
        <v>60</v>
      </c>
      <c r="Q91" s="237">
        <v>60</v>
      </c>
      <c r="R91" s="237">
        <v>60</v>
      </c>
      <c r="S91" s="237">
        <v>60</v>
      </c>
      <c r="T91" s="214"/>
      <c r="U91" s="214"/>
      <c r="V91" s="214"/>
      <c r="W91" s="123">
        <f>+IF(COUNTA(L91:V91)=0,0,Y91/(COUNTA(L91:V91)))</f>
        <v>60</v>
      </c>
      <c r="X91" s="541"/>
      <c r="Y91" s="134">
        <f t="shared" si="3"/>
        <v>480</v>
      </c>
      <c r="Z91" s="137">
        <f>+Y91+AA91</f>
        <v>1180</v>
      </c>
      <c r="AA91" s="137">
        <v>700</v>
      </c>
      <c r="AB91" s="140">
        <f>+Z90-Z91</f>
        <v>767</v>
      </c>
      <c r="AC91" s="131">
        <f>+IF(((Y92+(Y93/2))*60)=0,"",(I91*Y91)/((Y92+(Y93/2))*60))</f>
        <v>1</v>
      </c>
      <c r="AD91" s="157"/>
      <c r="AE91" s="167">
        <f t="shared" si="4"/>
        <v>0</v>
      </c>
      <c r="AF91" s="167">
        <f>+Y91*I91</f>
        <v>29280</v>
      </c>
      <c r="AG91" s="167"/>
    </row>
    <row r="92" spans="1:55" ht="62.25" customHeight="1" x14ac:dyDescent="0.9">
      <c r="A92" s="124"/>
      <c r="B92" s="125">
        <f>+B91</f>
        <v>19</v>
      </c>
      <c r="C92" s="184"/>
      <c r="D92" s="111">
        <f>+B91</f>
        <v>19</v>
      </c>
      <c r="E92" s="111"/>
      <c r="F92" s="112" t="e">
        <f>+VLOOKUP(F91,'Obj Prix'!$H:$H,2,FALSE)</f>
        <v>#N/A</v>
      </c>
      <c r="G92" s="219"/>
      <c r="H92" s="210"/>
      <c r="I92" s="210"/>
      <c r="J92" s="114" t="s">
        <v>22</v>
      </c>
      <c r="K92" s="102" t="s">
        <v>18</v>
      </c>
      <c r="L92" s="215">
        <v>59</v>
      </c>
      <c r="M92" s="215">
        <v>59</v>
      </c>
      <c r="N92" s="215">
        <v>59</v>
      </c>
      <c r="O92" s="215">
        <v>59</v>
      </c>
      <c r="P92" s="215">
        <v>59</v>
      </c>
      <c r="Q92" s="215">
        <v>59</v>
      </c>
      <c r="R92" s="215">
        <v>59</v>
      </c>
      <c r="S92" s="215">
        <v>59</v>
      </c>
      <c r="T92" s="215"/>
      <c r="U92" s="215"/>
      <c r="V92" s="215"/>
      <c r="W92" s="160">
        <f>+W91-J91</f>
        <v>5</v>
      </c>
      <c r="X92" s="541"/>
      <c r="Y92" s="103">
        <f t="shared" si="3"/>
        <v>472</v>
      </c>
      <c r="Z92" s="138"/>
      <c r="AA92" s="138"/>
      <c r="AB92" s="115"/>
      <c r="AC92" s="116"/>
      <c r="AD92" s="157"/>
      <c r="AE92" s="167">
        <f t="shared" si="4"/>
        <v>0</v>
      </c>
      <c r="AF92" s="167"/>
      <c r="AG92" s="167"/>
    </row>
    <row r="93" spans="1:55" s="98" customFormat="1" ht="62.25" customHeight="1" thickBot="1" x14ac:dyDescent="0.95">
      <c r="A93" s="124"/>
      <c r="B93" s="126">
        <f>+B91</f>
        <v>19</v>
      </c>
      <c r="C93" s="174" t="s">
        <v>152</v>
      </c>
      <c r="D93" s="175">
        <f>+D92+100</f>
        <v>119</v>
      </c>
      <c r="E93" s="175"/>
      <c r="F93" s="117" t="s">
        <v>203</v>
      </c>
      <c r="G93" s="117"/>
      <c r="H93" s="159" t="s">
        <v>255</v>
      </c>
      <c r="I93" s="165">
        <f>+IF(J93="","",IF(J91=0,"",(J91*I91)/(J93*60)))</f>
        <v>0.9018817204301075</v>
      </c>
      <c r="J93" s="118">
        <v>62</v>
      </c>
      <c r="K93" s="104" t="s">
        <v>19</v>
      </c>
      <c r="L93" s="216">
        <v>4</v>
      </c>
      <c r="M93" s="216">
        <v>4</v>
      </c>
      <c r="N93" s="216">
        <v>4</v>
      </c>
      <c r="O93" s="216">
        <v>4</v>
      </c>
      <c r="P93" s="216">
        <v>4</v>
      </c>
      <c r="Q93" s="216">
        <v>4</v>
      </c>
      <c r="R93" s="216">
        <v>4</v>
      </c>
      <c r="S93" s="216">
        <v>4</v>
      </c>
      <c r="T93" s="216"/>
      <c r="U93" s="216"/>
      <c r="V93" s="216"/>
      <c r="W93" s="173"/>
      <c r="X93" s="169">
        <v>15.12</v>
      </c>
      <c r="Y93" s="105">
        <f t="shared" si="3"/>
        <v>32</v>
      </c>
      <c r="Z93" s="139"/>
      <c r="AA93" s="139"/>
      <c r="AB93" s="119">
        <f>+IFERROR(AB91/(J91*9),"")</f>
        <v>1.5494949494949495</v>
      </c>
      <c r="AC93" s="120"/>
      <c r="AD93" s="161">
        <f>+Y92+Y93/2</f>
        <v>488</v>
      </c>
      <c r="AE93" s="167">
        <f t="shared" si="4"/>
        <v>29280</v>
      </c>
      <c r="AF93" s="167"/>
      <c r="AG93" s="230">
        <f>+IF((Y91-J91*9)&gt;=0,"",Y91-J91*9)</f>
        <v>-15</v>
      </c>
      <c r="AH93" s="91"/>
    </row>
    <row r="94" spans="1:55" ht="62.25" customHeight="1" thickTop="1" x14ac:dyDescent="0.9">
      <c r="A94" s="124"/>
      <c r="B94" s="127">
        <f>+B95</f>
        <v>21</v>
      </c>
      <c r="C94" s="106"/>
      <c r="D94" s="106"/>
      <c r="E94" s="106"/>
      <c r="F94" s="106"/>
      <c r="G94" s="106"/>
      <c r="H94" s="106"/>
      <c r="I94" s="107" t="s">
        <v>20</v>
      </c>
      <c r="J94" s="108" t="s">
        <v>23</v>
      </c>
      <c r="K94" s="100" t="s">
        <v>21</v>
      </c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135"/>
      <c r="X94" s="540">
        <f>+W96</f>
        <v>0</v>
      </c>
      <c r="Y94" s="135">
        <f t="shared" si="3"/>
        <v>0</v>
      </c>
      <c r="Z94" s="136">
        <f>+AA94+Y94</f>
        <v>820</v>
      </c>
      <c r="AA94" s="136">
        <v>820</v>
      </c>
      <c r="AB94" s="121"/>
      <c r="AC94" s="110"/>
      <c r="AD94" s="157"/>
      <c r="AE94" s="167">
        <f t="shared" si="4"/>
        <v>0</v>
      </c>
      <c r="AF94" s="167"/>
      <c r="AG94" s="167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</row>
    <row r="95" spans="1:55" ht="62.25" customHeight="1" x14ac:dyDescent="0.9">
      <c r="A95" s="124"/>
      <c r="B95" s="132">
        <v>21</v>
      </c>
      <c r="C95" s="111" t="s">
        <v>256</v>
      </c>
      <c r="D95" s="111"/>
      <c r="E95" s="111" t="s">
        <v>110</v>
      </c>
      <c r="F95" s="111" t="s">
        <v>257</v>
      </c>
      <c r="G95" s="111">
        <v>800</v>
      </c>
      <c r="H95" s="111" t="s">
        <v>251</v>
      </c>
      <c r="I95" s="113"/>
      <c r="J95" s="130"/>
      <c r="K95" s="101" t="s">
        <v>17</v>
      </c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123">
        <f>+IF(COUNTA(L95:V95)=0,0,Y95/(COUNTA(L95:V95)))</f>
        <v>0</v>
      </c>
      <c r="X95" s="541"/>
      <c r="Y95" s="134">
        <f t="shared" si="3"/>
        <v>0</v>
      </c>
      <c r="Z95" s="137">
        <f>+Y95+AA95</f>
        <v>0</v>
      </c>
      <c r="AA95" s="137">
        <v>0</v>
      </c>
      <c r="AB95" s="140">
        <f>+Z94-Z95</f>
        <v>820</v>
      </c>
      <c r="AC95" s="131" t="str">
        <f>+IF(((Y96+(Y97/2))*60)=0,"",(I95*Y95)/((Y96+(Y97/2))*60))</f>
        <v/>
      </c>
      <c r="AD95" s="157"/>
      <c r="AE95" s="167">
        <f t="shared" si="4"/>
        <v>0</v>
      </c>
      <c r="AF95" s="167">
        <f>+Y95*I95</f>
        <v>0</v>
      </c>
      <c r="AG95" s="167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</row>
    <row r="96" spans="1:55" ht="62.25" customHeight="1" x14ac:dyDescent="0.9">
      <c r="A96" s="124"/>
      <c r="B96" s="125">
        <f>+B95</f>
        <v>21</v>
      </c>
      <c r="C96" s="184"/>
      <c r="D96" s="111">
        <f>+B95</f>
        <v>21</v>
      </c>
      <c r="E96" s="111"/>
      <c r="F96" s="112" t="e">
        <f>+VLOOKUP(F95,'Obj Prix'!$H:$H,2,FALSE)</f>
        <v>#N/A</v>
      </c>
      <c r="G96" s="112"/>
      <c r="H96" s="210"/>
      <c r="I96" s="113"/>
      <c r="J96" s="114" t="s">
        <v>22</v>
      </c>
      <c r="K96" s="102" t="s">
        <v>18</v>
      </c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160">
        <f>+W95-J95</f>
        <v>0</v>
      </c>
      <c r="X96" s="541"/>
      <c r="Y96" s="103">
        <f t="shared" si="3"/>
        <v>0</v>
      </c>
      <c r="Z96" s="138"/>
      <c r="AA96" s="138"/>
      <c r="AB96" s="122"/>
      <c r="AC96" s="116"/>
      <c r="AD96" s="157"/>
      <c r="AE96" s="167">
        <f t="shared" si="4"/>
        <v>0</v>
      </c>
      <c r="AF96" s="167"/>
      <c r="AG96" s="167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</row>
    <row r="97" spans="1:35" s="98" customFormat="1" ht="62.25" customHeight="1" thickBot="1" x14ac:dyDescent="0.95">
      <c r="A97" s="124"/>
      <c r="B97" s="129">
        <f>+B95</f>
        <v>21</v>
      </c>
      <c r="C97" s="174" t="s">
        <v>214</v>
      </c>
      <c r="D97" s="175">
        <f>+D96+100</f>
        <v>121</v>
      </c>
      <c r="E97" s="175"/>
      <c r="F97" s="117" t="s">
        <v>111</v>
      </c>
      <c r="G97" s="117"/>
      <c r="H97" s="146"/>
      <c r="I97" s="165" t="str">
        <f>+IF(J97="","",IF(J95=0,"",(J95*I95)/(J97*60)))</f>
        <v/>
      </c>
      <c r="J97" s="118">
        <v>23</v>
      </c>
      <c r="K97" s="104" t="s">
        <v>19</v>
      </c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173"/>
      <c r="X97" s="168"/>
      <c r="Y97" s="105">
        <f t="shared" si="3"/>
        <v>0</v>
      </c>
      <c r="Z97" s="139"/>
      <c r="AA97" s="139"/>
      <c r="AB97" s="119" t="str">
        <f>+IFERROR(AB95/(J95*9),"")</f>
        <v/>
      </c>
      <c r="AC97" s="120"/>
      <c r="AD97" s="161">
        <f>+Y96+Y97/2</f>
        <v>0</v>
      </c>
      <c r="AE97" s="167">
        <f t="shared" si="4"/>
        <v>0</v>
      </c>
      <c r="AF97" s="167"/>
      <c r="AG97" s="230" t="str">
        <f>+IF((Y95-J95*9)&gt;=0,"",Y95-J95*9)</f>
        <v/>
      </c>
      <c r="AH97" s="91"/>
    </row>
    <row r="98" spans="1:35" s="98" customFormat="1" ht="39.75" customHeight="1" thickTop="1" thickBot="1" x14ac:dyDescent="0.95">
      <c r="A98" s="124"/>
      <c r="B98" s="94"/>
      <c r="C98" s="176"/>
      <c r="D98" s="91"/>
      <c r="E98" s="91"/>
      <c r="F98" s="91"/>
      <c r="G98" s="91"/>
      <c r="I98" s="91"/>
      <c r="J98" s="91"/>
      <c r="K98" s="99"/>
      <c r="L98" s="124"/>
      <c r="M98" s="124"/>
      <c r="N98" s="124"/>
      <c r="O98" s="124"/>
      <c r="P98" s="124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5"/>
      <c r="AD98" s="158"/>
      <c r="AE98" s="167"/>
      <c r="AG98" s="220"/>
      <c r="AH98" s="220"/>
      <c r="AI98" s="220"/>
    </row>
    <row r="99" spans="1:35" s="148" customFormat="1" ht="91.5" customHeight="1" thickTop="1" thickBot="1" x14ac:dyDescent="0.55000000000000004">
      <c r="A99" s="164"/>
      <c r="B99" s="181"/>
      <c r="C99" s="92"/>
      <c r="D99" s="92"/>
      <c r="E99" s="92"/>
      <c r="F99" s="92"/>
      <c r="G99" s="92"/>
      <c r="H99" s="98"/>
      <c r="I99" s="92"/>
      <c r="J99" s="92"/>
      <c r="K99" s="179" t="s">
        <v>17</v>
      </c>
      <c r="L99" s="166">
        <f t="shared" ref="L99:V99" si="5">+SUMIF($K$6:$K$98,$K$99,L6:L98)</f>
        <v>927</v>
      </c>
      <c r="M99" s="166">
        <f t="shared" si="5"/>
        <v>1007</v>
      </c>
      <c r="N99" s="166">
        <f t="shared" si="5"/>
        <v>1039</v>
      </c>
      <c r="O99" s="166">
        <f t="shared" si="5"/>
        <v>1041</v>
      </c>
      <c r="P99" s="166">
        <f t="shared" si="5"/>
        <v>1027</v>
      </c>
      <c r="Q99" s="166">
        <f t="shared" si="5"/>
        <v>1059</v>
      </c>
      <c r="R99" s="166">
        <f t="shared" si="5"/>
        <v>1050</v>
      </c>
      <c r="S99" s="166">
        <f t="shared" si="5"/>
        <v>1069</v>
      </c>
      <c r="T99" s="166">
        <f t="shared" si="5"/>
        <v>0</v>
      </c>
      <c r="U99" s="166">
        <f t="shared" si="5"/>
        <v>0</v>
      </c>
      <c r="V99" s="166">
        <f t="shared" si="5"/>
        <v>0</v>
      </c>
      <c r="W99" s="2"/>
      <c r="X99" s="166">
        <f>+SUM(L99:V99)</f>
        <v>8219</v>
      </c>
      <c r="Y99" s="92"/>
      <c r="Z99" s="164"/>
      <c r="AA99" s="92"/>
      <c r="AB99" s="92"/>
      <c r="AC99" s="177"/>
      <c r="AD99" s="178"/>
      <c r="AE99" s="167">
        <f>+AD99*60</f>
        <v>0</v>
      </c>
      <c r="AH99" s="91"/>
    </row>
    <row r="100" spans="1:35" s="148" customFormat="1" ht="91.5" customHeight="1" thickTop="1" thickBot="1" x14ac:dyDescent="0.55000000000000004">
      <c r="A100" s="164"/>
      <c r="B100" s="223"/>
      <c r="C100" s="223"/>
      <c r="D100" s="223"/>
      <c r="E100" s="223"/>
      <c r="F100" s="223"/>
      <c r="G100" s="223"/>
      <c r="H100" s="98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92"/>
      <c r="Z100" s="92"/>
      <c r="AA100" s="92"/>
      <c r="AB100" s="92"/>
      <c r="AC100" s="177"/>
      <c r="AD100" s="178"/>
      <c r="AE100" s="167"/>
      <c r="AH100" s="91"/>
    </row>
    <row r="101" spans="1:35" s="98" customFormat="1" ht="91.5" customHeight="1" thickTop="1" thickBot="1" x14ac:dyDescent="0.95">
      <c r="A101" s="124"/>
      <c r="B101" s="94"/>
      <c r="C101" s="91"/>
      <c r="D101" s="91"/>
      <c r="E101" s="91"/>
      <c r="F101" s="91"/>
      <c r="G101" s="91"/>
      <c r="H101" s="91"/>
      <c r="I101" s="91"/>
      <c r="J101" s="91"/>
      <c r="K101" s="208" t="s">
        <v>18</v>
      </c>
      <c r="L101" s="166">
        <f t="shared" ref="L101:V101" si="6">+SUMIF($K$6:$K$98,$K$101,L6:L98)</f>
        <v>878</v>
      </c>
      <c r="M101" s="166">
        <f t="shared" si="6"/>
        <v>883</v>
      </c>
      <c r="N101" s="166">
        <f t="shared" si="6"/>
        <v>883</v>
      </c>
      <c r="O101" s="166">
        <f t="shared" si="6"/>
        <v>883</v>
      </c>
      <c r="P101" s="166">
        <f t="shared" si="6"/>
        <v>882</v>
      </c>
      <c r="Q101" s="166">
        <f t="shared" si="6"/>
        <v>882</v>
      </c>
      <c r="R101" s="166">
        <f t="shared" si="6"/>
        <v>882</v>
      </c>
      <c r="S101" s="166">
        <f t="shared" si="6"/>
        <v>882</v>
      </c>
      <c r="T101" s="166">
        <f t="shared" si="6"/>
        <v>0</v>
      </c>
      <c r="U101" s="166">
        <f t="shared" si="6"/>
        <v>0</v>
      </c>
      <c r="V101" s="166">
        <f t="shared" si="6"/>
        <v>0</v>
      </c>
      <c r="W101" s="2"/>
      <c r="X101" s="91"/>
      <c r="Y101" s="91"/>
      <c r="Z101" s="91"/>
      <c r="AA101" s="91"/>
      <c r="AB101" s="91"/>
      <c r="AC101" s="95"/>
      <c r="AD101" s="158"/>
      <c r="AH101" s="91"/>
    </row>
    <row r="102" spans="1:35" s="98" customFormat="1" ht="91.5" customHeight="1" thickTop="1" thickBot="1" x14ac:dyDescent="0.95">
      <c r="A102" s="124"/>
      <c r="B102" s="94"/>
      <c r="C102" s="91"/>
      <c r="D102" s="91"/>
      <c r="E102" s="91"/>
      <c r="F102" s="91"/>
      <c r="G102" s="91"/>
      <c r="H102" s="92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 t="s">
        <v>185</v>
      </c>
      <c r="Y102" s="91"/>
      <c r="Z102" s="91"/>
      <c r="AA102" s="91"/>
      <c r="AB102" s="91"/>
      <c r="AC102" s="95"/>
      <c r="AD102" s="158"/>
      <c r="AH102" s="91"/>
    </row>
    <row r="103" spans="1:35" s="98" customFormat="1" ht="91.5" customHeight="1" thickTop="1" thickBot="1" x14ac:dyDescent="0.95">
      <c r="A103" s="124"/>
      <c r="B103" s="94"/>
      <c r="C103" s="92"/>
      <c r="D103" s="92"/>
      <c r="E103" s="92"/>
      <c r="F103" s="92"/>
      <c r="G103" s="92"/>
      <c r="H103" s="223"/>
      <c r="I103" s="93"/>
      <c r="J103" s="92"/>
      <c r="K103" s="208" t="s">
        <v>19</v>
      </c>
      <c r="L103" s="166">
        <f t="shared" ref="L103:V103" si="7">+SUMIF($K$6:$K$98,$K$103,L6:L98)</f>
        <v>42</v>
      </c>
      <c r="M103" s="166">
        <f t="shared" si="7"/>
        <v>42</v>
      </c>
      <c r="N103" s="166">
        <f t="shared" si="7"/>
        <v>42</v>
      </c>
      <c r="O103" s="166">
        <f t="shared" si="7"/>
        <v>42</v>
      </c>
      <c r="P103" s="166">
        <f t="shared" si="7"/>
        <v>42</v>
      </c>
      <c r="Q103" s="166">
        <f t="shared" si="7"/>
        <v>42</v>
      </c>
      <c r="R103" s="166">
        <f t="shared" si="7"/>
        <v>42</v>
      </c>
      <c r="S103" s="166">
        <f t="shared" si="7"/>
        <v>42</v>
      </c>
      <c r="T103" s="166">
        <f t="shared" si="7"/>
        <v>0</v>
      </c>
      <c r="U103" s="166">
        <f t="shared" si="7"/>
        <v>0</v>
      </c>
      <c r="V103" s="166">
        <f t="shared" si="7"/>
        <v>0</v>
      </c>
      <c r="W103" s="2"/>
      <c r="X103" s="91"/>
      <c r="Y103" s="91"/>
      <c r="Z103" s="91"/>
      <c r="AA103" s="91"/>
      <c r="AB103" s="91"/>
      <c r="AC103" s="95"/>
      <c r="AD103" s="158"/>
      <c r="AH103" s="91"/>
    </row>
    <row r="104" spans="1:35" s="98" customFormat="1" ht="62.25" customHeight="1" thickTop="1" x14ac:dyDescent="0.9">
      <c r="A104" s="124"/>
      <c r="B104" s="94"/>
      <c r="C104" s="92"/>
      <c r="D104" s="92"/>
      <c r="E104" s="92"/>
      <c r="F104" s="92"/>
      <c r="G104" s="92"/>
      <c r="H104" s="91"/>
      <c r="I104" s="93"/>
      <c r="J104" s="92"/>
      <c r="K104" s="99"/>
      <c r="L104" s="209">
        <f>+IF(L101=0,"",L103/L101)</f>
        <v>4.7835990888382689E-2</v>
      </c>
      <c r="M104" s="209">
        <f t="shared" ref="M104:V104" si="8">+IF(M101=0,"",M103/M101)</f>
        <v>4.7565118912797279E-2</v>
      </c>
      <c r="N104" s="209">
        <f t="shared" si="8"/>
        <v>4.7565118912797279E-2</v>
      </c>
      <c r="O104" s="209">
        <f t="shared" si="8"/>
        <v>4.7565118912797279E-2</v>
      </c>
      <c r="P104" s="209">
        <f t="shared" si="8"/>
        <v>4.7619047619047616E-2</v>
      </c>
      <c r="Q104" s="209">
        <f t="shared" si="8"/>
        <v>4.7619047619047616E-2</v>
      </c>
      <c r="R104" s="209">
        <f t="shared" si="8"/>
        <v>4.7619047619047616E-2</v>
      </c>
      <c r="S104" s="209">
        <f t="shared" si="8"/>
        <v>4.7619047619047616E-2</v>
      </c>
      <c r="T104" s="209" t="str">
        <f t="shared" si="8"/>
        <v/>
      </c>
      <c r="U104" s="209" t="str">
        <f t="shared" si="8"/>
        <v/>
      </c>
      <c r="V104" s="209" t="str">
        <f t="shared" si="8"/>
        <v/>
      </c>
      <c r="W104" s="91"/>
      <c r="X104" s="91"/>
      <c r="Y104" s="91"/>
      <c r="Z104" s="91"/>
      <c r="AA104" s="91"/>
      <c r="AB104" s="211"/>
      <c r="AC104" s="95"/>
      <c r="AD104" s="158"/>
      <c r="AH104" s="91"/>
    </row>
    <row r="105" spans="1:35" s="98" customFormat="1" ht="62.25" customHeight="1" thickBot="1" x14ac:dyDescent="0.95">
      <c r="A105" s="124"/>
      <c r="B105" s="94"/>
      <c r="C105" s="92"/>
      <c r="D105" s="92"/>
      <c r="E105" s="92"/>
      <c r="F105" s="92"/>
      <c r="G105" s="92"/>
      <c r="H105" s="91"/>
      <c r="I105" s="93"/>
      <c r="J105" s="92"/>
      <c r="K105" s="99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5"/>
      <c r="AD105" s="158"/>
      <c r="AH105" s="91"/>
    </row>
    <row r="106" spans="1:35" s="98" customFormat="1" ht="88.5" customHeight="1" thickTop="1" thickBot="1" x14ac:dyDescent="0.95">
      <c r="A106" s="124"/>
      <c r="B106" s="94"/>
      <c r="C106" s="92"/>
      <c r="D106" s="92"/>
      <c r="E106" s="92"/>
      <c r="F106" s="92"/>
      <c r="G106" s="92"/>
      <c r="H106" s="92"/>
      <c r="I106" s="93"/>
      <c r="J106" s="212" t="s">
        <v>18</v>
      </c>
      <c r="K106" s="222" t="s">
        <v>180</v>
      </c>
      <c r="L106" s="166">
        <f t="shared" ref="L106:V106" si="9">+IF(L101=0,"",SUMIF($K$6:$K$98,$J$106,$I$6:$I$98))</f>
        <v>11</v>
      </c>
      <c r="M106" s="166">
        <f t="shared" si="9"/>
        <v>11</v>
      </c>
      <c r="N106" s="166">
        <f t="shared" si="9"/>
        <v>11</v>
      </c>
      <c r="O106" s="166">
        <f t="shared" si="9"/>
        <v>11</v>
      </c>
      <c r="P106" s="166">
        <f t="shared" si="9"/>
        <v>11</v>
      </c>
      <c r="Q106" s="166">
        <f t="shared" si="9"/>
        <v>11</v>
      </c>
      <c r="R106" s="166">
        <f t="shared" si="9"/>
        <v>11</v>
      </c>
      <c r="S106" s="166">
        <f t="shared" si="9"/>
        <v>11</v>
      </c>
      <c r="T106" s="166" t="str">
        <f t="shared" si="9"/>
        <v/>
      </c>
      <c r="U106" s="166" t="str">
        <f t="shared" si="9"/>
        <v/>
      </c>
      <c r="V106" s="166" t="str">
        <f t="shared" si="9"/>
        <v/>
      </c>
      <c r="W106" s="2"/>
      <c r="X106" s="91"/>
      <c r="Y106" s="91"/>
      <c r="Z106" s="91"/>
      <c r="AA106" s="91"/>
      <c r="AB106" s="91"/>
      <c r="AC106" s="95"/>
      <c r="AD106" s="158"/>
      <c r="AH106" s="91"/>
    </row>
    <row r="107" spans="1:35" s="98" customFormat="1" ht="62.25" customHeight="1" thickTop="1" x14ac:dyDescent="0.9">
      <c r="A107" s="124"/>
      <c r="B107" s="94"/>
      <c r="C107" s="92"/>
      <c r="D107" s="92"/>
      <c r="E107" s="92"/>
      <c r="F107" s="92"/>
      <c r="G107" s="92"/>
      <c r="H107" s="92"/>
      <c r="I107" s="93"/>
      <c r="J107" s="212"/>
      <c r="K107" s="99"/>
      <c r="L107" s="209">
        <f>+IF(L101=0,"",L106/L101)</f>
        <v>1.2528473804100227E-2</v>
      </c>
      <c r="M107" s="209">
        <f t="shared" ref="M107:V107" si="10">+IF(M101=0,"",M106/M101)</f>
        <v>1.245753114382786E-2</v>
      </c>
      <c r="N107" s="209">
        <f t="shared" si="10"/>
        <v>1.245753114382786E-2</v>
      </c>
      <c r="O107" s="209">
        <f t="shared" si="10"/>
        <v>1.245753114382786E-2</v>
      </c>
      <c r="P107" s="209">
        <f t="shared" si="10"/>
        <v>1.2471655328798186E-2</v>
      </c>
      <c r="Q107" s="209">
        <f t="shared" si="10"/>
        <v>1.2471655328798186E-2</v>
      </c>
      <c r="R107" s="209">
        <f t="shared" si="10"/>
        <v>1.2471655328798186E-2</v>
      </c>
      <c r="S107" s="209">
        <f t="shared" si="10"/>
        <v>1.2471655328798186E-2</v>
      </c>
      <c r="T107" s="209" t="str">
        <f t="shared" si="10"/>
        <v/>
      </c>
      <c r="U107" s="209" t="str">
        <f t="shared" si="10"/>
        <v/>
      </c>
      <c r="V107" s="209" t="str">
        <f t="shared" si="10"/>
        <v/>
      </c>
      <c r="W107" s="91"/>
      <c r="X107" s="91"/>
      <c r="Y107" s="91"/>
      <c r="Z107" s="91"/>
      <c r="AA107" s="91"/>
      <c r="AB107" s="91"/>
      <c r="AC107" s="95"/>
      <c r="AD107" s="158"/>
      <c r="AH107" s="91"/>
    </row>
    <row r="108" spans="1:35" s="98" customFormat="1" ht="62.25" customHeight="1" thickBot="1" x14ac:dyDescent="0.95">
      <c r="A108" s="124"/>
      <c r="B108" s="94"/>
      <c r="C108" s="92"/>
      <c r="D108" s="92"/>
      <c r="E108" s="92"/>
      <c r="F108" s="92"/>
      <c r="G108" s="92"/>
      <c r="H108" s="92"/>
      <c r="I108" s="93"/>
      <c r="J108" s="212"/>
      <c r="K108" s="99"/>
      <c r="L108" s="91"/>
      <c r="M108" s="91"/>
      <c r="N108" s="91"/>
      <c r="O108" s="91"/>
      <c r="P108" s="124"/>
      <c r="Q108" s="124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5"/>
      <c r="AD108" s="158"/>
      <c r="AH108" s="91"/>
    </row>
    <row r="109" spans="1:35" s="98" customFormat="1" ht="98.25" customHeight="1" thickTop="1" thickBot="1" x14ac:dyDescent="0.95">
      <c r="A109" s="124"/>
      <c r="B109" s="94"/>
      <c r="C109" s="92"/>
      <c r="D109" s="92"/>
      <c r="E109" s="92"/>
      <c r="F109" s="92"/>
      <c r="G109" s="92"/>
      <c r="H109" s="92"/>
      <c r="I109" s="93"/>
      <c r="J109" s="212"/>
      <c r="K109" s="222" t="s">
        <v>181</v>
      </c>
      <c r="L109" s="166">
        <f t="shared" ref="L109:V109" si="11">+IF(L101=0,"",SUMIF($K$6:$K$98,$J$106,$H$6:$H$101))</f>
        <v>1</v>
      </c>
      <c r="M109" s="166">
        <f t="shared" si="11"/>
        <v>1</v>
      </c>
      <c r="N109" s="166">
        <f t="shared" si="11"/>
        <v>1</v>
      </c>
      <c r="O109" s="166">
        <f t="shared" si="11"/>
        <v>1</v>
      </c>
      <c r="P109" s="166">
        <f t="shared" si="11"/>
        <v>1</v>
      </c>
      <c r="Q109" s="166">
        <f t="shared" si="11"/>
        <v>1</v>
      </c>
      <c r="R109" s="166">
        <f t="shared" si="11"/>
        <v>1</v>
      </c>
      <c r="S109" s="166">
        <f t="shared" si="11"/>
        <v>1</v>
      </c>
      <c r="T109" s="166" t="str">
        <f t="shared" si="11"/>
        <v/>
      </c>
      <c r="U109" s="166" t="str">
        <f t="shared" si="11"/>
        <v/>
      </c>
      <c r="V109" s="166" t="str">
        <f t="shared" si="11"/>
        <v/>
      </c>
      <c r="W109" s="91"/>
      <c r="X109" s="91"/>
      <c r="Y109" s="91"/>
      <c r="Z109" s="91"/>
      <c r="AA109" s="91"/>
      <c r="AB109" s="91"/>
      <c r="AC109" s="95"/>
      <c r="AD109" s="158"/>
      <c r="AH109" s="91"/>
    </row>
    <row r="110" spans="1:35" s="98" customFormat="1" ht="62.25" customHeight="1" thickTop="1" x14ac:dyDescent="0.9">
      <c r="A110" s="124"/>
      <c r="B110" s="94"/>
      <c r="C110" s="92"/>
      <c r="D110" s="92"/>
      <c r="E110" s="92"/>
      <c r="F110" s="92"/>
      <c r="G110" s="92"/>
      <c r="H110" s="92"/>
      <c r="I110" s="93"/>
      <c r="J110" s="212"/>
      <c r="K110" s="99"/>
      <c r="L110" s="209">
        <f>+IF(L101=0,"",L109/L101)</f>
        <v>1.1389521640091116E-3</v>
      </c>
      <c r="M110" s="209">
        <f t="shared" ref="M110:V110" si="12">+IF(M101=0,"",M109/M101)</f>
        <v>1.1325028312570782E-3</v>
      </c>
      <c r="N110" s="209">
        <f t="shared" si="12"/>
        <v>1.1325028312570782E-3</v>
      </c>
      <c r="O110" s="209">
        <f t="shared" si="12"/>
        <v>1.1325028312570782E-3</v>
      </c>
      <c r="P110" s="209">
        <f t="shared" si="12"/>
        <v>1.1337868480725624E-3</v>
      </c>
      <c r="Q110" s="209">
        <f t="shared" si="12"/>
        <v>1.1337868480725624E-3</v>
      </c>
      <c r="R110" s="209">
        <f t="shared" si="12"/>
        <v>1.1337868480725624E-3</v>
      </c>
      <c r="S110" s="209">
        <f t="shared" si="12"/>
        <v>1.1337868480725624E-3</v>
      </c>
      <c r="T110" s="209" t="str">
        <f t="shared" si="12"/>
        <v/>
      </c>
      <c r="U110" s="209" t="str">
        <f t="shared" si="12"/>
        <v/>
      </c>
      <c r="V110" s="209" t="str">
        <f t="shared" si="12"/>
        <v/>
      </c>
      <c r="W110" s="91"/>
      <c r="X110" s="91"/>
      <c r="Y110" s="91"/>
      <c r="Z110" s="91"/>
      <c r="AA110" s="91"/>
      <c r="AB110" s="91"/>
      <c r="AC110" s="95"/>
      <c r="AD110" s="158"/>
      <c r="AH110" s="91"/>
    </row>
    <row r="111" spans="1:35" s="98" customFormat="1" ht="62.25" customHeight="1" x14ac:dyDescent="0.9">
      <c r="A111" s="124"/>
      <c r="B111" s="94"/>
      <c r="C111" s="92"/>
      <c r="D111" s="92"/>
      <c r="E111" s="92"/>
      <c r="F111" s="92"/>
      <c r="G111" s="92"/>
      <c r="H111" s="92"/>
      <c r="I111" s="93"/>
      <c r="J111" s="212"/>
      <c r="K111" s="99"/>
      <c r="L111" s="91"/>
      <c r="M111" s="91"/>
      <c r="N111" s="91"/>
      <c r="O111" s="91"/>
      <c r="P111" s="124"/>
      <c r="Q111" s="124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5"/>
      <c r="AD111" s="158"/>
      <c r="AH111" s="91"/>
    </row>
    <row r="112" spans="1:35" s="98" customFormat="1" x14ac:dyDescent="0.55000000000000004">
      <c r="A112" s="91"/>
      <c r="B112" s="94"/>
      <c r="C112" s="92"/>
      <c r="D112" s="92"/>
      <c r="E112" s="92"/>
      <c r="F112" s="92"/>
      <c r="G112" s="92"/>
      <c r="H112" s="92"/>
      <c r="I112" s="93"/>
      <c r="J112" s="92"/>
      <c r="K112" s="99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5"/>
      <c r="AD112" s="155"/>
      <c r="AH112" s="91"/>
    </row>
    <row r="113" spans="1:34" s="98" customFormat="1" ht="46.5" x14ac:dyDescent="0.7">
      <c r="A113" s="91"/>
      <c r="B113" s="94"/>
      <c r="C113" s="92"/>
      <c r="D113" s="92"/>
      <c r="E113" s="92"/>
      <c r="F113" s="92"/>
      <c r="G113" s="92"/>
      <c r="H113" s="92"/>
      <c r="I113" s="93"/>
      <c r="J113" s="92"/>
      <c r="K113" s="99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5"/>
      <c r="AD113" s="158"/>
      <c r="AH113" s="91"/>
    </row>
    <row r="114" spans="1:34" ht="46.5" x14ac:dyDescent="0.7">
      <c r="I114" s="91"/>
      <c r="J114" s="91"/>
      <c r="S114" s="544"/>
      <c r="T114" s="544"/>
      <c r="U114" s="544"/>
      <c r="AD114" s="158"/>
    </row>
    <row r="115" spans="1:34" ht="105" customHeight="1" x14ac:dyDescent="0.7">
      <c r="AD115" s="158"/>
    </row>
    <row r="116" spans="1:34" ht="46.5" x14ac:dyDescent="0.7">
      <c r="A116" s="91" t="s">
        <v>197</v>
      </c>
      <c r="AD116" s="158"/>
    </row>
    <row r="117" spans="1:34" s="98" customFormat="1" ht="46.5" x14ac:dyDescent="0.7">
      <c r="A117" s="91"/>
      <c r="B117" s="94"/>
      <c r="C117" s="92"/>
      <c r="D117" s="92"/>
      <c r="E117" s="92"/>
      <c r="F117" s="92"/>
      <c r="G117" s="92"/>
      <c r="H117" s="91"/>
      <c r="I117" s="93"/>
      <c r="J117" s="92"/>
      <c r="K117" s="99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5"/>
      <c r="AD117" s="158"/>
      <c r="AH117" s="91"/>
    </row>
    <row r="118" spans="1:34" s="98" customFormat="1" ht="46.5" x14ac:dyDescent="0.7">
      <c r="A118" s="91"/>
      <c r="B118" s="94"/>
      <c r="C118" s="92"/>
      <c r="D118" s="92"/>
      <c r="E118" s="92"/>
      <c r="F118" s="92"/>
      <c r="G118" s="92"/>
      <c r="H118" s="92"/>
      <c r="I118" s="93"/>
      <c r="J118" s="92"/>
      <c r="K118" s="99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5"/>
      <c r="AD118" s="158"/>
      <c r="AH118" s="91"/>
    </row>
    <row r="119" spans="1:34" s="98" customFormat="1" ht="46.5" x14ac:dyDescent="0.7">
      <c r="A119" s="91"/>
      <c r="B119" s="94"/>
      <c r="C119" s="92"/>
      <c r="D119" s="92"/>
      <c r="E119" s="92"/>
      <c r="F119" s="92"/>
      <c r="G119" s="92"/>
      <c r="H119" s="92"/>
      <c r="I119" s="93"/>
      <c r="J119" s="92"/>
      <c r="K119" s="99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5"/>
      <c r="AD119" s="158"/>
      <c r="AH119" s="91"/>
    </row>
    <row r="120" spans="1:34" s="98" customFormat="1" ht="66" customHeight="1" x14ac:dyDescent="0.7">
      <c r="A120" s="91"/>
      <c r="B120" s="94"/>
      <c r="C120" s="92"/>
      <c r="D120" s="92"/>
      <c r="E120" s="92"/>
      <c r="F120" s="92"/>
      <c r="G120" s="92"/>
      <c r="H120" s="92"/>
      <c r="I120" s="93"/>
      <c r="J120" s="92"/>
      <c r="K120" s="99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5"/>
      <c r="AD120" s="158"/>
      <c r="AH120" s="91"/>
    </row>
  </sheetData>
  <sheetProtection algorithmName="SHA-512" hashValue="cBL0xSeSQsLH58j6YaKsfwTwrU5hSmZ0D3kO5NIiU8ekI1WSJ6tg4kpHqT18DAtufK2S6z0D/Rc/0wxYwFI73A==" saltValue="MXiRizUqjbrgVY0GnS+z+Q==" spinCount="100000" sheet="1" objects="1" scenarios="1" selectLockedCells="1" autoFilter="0"/>
  <mergeCells count="32">
    <mergeCell ref="X22:X24"/>
    <mergeCell ref="B1:Z2"/>
    <mergeCell ref="AB1:AC1"/>
    <mergeCell ref="AB2:AC3"/>
    <mergeCell ref="J3:K3"/>
    <mergeCell ref="B4:F4"/>
    <mergeCell ref="J4:K4"/>
    <mergeCell ref="AB4:AC4"/>
    <mergeCell ref="I5:J5"/>
    <mergeCell ref="X6:X8"/>
    <mergeCell ref="X10:X12"/>
    <mergeCell ref="X14:X16"/>
    <mergeCell ref="X18:X20"/>
    <mergeCell ref="X70:X72"/>
    <mergeCell ref="X26:X28"/>
    <mergeCell ref="X30:X32"/>
    <mergeCell ref="X34:X36"/>
    <mergeCell ref="X38:X40"/>
    <mergeCell ref="X42:X44"/>
    <mergeCell ref="X46:X48"/>
    <mergeCell ref="X50:X52"/>
    <mergeCell ref="X54:X56"/>
    <mergeCell ref="X58:X60"/>
    <mergeCell ref="X62:X64"/>
    <mergeCell ref="X66:X68"/>
    <mergeCell ref="S114:U114"/>
    <mergeCell ref="X74:X76"/>
    <mergeCell ref="X78:X80"/>
    <mergeCell ref="X82:X84"/>
    <mergeCell ref="X86:X88"/>
    <mergeCell ref="X90:X92"/>
    <mergeCell ref="X94:X96"/>
  </mergeCells>
  <conditionalFormatting sqref="L91:S91">
    <cfRule type="cellIs" dxfId="2141" priority="16" operator="lessThan">
      <formula>0</formula>
    </cfRule>
  </conditionalFormatting>
  <conditionalFormatting sqref="W8 W12 W16 W20 W24 W28 W36 W40 W48 W52 W56 W64 W72 W76 W80 W84 W88 W92">
    <cfRule type="cellIs" dxfId="2140" priority="17" operator="lessThan">
      <formula>0</formula>
    </cfRule>
  </conditionalFormatting>
  <conditionalFormatting sqref="W31">
    <cfRule type="iconSet" priority="2">
      <iconSet>
        <cfvo type="percent" val="0"/>
        <cfvo type="percent" val="&quot;$I$6&quot;"/>
        <cfvo type="percent" val="#REF!"/>
      </iconSet>
    </cfRule>
  </conditionalFormatting>
  <conditionalFormatting sqref="W32">
    <cfRule type="cellIs" dxfId="2139" priority="1" operator="lessThan">
      <formula>0</formula>
    </cfRule>
  </conditionalFormatting>
  <conditionalFormatting sqref="W35 W27 W7 W11 W15 W19 W23 W39 W47 W51 W55 W63 W71 W75 W79 W83 W87 W91">
    <cfRule type="iconSet" priority="18">
      <iconSet>
        <cfvo type="percent" val="0"/>
        <cfvo type="percent" val="&quot;$I$6&quot;"/>
        <cfvo type="percent" val="#REF!"/>
      </iconSet>
    </cfRule>
  </conditionalFormatting>
  <conditionalFormatting sqref="W43">
    <cfRule type="iconSet" priority="8">
      <iconSet>
        <cfvo type="percent" val="0"/>
        <cfvo type="percent" val="&quot;$I$6&quot;"/>
        <cfvo type="percent" val="#REF!"/>
      </iconSet>
    </cfRule>
  </conditionalFormatting>
  <conditionalFormatting sqref="W44">
    <cfRule type="cellIs" dxfId="2138" priority="7" operator="lessThan">
      <formula>0</formula>
    </cfRule>
  </conditionalFormatting>
  <conditionalFormatting sqref="W59">
    <cfRule type="iconSet" priority="5">
      <iconSet>
        <cfvo type="percent" val="0"/>
        <cfvo type="percent" val="&quot;$I$6&quot;"/>
        <cfvo type="percent" val="#REF!"/>
      </iconSet>
    </cfRule>
  </conditionalFormatting>
  <conditionalFormatting sqref="W60">
    <cfRule type="cellIs" dxfId="2137" priority="4" operator="lessThan">
      <formula>0</formula>
    </cfRule>
  </conditionalFormatting>
  <conditionalFormatting sqref="W67">
    <cfRule type="iconSet" priority="11">
      <iconSet>
        <cfvo type="percent" val="0"/>
        <cfvo type="percent" val="&quot;$I$6&quot;"/>
        <cfvo type="percent" val="#REF!"/>
      </iconSet>
    </cfRule>
  </conditionalFormatting>
  <conditionalFormatting sqref="W68">
    <cfRule type="cellIs" dxfId="2136" priority="10" operator="lessThan">
      <formula>0</formula>
    </cfRule>
  </conditionalFormatting>
  <conditionalFormatting sqref="W95">
    <cfRule type="iconSet" priority="14">
      <iconSet>
        <cfvo type="percent" val="0"/>
        <cfvo type="percent" val="&quot;$I$6&quot;"/>
        <cfvo type="percent" val="#REF!"/>
      </iconSet>
    </cfRule>
  </conditionalFormatting>
  <conditionalFormatting sqref="W96">
    <cfRule type="cellIs" dxfId="2135" priority="13" operator="lessThan">
      <formula>0</formula>
    </cfRule>
  </conditionalFormatting>
  <conditionalFormatting sqref="AB2:AC3">
    <cfRule type="cellIs" dxfId="2134" priority="37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/>
  <headerFooter>
    <oddHeader>&amp;L&amp;"-,Bold"&amp;48&amp;T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3" id="{883D22B4-29AA-49B5-AF5A-12869DC0EF9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35" id="{2386D233-A358-44A0-B89D-2E23ADB24A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27" id="{FF401300-4DFA-4880-A4C2-57D81E3E89C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20" id="{330C1B59-DACF-46D7-984F-B26847B3589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33" id="{CB17E32E-17BD-47AD-A7D5-5D4063D416A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19" id="{68E470B0-309B-415F-9C39-4D1BCEBF534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3" id="{CF19DDBC-2235-432B-9004-AB6690EDC0D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28" id="{9CCA1E11-5DB9-4CF2-8583-029A6CF8121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26" id="{4C242F91-F4E2-47B4-A3A6-D4887B7C047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9" id="{F3AD67BC-D8EF-47F0-932E-0D8CB008AB7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32" id="{E793EB56-1DB8-478E-B056-194EA2716AD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36" id="{6F915893-28EF-4055-81BD-446C71D8B1C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25" id="{974FFC0C-D225-4142-835B-F847805406E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6" id="{B8E5E2BC-45EF-4D11-9873-7C69CE22B0F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34" id="{FED28944-87B8-483E-82EC-8D4E62F9A67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12" id="{542CBC0D-8374-4F00-AF80-3118FF7988E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29" id="{862051C5-19C6-4EA6-A58E-5AAD5986A3A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30" id="{6C39EF8F-8FDD-46CE-89DB-400D3354FB4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22" id="{DDBFE5F1-917B-4228-B73B-FACD3EAAE2A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  <x14:conditionalFormatting xmlns:xm="http://schemas.microsoft.com/office/excel/2006/main">
          <x14:cfRule type="iconSet" priority="24" id="{D1B9B9C4-F395-41B0-9FC3-041453BB6F4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X82</xm:sqref>
        </x14:conditionalFormatting>
        <x14:conditionalFormatting xmlns:xm="http://schemas.microsoft.com/office/excel/2006/main">
          <x14:cfRule type="iconSet" priority="31" id="{43D3703F-421F-40B5-982A-413502B3815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X86</xm:sqref>
        </x14:conditionalFormatting>
        <x14:conditionalFormatting xmlns:xm="http://schemas.microsoft.com/office/excel/2006/main">
          <x14:cfRule type="iconSet" priority="21" id="{3C0BE1B9-C520-4CBD-AC0F-936E8B23FCF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X90</xm:sqref>
        </x14:conditionalFormatting>
        <x14:conditionalFormatting xmlns:xm="http://schemas.microsoft.com/office/excel/2006/main">
          <x14:cfRule type="iconSet" priority="15" id="{F8A1DBEB-7B02-4CC9-BB4A-7C03DCB5FB8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X94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rgb="FF00B0F0"/>
  </sheetPr>
  <dimension ref="A1:BD104"/>
  <sheetViews>
    <sheetView zoomScale="75" zoomScaleNormal="75" zoomScaleSheetLayoutView="23" zoomScalePageLayoutView="23" workbookViewId="0">
      <pane xSplit="2" ySplit="5" topLeftCell="J6" activePane="bottomRight" state="frozen"/>
      <selection activeCell="D43" sqref="D43"/>
      <selection pane="topRight" activeCell="D43" sqref="D43"/>
      <selection pane="bottomLeft" activeCell="D43" sqref="D43"/>
      <selection pane="bottomRight" activeCell="AG9" sqref="AG9"/>
    </sheetView>
  </sheetViews>
  <sheetFormatPr defaultColWidth="9.140625" defaultRowHeight="36" x14ac:dyDescent="0.55000000000000004"/>
  <cols>
    <col min="1" max="1" width="1" style="91" customWidth="1"/>
    <col min="2" max="2" width="18.85546875" style="94" customWidth="1"/>
    <col min="3" max="3" width="46.28515625" style="92" customWidth="1"/>
    <col min="4" max="4" width="3.85546875" style="92" hidden="1" customWidth="1"/>
    <col min="5" max="5" width="29.140625" style="92" customWidth="1"/>
    <col min="6" max="6" width="45.7109375" style="92" customWidth="1"/>
    <col min="7" max="7" width="31.140625" style="92" customWidth="1"/>
    <col min="8" max="8" width="45.140625" style="92" customWidth="1"/>
    <col min="9" max="9" width="26.7109375" style="93" customWidth="1"/>
    <col min="10" max="10" width="28.7109375" style="92" customWidth="1"/>
    <col min="11" max="11" width="42.42578125" style="99" customWidth="1"/>
    <col min="12" max="22" width="25.85546875" style="91" customWidth="1"/>
    <col min="23" max="23" width="27" style="91" customWidth="1"/>
    <col min="24" max="24" width="33.5703125" style="91" customWidth="1"/>
    <col min="25" max="25" width="33.140625" style="91" customWidth="1"/>
    <col min="26" max="26" width="37.42578125" style="91" customWidth="1"/>
    <col min="27" max="27" width="33.140625" style="91" hidden="1" customWidth="1"/>
    <col min="28" max="28" width="32.42578125" style="91" customWidth="1"/>
    <col min="29" max="29" width="30.42578125" style="95" customWidth="1"/>
    <col min="30" max="30" width="26.85546875" style="155" customWidth="1"/>
    <col min="31" max="31" width="32.42578125" style="98" customWidth="1"/>
    <col min="32" max="32" width="34" style="98" customWidth="1"/>
    <col min="33" max="33" width="35.42578125" style="98" customWidth="1"/>
    <col min="34" max="34" width="34.5703125" style="91" customWidth="1"/>
    <col min="35" max="35" width="40.7109375" style="91" customWidth="1"/>
    <col min="36" max="36" width="38.28515625" style="91" customWidth="1"/>
    <col min="37" max="43" width="9.140625" style="91" customWidth="1"/>
    <col min="44" max="44" width="30.28515625" style="91" customWidth="1"/>
    <col min="45" max="100" width="9.140625" style="91" customWidth="1"/>
    <col min="101" max="16384" width="9.140625" style="91"/>
  </cols>
  <sheetData>
    <row r="1" spans="1:35" ht="23.25" customHeight="1" x14ac:dyDescent="0.5">
      <c r="B1" s="545" t="s">
        <v>29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B1" s="534" t="s">
        <v>81</v>
      </c>
      <c r="AC1" s="534"/>
    </row>
    <row r="2" spans="1:35" ht="67.5" customHeight="1" x14ac:dyDescent="0.7">
      <c r="A2" s="91">
        <v>77</v>
      </c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96"/>
      <c r="AB2" s="535">
        <f>+AF2/AE2</f>
        <v>0.84402420728960625</v>
      </c>
      <c r="AC2" s="535"/>
      <c r="AD2" s="250">
        <v>45</v>
      </c>
      <c r="AE2" s="183">
        <f>+SUBTOTAL(9,AE6:AE99)</f>
        <v>382942.5</v>
      </c>
      <c r="AF2" s="183">
        <f>+SUBTOTAL(9,AF6:AF99)</f>
        <v>323212.74000000005</v>
      </c>
    </row>
    <row r="3" spans="1:35" ht="64.5" customHeight="1" x14ac:dyDescent="0.7">
      <c r="B3" s="233"/>
      <c r="C3" s="233"/>
      <c r="D3" s="233"/>
      <c r="E3" s="231"/>
      <c r="F3" s="231"/>
      <c r="G3" s="231"/>
      <c r="H3" s="231"/>
      <c r="I3" s="231"/>
      <c r="J3" s="536" t="s">
        <v>97</v>
      </c>
      <c r="K3" s="536"/>
      <c r="L3" s="147" t="s">
        <v>82</v>
      </c>
      <c r="M3" s="147" t="s">
        <v>267</v>
      </c>
      <c r="N3" s="147" t="s">
        <v>268</v>
      </c>
      <c r="O3" s="147" t="s">
        <v>269</v>
      </c>
      <c r="P3" s="147" t="s">
        <v>270</v>
      </c>
      <c r="Q3" s="147" t="s">
        <v>271</v>
      </c>
      <c r="R3" s="147" t="s">
        <v>272</v>
      </c>
      <c r="S3" s="147" t="s">
        <v>273</v>
      </c>
      <c r="T3" s="147" t="s">
        <v>262</v>
      </c>
      <c r="V3" s="243"/>
      <c r="X3" s="147"/>
      <c r="Y3" s="233"/>
      <c r="Z3" s="233"/>
      <c r="AA3" s="96"/>
      <c r="AB3" s="535"/>
      <c r="AC3" s="535"/>
      <c r="AD3" s="250">
        <v>35</v>
      </c>
      <c r="AE3" s="183"/>
      <c r="AF3" s="183"/>
      <c r="AG3" s="98">
        <v>15</v>
      </c>
    </row>
    <row r="4" spans="1:35" s="141" customFormat="1" ht="79.5" customHeight="1" thickBot="1" x14ac:dyDescent="0.75">
      <c r="B4" s="537" t="s">
        <v>108</v>
      </c>
      <c r="C4" s="537"/>
      <c r="D4" s="537"/>
      <c r="E4" s="537"/>
      <c r="F4" s="537"/>
      <c r="G4" s="217"/>
      <c r="I4" s="142"/>
      <c r="J4" s="538" t="s">
        <v>113</v>
      </c>
      <c r="K4" s="538"/>
      <c r="L4" s="225" t="s">
        <v>82</v>
      </c>
      <c r="M4" s="225" t="s">
        <v>83</v>
      </c>
      <c r="N4" s="225" t="s">
        <v>84</v>
      </c>
      <c r="O4" s="225" t="s">
        <v>85</v>
      </c>
      <c r="P4" s="225" t="s">
        <v>86</v>
      </c>
      <c r="Q4" s="225" t="s">
        <v>87</v>
      </c>
      <c r="R4" s="225" t="s">
        <v>88</v>
      </c>
      <c r="S4" s="225" t="s">
        <v>105</v>
      </c>
      <c r="T4" s="225" t="s">
        <v>106</v>
      </c>
      <c r="U4" s="546" t="s">
        <v>313</v>
      </c>
      <c r="V4" s="546"/>
      <c r="W4" s="546"/>
      <c r="X4" s="546"/>
      <c r="Y4" s="170">
        <f>+X83</f>
        <v>4927</v>
      </c>
      <c r="Z4" s="144" t="s">
        <v>28</v>
      </c>
      <c r="AA4" s="145"/>
      <c r="AB4" s="539">
        <v>44786</v>
      </c>
      <c r="AC4" s="539"/>
      <c r="AD4" s="171">
        <f>+SUM(AD6:AD87)</f>
        <v>6338.5</v>
      </c>
      <c r="AE4" s="171">
        <f>+SUM(AE6:AE87)</f>
        <v>382942.5</v>
      </c>
      <c r="AF4" s="171">
        <f>+SUM(AF6:AF87)</f>
        <v>323212.74000000005</v>
      </c>
      <c r="AG4" s="171">
        <f>+SUM(AG6:AG87)</f>
        <v>6213.625</v>
      </c>
    </row>
    <row r="5" spans="1:35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542" t="s">
        <v>95</v>
      </c>
      <c r="J5" s="543"/>
      <c r="K5" s="151"/>
      <c r="L5" s="152" t="s">
        <v>89</v>
      </c>
      <c r="M5" s="150">
        <v>2</v>
      </c>
      <c r="N5" s="150">
        <v>3</v>
      </c>
      <c r="O5" s="150">
        <v>4</v>
      </c>
      <c r="P5" s="150">
        <v>5</v>
      </c>
      <c r="Q5" s="248">
        <v>6</v>
      </c>
      <c r="R5" s="249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/>
      <c r="AD5" s="156"/>
    </row>
    <row r="6" spans="1:35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>
        <v>50</v>
      </c>
      <c r="M6" s="215">
        <v>50</v>
      </c>
      <c r="N6" s="215">
        <v>50</v>
      </c>
      <c r="O6" s="215"/>
      <c r="P6" s="215"/>
      <c r="Q6" s="215"/>
      <c r="R6" s="215"/>
      <c r="S6" s="215"/>
      <c r="T6" s="215"/>
      <c r="U6" s="215"/>
      <c r="W6" s="135"/>
      <c r="X6" s="540">
        <f>+W8</f>
        <v>-2.3333333333333357</v>
      </c>
      <c r="Y6" s="135">
        <f>+SUM(L6:V6)</f>
        <v>150</v>
      </c>
      <c r="Z6" s="136">
        <f>+AA6+Y6</f>
        <v>2450</v>
      </c>
      <c r="AA6" s="136">
        <v>2300</v>
      </c>
      <c r="AB6" s="109"/>
      <c r="AC6" s="110"/>
      <c r="AD6" s="157"/>
      <c r="AE6" s="167"/>
      <c r="AF6" s="167"/>
      <c r="AG6" s="167"/>
      <c r="AH6" s="124"/>
      <c r="AI6" s="91"/>
    </row>
    <row r="7" spans="1:35" s="98" customFormat="1" ht="62.25" customHeight="1" x14ac:dyDescent="0.9">
      <c r="A7" s="124"/>
      <c r="B7" s="132">
        <v>1</v>
      </c>
      <c r="C7" s="111" t="s">
        <v>290</v>
      </c>
      <c r="D7" s="111"/>
      <c r="E7" s="111" t="s">
        <v>274</v>
      </c>
      <c r="F7" s="111" t="s">
        <v>288</v>
      </c>
      <c r="G7" s="111">
        <v>3000</v>
      </c>
      <c r="H7" s="111"/>
      <c r="I7" s="113">
        <v>75.47</v>
      </c>
      <c r="J7" s="130">
        <v>37</v>
      </c>
      <c r="K7" s="101" t="s">
        <v>17</v>
      </c>
      <c r="L7" s="214">
        <v>37</v>
      </c>
      <c r="M7" s="214">
        <v>37</v>
      </c>
      <c r="N7" s="214">
        <v>37</v>
      </c>
      <c r="O7" s="214">
        <v>37</v>
      </c>
      <c r="P7" s="214">
        <v>37</v>
      </c>
      <c r="Q7" s="214">
        <v>37</v>
      </c>
      <c r="R7" s="214">
        <v>19</v>
      </c>
      <c r="S7" s="214">
        <v>19</v>
      </c>
      <c r="T7" s="214"/>
      <c r="U7" s="214"/>
      <c r="V7" s="214"/>
      <c r="W7" s="123">
        <f>+IF(COUNTA(L7:V7)=8,Y7/(COUNTA(L7:V7)-0.5),IF(COUNTA(L7:V7)=0,0,Y7/COUNTA(L7:V7)))</f>
        <v>34.666666666666664</v>
      </c>
      <c r="X7" s="541"/>
      <c r="Y7" s="134">
        <f>+SUM(L7:V7)</f>
        <v>260</v>
      </c>
      <c r="Z7" s="137">
        <f>+Y7+AA7</f>
        <v>2000</v>
      </c>
      <c r="AA7" s="137">
        <v>1740</v>
      </c>
      <c r="AB7" s="140">
        <f>+Z6-Z7</f>
        <v>450</v>
      </c>
      <c r="AC7" s="131">
        <f>+IF(((Y8+(Y9/2))*60)=0,"",(I7*Y7)/((Y8+(Y9/2))*60))</f>
        <v>0.74538271604938278</v>
      </c>
      <c r="AD7" s="157"/>
      <c r="AE7" s="167"/>
      <c r="AF7" s="167">
        <f>+Y7*I7</f>
        <v>19622.2</v>
      </c>
      <c r="AG7" s="167"/>
      <c r="AH7" s="124"/>
      <c r="AI7" s="91"/>
    </row>
    <row r="8" spans="1:35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238"/>
      <c r="H8" s="210"/>
      <c r="I8" s="210">
        <v>2</v>
      </c>
      <c r="J8" s="114" t="s">
        <v>22</v>
      </c>
      <c r="K8" s="102" t="s">
        <v>18</v>
      </c>
      <c r="L8" s="215">
        <v>58</v>
      </c>
      <c r="M8" s="215">
        <v>58</v>
      </c>
      <c r="N8" s="215">
        <v>58</v>
      </c>
      <c r="O8" s="215">
        <v>58</v>
      </c>
      <c r="P8" s="215">
        <v>58</v>
      </c>
      <c r="Q8" s="215">
        <v>58</v>
      </c>
      <c r="R8" s="215">
        <v>58</v>
      </c>
      <c r="S8" s="215">
        <v>58</v>
      </c>
      <c r="T8" s="215"/>
      <c r="U8" s="244"/>
      <c r="V8" s="215"/>
      <c r="W8" s="160">
        <f>+W7-J7</f>
        <v>-2.3333333333333357</v>
      </c>
      <c r="X8" s="541"/>
      <c r="Y8" s="103">
        <f>+SUM(L8:V8)-S8/2</f>
        <v>435</v>
      </c>
      <c r="Z8" s="103"/>
      <c r="AA8" s="103"/>
      <c r="AB8" s="115"/>
      <c r="AC8" s="116"/>
      <c r="AD8" s="157">
        <f>-(R8+(R9/2))*$AD$2/60</f>
        <v>-43.875</v>
      </c>
      <c r="AE8" s="167"/>
      <c r="AF8" s="167"/>
      <c r="AG8" s="167"/>
      <c r="AH8" s="124"/>
      <c r="AI8" s="91"/>
    </row>
    <row r="9" spans="1:35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94</v>
      </c>
      <c r="G9" s="218"/>
      <c r="H9" s="159" t="s">
        <v>289</v>
      </c>
      <c r="I9" s="165">
        <f>+IF(J9="","",IF(J7=0,"",(J7*I7)/(J9*60)))</f>
        <v>0.83106845238095239</v>
      </c>
      <c r="J9" s="118">
        <v>56</v>
      </c>
      <c r="K9" s="104" t="s">
        <v>19</v>
      </c>
      <c r="L9" s="216">
        <v>1</v>
      </c>
      <c r="M9" s="216">
        <v>1</v>
      </c>
      <c r="N9" s="216">
        <v>1</v>
      </c>
      <c r="O9" s="216">
        <v>1</v>
      </c>
      <c r="P9" s="216">
        <v>1</v>
      </c>
      <c r="Q9" s="216">
        <v>1</v>
      </c>
      <c r="R9" s="216">
        <v>1</v>
      </c>
      <c r="S9" s="216">
        <v>1</v>
      </c>
      <c r="T9" s="216"/>
      <c r="U9" s="245"/>
      <c r="V9" s="216"/>
      <c r="W9" s="173"/>
      <c r="X9" s="169">
        <v>17.190000000000001</v>
      </c>
      <c r="Y9" s="105">
        <f>+SUM(L9:V9)-S9/2</f>
        <v>7.5</v>
      </c>
      <c r="Z9" s="105"/>
      <c r="AA9" s="105"/>
      <c r="AB9" s="119">
        <f>+IFERROR(AB7/(J7*9),"")</f>
        <v>1.3513513513513513</v>
      </c>
      <c r="AC9" s="120"/>
      <c r="AD9" s="161">
        <f>+Y8+Y9/2</f>
        <v>438.75</v>
      </c>
      <c r="AE9" s="167">
        <f>+AD9*60</f>
        <v>26325</v>
      </c>
      <c r="AF9" s="167"/>
      <c r="AG9" s="230">
        <f>+AD8+AD9</f>
        <v>394.875</v>
      </c>
      <c r="AH9" s="124"/>
      <c r="AI9" s="91"/>
    </row>
    <row r="10" spans="1:35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5">
        <v>80</v>
      </c>
      <c r="M10" s="215">
        <v>80</v>
      </c>
      <c r="N10" s="215">
        <v>80</v>
      </c>
      <c r="O10" s="215"/>
      <c r="P10" s="215">
        <v>40</v>
      </c>
      <c r="Q10" s="215"/>
      <c r="R10" s="215">
        <v>40</v>
      </c>
      <c r="S10" s="215"/>
      <c r="T10" s="215"/>
      <c r="U10" s="213"/>
      <c r="V10" s="213"/>
      <c r="W10" s="135"/>
      <c r="X10" s="540">
        <f>+W12</f>
        <v>-3.8666666666666671</v>
      </c>
      <c r="Y10" s="135">
        <f>+SUM(L10:V10)</f>
        <v>320</v>
      </c>
      <c r="Z10" s="136">
        <f>+AA10+Y10</f>
        <v>3040</v>
      </c>
      <c r="AA10" s="136">
        <v>2720</v>
      </c>
      <c r="AB10" s="109"/>
      <c r="AC10" s="110"/>
      <c r="AD10" s="157"/>
      <c r="AE10" s="167">
        <f t="shared" ref="AE10:AE73" si="0">+AD10*60</f>
        <v>0</v>
      </c>
      <c r="AF10" s="167"/>
      <c r="AG10" s="167"/>
      <c r="AH10" s="124"/>
      <c r="AI10" s="91"/>
    </row>
    <row r="11" spans="1:35" s="98" customFormat="1" ht="62.25" customHeight="1" x14ac:dyDescent="0.9">
      <c r="A11" s="124"/>
      <c r="B11" s="132">
        <v>2</v>
      </c>
      <c r="C11" s="111" t="s">
        <v>298</v>
      </c>
      <c r="D11" s="111"/>
      <c r="E11" s="111" t="s">
        <v>35</v>
      </c>
      <c r="F11" s="111" t="s">
        <v>299</v>
      </c>
      <c r="G11" s="111">
        <v>8731</v>
      </c>
      <c r="H11" s="111" t="s">
        <v>300</v>
      </c>
      <c r="I11" s="113">
        <v>54.97</v>
      </c>
      <c r="J11" s="130">
        <v>50</v>
      </c>
      <c r="K11" s="101" t="s">
        <v>17</v>
      </c>
      <c r="L11" s="214">
        <v>40</v>
      </c>
      <c r="M11" s="214">
        <v>50</v>
      </c>
      <c r="N11" s="214">
        <v>50</v>
      </c>
      <c r="O11" s="214">
        <v>45</v>
      </c>
      <c r="P11" s="214">
        <v>50</v>
      </c>
      <c r="Q11" s="214">
        <v>50</v>
      </c>
      <c r="R11" s="214">
        <v>36</v>
      </c>
      <c r="S11" s="214">
        <v>25</v>
      </c>
      <c r="T11" s="214"/>
      <c r="U11" s="214"/>
      <c r="V11" s="214"/>
      <c r="W11" s="123">
        <f>+IF(COUNTA(L11:V11)=8,Y11/(COUNTA(L11:V11)-0.5),IF(COUNTA(L11:V11)=0,0,Y11/COUNTA(L11:V11)))</f>
        <v>46.133333333333333</v>
      </c>
      <c r="X11" s="541"/>
      <c r="Y11" s="134">
        <f>+SUM(L11:V11)</f>
        <v>346</v>
      </c>
      <c r="Z11" s="137">
        <f>+Y11+AA11</f>
        <v>2468</v>
      </c>
      <c r="AA11" s="137">
        <v>2122</v>
      </c>
      <c r="AB11" s="140">
        <f>+Z10-Z11</f>
        <v>572</v>
      </c>
      <c r="AC11" s="131">
        <f>+IF(((Y12+(Y13/2))*60)=0,"",(I11*Y11)/((Y12+(Y13/2))*60))</f>
        <v>0.82874161220043574</v>
      </c>
      <c r="AD11" s="157"/>
      <c r="AE11" s="167">
        <f t="shared" si="0"/>
        <v>0</v>
      </c>
      <c r="AF11" s="167">
        <f>+Y11*I11</f>
        <v>19019.62</v>
      </c>
      <c r="AG11" s="167"/>
      <c r="AH11" s="124"/>
      <c r="AI11" s="91"/>
    </row>
    <row r="12" spans="1:35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238"/>
      <c r="H12" s="210"/>
      <c r="I12" s="113">
        <v>2</v>
      </c>
      <c r="J12" s="114" t="s">
        <v>22</v>
      </c>
      <c r="K12" s="102" t="s">
        <v>18</v>
      </c>
      <c r="L12" s="215">
        <v>50</v>
      </c>
      <c r="M12" s="215">
        <v>50</v>
      </c>
      <c r="N12" s="215">
        <v>50</v>
      </c>
      <c r="O12" s="215">
        <v>50</v>
      </c>
      <c r="P12" s="215">
        <v>50</v>
      </c>
      <c r="Q12" s="215">
        <v>50</v>
      </c>
      <c r="R12" s="215">
        <v>50</v>
      </c>
      <c r="S12" s="215">
        <v>50</v>
      </c>
      <c r="T12" s="215"/>
      <c r="U12" s="244"/>
      <c r="V12" s="215"/>
      <c r="W12" s="160">
        <f>+W11-J11</f>
        <v>-3.8666666666666671</v>
      </c>
      <c r="X12" s="541"/>
      <c r="Y12" s="103">
        <f>+SUM(L12:V12)-S12/2</f>
        <v>375</v>
      </c>
      <c r="Z12" s="138"/>
      <c r="AA12" s="138"/>
      <c r="AB12" s="115"/>
      <c r="AC12" s="116"/>
      <c r="AD12" s="157">
        <f>-(R12+(R13/2))*$AD$2/60</f>
        <v>-38.25</v>
      </c>
      <c r="AE12" s="167">
        <f t="shared" si="0"/>
        <v>-2295</v>
      </c>
      <c r="AF12" s="167"/>
      <c r="AG12" s="167"/>
      <c r="AH12" s="124"/>
      <c r="AI12" s="91"/>
    </row>
    <row r="13" spans="1:35" s="98" customFormat="1" ht="62.25" customHeight="1" thickBot="1" x14ac:dyDescent="0.95">
      <c r="A13" s="124"/>
      <c r="B13" s="129">
        <f>+B11</f>
        <v>2</v>
      </c>
      <c r="C13" s="174" t="s">
        <v>275</v>
      </c>
      <c r="D13" s="175">
        <f>+D12+100</f>
        <v>102</v>
      </c>
      <c r="E13" s="175"/>
      <c r="F13" s="117" t="s">
        <v>111</v>
      </c>
      <c r="G13" s="218"/>
      <c r="H13" s="146"/>
      <c r="I13" s="165">
        <f>+IF(J13="","",IF(J11=0,"",(J11*I11)/(J13*60)))</f>
        <v>0.88092948717948716</v>
      </c>
      <c r="J13" s="118">
        <v>52</v>
      </c>
      <c r="K13" s="104" t="s">
        <v>19</v>
      </c>
      <c r="L13" s="216">
        <v>2</v>
      </c>
      <c r="M13" s="216">
        <v>2</v>
      </c>
      <c r="N13" s="216">
        <v>2</v>
      </c>
      <c r="O13" s="216">
        <v>2</v>
      </c>
      <c r="P13" s="216">
        <v>2</v>
      </c>
      <c r="Q13" s="216">
        <v>2</v>
      </c>
      <c r="R13" s="216">
        <v>2</v>
      </c>
      <c r="S13" s="216">
        <v>2</v>
      </c>
      <c r="T13" s="216"/>
      <c r="U13" s="245"/>
      <c r="V13" s="216"/>
      <c r="W13" s="173"/>
      <c r="X13" s="168">
        <f>15.24+(COUNTA(L11:V11)-(Y11/J11))</f>
        <v>16.32</v>
      </c>
      <c r="Y13" s="105">
        <f>+SUM(L13:V13)-S13/2</f>
        <v>15</v>
      </c>
      <c r="Z13" s="139"/>
      <c r="AA13" s="139"/>
      <c r="AB13" s="119">
        <f>+IFERROR(AB11/(J11*9),"")</f>
        <v>1.2711111111111111</v>
      </c>
      <c r="AC13" s="162"/>
      <c r="AD13" s="161">
        <f>+Y12+Y13/2</f>
        <v>382.5</v>
      </c>
      <c r="AE13" s="167">
        <f t="shared" si="0"/>
        <v>22950</v>
      </c>
      <c r="AF13" s="167"/>
      <c r="AG13" s="230">
        <f>+AD12+AD13</f>
        <v>344.25</v>
      </c>
      <c r="AH13" s="124"/>
      <c r="AI13" s="91"/>
    </row>
    <row r="14" spans="1:35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3">
        <v>100</v>
      </c>
      <c r="M14" s="213">
        <v>50</v>
      </c>
      <c r="N14" s="213">
        <v>50</v>
      </c>
      <c r="O14" s="213"/>
      <c r="P14" s="213">
        <v>50</v>
      </c>
      <c r="Q14" s="213">
        <v>50</v>
      </c>
      <c r="R14" s="213"/>
      <c r="S14" s="213"/>
      <c r="T14" s="213"/>
      <c r="U14" s="213"/>
      <c r="V14" s="213"/>
      <c r="W14" s="135"/>
      <c r="X14" s="540">
        <f>+W16</f>
        <v>-0.93333333333333002</v>
      </c>
      <c r="Y14" s="135">
        <f>+SUM(L14:V14)</f>
        <v>300</v>
      </c>
      <c r="Z14" s="136">
        <f>+AA14+Y14</f>
        <v>2350</v>
      </c>
      <c r="AA14" s="136">
        <v>2050</v>
      </c>
      <c r="AB14" s="109"/>
      <c r="AC14" s="110"/>
      <c r="AD14" s="157"/>
      <c r="AE14" s="167">
        <f t="shared" si="0"/>
        <v>0</v>
      </c>
      <c r="AF14" s="167"/>
      <c r="AG14" s="167"/>
      <c r="AH14" s="246" t="s">
        <v>276</v>
      </c>
      <c r="AI14" s="246" t="s">
        <v>287</v>
      </c>
    </row>
    <row r="15" spans="1:35" s="98" customFormat="1" ht="62.25" customHeight="1" x14ac:dyDescent="0.9">
      <c r="A15" s="124"/>
      <c r="B15" s="132">
        <v>3</v>
      </c>
      <c r="C15" s="111" t="s">
        <v>302</v>
      </c>
      <c r="D15" s="111"/>
      <c r="E15" s="111" t="s">
        <v>35</v>
      </c>
      <c r="F15" s="111" t="s">
        <v>277</v>
      </c>
      <c r="G15" s="111">
        <v>3550</v>
      </c>
      <c r="H15" s="111" t="s">
        <v>33</v>
      </c>
      <c r="I15" s="113">
        <v>70.680000000000007</v>
      </c>
      <c r="J15" s="130">
        <v>44</v>
      </c>
      <c r="K15" s="101" t="s">
        <v>17</v>
      </c>
      <c r="L15" s="214">
        <v>50</v>
      </c>
      <c r="M15" s="214">
        <v>50</v>
      </c>
      <c r="N15" s="214">
        <v>50</v>
      </c>
      <c r="O15" s="214">
        <v>45</v>
      </c>
      <c r="P15" s="214">
        <v>50</v>
      </c>
      <c r="Q15" s="214">
        <v>38</v>
      </c>
      <c r="R15" s="214">
        <v>20</v>
      </c>
      <c r="S15" s="214">
        <v>20</v>
      </c>
      <c r="T15" s="214"/>
      <c r="U15" s="214"/>
      <c r="V15" s="214"/>
      <c r="W15" s="123">
        <f>+IF(COUNTA(L15:V15)=8,Y15/(COUNTA(L15:V15)-0.5),IF(COUNTA(L15:V15)=0,0,Y15/COUNTA(L15:V15)))</f>
        <v>43.06666666666667</v>
      </c>
      <c r="X15" s="541"/>
      <c r="Y15" s="134">
        <f>+SUM(L15:V15)</f>
        <v>323</v>
      </c>
      <c r="Z15" s="137">
        <f>+Y15+AA15</f>
        <v>1698</v>
      </c>
      <c r="AA15" s="137">
        <v>1375</v>
      </c>
      <c r="AB15" s="140">
        <f>+Z14-Z15</f>
        <v>652</v>
      </c>
      <c r="AC15" s="131">
        <f>+IF(((Y16+(Y17/2))*60)=0,"",(I15*Y15)/((Y16+(Y17/2))*60))</f>
        <v>0.85264761904761921</v>
      </c>
      <c r="AD15" s="157"/>
      <c r="AE15" s="167">
        <f t="shared" si="0"/>
        <v>0</v>
      </c>
      <c r="AF15" s="167">
        <f>+Y15*I15</f>
        <v>22829.640000000003</v>
      </c>
      <c r="AG15" s="167"/>
      <c r="AH15" s="246">
        <v>1980</v>
      </c>
      <c r="AI15" s="246">
        <v>9732</v>
      </c>
    </row>
    <row r="16" spans="1:35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238" t="s">
        <v>263</v>
      </c>
      <c r="H16" s="210"/>
      <c r="I16" s="113">
        <v>2</v>
      </c>
      <c r="J16" s="114" t="s">
        <v>22</v>
      </c>
      <c r="K16" s="102" t="s">
        <v>18</v>
      </c>
      <c r="L16" s="215">
        <v>57</v>
      </c>
      <c r="M16" s="215">
        <v>57</v>
      </c>
      <c r="N16" s="215">
        <v>57</v>
      </c>
      <c r="O16" s="215">
        <v>57</v>
      </c>
      <c r="P16" s="215">
        <v>57</v>
      </c>
      <c r="Q16" s="215">
        <v>57</v>
      </c>
      <c r="R16" s="215">
        <v>57</v>
      </c>
      <c r="S16" s="215">
        <v>57</v>
      </c>
      <c r="T16" s="215"/>
      <c r="U16" s="244"/>
      <c r="V16" s="215"/>
      <c r="W16" s="160">
        <f>+W15-J15</f>
        <v>-0.93333333333333002</v>
      </c>
      <c r="X16" s="541"/>
      <c r="Y16" s="103">
        <f>+SUM(L16:V16)-S16/2</f>
        <v>427.5</v>
      </c>
      <c r="Z16" s="138"/>
      <c r="AA16" s="138"/>
      <c r="AB16" s="115"/>
      <c r="AC16" s="116"/>
      <c r="AD16" s="157">
        <f>-(R16+(R17/2))*$AD$2/60</f>
        <v>-44.625</v>
      </c>
      <c r="AE16" s="167">
        <f t="shared" si="0"/>
        <v>-2677.5</v>
      </c>
      <c r="AF16" s="167"/>
      <c r="AG16" s="167"/>
      <c r="AH16" s="124"/>
      <c r="AI16" s="91"/>
    </row>
    <row r="17" spans="1:56" s="98" customFormat="1" ht="62.25" customHeight="1" thickBot="1" x14ac:dyDescent="0.95">
      <c r="A17" s="124"/>
      <c r="B17" s="126">
        <f>+B15</f>
        <v>3</v>
      </c>
      <c r="C17" s="174" t="s">
        <v>236</v>
      </c>
      <c r="D17" s="175">
        <f>+D16+100</f>
        <v>103</v>
      </c>
      <c r="E17" s="175"/>
      <c r="F17" s="117" t="s">
        <v>94</v>
      </c>
      <c r="G17" s="117"/>
      <c r="H17" s="159" t="s">
        <v>285</v>
      </c>
      <c r="I17" s="165">
        <f>+IF(J17="","",IF(J15=0,"",(J15*I15)/(J17*60)))</f>
        <v>0.87850847457627124</v>
      </c>
      <c r="J17" s="118">
        <v>59</v>
      </c>
      <c r="K17" s="104" t="s">
        <v>19</v>
      </c>
      <c r="L17" s="216">
        <v>5</v>
      </c>
      <c r="M17" s="216">
        <v>5</v>
      </c>
      <c r="N17" s="216">
        <v>5</v>
      </c>
      <c r="O17" s="216">
        <v>5</v>
      </c>
      <c r="P17" s="216">
        <v>5</v>
      </c>
      <c r="Q17" s="216">
        <v>5</v>
      </c>
      <c r="R17" s="216">
        <v>5</v>
      </c>
      <c r="S17" s="216">
        <v>5</v>
      </c>
      <c r="T17" s="216"/>
      <c r="U17" s="245"/>
      <c r="V17" s="216"/>
      <c r="W17" s="173"/>
      <c r="X17" s="169">
        <v>17</v>
      </c>
      <c r="Y17" s="105">
        <f>+SUM(L17:V17)-S17/2</f>
        <v>37.5</v>
      </c>
      <c r="Z17" s="139"/>
      <c r="AA17" s="139"/>
      <c r="AB17" s="119">
        <f>+IFERROR(AB15/(J15*9),"")</f>
        <v>1.6464646464646464</v>
      </c>
      <c r="AC17" s="120"/>
      <c r="AD17" s="161">
        <f>+Y16+Y17/2</f>
        <v>446.25</v>
      </c>
      <c r="AE17" s="167">
        <f t="shared" si="0"/>
        <v>26775</v>
      </c>
      <c r="AF17" s="167"/>
      <c r="AG17" s="230">
        <f>+AD16+AD17</f>
        <v>401.625</v>
      </c>
      <c r="AH17" s="124"/>
      <c r="AI17" s="91"/>
    </row>
    <row r="18" spans="1:56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>
        <v>100</v>
      </c>
      <c r="M18" s="215">
        <v>100</v>
      </c>
      <c r="N18" s="215">
        <v>100</v>
      </c>
      <c r="O18" s="215"/>
      <c r="P18" s="215"/>
      <c r="Q18" s="215"/>
      <c r="R18" s="215"/>
      <c r="S18" s="215"/>
      <c r="T18" s="215"/>
      <c r="U18" s="213"/>
      <c r="V18" s="213"/>
      <c r="W18" s="135"/>
      <c r="X18" s="540">
        <f>+W20</f>
        <v>1</v>
      </c>
      <c r="Y18" s="135">
        <f>+SUM(L18:V18)</f>
        <v>300</v>
      </c>
      <c r="Z18" s="136">
        <f>+AA18+Y18</f>
        <v>4201</v>
      </c>
      <c r="AA18" s="136">
        <v>3901</v>
      </c>
      <c r="AB18" s="109"/>
      <c r="AC18" s="110"/>
      <c r="AD18" s="157"/>
      <c r="AE18" s="167">
        <f t="shared" si="0"/>
        <v>0</v>
      </c>
      <c r="AF18" s="167"/>
      <c r="AG18" s="167"/>
      <c r="AH18" s="124"/>
      <c r="AI18" s="91"/>
    </row>
    <row r="19" spans="1:56" s="98" customFormat="1" ht="62.25" customHeight="1" x14ac:dyDescent="0.9">
      <c r="A19" s="124"/>
      <c r="B19" s="132">
        <v>4</v>
      </c>
      <c r="C19" s="111" t="s">
        <v>292</v>
      </c>
      <c r="D19" s="111"/>
      <c r="E19" s="111" t="s">
        <v>35</v>
      </c>
      <c r="F19" s="111" t="s">
        <v>293</v>
      </c>
      <c r="G19" s="111">
        <v>11466</v>
      </c>
      <c r="H19" s="111" t="s">
        <v>33</v>
      </c>
      <c r="I19" s="113">
        <v>61.52</v>
      </c>
      <c r="J19" s="130">
        <v>45</v>
      </c>
      <c r="K19" s="101" t="s">
        <v>17</v>
      </c>
      <c r="L19" s="214">
        <v>45</v>
      </c>
      <c r="M19" s="214">
        <v>45</v>
      </c>
      <c r="N19" s="214">
        <v>50</v>
      </c>
      <c r="O19" s="214">
        <v>50</v>
      </c>
      <c r="P19" s="214">
        <v>50</v>
      </c>
      <c r="Q19" s="214">
        <v>50</v>
      </c>
      <c r="R19" s="214">
        <v>30</v>
      </c>
      <c r="S19" s="214">
        <v>25</v>
      </c>
      <c r="T19" s="214"/>
      <c r="U19" s="214"/>
      <c r="V19" s="214"/>
      <c r="W19" s="123">
        <f>+IF(COUNTA(L19:V19)=8,Y19/(COUNTA(L19:V19)-0.5),IF(COUNTA(L19:V19)=0,0,Y19/COUNTA(L19:V19)))</f>
        <v>46</v>
      </c>
      <c r="X19" s="541"/>
      <c r="Y19" s="134">
        <f>+SUM(L19:V19)</f>
        <v>345</v>
      </c>
      <c r="Z19" s="137">
        <f>+Y19+AA19</f>
        <v>3382</v>
      </c>
      <c r="AA19" s="137">
        <v>3037</v>
      </c>
      <c r="AB19" s="140">
        <f>+Z18-Z19</f>
        <v>819</v>
      </c>
      <c r="AC19" s="131">
        <f>+IF(((Y20+(Y21/2))*60)=0,"",(I19*Y19)/((Y20+(Y21/2))*60))</f>
        <v>0.82746198830409368</v>
      </c>
      <c r="AD19" s="157"/>
      <c r="AE19" s="167">
        <f t="shared" si="0"/>
        <v>0</v>
      </c>
      <c r="AF19" s="167">
        <f>+Y19*I19</f>
        <v>21224.400000000001</v>
      </c>
      <c r="AG19" s="167"/>
      <c r="AH19" s="124"/>
      <c r="AI19" s="91"/>
    </row>
    <row r="20" spans="1:56" s="98" customFormat="1" ht="62.25" customHeight="1" x14ac:dyDescent="0.9">
      <c r="A20" s="124"/>
      <c r="B20" s="125">
        <f>+B19</f>
        <v>4</v>
      </c>
      <c r="C20" s="184"/>
      <c r="D20" s="111">
        <f>+B19</f>
        <v>4</v>
      </c>
      <c r="E20" s="111"/>
      <c r="F20" s="112" t="e">
        <f>+VLOOKUP(F19,'Obj Prix'!$H:$H,2,FALSE)</f>
        <v>#N/A</v>
      </c>
      <c r="G20" s="238" t="s">
        <v>263</v>
      </c>
      <c r="H20" s="210"/>
      <c r="I20" s="113">
        <v>1</v>
      </c>
      <c r="J20" s="114" t="s">
        <v>22</v>
      </c>
      <c r="K20" s="102" t="s">
        <v>18</v>
      </c>
      <c r="L20" s="215">
        <v>56</v>
      </c>
      <c r="M20" s="215">
        <v>56</v>
      </c>
      <c r="N20" s="215">
        <v>56</v>
      </c>
      <c r="O20" s="215">
        <v>56</v>
      </c>
      <c r="P20" s="215">
        <v>56</v>
      </c>
      <c r="Q20" s="215">
        <v>56</v>
      </c>
      <c r="R20" s="215">
        <v>56</v>
      </c>
      <c r="S20" s="215">
        <v>56</v>
      </c>
      <c r="T20" s="215"/>
      <c r="U20" s="244"/>
      <c r="V20" s="215"/>
      <c r="W20" s="160">
        <f>+W19-J19</f>
        <v>1</v>
      </c>
      <c r="X20" s="541"/>
      <c r="Y20" s="103">
        <f>+SUM(L20:V20)-S20/2</f>
        <v>420</v>
      </c>
      <c r="Z20" s="138"/>
      <c r="AA20" s="138"/>
      <c r="AB20" s="115"/>
      <c r="AC20" s="116"/>
      <c r="AD20" s="157">
        <f>-(R20+(R21/2))*$AD$2/60</f>
        <v>-42.75</v>
      </c>
      <c r="AE20" s="167">
        <f>+AD20*60</f>
        <v>-2565</v>
      </c>
      <c r="AF20" s="167"/>
      <c r="AG20" s="167"/>
      <c r="AH20" s="124"/>
      <c r="AI20" s="91"/>
    </row>
    <row r="21" spans="1:56" s="98" customFormat="1" ht="62.25" customHeight="1" thickBot="1" x14ac:dyDescent="0.95">
      <c r="A21" s="124"/>
      <c r="B21" s="126">
        <f>+B19</f>
        <v>4</v>
      </c>
      <c r="C21" s="174" t="s">
        <v>96</v>
      </c>
      <c r="D21" s="175">
        <f>+D20+100</f>
        <v>104</v>
      </c>
      <c r="E21" s="175"/>
      <c r="F21" s="117" t="s">
        <v>94</v>
      </c>
      <c r="G21" s="117"/>
      <c r="H21" s="159" t="s">
        <v>301</v>
      </c>
      <c r="I21" s="165">
        <f>+IF(J21="","",IF(J19=0,"",(J19*I19)/(J21*60)))</f>
        <v>0.85444444444444445</v>
      </c>
      <c r="J21" s="118">
        <v>54</v>
      </c>
      <c r="K21" s="104" t="s">
        <v>19</v>
      </c>
      <c r="L21" s="216">
        <v>2</v>
      </c>
      <c r="M21" s="216">
        <v>2</v>
      </c>
      <c r="N21" s="216">
        <v>2</v>
      </c>
      <c r="O21" s="216">
        <v>2</v>
      </c>
      <c r="P21" s="216">
        <v>2</v>
      </c>
      <c r="Q21" s="216">
        <v>2</v>
      </c>
      <c r="R21" s="216">
        <v>2</v>
      </c>
      <c r="S21" s="216">
        <v>2</v>
      </c>
      <c r="T21" s="216"/>
      <c r="U21" s="245"/>
      <c r="V21" s="216"/>
      <c r="W21" s="173"/>
      <c r="X21" s="169">
        <v>27.11</v>
      </c>
      <c r="Y21" s="105">
        <f>+SUM(L21:V21)-S21/2</f>
        <v>15</v>
      </c>
      <c r="Z21" s="139"/>
      <c r="AA21" s="139"/>
      <c r="AB21" s="119">
        <f>+IFERROR(AB19/(J19*9),"")</f>
        <v>2.0222222222222221</v>
      </c>
      <c r="AC21" s="120"/>
      <c r="AD21" s="161">
        <f>+Y20+Y21/2</f>
        <v>427.5</v>
      </c>
      <c r="AE21" s="167">
        <f t="shared" si="0"/>
        <v>25650</v>
      </c>
      <c r="AF21" s="167"/>
      <c r="AG21" s="230">
        <f>+AD20+AD21</f>
        <v>384.75</v>
      </c>
      <c r="AH21" s="124"/>
      <c r="AI21" s="91"/>
    </row>
    <row r="22" spans="1:56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5">
        <v>100</v>
      </c>
      <c r="M22" s="215">
        <v>100</v>
      </c>
      <c r="N22" s="215">
        <v>100</v>
      </c>
      <c r="O22" s="215"/>
      <c r="P22" s="215">
        <v>73</v>
      </c>
      <c r="Q22" s="215"/>
      <c r="R22" s="215"/>
      <c r="S22" s="215"/>
      <c r="T22" s="213"/>
      <c r="U22" s="213"/>
      <c r="V22" s="213"/>
      <c r="W22" s="135"/>
      <c r="X22" s="540">
        <f>+W24</f>
        <v>-3.4666666666666686</v>
      </c>
      <c r="Y22" s="135">
        <f>+SUM(L22:V22)</f>
        <v>373</v>
      </c>
      <c r="Z22" s="136">
        <f>+AA22+Y22</f>
        <v>2171</v>
      </c>
      <c r="AA22" s="136">
        <v>1798</v>
      </c>
      <c r="AB22" s="121"/>
      <c r="AC22" s="110"/>
      <c r="AD22" s="157"/>
      <c r="AE22" s="167">
        <f t="shared" si="0"/>
        <v>0</v>
      </c>
      <c r="AF22" s="167"/>
      <c r="AG22" s="167"/>
      <c r="AH22" s="124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</row>
    <row r="23" spans="1:56" ht="62.25" customHeight="1" x14ac:dyDescent="0.9">
      <c r="A23" s="124"/>
      <c r="B23" s="132">
        <v>5</v>
      </c>
      <c r="C23" s="111" t="s">
        <v>304</v>
      </c>
      <c r="D23" s="111"/>
      <c r="E23" s="111" t="s">
        <v>35</v>
      </c>
      <c r="F23" s="111" t="s">
        <v>305</v>
      </c>
      <c r="G23" s="111">
        <v>5000</v>
      </c>
      <c r="H23" s="111" t="s">
        <v>33</v>
      </c>
      <c r="I23" s="113">
        <v>66.739999999999995</v>
      </c>
      <c r="J23" s="130">
        <v>50</v>
      </c>
      <c r="K23" s="101" t="s">
        <v>17</v>
      </c>
      <c r="L23" s="214">
        <v>50</v>
      </c>
      <c r="M23" s="214">
        <v>50</v>
      </c>
      <c r="N23" s="214">
        <v>50</v>
      </c>
      <c r="O23" s="214">
        <v>50</v>
      </c>
      <c r="P23" s="214">
        <v>50</v>
      </c>
      <c r="Q23" s="214">
        <v>40</v>
      </c>
      <c r="R23" s="214">
        <v>35</v>
      </c>
      <c r="S23" s="214">
        <v>24</v>
      </c>
      <c r="T23" s="214"/>
      <c r="U23" s="214"/>
      <c r="V23" s="214"/>
      <c r="W23" s="123">
        <f>+IF(COUNTA(L23:V23)=8,Y23/(COUNTA(L23:V23)-0.5),IF(COUNTA(L23:V23)=0,0,Y23/COUNTA(L23:V23)))</f>
        <v>46.533333333333331</v>
      </c>
      <c r="X23" s="541"/>
      <c r="Y23" s="134">
        <f>+SUM(L23:V23)</f>
        <v>349</v>
      </c>
      <c r="Z23" s="137">
        <f>+Y23+AA23</f>
        <v>1301</v>
      </c>
      <c r="AA23" s="137">
        <v>952</v>
      </c>
      <c r="AB23" s="140">
        <f>+Z22-Z23</f>
        <v>870</v>
      </c>
      <c r="AC23" s="131">
        <f>+IF(((Y24+(Y25/2))*60)=0,"",(I23*Y23)/((Y24+(Y25/2))*60))</f>
        <v>0.86267629629629627</v>
      </c>
      <c r="AD23" s="157"/>
      <c r="AE23" s="167">
        <f t="shared" si="0"/>
        <v>0</v>
      </c>
      <c r="AF23" s="167">
        <f>+Y23*I23</f>
        <v>23292.26</v>
      </c>
      <c r="AG23" s="167"/>
      <c r="AH23" s="124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</row>
    <row r="24" spans="1:56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238" t="s">
        <v>263</v>
      </c>
      <c r="H24" s="210"/>
      <c r="I24" s="210">
        <v>2</v>
      </c>
      <c r="J24" s="114" t="s">
        <v>22</v>
      </c>
      <c r="K24" s="102" t="s">
        <v>18</v>
      </c>
      <c r="L24" s="215">
        <v>59</v>
      </c>
      <c r="M24" s="215">
        <v>59</v>
      </c>
      <c r="N24" s="215">
        <v>59</v>
      </c>
      <c r="O24" s="215">
        <v>59</v>
      </c>
      <c r="P24" s="215">
        <v>59</v>
      </c>
      <c r="Q24" s="215">
        <v>59</v>
      </c>
      <c r="R24" s="215">
        <v>59</v>
      </c>
      <c r="S24" s="215">
        <v>59</v>
      </c>
      <c r="T24" s="215"/>
      <c r="U24" s="215"/>
      <c r="V24" s="215"/>
      <c r="W24" s="160">
        <f>+W23-J23</f>
        <v>-3.4666666666666686</v>
      </c>
      <c r="X24" s="541"/>
      <c r="Y24" s="103">
        <f>+SUM(L24:V24)-S24/2</f>
        <v>442.5</v>
      </c>
      <c r="Z24" s="138"/>
      <c r="AA24" s="138"/>
      <c r="AB24" s="122"/>
      <c r="AC24" s="116"/>
      <c r="AD24" s="157">
        <f>-(R24+(R25/2))*$AD$2/60</f>
        <v>-45</v>
      </c>
      <c r="AE24" s="167">
        <f t="shared" si="0"/>
        <v>-2700</v>
      </c>
      <c r="AF24" s="167"/>
      <c r="AG24" s="167"/>
      <c r="AH24" s="124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</row>
    <row r="25" spans="1:56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111</v>
      </c>
      <c r="G25" s="117"/>
      <c r="H25" s="159" t="s">
        <v>301</v>
      </c>
      <c r="I25" s="165">
        <f>+IF(J25="","",IF(J23=0,"",(J23*I23)/(J25*60)))</f>
        <v>0.94265536723163834</v>
      </c>
      <c r="J25" s="118">
        <v>59</v>
      </c>
      <c r="K25" s="104" t="s">
        <v>19</v>
      </c>
      <c r="L25" s="216">
        <v>2</v>
      </c>
      <c r="M25" s="216">
        <v>2</v>
      </c>
      <c r="N25" s="216">
        <v>2</v>
      </c>
      <c r="O25" s="216">
        <v>2</v>
      </c>
      <c r="P25" s="216">
        <v>2</v>
      </c>
      <c r="Q25" s="216">
        <v>2</v>
      </c>
      <c r="R25" s="216">
        <v>2</v>
      </c>
      <c r="S25" s="216">
        <v>2</v>
      </c>
      <c r="T25" s="216"/>
      <c r="U25" s="216"/>
      <c r="V25" s="216"/>
      <c r="W25" s="173"/>
      <c r="X25" s="168">
        <f>16.85+(COUNTA(L23:V23)-(Y23/J23))</f>
        <v>17.87</v>
      </c>
      <c r="Y25" s="105">
        <f>+SUM(L25:V25)-S25/2</f>
        <v>15</v>
      </c>
      <c r="Z25" s="139"/>
      <c r="AA25" s="139"/>
      <c r="AB25" s="119">
        <f>+IFERROR(AB23/(J23*9),"")</f>
        <v>1.9333333333333333</v>
      </c>
      <c r="AC25" s="120"/>
      <c r="AD25" s="161">
        <f>+Y24+Y25/2</f>
        <v>450</v>
      </c>
      <c r="AE25" s="167">
        <f t="shared" si="0"/>
        <v>27000</v>
      </c>
      <c r="AF25" s="167"/>
      <c r="AG25" s="230">
        <f>+AD24+AD25</f>
        <v>405</v>
      </c>
      <c r="AH25" s="124"/>
      <c r="AI25" s="91"/>
    </row>
    <row r="26" spans="1:56" ht="62.25" customHeight="1" thickTop="1" x14ac:dyDescent="0.9">
      <c r="A26" s="124"/>
      <c r="B26" s="127">
        <f>+B27</f>
        <v>6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3">
        <v>40</v>
      </c>
      <c r="M26" s="213">
        <v>40</v>
      </c>
      <c r="N26" s="213">
        <v>40</v>
      </c>
      <c r="O26" s="213">
        <v>40</v>
      </c>
      <c r="P26" s="213">
        <v>40</v>
      </c>
      <c r="Q26" s="213">
        <v>40</v>
      </c>
      <c r="R26" s="213">
        <v>40</v>
      </c>
      <c r="S26" s="213">
        <v>40</v>
      </c>
      <c r="T26" s="213"/>
      <c r="U26" s="213"/>
      <c r="V26" s="213"/>
      <c r="W26" s="135"/>
      <c r="X26" s="540">
        <f>+W28</f>
        <v>-19.600000000000001</v>
      </c>
      <c r="Y26" s="135">
        <f>+SUM(L26:V26)</f>
        <v>320</v>
      </c>
      <c r="Z26" s="136">
        <f>+AA26+Y26</f>
        <v>2400</v>
      </c>
      <c r="AA26" s="136">
        <v>2080</v>
      </c>
      <c r="AB26" s="121"/>
      <c r="AC26" s="110"/>
      <c r="AD26" s="157"/>
      <c r="AE26" s="167">
        <f t="shared" si="0"/>
        <v>0</v>
      </c>
      <c r="AF26" s="167"/>
      <c r="AG26" s="167"/>
      <c r="AH26" s="124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</row>
    <row r="27" spans="1:56" ht="62.25" customHeight="1" x14ac:dyDescent="0.9">
      <c r="A27" s="124"/>
      <c r="B27" s="132">
        <v>6</v>
      </c>
      <c r="C27" s="111" t="s">
        <v>298</v>
      </c>
      <c r="D27" s="111"/>
      <c r="E27" s="111" t="s">
        <v>35</v>
      </c>
      <c r="F27" s="111" t="s">
        <v>299</v>
      </c>
      <c r="G27" s="111">
        <v>8731</v>
      </c>
      <c r="H27" s="111" t="s">
        <v>300</v>
      </c>
      <c r="I27" s="113">
        <v>60.17</v>
      </c>
      <c r="J27" s="130">
        <v>50</v>
      </c>
      <c r="K27" s="101" t="s">
        <v>17</v>
      </c>
      <c r="L27" s="214">
        <v>20</v>
      </c>
      <c r="M27" s="214">
        <v>24</v>
      </c>
      <c r="N27" s="214">
        <v>20</v>
      </c>
      <c r="O27" s="214">
        <v>40</v>
      </c>
      <c r="P27" s="214">
        <v>40</v>
      </c>
      <c r="Q27" s="214">
        <v>24</v>
      </c>
      <c r="R27" s="214">
        <v>40</v>
      </c>
      <c r="S27" s="214">
        <v>20</v>
      </c>
      <c r="T27" s="214"/>
      <c r="U27" s="214"/>
      <c r="V27" s="214"/>
      <c r="W27" s="123">
        <f>+IF(COUNTA(L27:V27)=8,Y27/(COUNTA(L27:V27)-0.5),IF(COUNTA(L27:V27)=0,0,Y27/COUNTA(L27:V27)))</f>
        <v>30.4</v>
      </c>
      <c r="X27" s="541"/>
      <c r="Y27" s="134">
        <f>+SUM(L27:V27)</f>
        <v>228</v>
      </c>
      <c r="Z27" s="137">
        <f>+Y27+AA27</f>
        <v>1593</v>
      </c>
      <c r="AA27" s="137">
        <v>1365</v>
      </c>
      <c r="AB27" s="140">
        <f>+Z26-Z27</f>
        <v>807</v>
      </c>
      <c r="AC27" s="131">
        <f>+IF(((Y28+(Y29/2))*60)=0,"",(I27*Y27)/((Y28+(Y29/2))*60))</f>
        <v>0.60368580858085807</v>
      </c>
      <c r="AD27" s="157"/>
      <c r="AE27" s="167">
        <f t="shared" si="0"/>
        <v>0</v>
      </c>
      <c r="AF27" s="167">
        <f>+Y27*I27</f>
        <v>13718.76</v>
      </c>
      <c r="AG27" s="167"/>
      <c r="AH27" s="124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</row>
    <row r="28" spans="1:56" ht="62.25" customHeight="1" x14ac:dyDescent="0.9">
      <c r="A28" s="124"/>
      <c r="B28" s="125">
        <f>+B27</f>
        <v>6</v>
      </c>
      <c r="C28" s="184"/>
      <c r="D28" s="111">
        <f>+B27</f>
        <v>6</v>
      </c>
      <c r="E28" s="111"/>
      <c r="F28" s="112" t="e">
        <f>+VLOOKUP(F27,'Obj Prix'!$H:$H,2,FALSE)</f>
        <v>#N/A</v>
      </c>
      <c r="G28" s="238" t="s">
        <v>263</v>
      </c>
      <c r="H28" s="210"/>
      <c r="I28" s="113">
        <v>2</v>
      </c>
      <c r="J28" s="114" t="s">
        <v>22</v>
      </c>
      <c r="K28" s="102" t="s">
        <v>18</v>
      </c>
      <c r="L28" s="215">
        <v>48</v>
      </c>
      <c r="M28" s="215">
        <v>48</v>
      </c>
      <c r="N28" s="215">
        <v>48</v>
      </c>
      <c r="O28" s="215">
        <v>48</v>
      </c>
      <c r="P28" s="215">
        <v>48</v>
      </c>
      <c r="Q28" s="215">
        <v>48</v>
      </c>
      <c r="R28" s="215">
        <v>48</v>
      </c>
      <c r="S28" s="215">
        <v>48</v>
      </c>
      <c r="T28" s="215"/>
      <c r="U28" s="244"/>
      <c r="V28" s="215"/>
      <c r="W28" s="160">
        <f>+W27-J27</f>
        <v>-19.600000000000001</v>
      </c>
      <c r="X28" s="541"/>
      <c r="Y28" s="103">
        <f>+SUM(L28:V28)-S28/2</f>
        <v>360</v>
      </c>
      <c r="Z28" s="138"/>
      <c r="AA28" s="138"/>
      <c r="AB28" s="122"/>
      <c r="AC28" s="116"/>
      <c r="AD28" s="157">
        <f>-(R28+(R29/2))*$AD$2/60</f>
        <v>-37.875</v>
      </c>
      <c r="AE28" s="167">
        <f t="shared" si="0"/>
        <v>-2272.5</v>
      </c>
      <c r="AF28" s="167"/>
      <c r="AG28" s="167"/>
      <c r="AH28" s="124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</row>
    <row r="29" spans="1:56" s="98" customFormat="1" ht="62.25" customHeight="1" thickBot="1" x14ac:dyDescent="0.95">
      <c r="A29" s="124"/>
      <c r="B29" s="129">
        <f>+B27</f>
        <v>6</v>
      </c>
      <c r="C29" s="174" t="s">
        <v>307</v>
      </c>
      <c r="D29" s="175">
        <f>+D28+100</f>
        <v>106</v>
      </c>
      <c r="E29" s="175"/>
      <c r="F29" s="117" t="s">
        <v>111</v>
      </c>
      <c r="G29" s="117"/>
      <c r="H29" s="159" t="s">
        <v>303</v>
      </c>
      <c r="I29" s="165">
        <f>+IF(J29="","",IF(J27=0,"",(J27*I27)/(J29*60)))</f>
        <v>0.89538690476190474</v>
      </c>
      <c r="J29" s="118">
        <v>56</v>
      </c>
      <c r="K29" s="104" t="s">
        <v>19</v>
      </c>
      <c r="L29" s="216">
        <v>5</v>
      </c>
      <c r="M29" s="216">
        <v>5</v>
      </c>
      <c r="N29" s="216">
        <v>5</v>
      </c>
      <c r="O29" s="216">
        <v>5</v>
      </c>
      <c r="P29" s="216">
        <v>5</v>
      </c>
      <c r="Q29" s="216">
        <v>5</v>
      </c>
      <c r="R29" s="216">
        <v>5</v>
      </c>
      <c r="S29" s="216">
        <v>5</v>
      </c>
      <c r="T29" s="216"/>
      <c r="U29" s="245"/>
      <c r="V29" s="216"/>
      <c r="W29" s="173"/>
      <c r="X29" s="168">
        <f>36.96+(COUNTA(L27:V27)-(Y27/J27))</f>
        <v>40.4</v>
      </c>
      <c r="Y29" s="105">
        <f>+SUM(L29:V29)-S29/2</f>
        <v>37.5</v>
      </c>
      <c r="Z29" s="139"/>
      <c r="AA29" s="139"/>
      <c r="AB29" s="119">
        <f>+IFERROR(AB27/(J27*9),"")</f>
        <v>1.7933333333333332</v>
      </c>
      <c r="AC29" s="120"/>
      <c r="AD29" s="161">
        <f>+Y28+Y29/2</f>
        <v>378.75</v>
      </c>
      <c r="AE29" s="167">
        <f t="shared" si="0"/>
        <v>22725</v>
      </c>
      <c r="AF29" s="167"/>
      <c r="AG29" s="230">
        <f>+AD28+AD29</f>
        <v>340.875</v>
      </c>
      <c r="AH29" s="124"/>
      <c r="AI29" s="91"/>
    </row>
    <row r="30" spans="1:56" s="98" customFormat="1" ht="65.25" customHeight="1" thickTop="1" x14ac:dyDescent="0.9">
      <c r="A30" s="124"/>
      <c r="B30" s="127">
        <f>+B31</f>
        <v>7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3"/>
      <c r="W30" s="135"/>
      <c r="X30" s="540">
        <f>+W32</f>
        <v>-4</v>
      </c>
      <c r="Y30" s="135">
        <f>+SUM(L30:V30)</f>
        <v>0</v>
      </c>
      <c r="Z30" s="136">
        <f>+AA30+Y30</f>
        <v>2950</v>
      </c>
      <c r="AA30" s="136">
        <v>2950</v>
      </c>
      <c r="AB30" s="121"/>
      <c r="AC30" s="110"/>
      <c r="AD30" s="157"/>
      <c r="AE30" s="167">
        <f t="shared" si="0"/>
        <v>0</v>
      </c>
      <c r="AF30" s="167"/>
      <c r="AG30" s="167"/>
      <c r="AH30" s="246" t="s">
        <v>276</v>
      </c>
      <c r="AI30" s="246" t="s">
        <v>287</v>
      </c>
    </row>
    <row r="31" spans="1:56" s="98" customFormat="1" ht="62.25" customHeight="1" x14ac:dyDescent="0.9">
      <c r="A31" s="124"/>
      <c r="B31" s="132">
        <v>7</v>
      </c>
      <c r="C31" s="111" t="s">
        <v>302</v>
      </c>
      <c r="D31" s="111"/>
      <c r="E31" s="111" t="s">
        <v>35</v>
      </c>
      <c r="F31" s="111" t="s">
        <v>277</v>
      </c>
      <c r="G31" s="111">
        <v>2950</v>
      </c>
      <c r="H31" s="111" t="s">
        <v>33</v>
      </c>
      <c r="I31" s="113">
        <v>70.680000000000007</v>
      </c>
      <c r="J31" s="130">
        <v>44</v>
      </c>
      <c r="K31" s="101" t="s">
        <v>17</v>
      </c>
      <c r="L31" s="214">
        <v>35</v>
      </c>
      <c r="M31" s="214">
        <v>45</v>
      </c>
      <c r="N31" s="214">
        <v>50</v>
      </c>
      <c r="O31" s="214">
        <v>60</v>
      </c>
      <c r="P31" s="214">
        <v>40</v>
      </c>
      <c r="Q31" s="214">
        <v>20</v>
      </c>
      <c r="R31" s="214">
        <v>30</v>
      </c>
      <c r="S31" s="214">
        <v>20</v>
      </c>
      <c r="T31" s="214"/>
      <c r="U31" s="214"/>
      <c r="V31" s="214"/>
      <c r="W31" s="123">
        <f>+IF(COUNTA(L31:V31)=8,Y31/(COUNTA(L31:V31)-0.5),IF(COUNTA(L31:V31)=0,0,Y31/COUNTA(L31:V31)))</f>
        <v>40</v>
      </c>
      <c r="X31" s="541"/>
      <c r="Y31" s="134">
        <f>+SUM(L31:V31)</f>
        <v>300</v>
      </c>
      <c r="Z31" s="137">
        <f>+Y31+AA31</f>
        <v>2922</v>
      </c>
      <c r="AA31" s="137">
        <v>2622</v>
      </c>
      <c r="AB31" s="140">
        <f>+Z30-Z31</f>
        <v>28</v>
      </c>
      <c r="AC31" s="131">
        <f>+IF(((Y32+(Y33/2))*60)=0,"",(I31*Y31)/((Y32+(Y33/2))*60))</f>
        <v>0.80272572402044307</v>
      </c>
      <c r="AD31" s="157"/>
      <c r="AE31" s="167">
        <f t="shared" si="0"/>
        <v>0</v>
      </c>
      <c r="AF31" s="167">
        <f>+Y31*I31</f>
        <v>21204.000000000004</v>
      </c>
      <c r="AG31" s="167"/>
      <c r="AH31" s="246">
        <v>3448</v>
      </c>
      <c r="AI31" s="246">
        <v>8448</v>
      </c>
    </row>
    <row r="32" spans="1:56" s="98" customFormat="1" ht="62.25" customHeight="1" x14ac:dyDescent="0.9">
      <c r="A32" s="124"/>
      <c r="B32" s="125">
        <f>+B31</f>
        <v>7</v>
      </c>
      <c r="C32" s="184"/>
      <c r="D32" s="111">
        <f>+B31</f>
        <v>7</v>
      </c>
      <c r="E32" s="111"/>
      <c r="F32" s="112" t="e">
        <f>+VLOOKUP(F31,'Obj Prix'!$H:$H,2,FALSE)</f>
        <v>#N/A</v>
      </c>
      <c r="G32" s="238" t="s">
        <v>263</v>
      </c>
      <c r="H32" s="210"/>
      <c r="I32" s="210">
        <v>3</v>
      </c>
      <c r="J32" s="114" t="s">
        <v>22</v>
      </c>
      <c r="K32" s="102" t="s">
        <v>18</v>
      </c>
      <c r="L32" s="215">
        <v>52</v>
      </c>
      <c r="M32" s="215">
        <v>58</v>
      </c>
      <c r="N32" s="215">
        <v>58</v>
      </c>
      <c r="O32" s="215">
        <v>58</v>
      </c>
      <c r="P32" s="215">
        <v>58</v>
      </c>
      <c r="Q32" s="215">
        <v>58</v>
      </c>
      <c r="R32" s="215">
        <v>58</v>
      </c>
      <c r="S32" s="215">
        <v>58</v>
      </c>
      <c r="T32" s="215"/>
      <c r="U32" s="244"/>
      <c r="V32" s="215"/>
      <c r="W32" s="160">
        <f>+W31-J31</f>
        <v>-4</v>
      </c>
      <c r="X32" s="541"/>
      <c r="Y32" s="103">
        <f>+SUM(L32:V32)-S32/2</f>
        <v>429</v>
      </c>
      <c r="Z32" s="138"/>
      <c r="AA32" s="138"/>
      <c r="AB32" s="122"/>
      <c r="AC32" s="116"/>
      <c r="AD32" s="157">
        <f>-(R32+(R33/2))*$AD$2/60</f>
        <v>-44.625</v>
      </c>
      <c r="AE32" s="167">
        <f t="shared" si="0"/>
        <v>-2677.5</v>
      </c>
      <c r="AF32" s="167"/>
      <c r="AG32" s="167"/>
      <c r="AH32" s="124"/>
      <c r="AI32" s="91"/>
    </row>
    <row r="33" spans="1:35" s="98" customFormat="1" ht="62.25" customHeight="1" thickBot="1" x14ac:dyDescent="0.95">
      <c r="A33" s="124"/>
      <c r="B33" s="126">
        <f>+B31</f>
        <v>7</v>
      </c>
      <c r="C33" s="174" t="s">
        <v>93</v>
      </c>
      <c r="D33" s="175">
        <f>+D32+100</f>
        <v>107</v>
      </c>
      <c r="E33" s="175"/>
      <c r="F33" s="117" t="s">
        <v>94</v>
      </c>
      <c r="G33" s="218"/>
      <c r="H33" s="159" t="s">
        <v>285</v>
      </c>
      <c r="I33" s="165">
        <f>+IF(J33="","",IF(J31=0,"",(J31*I31)/(J33*60)))</f>
        <v>0.89365517241379311</v>
      </c>
      <c r="J33" s="118">
        <v>58</v>
      </c>
      <c r="K33" s="104" t="s">
        <v>19</v>
      </c>
      <c r="L33" s="216">
        <v>3</v>
      </c>
      <c r="M33" s="216">
        <v>3</v>
      </c>
      <c r="N33" s="216">
        <v>3</v>
      </c>
      <c r="O33" s="216">
        <v>3</v>
      </c>
      <c r="P33" s="216">
        <v>3</v>
      </c>
      <c r="Q33" s="216">
        <v>3</v>
      </c>
      <c r="R33" s="216">
        <v>3</v>
      </c>
      <c r="S33" s="216">
        <v>3</v>
      </c>
      <c r="T33" s="216"/>
      <c r="U33" s="245"/>
      <c r="V33" s="216"/>
      <c r="W33" s="173"/>
      <c r="X33" s="169">
        <v>18.920000000000002</v>
      </c>
      <c r="Y33" s="105">
        <f>+SUM(L33:V33)-S33/2</f>
        <v>22.5</v>
      </c>
      <c r="Z33" s="139"/>
      <c r="AA33" s="139"/>
      <c r="AB33" s="119">
        <f>+IFERROR(AB31/(J31*9),"")</f>
        <v>7.0707070707070704E-2</v>
      </c>
      <c r="AC33" s="120"/>
      <c r="AD33" s="161">
        <f>+Y32+Y33/2</f>
        <v>440.25</v>
      </c>
      <c r="AE33" s="167">
        <f t="shared" si="0"/>
        <v>26415</v>
      </c>
      <c r="AF33" s="167"/>
      <c r="AG33" s="230">
        <f>+AD32+AD33</f>
        <v>395.625</v>
      </c>
      <c r="AH33" s="124"/>
      <c r="AI33" s="91"/>
    </row>
    <row r="34" spans="1:35" s="98" customFormat="1" ht="65.25" customHeight="1" thickTop="1" x14ac:dyDescent="0.9">
      <c r="A34" s="124"/>
      <c r="B34" s="127">
        <f>+B35</f>
        <v>7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5"/>
      <c r="M34" s="215">
        <v>50</v>
      </c>
      <c r="N34" s="215"/>
      <c r="O34" s="215">
        <v>50</v>
      </c>
      <c r="P34" s="215">
        <v>50</v>
      </c>
      <c r="Q34" s="215"/>
      <c r="R34" s="215">
        <v>50</v>
      </c>
      <c r="S34" s="215"/>
      <c r="T34" s="215"/>
      <c r="U34" s="215"/>
      <c r="V34" s="213"/>
      <c r="W34" s="135"/>
      <c r="X34" s="540">
        <f>+W36</f>
        <v>-44</v>
      </c>
      <c r="Y34" s="135">
        <f>+SUM(L34:V34)</f>
        <v>200</v>
      </c>
      <c r="Z34" s="136">
        <f>+AA34+Y34</f>
        <v>300</v>
      </c>
      <c r="AA34" s="136">
        <v>100</v>
      </c>
      <c r="AB34" s="121"/>
      <c r="AC34" s="110"/>
      <c r="AD34" s="157"/>
      <c r="AE34" s="167">
        <f t="shared" si="0"/>
        <v>0</v>
      </c>
      <c r="AF34" s="167"/>
      <c r="AG34" s="167"/>
      <c r="AH34" s="246" t="s">
        <v>276</v>
      </c>
      <c r="AI34" s="246" t="s">
        <v>287</v>
      </c>
    </row>
    <row r="35" spans="1:35" s="98" customFormat="1" ht="62.25" customHeight="1" x14ac:dyDescent="0.9">
      <c r="A35" s="124"/>
      <c r="B35" s="132">
        <v>7</v>
      </c>
      <c r="C35" s="111" t="s">
        <v>309</v>
      </c>
      <c r="D35" s="111"/>
      <c r="E35" s="111" t="s">
        <v>35</v>
      </c>
      <c r="F35" s="111" t="s">
        <v>310</v>
      </c>
      <c r="G35" s="111">
        <v>16000</v>
      </c>
      <c r="H35" s="111" t="s">
        <v>33</v>
      </c>
      <c r="I35" s="113">
        <v>70.680000000000007</v>
      </c>
      <c r="J35" s="130">
        <v>44</v>
      </c>
      <c r="K35" s="101" t="s">
        <v>17</v>
      </c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123">
        <f>+IF(COUNTA(L35:V35)=8,Y35/(COUNTA(L35:V35)-0.5),IF(COUNTA(L35:V35)=0,0,Y35/COUNTA(L35:V35)))</f>
        <v>0</v>
      </c>
      <c r="X35" s="541"/>
      <c r="Y35" s="134">
        <f>+SUM(L35:V35)</f>
        <v>0</v>
      </c>
      <c r="Z35" s="137">
        <f>+Y35+AA35</f>
        <v>0</v>
      </c>
      <c r="AA35" s="137">
        <v>0</v>
      </c>
      <c r="AB35" s="140">
        <f>+Z34-Z35</f>
        <v>300</v>
      </c>
      <c r="AC35" s="131" t="str">
        <f>+IF(((Y36+(Y37/2))*60)=0,"",(I35*Y35)/((Y36+(Y37/2))*60))</f>
        <v/>
      </c>
      <c r="AD35" s="157"/>
      <c r="AE35" s="167">
        <f t="shared" si="0"/>
        <v>0</v>
      </c>
      <c r="AF35" s="167">
        <f>+Y35*I35</f>
        <v>0</v>
      </c>
      <c r="AG35" s="167"/>
      <c r="AH35" s="246">
        <v>3448</v>
      </c>
      <c r="AI35" s="246">
        <v>8448</v>
      </c>
    </row>
    <row r="36" spans="1:35" s="98" customFormat="1" ht="62.25" customHeight="1" x14ac:dyDescent="0.9">
      <c r="A36" s="124"/>
      <c r="B36" s="125">
        <f>+B35</f>
        <v>7</v>
      </c>
      <c r="C36" s="184"/>
      <c r="D36" s="111">
        <f>+B35</f>
        <v>7</v>
      </c>
      <c r="E36" s="111"/>
      <c r="F36" s="112" t="e">
        <f>+VLOOKUP(F35,'Obj Prix'!$H:$H,2,FALSE)</f>
        <v>#N/A</v>
      </c>
      <c r="G36" s="238"/>
      <c r="H36" s="210"/>
      <c r="I36" s="210"/>
      <c r="J36" s="114" t="s">
        <v>22</v>
      </c>
      <c r="K36" s="102" t="s">
        <v>18</v>
      </c>
      <c r="L36" s="215"/>
      <c r="M36" s="215"/>
      <c r="N36" s="215"/>
      <c r="O36" s="215"/>
      <c r="P36" s="215"/>
      <c r="Q36" s="215"/>
      <c r="R36" s="215"/>
      <c r="S36" s="215"/>
      <c r="T36" s="215"/>
      <c r="U36" s="244"/>
      <c r="V36" s="215"/>
      <c r="W36" s="160">
        <f>+W35-J35</f>
        <v>-44</v>
      </c>
      <c r="X36" s="541"/>
      <c r="Y36" s="103">
        <f>+SUM(L36:V36)-S36/2</f>
        <v>0</v>
      </c>
      <c r="Z36" s="138"/>
      <c r="AA36" s="138"/>
      <c r="AB36" s="122"/>
      <c r="AC36" s="116"/>
      <c r="AD36" s="157">
        <f>-(R36+(R37/2))*$AD$2/60</f>
        <v>0</v>
      </c>
      <c r="AE36" s="167">
        <f t="shared" si="0"/>
        <v>0</v>
      </c>
      <c r="AF36" s="167"/>
      <c r="AG36" s="167"/>
      <c r="AH36" s="124"/>
      <c r="AI36" s="91"/>
    </row>
    <row r="37" spans="1:35" s="98" customFormat="1" ht="62.25" customHeight="1" thickBot="1" x14ac:dyDescent="0.95">
      <c r="A37" s="124"/>
      <c r="B37" s="126">
        <f>+B35</f>
        <v>7</v>
      </c>
      <c r="C37" s="174" t="s">
        <v>93</v>
      </c>
      <c r="D37" s="175">
        <f>+D36+100</f>
        <v>107</v>
      </c>
      <c r="E37" s="175"/>
      <c r="F37" s="117" t="s">
        <v>94</v>
      </c>
      <c r="G37" s="218"/>
      <c r="H37" s="159"/>
      <c r="I37" s="165">
        <f>+IF(J37="","",IF(J35=0,"",(J35*I35)/(J37*60)))</f>
        <v>0.89365517241379311</v>
      </c>
      <c r="J37" s="118">
        <v>58</v>
      </c>
      <c r="K37" s="104" t="s">
        <v>19</v>
      </c>
      <c r="L37" s="216"/>
      <c r="M37" s="216"/>
      <c r="N37" s="216"/>
      <c r="O37" s="216"/>
      <c r="P37" s="216"/>
      <c r="Q37" s="216"/>
      <c r="R37" s="216"/>
      <c r="S37" s="216"/>
      <c r="T37" s="216"/>
      <c r="U37" s="245"/>
      <c r="V37" s="216"/>
      <c r="W37" s="173"/>
      <c r="X37" s="169"/>
      <c r="Y37" s="105">
        <f>+SUM(L37:V37)-S37/2</f>
        <v>0</v>
      </c>
      <c r="Z37" s="139"/>
      <c r="AA37" s="139"/>
      <c r="AB37" s="119">
        <f>+IFERROR(AB35/(J35*9),"")</f>
        <v>0.75757575757575757</v>
      </c>
      <c r="AC37" s="120"/>
      <c r="AD37" s="161">
        <f>+Y36+Y37/2</f>
        <v>0</v>
      </c>
      <c r="AE37" s="167">
        <f t="shared" si="0"/>
        <v>0</v>
      </c>
      <c r="AF37" s="167"/>
      <c r="AG37" s="230"/>
      <c r="AH37" s="124"/>
      <c r="AI37" s="91"/>
    </row>
    <row r="38" spans="1:35" ht="62.25" customHeight="1" thickTop="1" x14ac:dyDescent="0.9">
      <c r="A38" s="124"/>
      <c r="B38" s="127">
        <f>+B39</f>
        <v>8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5">
        <v>40</v>
      </c>
      <c r="M38" s="215">
        <v>40</v>
      </c>
      <c r="N38" s="215">
        <v>40</v>
      </c>
      <c r="O38" s="215">
        <v>40</v>
      </c>
      <c r="P38" s="215">
        <v>40</v>
      </c>
      <c r="Q38" s="215">
        <v>40</v>
      </c>
      <c r="R38" s="215">
        <v>40</v>
      </c>
      <c r="S38" s="215">
        <v>40</v>
      </c>
      <c r="T38" s="215"/>
      <c r="U38" s="213"/>
      <c r="V38" s="213"/>
      <c r="W38" s="135"/>
      <c r="X38" s="540">
        <f>+W40</f>
        <v>-50</v>
      </c>
      <c r="Y38" s="135">
        <f>+SUM(L38:V38)</f>
        <v>320</v>
      </c>
      <c r="Z38" s="136">
        <f>+AA38+Y38</f>
        <v>760</v>
      </c>
      <c r="AA38" s="136">
        <v>440</v>
      </c>
      <c r="AB38" s="109"/>
      <c r="AC38" s="110"/>
      <c r="AD38" s="157"/>
      <c r="AE38" s="167">
        <f>+AD38*60</f>
        <v>0</v>
      </c>
      <c r="AF38" s="167"/>
      <c r="AG38" s="167"/>
      <c r="AH38" s="124"/>
    </row>
    <row r="39" spans="1:35" ht="62.25" customHeight="1" x14ac:dyDescent="0.9">
      <c r="A39" s="124"/>
      <c r="B39" s="132">
        <v>8</v>
      </c>
      <c r="C39" s="111" t="s">
        <v>298</v>
      </c>
      <c r="D39" s="111"/>
      <c r="E39" s="111" t="s">
        <v>35</v>
      </c>
      <c r="F39" s="111" t="s">
        <v>299</v>
      </c>
      <c r="G39" s="111">
        <v>8731</v>
      </c>
      <c r="H39" s="111" t="s">
        <v>300</v>
      </c>
      <c r="I39" s="113">
        <v>60.17</v>
      </c>
      <c r="J39" s="130">
        <v>50</v>
      </c>
      <c r="K39" s="101" t="s">
        <v>17</v>
      </c>
      <c r="L39" s="214">
        <v>0</v>
      </c>
      <c r="M39" s="214">
        <v>0</v>
      </c>
      <c r="N39" s="214">
        <v>0</v>
      </c>
      <c r="O39" s="214">
        <v>0</v>
      </c>
      <c r="P39" s="214">
        <v>0</v>
      </c>
      <c r="Q39" s="214">
        <v>0</v>
      </c>
      <c r="R39" s="214">
        <v>0</v>
      </c>
      <c r="S39" s="214">
        <v>0</v>
      </c>
      <c r="T39" s="214"/>
      <c r="U39" s="214"/>
      <c r="V39" s="214"/>
      <c r="W39" s="123">
        <f>+IF(COUNTA(L39:V39)=8,Y39/(COUNTA(L39:V39)-0.5),IF(COUNTA(L39:V39)=0,0,Y39/COUNTA(L39:V39)))</f>
        <v>0</v>
      </c>
      <c r="X39" s="541"/>
      <c r="Y39" s="134">
        <f>+SUM(L39:V39)</f>
        <v>0</v>
      </c>
      <c r="Z39" s="137">
        <f>+Y39+AA39</f>
        <v>0</v>
      </c>
      <c r="AA39" s="137">
        <v>0</v>
      </c>
      <c r="AB39" s="140">
        <f>+Z38-Z39</f>
        <v>760</v>
      </c>
      <c r="AC39" s="131">
        <f>+IF(((Y40+(Y41/2))*60)=0,"",(I39*Y39)/((Y40+(Y41/2))*60))</f>
        <v>0</v>
      </c>
      <c r="AD39" s="157"/>
      <c r="AE39" s="167">
        <f>+AD39*60</f>
        <v>0</v>
      </c>
      <c r="AF39" s="167">
        <f>+Y39*I39</f>
        <v>0</v>
      </c>
      <c r="AG39" s="167"/>
      <c r="AH39" s="124"/>
    </row>
    <row r="40" spans="1:35" ht="62.25" customHeight="1" x14ac:dyDescent="0.9">
      <c r="A40" s="124"/>
      <c r="B40" s="125">
        <f>+B39</f>
        <v>8</v>
      </c>
      <c r="C40" s="184"/>
      <c r="D40" s="111">
        <f>+B39</f>
        <v>8</v>
      </c>
      <c r="E40" s="111"/>
      <c r="F40" s="112" t="e">
        <f>+VLOOKUP(F39,'Obj Prix'!$H:$H,2,FALSE)</f>
        <v>#N/A</v>
      </c>
      <c r="G40" s="238"/>
      <c r="H40" s="210"/>
      <c r="I40" s="113"/>
      <c r="J40" s="114" t="s">
        <v>22</v>
      </c>
      <c r="K40" s="102" t="s">
        <v>18</v>
      </c>
      <c r="L40" s="215">
        <v>36</v>
      </c>
      <c r="M40" s="215">
        <v>36</v>
      </c>
      <c r="N40" s="215">
        <v>36</v>
      </c>
      <c r="O40" s="215">
        <v>36</v>
      </c>
      <c r="P40" s="215">
        <v>36</v>
      </c>
      <c r="Q40" s="215">
        <v>36</v>
      </c>
      <c r="R40" s="215">
        <v>36</v>
      </c>
      <c r="S40" s="215">
        <v>36</v>
      </c>
      <c r="T40" s="215"/>
      <c r="U40" s="215"/>
      <c r="V40" s="215"/>
      <c r="W40" s="160">
        <f>+W39-J39</f>
        <v>-50</v>
      </c>
      <c r="X40" s="541"/>
      <c r="Y40" s="103">
        <f>+SUM(L40:V40)-S40/2</f>
        <v>270</v>
      </c>
      <c r="Z40" s="138"/>
      <c r="AA40" s="138"/>
      <c r="AB40" s="115"/>
      <c r="AC40" s="116"/>
      <c r="AD40" s="157">
        <f>-(R40+(R41/2))*$AD$2/60</f>
        <v>-27.75</v>
      </c>
      <c r="AE40" s="167">
        <f>+AD40*60</f>
        <v>-1665</v>
      </c>
      <c r="AF40" s="167"/>
      <c r="AG40" s="167"/>
      <c r="AH40" s="124"/>
    </row>
    <row r="41" spans="1:35" s="98" customFormat="1" ht="62.25" customHeight="1" thickBot="1" x14ac:dyDescent="0.95">
      <c r="A41" s="124"/>
      <c r="B41" s="126">
        <f>+B39</f>
        <v>8</v>
      </c>
      <c r="C41" s="174" t="s">
        <v>130</v>
      </c>
      <c r="D41" s="175">
        <f>+D40+100</f>
        <v>108</v>
      </c>
      <c r="E41" s="175"/>
      <c r="F41" s="117" t="s">
        <v>203</v>
      </c>
      <c r="G41" s="117"/>
      <c r="H41" s="159" t="s">
        <v>306</v>
      </c>
      <c r="I41" s="165">
        <f>+IF(J41="","",IF(J39=0,"",(J39*I39)/(J41*60)))</f>
        <v>0.89538690476190474</v>
      </c>
      <c r="J41" s="118">
        <v>56</v>
      </c>
      <c r="K41" s="104" t="s">
        <v>19</v>
      </c>
      <c r="L41" s="216">
        <v>2</v>
      </c>
      <c r="M41" s="216">
        <v>2</v>
      </c>
      <c r="N41" s="216">
        <v>2</v>
      </c>
      <c r="O41" s="216">
        <v>2</v>
      </c>
      <c r="P41" s="216">
        <v>2</v>
      </c>
      <c r="Q41" s="216">
        <v>2</v>
      </c>
      <c r="R41" s="216">
        <v>2</v>
      </c>
      <c r="S41" s="216">
        <v>2</v>
      </c>
      <c r="T41" s="216"/>
      <c r="U41" s="216"/>
      <c r="V41" s="216"/>
      <c r="W41" s="173"/>
      <c r="X41" s="168">
        <f>4.94+(COUNTA(L39:V39)-(Y39/J39))</f>
        <v>12.940000000000001</v>
      </c>
      <c r="Y41" s="105">
        <f>+SUM(L41:V41)-S41/2</f>
        <v>15</v>
      </c>
      <c r="Z41" s="139"/>
      <c r="AA41" s="139"/>
      <c r="AB41" s="119">
        <f>+IFERROR(AB39/(J39*9),"")</f>
        <v>1.6888888888888889</v>
      </c>
      <c r="AC41" s="120"/>
      <c r="AD41" s="161">
        <f>+Y40+Y41/2</f>
        <v>277.5</v>
      </c>
      <c r="AE41" s="167">
        <f>+AD41*60</f>
        <v>16650</v>
      </c>
      <c r="AF41" s="167"/>
      <c r="AG41" s="230">
        <f>+(AD40+AD41)/2</f>
        <v>124.875</v>
      </c>
      <c r="AH41" s="124"/>
      <c r="AI41" s="91"/>
    </row>
    <row r="42" spans="1:35" ht="62.25" customHeight="1" thickTop="1" x14ac:dyDescent="0.9">
      <c r="A42" s="124"/>
      <c r="B42" s="127">
        <f>+B43</f>
        <v>9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5">
        <v>50</v>
      </c>
      <c r="M42" s="215">
        <v>50</v>
      </c>
      <c r="N42" s="215">
        <v>50</v>
      </c>
      <c r="O42" s="215"/>
      <c r="P42" s="215">
        <v>50</v>
      </c>
      <c r="Q42" s="215">
        <v>50</v>
      </c>
      <c r="R42" s="215">
        <v>50</v>
      </c>
      <c r="S42" s="215"/>
      <c r="T42" s="215"/>
      <c r="U42" s="213"/>
      <c r="V42" s="213"/>
      <c r="W42" s="135"/>
      <c r="X42" s="540">
        <f>+W44</f>
        <v>-1.3333333333333357</v>
      </c>
      <c r="Y42" s="135">
        <f>+SUM(L42:V42)</f>
        <v>300</v>
      </c>
      <c r="Z42" s="136">
        <f>+AA42+Y42</f>
        <v>2600</v>
      </c>
      <c r="AA42" s="136">
        <v>2300</v>
      </c>
      <c r="AB42" s="109"/>
      <c r="AC42" s="110"/>
      <c r="AD42" s="157"/>
      <c r="AE42" s="167">
        <f t="shared" si="0"/>
        <v>0</v>
      </c>
      <c r="AF42" s="167"/>
      <c r="AG42" s="167"/>
      <c r="AH42" s="246" t="s">
        <v>276</v>
      </c>
      <c r="AI42" s="246" t="s">
        <v>287</v>
      </c>
    </row>
    <row r="43" spans="1:35" ht="62.25" customHeight="1" x14ac:dyDescent="0.9">
      <c r="A43" s="124"/>
      <c r="B43" s="133">
        <v>9</v>
      </c>
      <c r="C43" s="111" t="s">
        <v>302</v>
      </c>
      <c r="D43" s="111"/>
      <c r="E43" s="111" t="s">
        <v>35</v>
      </c>
      <c r="F43" s="111" t="s">
        <v>277</v>
      </c>
      <c r="G43" s="111">
        <v>4000</v>
      </c>
      <c r="H43" s="111" t="s">
        <v>33</v>
      </c>
      <c r="I43" s="113">
        <v>70.680000000000007</v>
      </c>
      <c r="J43" s="130">
        <v>44</v>
      </c>
      <c r="K43" s="101" t="s">
        <v>17</v>
      </c>
      <c r="L43" s="214">
        <v>25</v>
      </c>
      <c r="M43" s="214">
        <v>30</v>
      </c>
      <c r="N43" s="214">
        <v>45</v>
      </c>
      <c r="O43" s="214">
        <v>50</v>
      </c>
      <c r="P43" s="214">
        <v>50</v>
      </c>
      <c r="Q43" s="214">
        <v>45</v>
      </c>
      <c r="R43" s="214">
        <v>50</v>
      </c>
      <c r="S43" s="214">
        <v>25</v>
      </c>
      <c r="T43" s="214"/>
      <c r="U43" s="214"/>
      <c r="V43" s="214"/>
      <c r="W43" s="123">
        <f>+IF(COUNTA(L43:V43)=8,Y43/(COUNTA(L43:V43)-0.5),IF(COUNTA(L43:V43)=0,0,Y43/COUNTA(L43:V43)))</f>
        <v>42.666666666666664</v>
      </c>
      <c r="X43" s="541"/>
      <c r="Y43" s="134">
        <f>+SUM(L43:V43)</f>
        <v>320</v>
      </c>
      <c r="Z43" s="137">
        <f>+Y43+AA43</f>
        <v>1725</v>
      </c>
      <c r="AA43" s="137">
        <v>1405</v>
      </c>
      <c r="AB43" s="140">
        <f>+Z42-Z43</f>
        <v>875</v>
      </c>
      <c r="AC43" s="131">
        <f>+IF(((Y44+(Y45/2))*60)=0,"",(I43*Y43)/((Y44+(Y45/2))*60))</f>
        <v>0.92222629969418968</v>
      </c>
      <c r="AD43" s="157"/>
      <c r="AE43" s="167">
        <f t="shared" si="0"/>
        <v>0</v>
      </c>
      <c r="AF43" s="167">
        <f>+Y43*I43</f>
        <v>22617.600000000002</v>
      </c>
      <c r="AG43" s="167"/>
      <c r="AH43" s="246">
        <v>1197</v>
      </c>
      <c r="AI43" s="246">
        <v>8950</v>
      </c>
    </row>
    <row r="44" spans="1:35" ht="62.25" customHeight="1" x14ac:dyDescent="0.9">
      <c r="A44" s="124"/>
      <c r="B44" s="125">
        <f>+B43</f>
        <v>9</v>
      </c>
      <c r="C44" s="184"/>
      <c r="D44" s="111">
        <f>+B43</f>
        <v>9</v>
      </c>
      <c r="E44" s="111"/>
      <c r="F44" s="112" t="e">
        <f>+VLOOKUP(F43,'Obj Prix'!$H:$H,2,FALSE)</f>
        <v>#N/A</v>
      </c>
      <c r="G44" s="238" t="s">
        <v>263</v>
      </c>
      <c r="H44" s="210"/>
      <c r="I44" s="210">
        <v>2</v>
      </c>
      <c r="J44" s="114" t="s">
        <v>22</v>
      </c>
      <c r="K44" s="102" t="s">
        <v>18</v>
      </c>
      <c r="L44" s="215">
        <v>54</v>
      </c>
      <c r="M44" s="215">
        <v>54</v>
      </c>
      <c r="N44" s="215">
        <v>54</v>
      </c>
      <c r="O44" s="215">
        <v>54</v>
      </c>
      <c r="P44" s="215">
        <v>54</v>
      </c>
      <c r="Q44" s="215">
        <v>54</v>
      </c>
      <c r="R44" s="215">
        <v>54</v>
      </c>
      <c r="S44" s="215">
        <v>54</v>
      </c>
      <c r="T44" s="215"/>
      <c r="U44" s="244"/>
      <c r="V44" s="215"/>
      <c r="W44" s="160">
        <f>+W43-J43</f>
        <v>-1.3333333333333357</v>
      </c>
      <c r="X44" s="541"/>
      <c r="Y44" s="103">
        <f>+SUM(L44:V44)-S44/2</f>
        <v>405</v>
      </c>
      <c r="Z44" s="138"/>
      <c r="AA44" s="138"/>
      <c r="AB44" s="115"/>
      <c r="AC44" s="116"/>
      <c r="AD44" s="157">
        <f>-(R44+(R45/2))*$AD$2/60</f>
        <v>-40.875</v>
      </c>
      <c r="AE44" s="167">
        <f t="shared" si="0"/>
        <v>-2452.5</v>
      </c>
      <c r="AF44" s="167"/>
      <c r="AG44" s="167"/>
      <c r="AH44" s="124"/>
    </row>
    <row r="45" spans="1:35" s="98" customFormat="1" ht="62.25" customHeight="1" thickBot="1" x14ac:dyDescent="0.95">
      <c r="A45" s="124"/>
      <c r="B45" s="126">
        <f>+B43</f>
        <v>9</v>
      </c>
      <c r="C45" s="174" t="s">
        <v>75</v>
      </c>
      <c r="D45" s="175">
        <f>+D44+100</f>
        <v>109</v>
      </c>
      <c r="E45" s="175"/>
      <c r="F45" s="117" t="s">
        <v>94</v>
      </c>
      <c r="G45" s="117"/>
      <c r="H45" s="159" t="s">
        <v>285</v>
      </c>
      <c r="I45" s="165">
        <f>+IF(J45="","",IF(J43=0,"",(J43*I43)/(J45*60)))</f>
        <v>0.87850847457627124</v>
      </c>
      <c r="J45" s="118">
        <v>59</v>
      </c>
      <c r="K45" s="104" t="s">
        <v>19</v>
      </c>
      <c r="L45" s="216">
        <v>1</v>
      </c>
      <c r="M45" s="216">
        <v>1</v>
      </c>
      <c r="N45" s="216">
        <v>1</v>
      </c>
      <c r="O45" s="216">
        <v>1</v>
      </c>
      <c r="P45" s="216">
        <v>1</v>
      </c>
      <c r="Q45" s="216">
        <v>1</v>
      </c>
      <c r="R45" s="216">
        <v>1</v>
      </c>
      <c r="S45" s="216">
        <v>1</v>
      </c>
      <c r="T45" s="216"/>
      <c r="U45" s="216"/>
      <c r="V45" s="216"/>
      <c r="W45" s="173"/>
      <c r="X45" s="169">
        <v>22.04</v>
      </c>
      <c r="Y45" s="105">
        <f>+SUM(L45:V45)-S45/2</f>
        <v>7.5</v>
      </c>
      <c r="Z45" s="139"/>
      <c r="AA45" s="139"/>
      <c r="AB45" s="119">
        <f>+IFERROR(AB43/(J43*9),"")</f>
        <v>2.2095959595959598</v>
      </c>
      <c r="AC45" s="120"/>
      <c r="AD45" s="161">
        <f>+Y44+Y45/2</f>
        <v>408.75</v>
      </c>
      <c r="AE45" s="167">
        <f t="shared" si="0"/>
        <v>24525</v>
      </c>
      <c r="AF45" s="167"/>
      <c r="AG45" s="230">
        <f>+AD44+AD45</f>
        <v>367.875</v>
      </c>
      <c r="AH45" s="124"/>
      <c r="AI45" s="91"/>
    </row>
    <row r="46" spans="1:35" ht="62.25" customHeight="1" thickTop="1" x14ac:dyDescent="0.9">
      <c r="A46" s="124"/>
      <c r="B46" s="127">
        <f>+B47</f>
        <v>11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3">
        <v>100</v>
      </c>
      <c r="M46" s="213">
        <v>100</v>
      </c>
      <c r="N46" s="213">
        <v>50</v>
      </c>
      <c r="O46" s="213"/>
      <c r="P46" s="213"/>
      <c r="Q46" s="213"/>
      <c r="R46" s="213"/>
      <c r="S46" s="213"/>
      <c r="T46" s="213"/>
      <c r="U46" s="213"/>
      <c r="V46" s="213"/>
      <c r="W46" s="135"/>
      <c r="X46" s="540">
        <f>+W48</f>
        <v>-3.93333333333333</v>
      </c>
      <c r="Y46" s="135">
        <f>+SUM(L46:V46)</f>
        <v>250</v>
      </c>
      <c r="Z46" s="136">
        <f>+AA46+Y46</f>
        <v>4965</v>
      </c>
      <c r="AA46" s="136">
        <v>4715</v>
      </c>
      <c r="AB46" s="109"/>
      <c r="AC46" s="110"/>
      <c r="AD46" s="157"/>
      <c r="AE46" s="167">
        <f t="shared" si="0"/>
        <v>0</v>
      </c>
      <c r="AF46" s="167"/>
      <c r="AG46" s="167"/>
      <c r="AH46" s="124"/>
    </row>
    <row r="47" spans="1:35" ht="62.25" customHeight="1" x14ac:dyDescent="0.9">
      <c r="A47" s="124"/>
      <c r="B47" s="132">
        <v>11</v>
      </c>
      <c r="C47" s="111" t="s">
        <v>292</v>
      </c>
      <c r="D47" s="111"/>
      <c r="E47" s="111" t="s">
        <v>35</v>
      </c>
      <c r="F47" s="111" t="s">
        <v>293</v>
      </c>
      <c r="G47" s="111">
        <v>11466</v>
      </c>
      <c r="H47" s="111" t="s">
        <v>33</v>
      </c>
      <c r="I47" s="113">
        <v>61.52</v>
      </c>
      <c r="J47" s="130">
        <v>45</v>
      </c>
      <c r="K47" s="101" t="s">
        <v>17</v>
      </c>
      <c r="L47" s="214">
        <v>48</v>
      </c>
      <c r="M47" s="214">
        <v>30</v>
      </c>
      <c r="N47" s="214">
        <v>48</v>
      </c>
      <c r="O47" s="214">
        <v>40</v>
      </c>
      <c r="P47" s="214">
        <v>48</v>
      </c>
      <c r="Q47" s="214">
        <v>26</v>
      </c>
      <c r="R47" s="214">
        <v>43</v>
      </c>
      <c r="S47" s="214">
        <v>25</v>
      </c>
      <c r="T47" s="214"/>
      <c r="U47" s="214"/>
      <c r="V47" s="214"/>
      <c r="W47" s="123">
        <f>+IF(COUNTA(L47:V47)=8,Y47/(COUNTA(L47:V47)-0.5),IF(COUNTA(L47:V47)=0,0,Y47/COUNTA(L47:V47)))</f>
        <v>41.06666666666667</v>
      </c>
      <c r="X47" s="541"/>
      <c r="Y47" s="134">
        <f>+SUM(L47:V47)</f>
        <v>308</v>
      </c>
      <c r="Z47" s="137">
        <f>+Y47+AA47</f>
        <v>4308</v>
      </c>
      <c r="AA47" s="137">
        <v>4000</v>
      </c>
      <c r="AB47" s="140">
        <f>+Z46-Z47</f>
        <v>657</v>
      </c>
      <c r="AC47" s="131">
        <f>+IF(((Y48+(Y49/2))*60)=0,"",(I47*Y47)/((Y48+(Y49/2))*60))</f>
        <v>0.80819620388142466</v>
      </c>
      <c r="AD47" s="157"/>
      <c r="AE47" s="167">
        <f t="shared" si="0"/>
        <v>0</v>
      </c>
      <c r="AF47" s="167">
        <f>+Y47*I47</f>
        <v>18948.16</v>
      </c>
      <c r="AG47" s="167"/>
      <c r="AH47" s="124"/>
    </row>
    <row r="48" spans="1:35" ht="62.25" customHeight="1" x14ac:dyDescent="0.9">
      <c r="A48" s="124"/>
      <c r="B48" s="125">
        <f>+B47</f>
        <v>11</v>
      </c>
      <c r="C48" s="184"/>
      <c r="D48" s="111"/>
      <c r="E48" s="111"/>
      <c r="F48" s="112" t="e">
        <f>+VLOOKUP(F47,'Obj Prix'!$H:$H,2,FALSE)</f>
        <v>#N/A</v>
      </c>
      <c r="G48" s="238" t="s">
        <v>263</v>
      </c>
      <c r="H48" s="210"/>
      <c r="I48" s="210">
        <v>2</v>
      </c>
      <c r="J48" s="114" t="s">
        <v>22</v>
      </c>
      <c r="K48" s="102" t="s">
        <v>18</v>
      </c>
      <c r="L48" s="215">
        <v>49</v>
      </c>
      <c r="M48" s="215">
        <v>50</v>
      </c>
      <c r="N48" s="215">
        <v>51</v>
      </c>
      <c r="O48" s="215">
        <v>51</v>
      </c>
      <c r="P48" s="215">
        <v>51</v>
      </c>
      <c r="Q48" s="215">
        <v>51</v>
      </c>
      <c r="R48" s="215">
        <v>51</v>
      </c>
      <c r="S48" s="215">
        <v>51</v>
      </c>
      <c r="T48" s="215"/>
      <c r="U48" s="244"/>
      <c r="V48" s="215"/>
      <c r="W48" s="160">
        <f>+W47-J47</f>
        <v>-3.93333333333333</v>
      </c>
      <c r="X48" s="541"/>
      <c r="Y48" s="103">
        <f>+SUM(L48:V48)-S48/2</f>
        <v>379.5</v>
      </c>
      <c r="Z48" s="138"/>
      <c r="AA48" s="138"/>
      <c r="AB48" s="115"/>
      <c r="AC48" s="116"/>
      <c r="AD48" s="157">
        <f>-(R48+(R49/2))*$AD$2/60</f>
        <v>-39.375</v>
      </c>
      <c r="AE48" s="167">
        <f t="shared" si="0"/>
        <v>-2362.5</v>
      </c>
      <c r="AF48" s="167"/>
      <c r="AG48" s="167"/>
      <c r="AH48" s="124"/>
    </row>
    <row r="49" spans="1:35" s="98" customFormat="1" ht="62.25" customHeight="1" thickBot="1" x14ac:dyDescent="0.95">
      <c r="A49" s="124"/>
      <c r="B49" s="126">
        <f>+B47</f>
        <v>11</v>
      </c>
      <c r="C49" s="174" t="s">
        <v>175</v>
      </c>
      <c r="D49" s="175">
        <f>+D48+100</f>
        <v>100</v>
      </c>
      <c r="E49" s="175"/>
      <c r="F49" s="117" t="s">
        <v>94</v>
      </c>
      <c r="G49" s="117"/>
      <c r="H49" s="159" t="s">
        <v>301</v>
      </c>
      <c r="I49" s="165">
        <f>+IF(J49="","",IF(J47=0,"",(J47*I47)/(J49*60)))</f>
        <v>0.85444444444444445</v>
      </c>
      <c r="J49" s="118">
        <v>54</v>
      </c>
      <c r="K49" s="104" t="s">
        <v>19</v>
      </c>
      <c r="L49" s="216">
        <v>3</v>
      </c>
      <c r="M49" s="216">
        <v>3</v>
      </c>
      <c r="N49" s="216">
        <v>3</v>
      </c>
      <c r="O49" s="216">
        <v>3</v>
      </c>
      <c r="P49" s="216">
        <v>3</v>
      </c>
      <c r="Q49" s="216">
        <v>3</v>
      </c>
      <c r="R49" s="216">
        <v>3</v>
      </c>
      <c r="S49" s="216">
        <v>3</v>
      </c>
      <c r="T49" s="216"/>
      <c r="U49" s="245"/>
      <c r="V49" s="216"/>
      <c r="W49" s="173"/>
      <c r="X49" s="169">
        <v>24.27</v>
      </c>
      <c r="Y49" s="105">
        <f>+SUM(L49:V49)-S49/2</f>
        <v>22.5</v>
      </c>
      <c r="Z49" s="139"/>
      <c r="AA49" s="139"/>
      <c r="AB49" s="119">
        <f>+IFERROR(AB47/(J47*9),"")</f>
        <v>1.6222222222222222</v>
      </c>
      <c r="AC49" s="120"/>
      <c r="AD49" s="161">
        <f>+Y48+Y49/2</f>
        <v>390.75</v>
      </c>
      <c r="AE49" s="167">
        <f t="shared" si="0"/>
        <v>23445</v>
      </c>
      <c r="AF49" s="167"/>
      <c r="AG49" s="230">
        <f>+AD48+AD49</f>
        <v>351.375</v>
      </c>
      <c r="AH49" s="124"/>
      <c r="AI49" s="91"/>
    </row>
    <row r="50" spans="1:35" ht="62.25" customHeight="1" thickTop="1" x14ac:dyDescent="0.9">
      <c r="A50" s="124"/>
      <c r="B50" s="127">
        <f>+B51</f>
        <v>12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3">
        <v>60</v>
      </c>
      <c r="M50" s="213">
        <v>60</v>
      </c>
      <c r="N50" s="213">
        <v>60</v>
      </c>
      <c r="O50" s="213">
        <v>60</v>
      </c>
      <c r="P50" s="213"/>
      <c r="Q50" s="213">
        <v>60</v>
      </c>
      <c r="R50" s="213"/>
      <c r="S50" s="213"/>
      <c r="T50" s="213"/>
      <c r="U50" s="213"/>
      <c r="V50" s="213"/>
      <c r="W50" s="135"/>
      <c r="X50" s="540">
        <f>+W52</f>
        <v>-7.4666666666666686</v>
      </c>
      <c r="Y50" s="135">
        <f>+SUM(L50:V50)</f>
        <v>300</v>
      </c>
      <c r="Z50" s="136">
        <f>+AA50+Y50</f>
        <v>2999</v>
      </c>
      <c r="AA50" s="136">
        <v>2699</v>
      </c>
      <c r="AB50" s="121"/>
      <c r="AC50" s="110"/>
      <c r="AD50" s="157"/>
      <c r="AE50" s="167">
        <f t="shared" si="0"/>
        <v>0</v>
      </c>
      <c r="AF50" s="167"/>
      <c r="AG50" s="167"/>
      <c r="AH50" s="246" t="s">
        <v>291</v>
      </c>
    </row>
    <row r="51" spans="1:35" ht="62.25" customHeight="1" x14ac:dyDescent="0.9">
      <c r="A51" s="124"/>
      <c r="B51" s="132">
        <v>12</v>
      </c>
      <c r="C51" s="111" t="s">
        <v>294</v>
      </c>
      <c r="D51" s="111"/>
      <c r="E51" s="111" t="s">
        <v>35</v>
      </c>
      <c r="F51" s="111" t="s">
        <v>297</v>
      </c>
      <c r="G51" s="111">
        <v>4800</v>
      </c>
      <c r="H51" s="111" t="s">
        <v>33</v>
      </c>
      <c r="I51" s="113">
        <v>69.260000000000005</v>
      </c>
      <c r="J51" s="130">
        <v>50</v>
      </c>
      <c r="K51" s="101" t="s">
        <v>17</v>
      </c>
      <c r="L51" s="214">
        <v>42</v>
      </c>
      <c r="M51" s="214">
        <v>44</v>
      </c>
      <c r="N51" s="214">
        <v>50</v>
      </c>
      <c r="O51" s="214">
        <v>46</v>
      </c>
      <c r="P51" s="214">
        <v>37</v>
      </c>
      <c r="Q51" s="214">
        <v>32</v>
      </c>
      <c r="R51" s="214">
        <v>57</v>
      </c>
      <c r="S51" s="214">
        <v>11</v>
      </c>
      <c r="T51" s="214"/>
      <c r="U51" s="214"/>
      <c r="V51" s="214"/>
      <c r="W51" s="123">
        <f>+IF(COUNTA(L51:V51)=8,Y51/(COUNTA(L51:V51)-0.5),IF(COUNTA(L51:V51)=0,0,Y51/COUNTA(L51:V51)))</f>
        <v>42.533333333333331</v>
      </c>
      <c r="X51" s="541"/>
      <c r="Y51" s="134">
        <f>+SUM(L51:V51)</f>
        <v>319</v>
      </c>
      <c r="Z51" s="137">
        <f>+Y51+AA51</f>
        <v>2363</v>
      </c>
      <c r="AA51" s="137">
        <v>2044</v>
      </c>
      <c r="AB51" s="140">
        <f>+Z50-Z51</f>
        <v>636</v>
      </c>
      <c r="AC51" s="131">
        <f>+IF(((Y52+(Y53/2))*60)=0,"",(I51*Y51)/((Y52+(Y53/2))*60))</f>
        <v>0.81512414683637713</v>
      </c>
      <c r="AD51" s="157"/>
      <c r="AE51" s="167">
        <f t="shared" si="0"/>
        <v>0</v>
      </c>
      <c r="AF51" s="167">
        <f>+Y51*I51</f>
        <v>22093.940000000002</v>
      </c>
      <c r="AG51" s="167"/>
      <c r="AH51" s="246">
        <v>2964</v>
      </c>
    </row>
    <row r="52" spans="1:35" ht="62.25" customHeight="1" x14ac:dyDescent="0.9">
      <c r="A52" s="124"/>
      <c r="B52" s="125">
        <f>+B51</f>
        <v>12</v>
      </c>
      <c r="C52" s="184"/>
      <c r="D52" s="111"/>
      <c r="E52" s="111"/>
      <c r="F52" s="112" t="e">
        <f>+VLOOKUP(F51,'Obj Prix'!$H:$H,2,FALSE)</f>
        <v>#N/A</v>
      </c>
      <c r="G52" s="238" t="s">
        <v>263</v>
      </c>
      <c r="H52" s="210"/>
      <c r="I52" s="113"/>
      <c r="J52" s="114" t="s">
        <v>22</v>
      </c>
      <c r="K52" s="102" t="s">
        <v>18</v>
      </c>
      <c r="L52" s="215">
        <v>59</v>
      </c>
      <c r="M52" s="215">
        <v>59</v>
      </c>
      <c r="N52" s="215">
        <v>60</v>
      </c>
      <c r="O52" s="215">
        <v>60</v>
      </c>
      <c r="P52" s="215">
        <v>60</v>
      </c>
      <c r="Q52" s="215">
        <v>60</v>
      </c>
      <c r="R52" s="215">
        <v>60</v>
      </c>
      <c r="S52" s="215">
        <v>60</v>
      </c>
      <c r="T52" s="215"/>
      <c r="U52" s="244"/>
      <c r="V52" s="215"/>
      <c r="W52" s="160">
        <f>+W51-J51</f>
        <v>-7.4666666666666686</v>
      </c>
      <c r="X52" s="541"/>
      <c r="Y52" s="103">
        <f>+SUM(L52:V52)-S52/2</f>
        <v>448</v>
      </c>
      <c r="Z52" s="138"/>
      <c r="AA52" s="138"/>
      <c r="AB52" s="122"/>
      <c r="AC52" s="116"/>
      <c r="AD52" s="157">
        <f>-(R52+(R53/2))*$AD$2/60</f>
        <v>-45.375</v>
      </c>
      <c r="AE52" s="167">
        <f t="shared" si="0"/>
        <v>-2722.5</v>
      </c>
      <c r="AF52" s="167"/>
      <c r="AG52" s="167"/>
      <c r="AH52" s="124"/>
    </row>
    <row r="53" spans="1:35" ht="69" customHeight="1" thickBot="1" x14ac:dyDescent="0.95">
      <c r="A53" s="124"/>
      <c r="B53" s="126">
        <f>+B51</f>
        <v>12</v>
      </c>
      <c r="C53" s="174" t="s">
        <v>286</v>
      </c>
      <c r="D53" s="175">
        <f>+D52+100</f>
        <v>100</v>
      </c>
      <c r="E53" s="175"/>
      <c r="F53" s="117" t="s">
        <v>203</v>
      </c>
      <c r="G53" s="117"/>
      <c r="H53" s="159" t="s">
        <v>285</v>
      </c>
      <c r="I53" s="165">
        <f>+IF(J53="","",IF(J51=0,"",(J51*I51)/(J53*60)))</f>
        <v>0.9619444444444446</v>
      </c>
      <c r="J53" s="118">
        <v>60</v>
      </c>
      <c r="K53" s="104" t="s">
        <v>19</v>
      </c>
      <c r="L53" s="216">
        <v>1</v>
      </c>
      <c r="M53" s="216">
        <v>1</v>
      </c>
      <c r="N53" s="216">
        <v>1</v>
      </c>
      <c r="O53" s="216">
        <v>1</v>
      </c>
      <c r="P53" s="216">
        <v>1</v>
      </c>
      <c r="Q53" s="216">
        <v>1</v>
      </c>
      <c r="R53" s="216">
        <v>1</v>
      </c>
      <c r="S53" s="216">
        <v>1</v>
      </c>
      <c r="T53" s="216"/>
      <c r="U53" s="245"/>
      <c r="V53" s="216"/>
      <c r="W53" s="173"/>
      <c r="X53" s="169">
        <v>13.54</v>
      </c>
      <c r="Y53" s="105">
        <f>+SUM(L53:V53)-S53/2</f>
        <v>7.5</v>
      </c>
      <c r="Z53" s="139"/>
      <c r="AA53" s="139"/>
      <c r="AB53" s="119">
        <f>+IFERROR(AB51/(J51*9),"")</f>
        <v>1.4133333333333333</v>
      </c>
      <c r="AC53" s="162"/>
      <c r="AD53" s="161">
        <f>+Y52+Y53/2</f>
        <v>451.75</v>
      </c>
      <c r="AE53" s="167">
        <f t="shared" si="0"/>
        <v>27105</v>
      </c>
      <c r="AF53" s="167"/>
      <c r="AG53" s="230">
        <f>+AD52+AD53</f>
        <v>406.375</v>
      </c>
      <c r="AH53" s="124"/>
    </row>
    <row r="54" spans="1:35" s="98" customFormat="1" ht="62.25" customHeight="1" thickTop="1" x14ac:dyDescent="0.9">
      <c r="A54" s="124"/>
      <c r="B54" s="127">
        <f>+B55</f>
        <v>13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3">
        <v>50</v>
      </c>
      <c r="M54" s="213">
        <v>50</v>
      </c>
      <c r="N54" s="213">
        <v>50</v>
      </c>
      <c r="O54" s="213"/>
      <c r="P54" s="213"/>
      <c r="Q54" s="213"/>
      <c r="R54" s="213"/>
      <c r="S54" s="213"/>
      <c r="T54" s="213"/>
      <c r="U54" s="213"/>
      <c r="V54" s="213"/>
      <c r="W54" s="135"/>
      <c r="X54" s="540">
        <f>+W56</f>
        <v>-1.06666666666667</v>
      </c>
      <c r="Y54" s="135">
        <f>+SUM(L54:V54)</f>
        <v>150</v>
      </c>
      <c r="Z54" s="136">
        <f>+AA54+Y54</f>
        <v>3300</v>
      </c>
      <c r="AA54" s="136">
        <v>3150</v>
      </c>
      <c r="AB54" s="109"/>
      <c r="AC54" s="110"/>
      <c r="AD54" s="157"/>
      <c r="AE54" s="167">
        <f t="shared" si="0"/>
        <v>0</v>
      </c>
      <c r="AF54" s="167"/>
      <c r="AG54" s="167"/>
      <c r="AH54" s="246" t="s">
        <v>276</v>
      </c>
      <c r="AI54" s="246" t="s">
        <v>287</v>
      </c>
    </row>
    <row r="55" spans="1:35" s="98" customFormat="1" ht="62.25" customHeight="1" x14ac:dyDescent="0.9">
      <c r="A55" s="124"/>
      <c r="B55" s="132">
        <v>13</v>
      </c>
      <c r="C55" s="111" t="s">
        <v>302</v>
      </c>
      <c r="D55" s="111"/>
      <c r="E55" s="111" t="s">
        <v>35</v>
      </c>
      <c r="F55" s="111" t="s">
        <v>277</v>
      </c>
      <c r="G55" s="111">
        <v>3300</v>
      </c>
      <c r="H55" s="111" t="s">
        <v>33</v>
      </c>
      <c r="I55" s="113">
        <v>70.680000000000007</v>
      </c>
      <c r="J55" s="130">
        <v>44</v>
      </c>
      <c r="K55" s="101" t="s">
        <v>17</v>
      </c>
      <c r="L55" s="214">
        <v>31</v>
      </c>
      <c r="M55" s="214">
        <v>52</v>
      </c>
      <c r="N55" s="214">
        <v>54</v>
      </c>
      <c r="O55" s="214">
        <v>48</v>
      </c>
      <c r="P55" s="214">
        <v>46</v>
      </c>
      <c r="Q55" s="214">
        <v>30</v>
      </c>
      <c r="R55" s="214">
        <v>43</v>
      </c>
      <c r="S55" s="214">
        <v>18</v>
      </c>
      <c r="T55" s="214"/>
      <c r="U55" s="214"/>
      <c r="V55" s="214"/>
      <c r="W55" s="123">
        <f>+IF(COUNTA(L55:V55)=8,Y55/(COUNTA(L55:V55)-0.5),IF(COUNTA(L55:V55)=0,0,Y55/COUNTA(L55:V55)))</f>
        <v>42.93333333333333</v>
      </c>
      <c r="X55" s="541"/>
      <c r="Y55" s="134">
        <f>+SUM(L55:V55)</f>
        <v>322</v>
      </c>
      <c r="Z55" s="137">
        <f>+Y55+AA55</f>
        <v>2676</v>
      </c>
      <c r="AA55" s="137">
        <v>2354</v>
      </c>
      <c r="AB55" s="140">
        <f>+Z54-Z55</f>
        <v>624</v>
      </c>
      <c r="AC55" s="131">
        <f>+IF(((Y56+(Y57/2))*60)=0,"",(I55*Y55)/((Y56+(Y57/2))*60))</f>
        <v>0.83965910348644168</v>
      </c>
      <c r="AD55" s="157"/>
      <c r="AE55" s="167">
        <f t="shared" si="0"/>
        <v>0</v>
      </c>
      <c r="AF55" s="167">
        <f>+Y55*I55</f>
        <v>22758.960000000003</v>
      </c>
      <c r="AG55" s="167"/>
      <c r="AH55" s="246">
        <v>4825</v>
      </c>
      <c r="AI55" s="246">
        <v>9399</v>
      </c>
    </row>
    <row r="56" spans="1:35" s="98" customFormat="1" ht="62.25" customHeight="1" x14ac:dyDescent="0.9">
      <c r="A56" s="124"/>
      <c r="B56" s="125">
        <f>+B55</f>
        <v>13</v>
      </c>
      <c r="C56" s="184"/>
      <c r="D56" s="111"/>
      <c r="E56" s="111"/>
      <c r="F56" s="112" t="e">
        <f>+VLOOKUP(F55,'Obj Prix'!$H:$H,2,FALSE)</f>
        <v>#N/A</v>
      </c>
      <c r="G56" s="238" t="s">
        <v>263</v>
      </c>
      <c r="H56" s="210"/>
      <c r="I56" s="113">
        <v>4</v>
      </c>
      <c r="J56" s="114" t="s">
        <v>22</v>
      </c>
      <c r="K56" s="102" t="s">
        <v>18</v>
      </c>
      <c r="L56" s="215">
        <v>57</v>
      </c>
      <c r="M56" s="215">
        <v>57</v>
      </c>
      <c r="N56" s="215">
        <v>58</v>
      </c>
      <c r="O56" s="215">
        <v>58</v>
      </c>
      <c r="P56" s="215">
        <v>58</v>
      </c>
      <c r="Q56" s="215">
        <v>58</v>
      </c>
      <c r="R56" s="215">
        <v>58</v>
      </c>
      <c r="S56" s="215">
        <v>58</v>
      </c>
      <c r="T56" s="215"/>
      <c r="U56" s="244"/>
      <c r="V56" s="215"/>
      <c r="W56" s="160">
        <f>+W55-J55</f>
        <v>-1.06666666666667</v>
      </c>
      <c r="X56" s="541"/>
      <c r="Y56" s="103">
        <f>+SUM(L56:V56)-S56/2</f>
        <v>433</v>
      </c>
      <c r="Z56" s="138"/>
      <c r="AA56" s="138"/>
      <c r="AB56" s="115"/>
      <c r="AC56" s="116"/>
      <c r="AD56" s="157">
        <f>-(R56+(R57/2))*$AD$2/60</f>
        <v>-45.375</v>
      </c>
      <c r="AE56" s="167">
        <f t="shared" si="0"/>
        <v>-2722.5</v>
      </c>
      <c r="AF56" s="167"/>
      <c r="AG56" s="167"/>
      <c r="AH56" s="124"/>
      <c r="AI56" s="91"/>
    </row>
    <row r="57" spans="1:35" s="98" customFormat="1" ht="62.25" customHeight="1" thickBot="1" x14ac:dyDescent="0.95">
      <c r="A57" s="124"/>
      <c r="B57" s="126">
        <f>+B55</f>
        <v>13</v>
      </c>
      <c r="C57" s="174" t="s">
        <v>76</v>
      </c>
      <c r="D57" s="175">
        <f>+D56+100</f>
        <v>100</v>
      </c>
      <c r="E57" s="175"/>
      <c r="F57" s="117" t="s">
        <v>94</v>
      </c>
      <c r="G57" s="218"/>
      <c r="H57" s="159" t="s">
        <v>285</v>
      </c>
      <c r="I57" s="165">
        <f>+IF(J57="","",IF(J55=0,"",(J55*I55)/(J57*60)))</f>
        <v>0.87850847457627124</v>
      </c>
      <c r="J57" s="118">
        <v>59</v>
      </c>
      <c r="K57" s="104" t="s">
        <v>19</v>
      </c>
      <c r="L57" s="216">
        <v>5</v>
      </c>
      <c r="M57" s="216">
        <v>5</v>
      </c>
      <c r="N57" s="216">
        <v>5</v>
      </c>
      <c r="O57" s="216">
        <v>5</v>
      </c>
      <c r="P57" s="216">
        <v>5</v>
      </c>
      <c r="Q57" s="216">
        <v>5</v>
      </c>
      <c r="R57" s="216">
        <v>5</v>
      </c>
      <c r="S57" s="216">
        <v>5</v>
      </c>
      <c r="T57" s="216"/>
      <c r="U57" s="245"/>
      <c r="V57" s="216"/>
      <c r="W57" s="173"/>
      <c r="X57" s="169">
        <v>26.69</v>
      </c>
      <c r="Y57" s="105">
        <f>+SUM(L57:V57)-S57/2</f>
        <v>37.5</v>
      </c>
      <c r="Z57" s="139"/>
      <c r="AA57" s="139"/>
      <c r="AB57" s="119">
        <f>+IFERROR(AB55/(J55*9),"")</f>
        <v>1.5757575757575757</v>
      </c>
      <c r="AC57" s="120"/>
      <c r="AD57" s="161">
        <f>+Y56+Y57/2</f>
        <v>451.75</v>
      </c>
      <c r="AE57" s="167">
        <f t="shared" si="0"/>
        <v>27105</v>
      </c>
      <c r="AF57" s="167"/>
      <c r="AG57" s="230">
        <f>+AD56+AD57</f>
        <v>406.375</v>
      </c>
      <c r="AH57" s="124"/>
      <c r="AI57" s="91"/>
    </row>
    <row r="58" spans="1:35" s="98" customFormat="1" ht="62.25" customHeight="1" thickTop="1" x14ac:dyDescent="0.9">
      <c r="A58" s="124"/>
      <c r="B58" s="127">
        <f>+B59</f>
        <v>13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3"/>
      <c r="M58" s="213"/>
      <c r="N58" s="213">
        <v>50</v>
      </c>
      <c r="O58" s="213">
        <v>50</v>
      </c>
      <c r="P58" s="213"/>
      <c r="Q58" s="213">
        <v>50</v>
      </c>
      <c r="R58" s="213"/>
      <c r="S58" s="213"/>
      <c r="T58" s="213"/>
      <c r="U58" s="213"/>
      <c r="V58" s="213"/>
      <c r="W58" s="135"/>
      <c r="X58" s="540">
        <f>+W60</f>
        <v>0</v>
      </c>
      <c r="Y58" s="135">
        <f>+SUM(L58:V58)</f>
        <v>150</v>
      </c>
      <c r="Z58" s="136">
        <f>+AA58+Y58</f>
        <v>150</v>
      </c>
      <c r="AA58" s="136"/>
      <c r="AB58" s="109"/>
      <c r="AC58" s="110"/>
      <c r="AD58" s="157"/>
      <c r="AE58" s="167">
        <f t="shared" si="0"/>
        <v>0</v>
      </c>
      <c r="AF58" s="167"/>
      <c r="AG58" s="167"/>
      <c r="AH58" s="246" t="s">
        <v>276</v>
      </c>
      <c r="AI58" s="246" t="s">
        <v>287</v>
      </c>
    </row>
    <row r="59" spans="1:35" s="98" customFormat="1" ht="62.25" customHeight="1" x14ac:dyDescent="0.9">
      <c r="A59" s="124"/>
      <c r="B59" s="132">
        <v>13</v>
      </c>
      <c r="C59" s="111" t="s">
        <v>309</v>
      </c>
      <c r="D59" s="111"/>
      <c r="E59" s="111" t="s">
        <v>35</v>
      </c>
      <c r="F59" s="111" t="s">
        <v>310</v>
      </c>
      <c r="G59" s="111">
        <v>16000</v>
      </c>
      <c r="H59" s="111" t="s">
        <v>33</v>
      </c>
      <c r="I59" s="113">
        <v>70.680000000000007</v>
      </c>
      <c r="J59" s="130">
        <v>44</v>
      </c>
      <c r="K59" s="101" t="s">
        <v>17</v>
      </c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123">
        <f>+IF(COUNTA(L59:V59)=8,Y59/(COUNTA(L59:V59)-0.5),IF(COUNTA(L59:V59)=0,0,Y59/COUNTA(L59:V59)))</f>
        <v>0</v>
      </c>
      <c r="X59" s="541"/>
      <c r="Y59" s="134">
        <f>+SUM(L59:V59)</f>
        <v>0</v>
      </c>
      <c r="Z59" s="137">
        <f>+Y59+AA59</f>
        <v>0</v>
      </c>
      <c r="AA59" s="137"/>
      <c r="AB59" s="140">
        <f>+Z58-Z59</f>
        <v>150</v>
      </c>
      <c r="AC59" s="131" t="str">
        <f>+IF(((Y60+(Y61/2))*60)=0,"",(I59*Y59)/((Y60+(Y61/2))*60))</f>
        <v/>
      </c>
      <c r="AD59" s="157"/>
      <c r="AE59" s="167">
        <f t="shared" si="0"/>
        <v>0</v>
      </c>
      <c r="AF59" s="167">
        <f>+Y59*I59</f>
        <v>0</v>
      </c>
      <c r="AG59" s="167"/>
      <c r="AH59" s="246">
        <v>4825</v>
      </c>
      <c r="AI59" s="246">
        <v>9399</v>
      </c>
    </row>
    <row r="60" spans="1:35" s="98" customFormat="1" ht="62.25" customHeight="1" x14ac:dyDescent="0.9">
      <c r="A60" s="124"/>
      <c r="B60" s="125">
        <f>+B59</f>
        <v>13</v>
      </c>
      <c r="C60" s="184"/>
      <c r="D60" s="111"/>
      <c r="E60" s="111"/>
      <c r="F60" s="112" t="e">
        <f>+VLOOKUP(F59,'Obj Prix'!$H:$H,2,FALSE)</f>
        <v>#N/A</v>
      </c>
      <c r="G60" s="238"/>
      <c r="H60" s="210"/>
      <c r="I60" s="113"/>
      <c r="J60" s="114" t="s">
        <v>22</v>
      </c>
      <c r="K60" s="102" t="s">
        <v>18</v>
      </c>
      <c r="L60" s="215"/>
      <c r="M60" s="215"/>
      <c r="N60" s="215"/>
      <c r="O60" s="215"/>
      <c r="P60" s="215"/>
      <c r="Q60" s="215"/>
      <c r="R60" s="215"/>
      <c r="S60" s="215"/>
      <c r="T60" s="215"/>
      <c r="U60" s="244"/>
      <c r="V60" s="215"/>
      <c r="W60" s="160"/>
      <c r="X60" s="541"/>
      <c r="Y60" s="103">
        <f>+SUM(L60:V60)-S60/2</f>
        <v>0</v>
      </c>
      <c r="Z60" s="138"/>
      <c r="AA60" s="138"/>
      <c r="AB60" s="115"/>
      <c r="AC60" s="116"/>
      <c r="AD60" s="157">
        <f>-(R60+(R61/2))*$AD$2/60</f>
        <v>0</v>
      </c>
      <c r="AE60" s="167">
        <f t="shared" si="0"/>
        <v>0</v>
      </c>
      <c r="AF60" s="167"/>
      <c r="AG60" s="167"/>
      <c r="AH60" s="124"/>
      <c r="AI60" s="91"/>
    </row>
    <row r="61" spans="1:35" s="98" customFormat="1" ht="62.25" customHeight="1" thickBot="1" x14ac:dyDescent="0.95">
      <c r="A61" s="124"/>
      <c r="B61" s="126">
        <f>+B59</f>
        <v>13</v>
      </c>
      <c r="C61" s="174" t="s">
        <v>76</v>
      </c>
      <c r="D61" s="175">
        <f>+D60+100</f>
        <v>100</v>
      </c>
      <c r="E61" s="175"/>
      <c r="F61" s="117" t="s">
        <v>94</v>
      </c>
      <c r="G61" s="218"/>
      <c r="H61" s="159"/>
      <c r="I61" s="165">
        <f>+IF(J61="","",IF(J59=0,"",(J59*I59)/(J61*60)))</f>
        <v>0.87850847457627124</v>
      </c>
      <c r="J61" s="118">
        <v>59</v>
      </c>
      <c r="K61" s="104" t="s">
        <v>19</v>
      </c>
      <c r="L61" s="216"/>
      <c r="M61" s="216"/>
      <c r="N61" s="216"/>
      <c r="O61" s="216"/>
      <c r="P61" s="216"/>
      <c r="Q61" s="216"/>
      <c r="R61" s="216"/>
      <c r="S61" s="216"/>
      <c r="T61" s="216"/>
      <c r="U61" s="245"/>
      <c r="V61" s="216"/>
      <c r="W61" s="173"/>
      <c r="X61" s="169"/>
      <c r="Y61" s="105">
        <f>+SUM(L61:V61)-S61/2</f>
        <v>0</v>
      </c>
      <c r="Z61" s="139"/>
      <c r="AA61" s="139"/>
      <c r="AB61" s="119">
        <f>+IFERROR(AB59/(J59*9),"")</f>
        <v>0.37878787878787878</v>
      </c>
      <c r="AC61" s="120"/>
      <c r="AD61" s="161">
        <f>+Y60+Y61/2</f>
        <v>0</v>
      </c>
      <c r="AE61" s="167">
        <f t="shared" si="0"/>
        <v>0</v>
      </c>
      <c r="AF61" s="167"/>
      <c r="AG61" s="230"/>
      <c r="AH61" s="124"/>
      <c r="AI61" s="91"/>
    </row>
    <row r="62" spans="1:35" s="98" customFormat="1" ht="62.25" customHeight="1" thickTop="1" x14ac:dyDescent="0.9">
      <c r="A62" s="124"/>
      <c r="B62" s="127">
        <f>+B63</f>
        <v>14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3">
        <v>50</v>
      </c>
      <c r="M62" s="213">
        <v>50</v>
      </c>
      <c r="N62" s="213">
        <v>50</v>
      </c>
      <c r="O62" s="213">
        <v>50</v>
      </c>
      <c r="P62" s="213"/>
      <c r="Q62" s="213"/>
      <c r="R62" s="213"/>
      <c r="S62" s="213"/>
      <c r="T62" s="213"/>
      <c r="U62" s="213"/>
      <c r="V62" s="213"/>
      <c r="W62" s="135"/>
      <c r="X62" s="540">
        <f>+W64</f>
        <v>-2.3333333333333357</v>
      </c>
      <c r="Y62" s="135">
        <f>+SUM(L62:V62)</f>
        <v>200</v>
      </c>
      <c r="Z62" s="136">
        <f>+AA62+Y62</f>
        <v>7893</v>
      </c>
      <c r="AA62" s="136">
        <v>7693</v>
      </c>
      <c r="AB62" s="109"/>
      <c r="AC62" s="110"/>
      <c r="AD62" s="157"/>
      <c r="AE62" s="167">
        <f t="shared" si="0"/>
        <v>0</v>
      </c>
      <c r="AF62" s="167"/>
      <c r="AG62" s="167"/>
      <c r="AH62" s="124"/>
      <c r="AI62" s="91"/>
    </row>
    <row r="63" spans="1:35" s="98" customFormat="1" ht="62.25" customHeight="1" x14ac:dyDescent="0.9">
      <c r="A63" s="124"/>
      <c r="B63" s="133">
        <v>14</v>
      </c>
      <c r="C63" s="111" t="s">
        <v>290</v>
      </c>
      <c r="D63" s="111"/>
      <c r="E63" s="111" t="s">
        <v>274</v>
      </c>
      <c r="F63" s="111" t="s">
        <v>288</v>
      </c>
      <c r="G63" s="111">
        <v>9000</v>
      </c>
      <c r="H63" s="111"/>
      <c r="I63" s="113">
        <v>75.47</v>
      </c>
      <c r="J63" s="130">
        <v>37</v>
      </c>
      <c r="K63" s="101" t="s">
        <v>17</v>
      </c>
      <c r="L63" s="214">
        <v>37</v>
      </c>
      <c r="M63" s="214">
        <v>37</v>
      </c>
      <c r="N63" s="214">
        <v>37</v>
      </c>
      <c r="O63" s="214">
        <v>37</v>
      </c>
      <c r="P63" s="214">
        <v>37</v>
      </c>
      <c r="Q63" s="214">
        <v>37</v>
      </c>
      <c r="R63" s="214">
        <v>19</v>
      </c>
      <c r="S63" s="214">
        <v>19</v>
      </c>
      <c r="T63" s="214"/>
      <c r="U63" s="214"/>
      <c r="V63" s="214"/>
      <c r="W63" s="123">
        <f>+IF(COUNTA(L63:V63)=8,Y63/(COUNTA(L63:V63)-0.5),IF(COUNTA(L63:V63)=0,0,Y63/COUNTA(L63:V63)))</f>
        <v>34.666666666666664</v>
      </c>
      <c r="X63" s="541"/>
      <c r="Y63" s="134">
        <f>+SUM(L63:V63)</f>
        <v>260</v>
      </c>
      <c r="Z63" s="137">
        <f>+Y63+AA63</f>
        <v>7318</v>
      </c>
      <c r="AA63" s="137">
        <v>7058</v>
      </c>
      <c r="AB63" s="140">
        <f>+Z62-Z63</f>
        <v>575</v>
      </c>
      <c r="AC63" s="131">
        <f>+IF(((Y64+(Y65/2))*60)=0,"",(I63*Y63)/((Y64+(Y65/2))*60))</f>
        <v>0.78567367367367369</v>
      </c>
      <c r="AD63" s="157"/>
      <c r="AE63" s="167">
        <f t="shared" si="0"/>
        <v>0</v>
      </c>
      <c r="AF63" s="167">
        <f>+Y63*I63</f>
        <v>19622.2</v>
      </c>
      <c r="AG63" s="167"/>
      <c r="AH63" s="124"/>
      <c r="AI63" s="91"/>
    </row>
    <row r="64" spans="1:35" s="98" customFormat="1" ht="62.25" customHeight="1" x14ac:dyDescent="0.9">
      <c r="A64" s="124"/>
      <c r="B64" s="125">
        <f>+B63</f>
        <v>14</v>
      </c>
      <c r="C64" s="184"/>
      <c r="D64" s="111">
        <f>+B63</f>
        <v>14</v>
      </c>
      <c r="E64" s="111"/>
      <c r="F64" s="112" t="e">
        <f>+VLOOKUP(F63,'Obj Prix'!$H:$H,2,FALSE)</f>
        <v>#N/A</v>
      </c>
      <c r="G64" s="238"/>
      <c r="H64" s="210"/>
      <c r="I64" s="210">
        <v>2</v>
      </c>
      <c r="J64" s="114" t="s">
        <v>22</v>
      </c>
      <c r="K64" s="102" t="s">
        <v>18</v>
      </c>
      <c r="L64" s="215">
        <v>55</v>
      </c>
      <c r="M64" s="215">
        <v>55</v>
      </c>
      <c r="N64" s="215">
        <v>55</v>
      </c>
      <c r="O64" s="215">
        <v>55</v>
      </c>
      <c r="P64" s="215">
        <v>55</v>
      </c>
      <c r="Q64" s="215">
        <v>55</v>
      </c>
      <c r="R64" s="215">
        <v>55</v>
      </c>
      <c r="S64" s="215">
        <v>55</v>
      </c>
      <c r="T64" s="215"/>
      <c r="U64" s="244"/>
      <c r="V64" s="215"/>
      <c r="W64" s="160">
        <f>+W63-J63</f>
        <v>-2.3333333333333357</v>
      </c>
      <c r="X64" s="541"/>
      <c r="Y64" s="103">
        <f>+SUM(L64:V64)-S64/2</f>
        <v>412.5</v>
      </c>
      <c r="Z64" s="138"/>
      <c r="AA64" s="138"/>
      <c r="AB64" s="115"/>
      <c r="AC64" s="116"/>
      <c r="AD64" s="157">
        <f>-(R64+(R65/2))*$AD$2/60</f>
        <v>-41.625</v>
      </c>
      <c r="AE64" s="167">
        <f t="shared" si="0"/>
        <v>-2497.5</v>
      </c>
      <c r="AF64" s="167"/>
      <c r="AG64" s="167"/>
      <c r="AH64" s="124"/>
      <c r="AI64" s="91"/>
    </row>
    <row r="65" spans="1:35" s="98" customFormat="1" ht="62.25" customHeight="1" thickBot="1" x14ac:dyDescent="0.95">
      <c r="A65" s="124"/>
      <c r="B65" s="126">
        <f>+B63</f>
        <v>14</v>
      </c>
      <c r="C65" s="174" t="s">
        <v>112</v>
      </c>
      <c r="D65" s="175">
        <f>+D64+100</f>
        <v>114</v>
      </c>
      <c r="E65" s="175"/>
      <c r="F65" s="117" t="s">
        <v>94</v>
      </c>
      <c r="G65" s="117"/>
      <c r="H65" s="159" t="s">
        <v>289</v>
      </c>
      <c r="I65" s="165">
        <f>+IF(J65="","",IF(J63=0,"",(J63*I63)/(J65*60)))</f>
        <v>0.83106845238095239</v>
      </c>
      <c r="J65" s="118">
        <v>56</v>
      </c>
      <c r="K65" s="104" t="s">
        <v>19</v>
      </c>
      <c r="L65" s="216">
        <v>1</v>
      </c>
      <c r="M65" s="216">
        <v>1</v>
      </c>
      <c r="N65" s="216">
        <v>1</v>
      </c>
      <c r="O65" s="216">
        <v>1</v>
      </c>
      <c r="P65" s="216">
        <v>1</v>
      </c>
      <c r="Q65" s="216">
        <v>1</v>
      </c>
      <c r="R65" s="216">
        <v>1</v>
      </c>
      <c r="S65" s="216">
        <v>1</v>
      </c>
      <c r="T65" s="216"/>
      <c r="U65" s="245"/>
      <c r="V65" s="216"/>
      <c r="W65" s="173"/>
      <c r="X65" s="169">
        <v>31.52</v>
      </c>
      <c r="Y65" s="105">
        <f>+SUM(L65:V65)-S65/2</f>
        <v>7.5</v>
      </c>
      <c r="Z65" s="139"/>
      <c r="AA65" s="139"/>
      <c r="AB65" s="119">
        <f>+IFERROR(AB63/(J63*9),"")</f>
        <v>1.7267267267267268</v>
      </c>
      <c r="AC65" s="120"/>
      <c r="AD65" s="161">
        <f>+Y64+Y65/2</f>
        <v>416.25</v>
      </c>
      <c r="AE65" s="167">
        <f t="shared" si="0"/>
        <v>24975</v>
      </c>
      <c r="AF65" s="167"/>
      <c r="AG65" s="230">
        <f>+AD64+AD65</f>
        <v>374.625</v>
      </c>
      <c r="AH65" s="124"/>
      <c r="AI65" s="91"/>
    </row>
    <row r="66" spans="1:35" ht="62.25" customHeight="1" thickTop="1" x14ac:dyDescent="0.9">
      <c r="A66" s="124"/>
      <c r="B66" s="127">
        <f>+B67</f>
        <v>15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5">
        <v>100</v>
      </c>
      <c r="M66" s="215">
        <v>50</v>
      </c>
      <c r="N66" s="215">
        <v>50</v>
      </c>
      <c r="O66" s="215">
        <v>50</v>
      </c>
      <c r="P66" s="215"/>
      <c r="Q66" s="215">
        <v>50</v>
      </c>
      <c r="R66" s="215"/>
      <c r="S66" s="215"/>
      <c r="T66" s="215"/>
      <c r="U66" s="213"/>
      <c r="V66" s="213"/>
      <c r="W66" s="135"/>
      <c r="X66" s="540">
        <f>+W68</f>
        <v>-7.7333333333333343</v>
      </c>
      <c r="Y66" s="135">
        <f>+SUM(L66:V66)</f>
        <v>300</v>
      </c>
      <c r="Z66" s="136">
        <f>+AA66+Y66</f>
        <v>3773</v>
      </c>
      <c r="AA66" s="136">
        <v>3473</v>
      </c>
      <c r="AB66" s="121"/>
      <c r="AC66" s="110"/>
      <c r="AD66" s="157"/>
      <c r="AE66" s="167">
        <f t="shared" si="0"/>
        <v>0</v>
      </c>
      <c r="AF66" s="167"/>
      <c r="AG66" s="167"/>
      <c r="AH66" s="124"/>
    </row>
    <row r="67" spans="1:35" ht="62.25" customHeight="1" x14ac:dyDescent="0.9">
      <c r="A67" s="124"/>
      <c r="B67" s="133">
        <v>15</v>
      </c>
      <c r="C67" s="111" t="s">
        <v>295</v>
      </c>
      <c r="D67" s="111"/>
      <c r="E67" s="111" t="s">
        <v>35</v>
      </c>
      <c r="F67" s="111" t="s">
        <v>296</v>
      </c>
      <c r="G67" s="111">
        <v>7500</v>
      </c>
      <c r="H67" s="111" t="s">
        <v>33</v>
      </c>
      <c r="I67" s="113">
        <v>61.46</v>
      </c>
      <c r="J67" s="130">
        <v>48</v>
      </c>
      <c r="K67" s="101" t="s">
        <v>17</v>
      </c>
      <c r="L67" s="214">
        <v>46</v>
      </c>
      <c r="M67" s="214">
        <v>47</v>
      </c>
      <c r="N67" s="214">
        <v>43</v>
      </c>
      <c r="O67" s="214">
        <v>49</v>
      </c>
      <c r="P67" s="214">
        <v>43</v>
      </c>
      <c r="Q67" s="214">
        <v>31</v>
      </c>
      <c r="R67" s="214">
        <v>28</v>
      </c>
      <c r="S67" s="214">
        <v>15</v>
      </c>
      <c r="T67" s="214"/>
      <c r="U67" s="214"/>
      <c r="V67" s="214"/>
      <c r="W67" s="123">
        <f>+IF(COUNTA(L67:V67)=8,Y67/(COUNTA(L67:V67)-0.5),IF(COUNTA(L67:V67)=0,0,Y67/COUNTA(L67:V67)))</f>
        <v>40.266666666666666</v>
      </c>
      <c r="X67" s="541"/>
      <c r="Y67" s="134">
        <f>+SUM(L67:V67)</f>
        <v>302</v>
      </c>
      <c r="Z67" s="137">
        <f>+Y67+AA67</f>
        <v>2852</v>
      </c>
      <c r="AA67" s="137">
        <v>2550</v>
      </c>
      <c r="AB67" s="140">
        <f>+Z66-Z67</f>
        <v>921</v>
      </c>
      <c r="AC67" s="131">
        <f>+IF(((Y68+(Y69/2))*60)=0,"",(I67*Y67)/((Y68+(Y69/2))*60))</f>
        <v>0.73654444444444456</v>
      </c>
      <c r="AD67" s="157"/>
      <c r="AE67" s="167">
        <f t="shared" si="0"/>
        <v>0</v>
      </c>
      <c r="AF67" s="167">
        <f>+Y67*I67</f>
        <v>18560.920000000002</v>
      </c>
      <c r="AG67" s="167"/>
      <c r="AH67" s="124"/>
    </row>
    <row r="68" spans="1:35" ht="62.25" customHeight="1" x14ac:dyDescent="0.9">
      <c r="A68" s="124"/>
      <c r="B68" s="125">
        <f>+B67</f>
        <v>15</v>
      </c>
      <c r="C68" s="184"/>
      <c r="D68" s="111">
        <f>+B67</f>
        <v>15</v>
      </c>
      <c r="E68" s="111"/>
      <c r="F68" s="112" t="e">
        <f>+VLOOKUP(F67,'Obj Prix'!$H:$H,2,FALSE)</f>
        <v>#N/A</v>
      </c>
      <c r="G68" s="238" t="s">
        <v>263</v>
      </c>
      <c r="H68" s="111"/>
      <c r="I68" s="210">
        <v>3</v>
      </c>
      <c r="J68" s="114" t="s">
        <v>22</v>
      </c>
      <c r="K68" s="102" t="s">
        <v>18</v>
      </c>
      <c r="L68" s="215">
        <v>55</v>
      </c>
      <c r="M68" s="215">
        <v>55</v>
      </c>
      <c r="N68" s="215">
        <v>55</v>
      </c>
      <c r="O68" s="215">
        <v>55</v>
      </c>
      <c r="P68" s="215">
        <v>55</v>
      </c>
      <c r="Q68" s="215">
        <v>55</v>
      </c>
      <c r="R68" s="215">
        <v>55</v>
      </c>
      <c r="S68" s="215">
        <v>55</v>
      </c>
      <c r="T68" s="215"/>
      <c r="U68" s="244"/>
      <c r="V68" s="215"/>
      <c r="W68" s="160">
        <f>+W67-J67</f>
        <v>-7.7333333333333343</v>
      </c>
      <c r="X68" s="541"/>
      <c r="Y68" s="103">
        <f>+SUM(L68:V68)-S68/2</f>
        <v>412.5</v>
      </c>
      <c r="Z68" s="138"/>
      <c r="AA68" s="138"/>
      <c r="AB68" s="122"/>
      <c r="AC68" s="116"/>
      <c r="AD68" s="157">
        <f>-(R68+(R69/2))*$AD$2/60</f>
        <v>-42</v>
      </c>
      <c r="AE68" s="167">
        <f t="shared" si="0"/>
        <v>-2520</v>
      </c>
      <c r="AF68" s="167"/>
      <c r="AG68" s="167"/>
      <c r="AH68" s="124"/>
    </row>
    <row r="69" spans="1:35" ht="59.25" customHeight="1" thickBot="1" x14ac:dyDescent="0.95">
      <c r="A69" s="124"/>
      <c r="B69" s="126">
        <f>+B67</f>
        <v>15</v>
      </c>
      <c r="C69" s="174" t="s">
        <v>80</v>
      </c>
      <c r="D69" s="175">
        <f>+D68+100</f>
        <v>115</v>
      </c>
      <c r="E69" s="175"/>
      <c r="F69" s="117" t="s">
        <v>94</v>
      </c>
      <c r="G69" s="117"/>
      <c r="H69" s="159" t="s">
        <v>312</v>
      </c>
      <c r="I69" s="165">
        <f>+IF(J69="","",IF(J67=0,"",(J67*I67)/(J69*60)))</f>
        <v>0.86259649122807014</v>
      </c>
      <c r="J69" s="118">
        <v>57</v>
      </c>
      <c r="K69" s="104" t="s">
        <v>19</v>
      </c>
      <c r="L69" s="216">
        <v>2</v>
      </c>
      <c r="M69" s="216">
        <v>2</v>
      </c>
      <c r="N69" s="216">
        <v>2</v>
      </c>
      <c r="O69" s="216">
        <v>2</v>
      </c>
      <c r="P69" s="216">
        <v>2</v>
      </c>
      <c r="Q69" s="216">
        <v>2</v>
      </c>
      <c r="R69" s="216">
        <v>2</v>
      </c>
      <c r="S69" s="216">
        <v>2</v>
      </c>
      <c r="T69" s="216"/>
      <c r="U69" s="245"/>
      <c r="V69" s="216"/>
      <c r="W69" s="173"/>
      <c r="X69" s="169">
        <v>23.28</v>
      </c>
      <c r="Y69" s="105">
        <f>+SUM(L69:V69)-S69/2</f>
        <v>15</v>
      </c>
      <c r="Z69" s="139"/>
      <c r="AA69" s="139"/>
      <c r="AB69" s="119">
        <f>+IFERROR(AB67/(J67*9),"")</f>
        <v>2.1319444444444446</v>
      </c>
      <c r="AC69" s="120"/>
      <c r="AD69" s="161">
        <f>+Y68+Y69/2</f>
        <v>420</v>
      </c>
      <c r="AE69" s="167">
        <f t="shared" si="0"/>
        <v>25200</v>
      </c>
      <c r="AF69" s="167"/>
      <c r="AG69" s="230">
        <f>+AD68+AD69</f>
        <v>378</v>
      </c>
      <c r="AH69" s="124"/>
    </row>
    <row r="70" spans="1:35" s="98" customFormat="1" ht="62.25" customHeight="1" thickTop="1" x14ac:dyDescent="0.9">
      <c r="A70" s="124"/>
      <c r="B70" s="127">
        <f>+B71</f>
        <v>17</v>
      </c>
      <c r="C70" s="106"/>
      <c r="D70" s="106"/>
      <c r="E70" s="106"/>
      <c r="F70" s="111"/>
      <c r="G70" s="106"/>
      <c r="H70" s="106"/>
      <c r="I70" s="107" t="s">
        <v>20</v>
      </c>
      <c r="J70" s="108" t="s">
        <v>23</v>
      </c>
      <c r="K70" s="100" t="s">
        <v>21</v>
      </c>
      <c r="L70" s="213">
        <v>80</v>
      </c>
      <c r="M70" s="213">
        <v>40</v>
      </c>
      <c r="N70" s="213">
        <v>80</v>
      </c>
      <c r="O70" s="213">
        <v>40</v>
      </c>
      <c r="P70" s="213">
        <v>40</v>
      </c>
      <c r="Q70" s="213"/>
      <c r="R70" s="213">
        <v>40</v>
      </c>
      <c r="S70" s="213">
        <v>40</v>
      </c>
      <c r="T70" s="213"/>
      <c r="U70" s="213"/>
      <c r="V70" s="213"/>
      <c r="W70" s="135"/>
      <c r="X70" s="540">
        <f>+W72</f>
        <v>-8.6666666666666643</v>
      </c>
      <c r="Y70" s="135">
        <f>+SUM(L70:V70)</f>
        <v>360</v>
      </c>
      <c r="Z70" s="136">
        <f>+AA70+Y70</f>
        <v>3280</v>
      </c>
      <c r="AA70" s="136">
        <v>2920</v>
      </c>
      <c r="AB70" s="121"/>
      <c r="AC70" s="110"/>
      <c r="AD70" s="157"/>
      <c r="AE70" s="167">
        <f t="shared" si="0"/>
        <v>0</v>
      </c>
      <c r="AF70" s="167"/>
      <c r="AG70" s="167"/>
      <c r="AH70" s="124"/>
      <c r="AI70" s="91"/>
    </row>
    <row r="71" spans="1:35" s="98" customFormat="1" ht="62.25" customHeight="1" x14ac:dyDescent="0.9">
      <c r="A71" s="124"/>
      <c r="B71" s="132">
        <v>17</v>
      </c>
      <c r="C71" s="111" t="s">
        <v>298</v>
      </c>
      <c r="D71" s="111"/>
      <c r="E71" s="111" t="s">
        <v>35</v>
      </c>
      <c r="F71" s="111" t="s">
        <v>299</v>
      </c>
      <c r="G71" s="111">
        <v>8731</v>
      </c>
      <c r="H71" s="111" t="s">
        <v>300</v>
      </c>
      <c r="I71" s="113">
        <v>60.17</v>
      </c>
      <c r="J71" s="130">
        <v>50</v>
      </c>
      <c r="K71" s="101" t="s">
        <v>17</v>
      </c>
      <c r="L71" s="214">
        <v>50</v>
      </c>
      <c r="M71" s="214">
        <v>40</v>
      </c>
      <c r="N71" s="214">
        <v>60</v>
      </c>
      <c r="O71" s="214">
        <v>50</v>
      </c>
      <c r="P71" s="214">
        <v>50</v>
      </c>
      <c r="Q71" s="214">
        <v>30</v>
      </c>
      <c r="R71" s="214">
        <v>30</v>
      </c>
      <c r="S71" s="214">
        <v>0</v>
      </c>
      <c r="T71" s="214"/>
      <c r="U71" s="214"/>
      <c r="V71" s="214"/>
      <c r="W71" s="123">
        <f>+IF(COUNTA(L71:V71)=8,Y71/(COUNTA(L71:V71)-0.5),IF(COUNTA(L71:V71)=0,0,Y71/COUNTA(L71:V71)))</f>
        <v>41.333333333333336</v>
      </c>
      <c r="X71" s="541"/>
      <c r="Y71" s="134">
        <f>+SUM(L71:V71)</f>
        <v>310</v>
      </c>
      <c r="Z71" s="137">
        <f>+Y71+AA71</f>
        <v>2749</v>
      </c>
      <c r="AA71" s="137">
        <v>2439</v>
      </c>
      <c r="AB71" s="140">
        <f>+Z70-Z71</f>
        <v>531</v>
      </c>
      <c r="AC71" s="131">
        <f>+IF(((Y72+(Y73/2))*60)=0,"",(I71*Y71)/((Y72+(Y73/2))*60))</f>
        <v>0.73886710239651421</v>
      </c>
      <c r="AD71" s="157"/>
      <c r="AE71" s="167">
        <f t="shared" si="0"/>
        <v>0</v>
      </c>
      <c r="AF71" s="167">
        <f>+Y71*I71</f>
        <v>18652.7</v>
      </c>
      <c r="AG71" s="167"/>
      <c r="AH71" s="124"/>
      <c r="AI71" s="91"/>
    </row>
    <row r="72" spans="1:35" s="98" customFormat="1" ht="62.25" customHeight="1" x14ac:dyDescent="0.9">
      <c r="A72" s="124"/>
      <c r="B72" s="125">
        <f>+B71</f>
        <v>17</v>
      </c>
      <c r="C72" s="184"/>
      <c r="D72" s="111"/>
      <c r="E72" s="111"/>
      <c r="F72" s="112" t="e">
        <f>+VLOOKUP(F71,'Obj Prix'!$H:$H,2,FALSE)</f>
        <v>#N/A</v>
      </c>
      <c r="G72" s="238" t="s">
        <v>263</v>
      </c>
      <c r="H72" s="210"/>
      <c r="I72" s="113">
        <v>2</v>
      </c>
      <c r="J72" s="114" t="s">
        <v>22</v>
      </c>
      <c r="K72" s="102" t="s">
        <v>18</v>
      </c>
      <c r="L72" s="215">
        <v>53</v>
      </c>
      <c r="M72" s="215">
        <v>56</v>
      </c>
      <c r="N72" s="215">
        <v>56</v>
      </c>
      <c r="O72" s="215">
        <v>56</v>
      </c>
      <c r="P72" s="215">
        <v>56</v>
      </c>
      <c r="Q72" s="215">
        <v>56</v>
      </c>
      <c r="R72" s="215">
        <v>56</v>
      </c>
      <c r="S72" s="215">
        <v>56</v>
      </c>
      <c r="T72" s="215"/>
      <c r="U72" s="244"/>
      <c r="V72" s="215"/>
      <c r="W72" s="160">
        <f>+W71-J71</f>
        <v>-8.6666666666666643</v>
      </c>
      <c r="X72" s="541"/>
      <c r="Y72" s="103">
        <f>+SUM(L72:V72)-S72/2</f>
        <v>417</v>
      </c>
      <c r="Z72" s="138"/>
      <c r="AA72" s="138"/>
      <c r="AB72" s="122"/>
      <c r="AC72" s="116"/>
      <c r="AD72" s="157">
        <f>-(R72+(R73/2))*$AD$2/60</f>
        <v>-42.375</v>
      </c>
      <c r="AE72" s="167">
        <f t="shared" si="0"/>
        <v>-2542.5</v>
      </c>
      <c r="AF72" s="167"/>
      <c r="AG72" s="167"/>
      <c r="AH72" s="124"/>
      <c r="AI72" s="91"/>
    </row>
    <row r="73" spans="1:35" s="98" customFormat="1" ht="62.25" customHeight="1" thickBot="1" x14ac:dyDescent="0.95">
      <c r="A73" s="124"/>
      <c r="B73" s="126">
        <f>+B71</f>
        <v>17</v>
      </c>
      <c r="C73" s="174" t="s">
        <v>284</v>
      </c>
      <c r="D73" s="175">
        <f>+D72+100</f>
        <v>100</v>
      </c>
      <c r="E73" s="175"/>
      <c r="F73" s="117" t="s">
        <v>111</v>
      </c>
      <c r="G73" s="117"/>
      <c r="H73" s="159" t="s">
        <v>303</v>
      </c>
      <c r="I73" s="165">
        <f>+IF(J73="","",IF(J71=0,"",(J71*I71)/(J73*60)))</f>
        <v>0.89538690476190474</v>
      </c>
      <c r="J73" s="118">
        <v>56</v>
      </c>
      <c r="K73" s="104" t="s">
        <v>19</v>
      </c>
      <c r="L73" s="216">
        <v>1</v>
      </c>
      <c r="M73" s="216">
        <v>1</v>
      </c>
      <c r="N73" s="216">
        <v>1</v>
      </c>
      <c r="O73" s="216">
        <v>1</v>
      </c>
      <c r="P73" s="216">
        <v>1</v>
      </c>
      <c r="Q73" s="216">
        <v>1</v>
      </c>
      <c r="R73" s="216">
        <v>1</v>
      </c>
      <c r="S73" s="216">
        <v>1</v>
      </c>
      <c r="T73" s="216"/>
      <c r="U73" s="245"/>
      <c r="V73" s="216"/>
      <c r="W73" s="173"/>
      <c r="X73" s="169">
        <v>14.54</v>
      </c>
      <c r="Y73" s="105">
        <f>+SUM(L73:V73)-S73/2</f>
        <v>7.5</v>
      </c>
      <c r="Z73" s="139"/>
      <c r="AA73" s="139"/>
      <c r="AB73" s="119">
        <f>+IFERROR(AB71/(J71*9),"")</f>
        <v>1.18</v>
      </c>
      <c r="AC73" s="120"/>
      <c r="AD73" s="161">
        <f>+Y72+Y73/2</f>
        <v>420.75</v>
      </c>
      <c r="AE73" s="167">
        <f t="shared" si="0"/>
        <v>25245</v>
      </c>
      <c r="AF73" s="167"/>
      <c r="AG73" s="230">
        <f>+AD72+AD73</f>
        <v>378.375</v>
      </c>
      <c r="AH73" s="124"/>
      <c r="AI73" s="91"/>
    </row>
    <row r="74" spans="1:35" s="98" customFormat="1" ht="62.25" customHeight="1" thickTop="1" x14ac:dyDescent="0.9">
      <c r="A74" s="124"/>
      <c r="B74" s="127">
        <f>+B75</f>
        <v>18</v>
      </c>
      <c r="C74" s="106"/>
      <c r="D74" s="106"/>
      <c r="E74" s="106"/>
      <c r="F74" s="111"/>
      <c r="G74" s="106"/>
      <c r="H74" s="106"/>
      <c r="I74" s="107" t="s">
        <v>20</v>
      </c>
      <c r="J74" s="108" t="s">
        <v>23</v>
      </c>
      <c r="K74" s="100" t="s">
        <v>21</v>
      </c>
      <c r="L74" s="213">
        <v>50</v>
      </c>
      <c r="M74" s="213">
        <v>50</v>
      </c>
      <c r="N74" s="213">
        <v>50</v>
      </c>
      <c r="O74" s="213">
        <v>50</v>
      </c>
      <c r="P74" s="213">
        <v>50</v>
      </c>
      <c r="Q74" s="213"/>
      <c r="R74" s="213">
        <v>50</v>
      </c>
      <c r="S74" s="213"/>
      <c r="T74" s="213"/>
      <c r="U74" s="213"/>
      <c r="V74" s="213"/>
      <c r="W74" s="135"/>
      <c r="X74" s="540">
        <f>+W76</f>
        <v>-8.3999999999999986</v>
      </c>
      <c r="Y74" s="135">
        <f>+SUM(L74:V74)</f>
        <v>300</v>
      </c>
      <c r="Z74" s="136">
        <f>+AA74+Y74</f>
        <v>1000</v>
      </c>
      <c r="AA74" s="136">
        <v>700</v>
      </c>
      <c r="AB74" s="121"/>
      <c r="AC74" s="110"/>
      <c r="AD74" s="157"/>
      <c r="AE74" s="167">
        <f t="shared" ref="AE74:AE81" si="1">+AD74*60</f>
        <v>0</v>
      </c>
      <c r="AF74" s="167"/>
      <c r="AG74" s="167"/>
      <c r="AH74" s="246" t="s">
        <v>291</v>
      </c>
      <c r="AI74" s="91"/>
    </row>
    <row r="75" spans="1:35" s="98" customFormat="1" ht="62.25" customHeight="1" x14ac:dyDescent="0.9">
      <c r="A75" s="124"/>
      <c r="B75" s="132">
        <v>18</v>
      </c>
      <c r="C75" s="111" t="s">
        <v>295</v>
      </c>
      <c r="D75" s="111"/>
      <c r="E75" s="111" t="s">
        <v>35</v>
      </c>
      <c r="F75" s="111" t="s">
        <v>296</v>
      </c>
      <c r="G75" s="111">
        <v>6712</v>
      </c>
      <c r="H75" s="111" t="s">
        <v>33</v>
      </c>
      <c r="I75" s="113">
        <v>61.46</v>
      </c>
      <c r="J75" s="130">
        <v>48</v>
      </c>
      <c r="K75" s="101" t="s">
        <v>17</v>
      </c>
      <c r="L75" s="214">
        <v>20</v>
      </c>
      <c r="M75" s="214">
        <v>46</v>
      </c>
      <c r="N75" s="214">
        <v>46</v>
      </c>
      <c r="O75" s="214">
        <v>46</v>
      </c>
      <c r="P75" s="214">
        <v>46</v>
      </c>
      <c r="Q75" s="214">
        <v>33</v>
      </c>
      <c r="R75" s="214">
        <v>40</v>
      </c>
      <c r="S75" s="214">
        <v>20</v>
      </c>
      <c r="T75" s="214"/>
      <c r="U75" s="214"/>
      <c r="V75" s="214"/>
      <c r="W75" s="123">
        <f>+IF(COUNTA(L75:V75)=8,Y75/(COUNTA(L75:V75)-0.5),IF(COUNTA(L75:V75)=0,0,Y75/COUNTA(L75:V75)))</f>
        <v>39.6</v>
      </c>
      <c r="X75" s="541"/>
      <c r="Y75" s="134">
        <f>+SUM(L75:V75)</f>
        <v>297</v>
      </c>
      <c r="Z75" s="137">
        <f>+Y75+AA75</f>
        <v>297</v>
      </c>
      <c r="AA75" s="137">
        <v>0</v>
      </c>
      <c r="AB75" s="140">
        <f>+Z74-Z75</f>
        <v>703</v>
      </c>
      <c r="AC75" s="131">
        <f>+IF(((Y76+(Y77/2))*60)=0,"",(I75*Y75)/((Y76+(Y77/2))*60))</f>
        <v>0.72134439834024888</v>
      </c>
      <c r="AD75" s="157"/>
      <c r="AE75" s="167">
        <f t="shared" si="1"/>
        <v>0</v>
      </c>
      <c r="AF75" s="167">
        <f>+Y75*I75</f>
        <v>18253.62</v>
      </c>
      <c r="AG75" s="167"/>
      <c r="AH75" s="246">
        <v>2280</v>
      </c>
      <c r="AI75" s="91"/>
    </row>
    <row r="76" spans="1:35" s="98" customFormat="1" ht="62.25" customHeight="1" x14ac:dyDescent="0.9">
      <c r="A76" s="124"/>
      <c r="B76" s="125">
        <f>+B75</f>
        <v>18</v>
      </c>
      <c r="C76" s="184"/>
      <c r="D76" s="111"/>
      <c r="E76" s="111"/>
      <c r="F76" s="112" t="e">
        <f>+VLOOKUP(F75,'Obj Prix'!$H:$H,2,FALSE)</f>
        <v>#N/A</v>
      </c>
      <c r="G76" s="238" t="s">
        <v>263</v>
      </c>
      <c r="H76" s="210"/>
      <c r="I76" s="210">
        <v>3</v>
      </c>
      <c r="J76" s="114" t="s">
        <v>22</v>
      </c>
      <c r="K76" s="102" t="s">
        <v>18</v>
      </c>
      <c r="L76" s="215">
        <v>54</v>
      </c>
      <c r="M76" s="215">
        <v>54</v>
      </c>
      <c r="N76" s="215">
        <v>55</v>
      </c>
      <c r="O76" s="215">
        <v>55</v>
      </c>
      <c r="P76" s="215">
        <v>55</v>
      </c>
      <c r="Q76" s="215">
        <v>55</v>
      </c>
      <c r="R76" s="215">
        <v>55</v>
      </c>
      <c r="S76" s="215">
        <v>55</v>
      </c>
      <c r="T76" s="215"/>
      <c r="U76" s="244"/>
      <c r="V76" s="215"/>
      <c r="W76" s="160">
        <f>+W75-J75</f>
        <v>-8.3999999999999986</v>
      </c>
      <c r="X76" s="541"/>
      <c r="Y76" s="103">
        <f>+SUM(L76:V76)-S76/2</f>
        <v>410.5</v>
      </c>
      <c r="Z76" s="138"/>
      <c r="AA76" s="138"/>
      <c r="AB76" s="122"/>
      <c r="AC76" s="116"/>
      <c r="AD76" s="157">
        <f>-(R76+(R77/2))*$AD$2/60</f>
        <v>-42.375</v>
      </c>
      <c r="AE76" s="167">
        <f t="shared" si="1"/>
        <v>-2542.5</v>
      </c>
      <c r="AF76" s="167"/>
      <c r="AG76" s="167"/>
      <c r="AH76" s="124"/>
      <c r="AI76" s="91"/>
    </row>
    <row r="77" spans="1:35" s="98" customFormat="1" ht="62.25" customHeight="1" thickBot="1" x14ac:dyDescent="0.95">
      <c r="A77" s="124"/>
      <c r="B77" s="126">
        <f>+B75</f>
        <v>18</v>
      </c>
      <c r="C77" s="174" t="s">
        <v>308</v>
      </c>
      <c r="D77" s="175">
        <f>+D76+100</f>
        <v>100</v>
      </c>
      <c r="E77" s="175"/>
      <c r="F77" s="117" t="s">
        <v>203</v>
      </c>
      <c r="G77" s="117"/>
      <c r="H77" s="159" t="s">
        <v>311</v>
      </c>
      <c r="I77" s="165">
        <f>+IF(J77="","",IF(J75=0,"",(J75*I75)/(J77*60)))</f>
        <v>0.86259649122807014</v>
      </c>
      <c r="J77" s="118">
        <v>57</v>
      </c>
      <c r="K77" s="104" t="s">
        <v>19</v>
      </c>
      <c r="L77" s="216">
        <v>3</v>
      </c>
      <c r="M77" s="216">
        <v>3</v>
      </c>
      <c r="N77" s="216">
        <v>3</v>
      </c>
      <c r="O77" s="216">
        <v>3</v>
      </c>
      <c r="P77" s="216">
        <v>3</v>
      </c>
      <c r="Q77" s="216">
        <v>3</v>
      </c>
      <c r="R77" s="216">
        <v>3</v>
      </c>
      <c r="S77" s="216">
        <v>3</v>
      </c>
      <c r="T77" s="216"/>
      <c r="U77" s="245"/>
      <c r="V77" s="216"/>
      <c r="W77" s="173"/>
      <c r="X77" s="168">
        <f>6.68+(COUNTA(L75:V75)-(Y75/J75))</f>
        <v>8.4924999999999997</v>
      </c>
      <c r="Y77" s="105">
        <f>+SUM(L77:V77)-S77/2</f>
        <v>22.5</v>
      </c>
      <c r="Z77" s="139"/>
      <c r="AA77" s="139"/>
      <c r="AB77" s="119">
        <f>+IFERROR(AB75/(J75*9),"")</f>
        <v>1.6273148148148149</v>
      </c>
      <c r="AC77" s="120"/>
      <c r="AD77" s="161">
        <f>+Y76+Y77/2</f>
        <v>421.75</v>
      </c>
      <c r="AE77" s="167">
        <f t="shared" si="1"/>
        <v>25305</v>
      </c>
      <c r="AF77" s="167"/>
      <c r="AG77" s="230">
        <f>+AD76+AD77</f>
        <v>379.375</v>
      </c>
      <c r="AH77" s="124"/>
      <c r="AI77" s="91"/>
    </row>
    <row r="78" spans="1:35" ht="62.25" customHeight="1" thickTop="1" x14ac:dyDescent="0.9">
      <c r="A78" s="124"/>
      <c r="B78" s="127">
        <f>+B79</f>
        <v>19</v>
      </c>
      <c r="C78" s="106"/>
      <c r="D78" s="106"/>
      <c r="E78" s="106"/>
      <c r="F78" s="106"/>
      <c r="G78" s="106"/>
      <c r="H78" s="106"/>
      <c r="I78" s="107" t="s">
        <v>20</v>
      </c>
      <c r="J78" s="108" t="s">
        <v>23</v>
      </c>
      <c r="K78" s="100" t="s">
        <v>21</v>
      </c>
      <c r="L78" s="213">
        <v>100</v>
      </c>
      <c r="M78" s="213">
        <v>50</v>
      </c>
      <c r="N78" s="213">
        <v>100</v>
      </c>
      <c r="O78" s="213"/>
      <c r="P78" s="213"/>
      <c r="Q78" s="213"/>
      <c r="R78" s="213"/>
      <c r="S78" s="213"/>
      <c r="T78" s="213"/>
      <c r="U78" s="213"/>
      <c r="V78" s="213"/>
      <c r="W78" s="135"/>
      <c r="X78" s="540">
        <f>+W80</f>
        <v>6.6666666666669983E-2</v>
      </c>
      <c r="Y78" s="135">
        <f>+SUM(L78:V78)</f>
        <v>250</v>
      </c>
      <c r="Z78" s="136">
        <f>+AA78+Y78</f>
        <v>4510</v>
      </c>
      <c r="AA78" s="136">
        <v>4260</v>
      </c>
      <c r="AB78" s="109"/>
      <c r="AC78" s="110"/>
      <c r="AD78" s="157"/>
      <c r="AE78" s="167">
        <f t="shared" si="1"/>
        <v>0</v>
      </c>
      <c r="AF78" s="167"/>
      <c r="AG78" s="167"/>
      <c r="AH78" s="124"/>
    </row>
    <row r="79" spans="1:35" ht="62.25" customHeight="1" x14ac:dyDescent="0.9">
      <c r="A79" s="124"/>
      <c r="B79" s="133">
        <v>19</v>
      </c>
      <c r="C79" s="111" t="s">
        <v>292</v>
      </c>
      <c r="D79" s="111"/>
      <c r="E79" s="111" t="s">
        <v>35</v>
      </c>
      <c r="F79" s="111" t="s">
        <v>293</v>
      </c>
      <c r="G79" s="111">
        <v>11466</v>
      </c>
      <c r="H79" s="111" t="s">
        <v>33</v>
      </c>
      <c r="I79" s="113">
        <v>61.52</v>
      </c>
      <c r="J79" s="130">
        <v>45</v>
      </c>
      <c r="K79" s="101" t="s">
        <v>17</v>
      </c>
      <c r="L79" s="214">
        <v>47</v>
      </c>
      <c r="M79" s="214">
        <v>47</v>
      </c>
      <c r="N79" s="214">
        <v>47</v>
      </c>
      <c r="O79" s="214">
        <v>47</v>
      </c>
      <c r="P79" s="214">
        <v>37</v>
      </c>
      <c r="Q79" s="214">
        <v>22</v>
      </c>
      <c r="R79" s="214">
        <v>57</v>
      </c>
      <c r="S79" s="214">
        <v>34</v>
      </c>
      <c r="T79" s="214"/>
      <c r="U79" s="214"/>
      <c r="V79" s="214"/>
      <c r="W79" s="123">
        <f>+IF(COUNTA(L79:V79)=8,Y79/(COUNTA(L79:V79)-0.5),IF(COUNTA(L79:V79)=0,0,Y79/COUNTA(L79:V79)))</f>
        <v>45.06666666666667</v>
      </c>
      <c r="X79" s="541"/>
      <c r="Y79" s="134">
        <f>+SUM(L79:V79)</f>
        <v>338</v>
      </c>
      <c r="Z79" s="137">
        <f>+Y79+AA79</f>
        <v>3543</v>
      </c>
      <c r="AA79" s="137">
        <v>3205</v>
      </c>
      <c r="AB79" s="140">
        <f>+Z78-Z79</f>
        <v>967</v>
      </c>
      <c r="AC79" s="131">
        <f>+IF(((Y80+(Y81/2))*60)=0,"",(I79*Y79)/((Y80+(Y81/2))*60))</f>
        <v>0.82172535072120145</v>
      </c>
      <c r="AD79" s="157"/>
      <c r="AE79" s="167">
        <f t="shared" si="1"/>
        <v>0</v>
      </c>
      <c r="AF79" s="167">
        <f>+Y79*I79</f>
        <v>20793.760000000002</v>
      </c>
      <c r="AG79" s="167"/>
      <c r="AH79" s="124"/>
    </row>
    <row r="80" spans="1:35" ht="62.25" customHeight="1" x14ac:dyDescent="0.9">
      <c r="A80" s="124"/>
      <c r="B80" s="125">
        <f>+B79</f>
        <v>19</v>
      </c>
      <c r="C80" s="184"/>
      <c r="D80" s="111">
        <f>+B79</f>
        <v>19</v>
      </c>
      <c r="E80" s="111"/>
      <c r="F80" s="112" t="e">
        <f>+VLOOKUP(F79,'Obj Prix'!$H:$H,2,FALSE)</f>
        <v>#N/A</v>
      </c>
      <c r="G80" s="238" t="s">
        <v>263</v>
      </c>
      <c r="H80" s="210"/>
      <c r="I80" s="113">
        <v>3</v>
      </c>
      <c r="J80" s="114" t="s">
        <v>22</v>
      </c>
      <c r="K80" s="102" t="s">
        <v>18</v>
      </c>
      <c r="L80" s="215">
        <v>53</v>
      </c>
      <c r="M80" s="215">
        <v>55</v>
      </c>
      <c r="N80" s="215">
        <v>55</v>
      </c>
      <c r="O80" s="215">
        <v>55</v>
      </c>
      <c r="P80" s="215">
        <v>55</v>
      </c>
      <c r="Q80" s="215">
        <v>55</v>
      </c>
      <c r="R80" s="215">
        <v>55</v>
      </c>
      <c r="S80" s="215">
        <v>55</v>
      </c>
      <c r="T80" s="215"/>
      <c r="U80" s="244"/>
      <c r="V80" s="215"/>
      <c r="W80" s="160">
        <f>+W79-J79</f>
        <v>6.6666666666669983E-2</v>
      </c>
      <c r="X80" s="541"/>
      <c r="Y80" s="103">
        <f>+SUM(L80:V80)-S80/2</f>
        <v>410.5</v>
      </c>
      <c r="Z80" s="138"/>
      <c r="AA80" s="138"/>
      <c r="AB80" s="115"/>
      <c r="AC80" s="116"/>
      <c r="AD80" s="157">
        <f>-(R80+(R81/2))*$AD$2/60</f>
        <v>-42.375</v>
      </c>
      <c r="AE80" s="167">
        <f t="shared" si="1"/>
        <v>-2542.5</v>
      </c>
      <c r="AF80" s="167"/>
      <c r="AG80" s="167"/>
      <c r="AH80" s="124"/>
    </row>
    <row r="81" spans="1:36" s="98" customFormat="1" ht="62.25" customHeight="1" thickBot="1" x14ac:dyDescent="0.95">
      <c r="A81" s="124"/>
      <c r="B81" s="126">
        <f>+B79</f>
        <v>19</v>
      </c>
      <c r="C81" s="174" t="s">
        <v>284</v>
      </c>
      <c r="D81" s="175">
        <f>+D80+100</f>
        <v>119</v>
      </c>
      <c r="E81" s="175"/>
      <c r="F81" s="117" t="s">
        <v>94</v>
      </c>
      <c r="G81" s="117"/>
      <c r="H81" s="159" t="s">
        <v>301</v>
      </c>
      <c r="I81" s="165">
        <f>+IF(J81="","",IF(J79=0,"",(J79*I79)/(J81*60)))</f>
        <v>0.85444444444444445</v>
      </c>
      <c r="J81" s="118">
        <v>54</v>
      </c>
      <c r="K81" s="104" t="s">
        <v>19</v>
      </c>
      <c r="L81" s="216">
        <v>3</v>
      </c>
      <c r="M81" s="216">
        <v>3</v>
      </c>
      <c r="N81" s="216">
        <v>3</v>
      </c>
      <c r="O81" s="216">
        <v>3</v>
      </c>
      <c r="P81" s="216">
        <v>3</v>
      </c>
      <c r="Q81" s="216">
        <v>3</v>
      </c>
      <c r="R81" s="216">
        <v>3</v>
      </c>
      <c r="S81" s="216">
        <v>3</v>
      </c>
      <c r="T81" s="216"/>
      <c r="U81" s="245"/>
      <c r="V81" s="216"/>
      <c r="W81" s="173"/>
      <c r="X81" s="169">
        <v>33.630000000000003</v>
      </c>
      <c r="Y81" s="105">
        <f>+SUM(L81:V81)-S81/2</f>
        <v>22.5</v>
      </c>
      <c r="Z81" s="139"/>
      <c r="AA81" s="139"/>
      <c r="AB81" s="119">
        <f>+IFERROR(AB79/(J79*9),"")</f>
        <v>2.3876543209876542</v>
      </c>
      <c r="AC81" s="120"/>
      <c r="AD81" s="161">
        <f>+Y80+Y81/2</f>
        <v>421.75</v>
      </c>
      <c r="AE81" s="167">
        <f t="shared" si="1"/>
        <v>25305</v>
      </c>
      <c r="AF81" s="167"/>
      <c r="AG81" s="230">
        <f>+AD80+AD81</f>
        <v>379.375</v>
      </c>
      <c r="AH81" s="124"/>
      <c r="AI81" s="91"/>
    </row>
    <row r="82" spans="1:36" s="98" customFormat="1" ht="39.75" customHeight="1" thickTop="1" thickBot="1" x14ac:dyDescent="0.95">
      <c r="A82" s="124"/>
      <c r="B82" s="94"/>
      <c r="C82" s="176"/>
      <c r="D82" s="91"/>
      <c r="E82" s="91"/>
      <c r="F82" s="91"/>
      <c r="G82" s="91"/>
      <c r="I82" s="91"/>
      <c r="J82" s="91"/>
      <c r="K82" s="99"/>
      <c r="L82" s="124"/>
      <c r="M82" s="124"/>
      <c r="N82" s="124"/>
      <c r="O82" s="124"/>
      <c r="P82" s="124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5"/>
      <c r="AD82" s="158"/>
      <c r="AE82" s="167"/>
      <c r="AG82" s="167"/>
      <c r="AH82" s="124"/>
      <c r="AI82" s="220"/>
      <c r="AJ82" s="220"/>
    </row>
    <row r="83" spans="1:36" s="148" customFormat="1" ht="91.5" customHeight="1" thickTop="1" thickBot="1" x14ac:dyDescent="0.55000000000000004">
      <c r="A83" s="164"/>
      <c r="B83" s="181"/>
      <c r="C83" s="547" t="s">
        <v>266</v>
      </c>
      <c r="D83" s="547"/>
      <c r="E83" s="547"/>
      <c r="F83" s="239" t="s">
        <v>264</v>
      </c>
      <c r="G83" s="240">
        <f>+COUNTIF(G6:G81,"A.FINAL")</f>
        <v>13</v>
      </c>
      <c r="H83" s="98"/>
      <c r="I83" s="92"/>
      <c r="J83" s="92"/>
      <c r="K83" s="179" t="s">
        <v>17</v>
      </c>
      <c r="L83" s="166">
        <f t="shared" ref="L83:V83" si="2">+SUMIF($K$6:$K$82,$K$83,L6:L82)</f>
        <v>623</v>
      </c>
      <c r="M83" s="166">
        <f t="shared" si="2"/>
        <v>674</v>
      </c>
      <c r="N83" s="166">
        <f t="shared" si="2"/>
        <v>737</v>
      </c>
      <c r="O83" s="166">
        <f t="shared" si="2"/>
        <v>740</v>
      </c>
      <c r="P83" s="166">
        <f t="shared" si="2"/>
        <v>711</v>
      </c>
      <c r="Q83" s="166">
        <f t="shared" si="2"/>
        <v>545</v>
      </c>
      <c r="R83" s="166">
        <f t="shared" si="2"/>
        <v>577</v>
      </c>
      <c r="S83" s="166">
        <f t="shared" si="2"/>
        <v>320</v>
      </c>
      <c r="T83" s="166">
        <f t="shared" si="2"/>
        <v>0</v>
      </c>
      <c r="U83" s="166">
        <f t="shared" si="2"/>
        <v>0</v>
      </c>
      <c r="V83" s="166">
        <f t="shared" si="2"/>
        <v>0</v>
      </c>
      <c r="W83" s="2"/>
      <c r="X83" s="166">
        <f>+SUM(L83:V83)</f>
        <v>4927</v>
      </c>
      <c r="Y83" s="92"/>
      <c r="Z83" s="164"/>
      <c r="AA83" s="92"/>
      <c r="AB83" s="92"/>
      <c r="AC83" s="177"/>
      <c r="AD83" s="178"/>
      <c r="AE83" s="167">
        <f>+AD83*60</f>
        <v>0</v>
      </c>
      <c r="AG83" s="167"/>
      <c r="AH83" s="164"/>
      <c r="AI83" s="91"/>
    </row>
    <row r="84" spans="1:36" s="148" customFormat="1" ht="91.5" customHeight="1" thickTop="1" thickBot="1" x14ac:dyDescent="0.55000000000000004">
      <c r="A84" s="164"/>
      <c r="B84" s="223"/>
      <c r="C84" s="547"/>
      <c r="D84" s="547"/>
      <c r="E84" s="547"/>
      <c r="F84" s="239" t="s">
        <v>265</v>
      </c>
      <c r="G84" s="241">
        <f>+SUMPRODUCT(1/COUNTIF(B6:B81,B6:B81))-G83</f>
        <v>4</v>
      </c>
      <c r="H84" s="98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92"/>
      <c r="Z84" s="92"/>
      <c r="AA84" s="92"/>
      <c r="AB84" s="92"/>
      <c r="AC84" s="177"/>
      <c r="AD84" s="178"/>
      <c r="AE84" s="167"/>
      <c r="AG84" s="167"/>
      <c r="AH84" s="164"/>
      <c r="AI84" s="91"/>
    </row>
    <row r="85" spans="1:36" s="98" customFormat="1" ht="91.5" customHeight="1" thickTop="1" thickBot="1" x14ac:dyDescent="0.95">
      <c r="A85" s="124"/>
      <c r="B85" s="94"/>
      <c r="C85" s="91"/>
      <c r="D85" s="91"/>
      <c r="E85" s="91"/>
      <c r="F85" s="91"/>
      <c r="G85" s="91"/>
      <c r="H85" s="91"/>
      <c r="I85" s="91"/>
      <c r="J85" s="91"/>
      <c r="K85" s="208" t="s">
        <v>18</v>
      </c>
      <c r="L85" s="166">
        <f t="shared" ref="L85:V85" si="3">+SUMIF($K$6:$K$82,$K$85,L6:L82)</f>
        <v>905</v>
      </c>
      <c r="M85" s="166">
        <f t="shared" si="3"/>
        <v>917</v>
      </c>
      <c r="N85" s="166">
        <f t="shared" si="3"/>
        <v>921</v>
      </c>
      <c r="O85" s="166">
        <f t="shared" si="3"/>
        <v>921</v>
      </c>
      <c r="P85" s="166">
        <f t="shared" si="3"/>
        <v>921</v>
      </c>
      <c r="Q85" s="166">
        <f t="shared" si="3"/>
        <v>921</v>
      </c>
      <c r="R85" s="166">
        <f t="shared" si="3"/>
        <v>921</v>
      </c>
      <c r="S85" s="166">
        <f t="shared" si="3"/>
        <v>921</v>
      </c>
      <c r="T85" s="166">
        <f t="shared" si="3"/>
        <v>0</v>
      </c>
      <c r="U85" s="166">
        <f t="shared" si="3"/>
        <v>0</v>
      </c>
      <c r="V85" s="166">
        <f t="shared" si="3"/>
        <v>0</v>
      </c>
      <c r="W85" s="2"/>
      <c r="X85" s="91"/>
      <c r="Y85" s="91"/>
      <c r="Z85" s="91"/>
      <c r="AA85" s="91"/>
      <c r="AB85" s="91"/>
      <c r="AC85" s="95"/>
      <c r="AD85" s="158"/>
      <c r="AG85" s="167"/>
      <c r="AH85" s="124"/>
      <c r="AI85" s="91"/>
    </row>
    <row r="86" spans="1:36" s="98" customFormat="1" ht="91.5" customHeight="1" thickTop="1" thickBot="1" x14ac:dyDescent="0.95">
      <c r="A86" s="124"/>
      <c r="B86" s="94"/>
      <c r="C86" s="91"/>
      <c r="D86" s="91"/>
      <c r="E86" s="91"/>
      <c r="F86" s="91"/>
      <c r="G86" s="91"/>
      <c r="H86" s="92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 t="s">
        <v>185</v>
      </c>
      <c r="Y86" s="91"/>
      <c r="Z86" s="91"/>
      <c r="AA86" s="91"/>
      <c r="AB86" s="91"/>
      <c r="AC86" s="95"/>
      <c r="AD86" s="158"/>
      <c r="AG86" s="167"/>
      <c r="AH86" s="124"/>
      <c r="AI86" s="91"/>
    </row>
    <row r="87" spans="1:36" s="98" customFormat="1" ht="91.5" customHeight="1" thickTop="1" thickBot="1" x14ac:dyDescent="0.95">
      <c r="A87" s="124"/>
      <c r="B87" s="94"/>
      <c r="C87" s="92"/>
      <c r="D87" s="92"/>
      <c r="E87" s="92"/>
      <c r="F87" s="92"/>
      <c r="G87" s="92"/>
      <c r="H87" s="223"/>
      <c r="I87" s="93"/>
      <c r="J87" s="92"/>
      <c r="K87" s="208" t="s">
        <v>19</v>
      </c>
      <c r="L87" s="166">
        <f t="shared" ref="L87:V87" si="4">+SUMIF($K$6:$K$82,$K$87,L6:L82)</f>
        <v>42</v>
      </c>
      <c r="M87" s="166">
        <f t="shared" si="4"/>
        <v>42</v>
      </c>
      <c r="N87" s="166">
        <f t="shared" si="4"/>
        <v>42</v>
      </c>
      <c r="O87" s="166">
        <f t="shared" si="4"/>
        <v>42</v>
      </c>
      <c r="P87" s="166">
        <f t="shared" si="4"/>
        <v>42</v>
      </c>
      <c r="Q87" s="166">
        <f t="shared" si="4"/>
        <v>42</v>
      </c>
      <c r="R87" s="166">
        <f t="shared" si="4"/>
        <v>42</v>
      </c>
      <c r="S87" s="166">
        <f t="shared" si="4"/>
        <v>42</v>
      </c>
      <c r="T87" s="166">
        <f t="shared" si="4"/>
        <v>0</v>
      </c>
      <c r="U87" s="166">
        <f t="shared" si="4"/>
        <v>0</v>
      </c>
      <c r="V87" s="166">
        <f t="shared" si="4"/>
        <v>0</v>
      </c>
      <c r="W87" s="2"/>
      <c r="X87" s="91"/>
      <c r="Y87" s="91"/>
      <c r="Z87" s="91"/>
      <c r="AA87" s="91"/>
      <c r="AB87" s="91"/>
      <c r="AC87" s="95"/>
      <c r="AD87" s="158"/>
      <c r="AH87" s="124"/>
      <c r="AI87" s="91"/>
    </row>
    <row r="88" spans="1:36" s="98" customFormat="1" ht="62.25" customHeight="1" thickTop="1" x14ac:dyDescent="0.9">
      <c r="A88" s="124"/>
      <c r="B88" s="94"/>
      <c r="C88" s="92"/>
      <c r="D88" s="92"/>
      <c r="E88" s="92"/>
      <c r="F88" s="92"/>
      <c r="G88" s="92"/>
      <c r="H88" s="91"/>
      <c r="I88" s="93"/>
      <c r="J88" s="92"/>
      <c r="K88" s="99"/>
      <c r="L88" s="209">
        <f>+IF(L85=0,"",L87/L85)</f>
        <v>4.6408839779005527E-2</v>
      </c>
      <c r="M88" s="209">
        <f t="shared" ref="M88:V88" si="5">+IF(M85=0,"",M87/M85)</f>
        <v>4.5801526717557252E-2</v>
      </c>
      <c r="N88" s="209">
        <f t="shared" si="5"/>
        <v>4.5602605863192182E-2</v>
      </c>
      <c r="O88" s="209">
        <f t="shared" si="5"/>
        <v>4.5602605863192182E-2</v>
      </c>
      <c r="P88" s="209">
        <f t="shared" si="5"/>
        <v>4.5602605863192182E-2</v>
      </c>
      <c r="Q88" s="209">
        <f t="shared" si="5"/>
        <v>4.5602605863192182E-2</v>
      </c>
      <c r="R88" s="209">
        <f t="shared" si="5"/>
        <v>4.5602605863192182E-2</v>
      </c>
      <c r="S88" s="209">
        <f t="shared" si="5"/>
        <v>4.5602605863192182E-2</v>
      </c>
      <c r="T88" s="209" t="str">
        <f t="shared" si="5"/>
        <v/>
      </c>
      <c r="U88" s="209" t="str">
        <f t="shared" si="5"/>
        <v/>
      </c>
      <c r="V88" s="209" t="str">
        <f t="shared" si="5"/>
        <v/>
      </c>
      <c r="W88" s="91"/>
      <c r="X88" s="91"/>
      <c r="Y88" s="91"/>
      <c r="Z88" s="91"/>
      <c r="AA88" s="91"/>
      <c r="AB88" s="211"/>
      <c r="AC88" s="95"/>
      <c r="AD88" s="158"/>
      <c r="AH88" s="124"/>
      <c r="AI88" s="91"/>
    </row>
    <row r="89" spans="1:36" s="98" customFormat="1" ht="62.25" customHeight="1" thickBot="1" x14ac:dyDescent="0.95">
      <c r="A89" s="124"/>
      <c r="B89" s="94"/>
      <c r="C89" s="92"/>
      <c r="D89" s="92"/>
      <c r="E89" s="92"/>
      <c r="F89" s="92"/>
      <c r="G89" s="92"/>
      <c r="H89" s="91"/>
      <c r="I89" s="93"/>
      <c r="J89" s="92"/>
      <c r="K89" s="99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5"/>
      <c r="AD89" s="158"/>
      <c r="AH89" s="124"/>
      <c r="AI89" s="91"/>
    </row>
    <row r="90" spans="1:36" s="98" customFormat="1" ht="88.5" customHeight="1" thickTop="1" thickBot="1" x14ac:dyDescent="0.95">
      <c r="A90" s="124"/>
      <c r="B90" s="94"/>
      <c r="C90" s="92"/>
      <c r="D90" s="92"/>
      <c r="E90" s="92"/>
      <c r="F90" s="92"/>
      <c r="G90" s="92"/>
      <c r="H90" s="92"/>
      <c r="I90" s="93"/>
      <c r="J90" s="212" t="s">
        <v>18</v>
      </c>
      <c r="K90" s="222" t="s">
        <v>180</v>
      </c>
      <c r="L90" s="166">
        <f t="shared" ref="L90:V90" si="6">+IF(L85=0,"",SUMIF($K$6:$K$82,$J$90,$I$6:$I$82))</f>
        <v>35</v>
      </c>
      <c r="M90" s="166">
        <f t="shared" si="6"/>
        <v>35</v>
      </c>
      <c r="N90" s="166">
        <f t="shared" si="6"/>
        <v>35</v>
      </c>
      <c r="O90" s="166">
        <f t="shared" si="6"/>
        <v>35</v>
      </c>
      <c r="P90" s="166">
        <f t="shared" si="6"/>
        <v>35</v>
      </c>
      <c r="Q90" s="166">
        <f t="shared" si="6"/>
        <v>35</v>
      </c>
      <c r="R90" s="166">
        <f t="shared" si="6"/>
        <v>35</v>
      </c>
      <c r="S90" s="166">
        <f t="shared" si="6"/>
        <v>35</v>
      </c>
      <c r="T90" s="166" t="str">
        <f t="shared" si="6"/>
        <v/>
      </c>
      <c r="U90" s="166" t="str">
        <f t="shared" si="6"/>
        <v/>
      </c>
      <c r="V90" s="166" t="str">
        <f t="shared" si="6"/>
        <v/>
      </c>
      <c r="W90" s="2"/>
      <c r="X90" s="91"/>
      <c r="Y90" s="91"/>
      <c r="Z90" s="91"/>
      <c r="AA90" s="91"/>
      <c r="AB90" s="91"/>
      <c r="AC90" s="95"/>
      <c r="AD90" s="158"/>
      <c r="AH90" s="124"/>
      <c r="AI90" s="91"/>
    </row>
    <row r="91" spans="1:36" s="98" customFormat="1" ht="62.25" customHeight="1" thickTop="1" x14ac:dyDescent="0.9">
      <c r="A91" s="124"/>
      <c r="B91" s="94"/>
      <c r="C91" s="92"/>
      <c r="D91" s="92"/>
      <c r="E91" s="92"/>
      <c r="F91" s="92"/>
      <c r="G91" s="92"/>
      <c r="H91" s="92"/>
      <c r="I91" s="93"/>
      <c r="J91" s="212"/>
      <c r="K91" s="99"/>
      <c r="L91" s="209">
        <f>+IF(L85=0,"",L90/L85)</f>
        <v>3.8674033149171269E-2</v>
      </c>
      <c r="M91" s="209">
        <f t="shared" ref="M91:V91" si="7">+IF(M85=0,"",M90/M85)</f>
        <v>3.8167938931297711E-2</v>
      </c>
      <c r="N91" s="209">
        <f t="shared" si="7"/>
        <v>3.8002171552660155E-2</v>
      </c>
      <c r="O91" s="209">
        <f t="shared" si="7"/>
        <v>3.8002171552660155E-2</v>
      </c>
      <c r="P91" s="209">
        <f t="shared" si="7"/>
        <v>3.8002171552660155E-2</v>
      </c>
      <c r="Q91" s="209">
        <f t="shared" si="7"/>
        <v>3.8002171552660155E-2</v>
      </c>
      <c r="R91" s="209">
        <f t="shared" si="7"/>
        <v>3.8002171552660155E-2</v>
      </c>
      <c r="S91" s="209">
        <f t="shared" si="7"/>
        <v>3.8002171552660155E-2</v>
      </c>
      <c r="T91" s="209" t="str">
        <f t="shared" si="7"/>
        <v/>
      </c>
      <c r="U91" s="209" t="str">
        <f t="shared" si="7"/>
        <v/>
      </c>
      <c r="V91" s="209" t="str">
        <f t="shared" si="7"/>
        <v/>
      </c>
      <c r="W91" s="91"/>
      <c r="X91" s="91"/>
      <c r="Y91" s="91"/>
      <c r="Z91" s="91"/>
      <c r="AA91" s="91"/>
      <c r="AB91" s="91"/>
      <c r="AC91" s="95"/>
      <c r="AD91" s="158"/>
      <c r="AH91" s="124"/>
      <c r="AI91" s="91"/>
    </row>
    <row r="92" spans="1:36" s="98" customFormat="1" ht="62.25" customHeight="1" thickBot="1" x14ac:dyDescent="0.95">
      <c r="A92" s="124"/>
      <c r="B92" s="94"/>
      <c r="C92" s="92"/>
      <c r="D92" s="92"/>
      <c r="E92" s="92"/>
      <c r="F92" s="92"/>
      <c r="G92" s="92"/>
      <c r="H92" s="92"/>
      <c r="I92" s="93"/>
      <c r="J92" s="212"/>
      <c r="K92" s="99"/>
      <c r="L92" s="91"/>
      <c r="M92" s="91"/>
      <c r="N92" s="91"/>
      <c r="O92" s="91"/>
      <c r="P92" s="124"/>
      <c r="Q92" s="124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5"/>
      <c r="AD92" s="158"/>
      <c r="AH92" s="124"/>
      <c r="AI92" s="91"/>
    </row>
    <row r="93" spans="1:36" s="98" customFormat="1" ht="98.25" customHeight="1" thickTop="1" thickBot="1" x14ac:dyDescent="0.95">
      <c r="A93" s="124"/>
      <c r="B93" s="94"/>
      <c r="C93" s="92"/>
      <c r="D93" s="92"/>
      <c r="E93" s="92"/>
      <c r="F93" s="92"/>
      <c r="G93" s="92"/>
      <c r="H93" s="92"/>
      <c r="I93" s="93"/>
      <c r="J93" s="212"/>
      <c r="K93" s="222" t="s">
        <v>181</v>
      </c>
      <c r="L93" s="166">
        <f t="shared" ref="L93:V93" si="8">+IF(L85=0,"",SUMIF($K$6:$K$82,$J$90,$H$6:$H$85))</f>
        <v>0</v>
      </c>
      <c r="M93" s="166">
        <f t="shared" si="8"/>
        <v>0</v>
      </c>
      <c r="N93" s="166">
        <f t="shared" si="8"/>
        <v>0</v>
      </c>
      <c r="O93" s="166">
        <f t="shared" si="8"/>
        <v>0</v>
      </c>
      <c r="P93" s="166">
        <f t="shared" si="8"/>
        <v>0</v>
      </c>
      <c r="Q93" s="166">
        <f t="shared" si="8"/>
        <v>0</v>
      </c>
      <c r="R93" s="166">
        <f t="shared" si="8"/>
        <v>0</v>
      </c>
      <c r="S93" s="166">
        <f t="shared" si="8"/>
        <v>0</v>
      </c>
      <c r="T93" s="166" t="str">
        <f t="shared" si="8"/>
        <v/>
      </c>
      <c r="U93" s="166" t="str">
        <f t="shared" si="8"/>
        <v/>
      </c>
      <c r="V93" s="166" t="str">
        <f t="shared" si="8"/>
        <v/>
      </c>
      <c r="W93" s="91"/>
      <c r="X93" s="91"/>
      <c r="Y93" s="91"/>
      <c r="Z93" s="91"/>
      <c r="AA93" s="91"/>
      <c r="AB93" s="91"/>
      <c r="AC93" s="95"/>
      <c r="AD93" s="158"/>
      <c r="AH93" s="124"/>
      <c r="AI93" s="91"/>
    </row>
    <row r="94" spans="1:36" s="98" customFormat="1" ht="62.25" customHeight="1" thickTop="1" x14ac:dyDescent="0.9">
      <c r="A94" s="124"/>
      <c r="B94" s="94"/>
      <c r="C94" s="92"/>
      <c r="D94" s="92"/>
      <c r="E94" s="92"/>
      <c r="F94" s="92"/>
      <c r="G94" s="92"/>
      <c r="H94" s="92"/>
      <c r="I94" s="93"/>
      <c r="J94" s="212"/>
      <c r="K94" s="99"/>
      <c r="L94" s="209">
        <f>+IF(L85=0,"",L93/L85)</f>
        <v>0</v>
      </c>
      <c r="M94" s="209">
        <f t="shared" ref="M94:V94" si="9">+IF(M85=0,"",M93/M85)</f>
        <v>0</v>
      </c>
      <c r="N94" s="209">
        <f t="shared" si="9"/>
        <v>0</v>
      </c>
      <c r="O94" s="209">
        <f t="shared" si="9"/>
        <v>0</v>
      </c>
      <c r="P94" s="209">
        <f t="shared" si="9"/>
        <v>0</v>
      </c>
      <c r="Q94" s="209">
        <f t="shared" si="9"/>
        <v>0</v>
      </c>
      <c r="R94" s="209">
        <f t="shared" si="9"/>
        <v>0</v>
      </c>
      <c r="S94" s="209">
        <f t="shared" si="9"/>
        <v>0</v>
      </c>
      <c r="T94" s="209" t="str">
        <f t="shared" si="9"/>
        <v/>
      </c>
      <c r="U94" s="209" t="str">
        <f t="shared" si="9"/>
        <v/>
      </c>
      <c r="V94" s="209" t="str">
        <f t="shared" si="9"/>
        <v/>
      </c>
      <c r="W94" s="91"/>
      <c r="X94" s="91"/>
      <c r="Y94" s="91"/>
      <c r="Z94" s="91"/>
      <c r="AA94" s="91"/>
      <c r="AB94" s="91"/>
      <c r="AC94" s="95"/>
      <c r="AD94" s="158"/>
      <c r="AH94" s="124"/>
      <c r="AI94" s="91"/>
    </row>
    <row r="95" spans="1:36" s="98" customFormat="1" ht="62.25" customHeight="1" x14ac:dyDescent="0.9">
      <c r="A95" s="124"/>
      <c r="B95" s="94"/>
      <c r="C95" s="92"/>
      <c r="D95" s="92"/>
      <c r="E95" s="92"/>
      <c r="F95" s="92"/>
      <c r="G95" s="92"/>
      <c r="H95" s="92"/>
      <c r="I95" s="93"/>
      <c r="J95" s="212"/>
      <c r="K95" s="99"/>
      <c r="L95" s="91"/>
      <c r="M95" s="91"/>
      <c r="N95" s="91"/>
      <c r="O95" s="91"/>
      <c r="P95" s="124"/>
      <c r="Q95" s="124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5"/>
      <c r="AD95" s="158"/>
      <c r="AH95" s="124"/>
      <c r="AI95" s="91"/>
    </row>
    <row r="96" spans="1:36" s="98" customFormat="1" x14ac:dyDescent="0.55000000000000004">
      <c r="A96" s="91"/>
      <c r="B96" s="94"/>
      <c r="C96" s="92"/>
      <c r="D96" s="92"/>
      <c r="E96" s="92"/>
      <c r="F96" s="92"/>
      <c r="G96" s="92"/>
      <c r="H96" s="92"/>
      <c r="I96" s="93"/>
      <c r="J96" s="92"/>
      <c r="K96" s="99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5"/>
      <c r="AD96" s="155"/>
      <c r="AH96" s="91"/>
      <c r="AI96" s="91"/>
    </row>
    <row r="97" spans="1:35" s="98" customFormat="1" ht="46.5" x14ac:dyDescent="0.7">
      <c r="A97" s="91"/>
      <c r="B97" s="94"/>
      <c r="C97" s="92"/>
      <c r="D97" s="92"/>
      <c r="E97" s="92"/>
      <c r="F97" s="92"/>
      <c r="G97" s="92"/>
      <c r="H97" s="92"/>
      <c r="I97" s="93"/>
      <c r="J97" s="92"/>
      <c r="K97" s="99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5"/>
      <c r="AD97" s="158"/>
      <c r="AH97" s="91"/>
      <c r="AI97" s="91"/>
    </row>
    <row r="98" spans="1:35" ht="46.5" x14ac:dyDescent="0.7">
      <c r="I98" s="91"/>
      <c r="J98" s="91"/>
      <c r="S98" s="544"/>
      <c r="T98" s="544"/>
      <c r="U98" s="544"/>
      <c r="AD98" s="158"/>
    </row>
    <row r="99" spans="1:35" ht="105" customHeight="1" x14ac:dyDescent="0.7">
      <c r="AD99" s="158"/>
    </row>
    <row r="100" spans="1:35" ht="46.5" x14ac:dyDescent="0.7">
      <c r="A100" s="91" t="s">
        <v>197</v>
      </c>
      <c r="AD100" s="158"/>
    </row>
    <row r="101" spans="1:35" s="98" customFormat="1" ht="46.5" x14ac:dyDescent="0.7">
      <c r="A101" s="91"/>
      <c r="B101" s="94"/>
      <c r="C101" s="92"/>
      <c r="D101" s="92"/>
      <c r="E101" s="92"/>
      <c r="F101" s="92"/>
      <c r="G101" s="92"/>
      <c r="H101" s="91"/>
      <c r="I101" s="93"/>
      <c r="J101" s="92"/>
      <c r="K101" s="99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5"/>
      <c r="AD101" s="158"/>
      <c r="AH101" s="91"/>
      <c r="AI101" s="91"/>
    </row>
    <row r="102" spans="1:35" s="98" customFormat="1" ht="46.5" x14ac:dyDescent="0.7">
      <c r="A102" s="91"/>
      <c r="B102" s="94"/>
      <c r="C102" s="92"/>
      <c r="D102" s="92"/>
      <c r="E102" s="92"/>
      <c r="F102" s="92"/>
      <c r="G102" s="92"/>
      <c r="H102" s="92"/>
      <c r="I102" s="93"/>
      <c r="J102" s="92"/>
      <c r="K102" s="99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5"/>
      <c r="AD102" s="158"/>
      <c r="AH102" s="91"/>
      <c r="AI102" s="91"/>
    </row>
    <row r="103" spans="1:35" s="98" customFormat="1" ht="46.5" x14ac:dyDescent="0.7">
      <c r="A103" s="91"/>
      <c r="B103" s="94"/>
      <c r="C103" s="92"/>
      <c r="D103" s="92"/>
      <c r="E103" s="92"/>
      <c r="F103" s="92"/>
      <c r="G103" s="92"/>
      <c r="H103" s="92"/>
      <c r="I103" s="93"/>
      <c r="J103" s="92"/>
      <c r="K103" s="99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5"/>
      <c r="AD103" s="158"/>
      <c r="AH103" s="91"/>
      <c r="AI103" s="91"/>
    </row>
    <row r="104" spans="1:35" s="98" customFormat="1" ht="66" customHeight="1" x14ac:dyDescent="0.7">
      <c r="A104" s="91"/>
      <c r="B104" s="94"/>
      <c r="C104" s="92"/>
      <c r="D104" s="92"/>
      <c r="E104" s="92"/>
      <c r="F104" s="92"/>
      <c r="G104" s="92"/>
      <c r="H104" s="92"/>
      <c r="I104" s="93"/>
      <c r="J104" s="92"/>
      <c r="K104" s="99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5"/>
      <c r="AD104" s="158"/>
      <c r="AH104" s="91"/>
      <c r="AI104" s="91"/>
    </row>
  </sheetData>
  <sheetProtection selectLockedCells="1" autoFilter="0"/>
  <autoFilter ref="A5:CV81">
    <filterColumn colId="8" showButton="0"/>
  </autoFilter>
  <mergeCells count="30">
    <mergeCell ref="X74:X76"/>
    <mergeCell ref="X78:X80"/>
    <mergeCell ref="C83:E84"/>
    <mergeCell ref="S98:U98"/>
    <mergeCell ref="X50:X52"/>
    <mergeCell ref="X54:X56"/>
    <mergeCell ref="X58:X60"/>
    <mergeCell ref="X62:X64"/>
    <mergeCell ref="X66:X68"/>
    <mergeCell ref="X70:X72"/>
    <mergeCell ref="X46:X48"/>
    <mergeCell ref="I5:J5"/>
    <mergeCell ref="X6:X8"/>
    <mergeCell ref="X10:X12"/>
    <mergeCell ref="X14:X16"/>
    <mergeCell ref="X18:X20"/>
    <mergeCell ref="X22:X24"/>
    <mergeCell ref="X26:X28"/>
    <mergeCell ref="X30:X32"/>
    <mergeCell ref="X34:X36"/>
    <mergeCell ref="X38:X40"/>
    <mergeCell ref="X42:X44"/>
    <mergeCell ref="B1:Z2"/>
    <mergeCell ref="AB1:AC1"/>
    <mergeCell ref="AB2:AC3"/>
    <mergeCell ref="J3:K3"/>
    <mergeCell ref="B4:F4"/>
    <mergeCell ref="J4:K4"/>
    <mergeCell ref="U4:X4"/>
    <mergeCell ref="AB4:AC4"/>
  </mergeCells>
  <conditionalFormatting sqref="U6:U26">
    <cfRule type="cellIs" dxfId="2133" priority="10" operator="equal">
      <formula>0</formula>
    </cfRule>
  </conditionalFormatting>
  <conditionalFormatting sqref="U28:U29">
    <cfRule type="cellIs" dxfId="2132" priority="25" operator="equal">
      <formula>0</formula>
    </cfRule>
  </conditionalFormatting>
  <conditionalFormatting sqref="U31:U33">
    <cfRule type="cellIs" dxfId="2131" priority="16" operator="equal">
      <formula>0</formula>
    </cfRule>
  </conditionalFormatting>
  <conditionalFormatting sqref="U35:U38">
    <cfRule type="cellIs" dxfId="2130" priority="5" operator="equal">
      <formula>0</formula>
    </cfRule>
  </conditionalFormatting>
  <conditionalFormatting sqref="U42:U44">
    <cfRule type="cellIs" dxfId="2129" priority="14" operator="equal">
      <formula>0</formula>
    </cfRule>
  </conditionalFormatting>
  <conditionalFormatting sqref="U46:U81">
    <cfRule type="cellIs" dxfId="2128" priority="2" operator="equal">
      <formula>0</formula>
    </cfRule>
  </conditionalFormatting>
  <conditionalFormatting sqref="W8">
    <cfRule type="cellIs" dxfId="2127" priority="7" operator="lessThan">
      <formula>0</formula>
    </cfRule>
  </conditionalFormatting>
  <conditionalFormatting sqref="W12 W16 W20 W24 W28 W32 W36 W40 W44 W48 W52 W56 W64 W68 W72 W76 W80">
    <cfRule type="cellIs" dxfId="2126" priority="4" operator="lessThan">
      <formula>0</formula>
    </cfRule>
  </conditionalFormatting>
  <conditionalFormatting sqref="W60">
    <cfRule type="cellIs" dxfId="2125" priority="1" operator="lessThan">
      <formula>0</formula>
    </cfRule>
  </conditionalFormatting>
  <conditionalFormatting sqref="AB2:AC3">
    <cfRule type="cellIs" dxfId="2124" priority="42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 r:id="rId1"/>
  <headerFooter>
    <oddHeader>&amp;L&amp;"-,Bold"&amp;48&amp;T</oddHeader>
  </headerFooter>
  <rowBreaks count="2" manualBreakCount="2">
    <brk id="41" max="32" man="1"/>
    <brk id="81" max="31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" id="{D1DB93AB-0033-482B-A4C7-6F05D1D4F54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23" id="{33EB4637-1F15-47AE-AA33-85DF3333EB9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11" id="{7574738C-7DAF-45E9-84BC-CF1FD873D73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39" id="{52A18706-E14C-4AC9-BEF8-E1D8D8E684A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13" id="{028BA265-B4AE-4F89-9143-BFAD0A0C632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24" id="{D196822A-0985-461B-B578-5212CC141AD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17" id="{6010DDB1-38D4-449C-AB01-E81FD78472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6" id="{85AD4B23-478D-4A80-B069-D4CAED30DC6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30" id="{C92A387A-E31F-4483-B7E1-6C5539C5FA5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15" id="{2A00AE7D-2464-4C98-AC43-4ED93940FE1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37" id="{81CE17DB-10D1-4BA1-84F5-2E9A3E7295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29" id="{DAF3B67B-B0F6-4AEB-8FD6-80C68DB46EB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19" id="{10D2A137-698F-4A5B-A08A-2DD154CA76E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3" id="{7AACB758-AD20-4CB1-B301-2125A52490E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41" id="{DF70526A-8B4B-458E-A6F9-5135B97E41A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33" id="{A9DC49FD-3885-4B75-AB2F-A806F4B4F15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21" id="{88EFAADD-FA5D-453F-B38D-622439DE836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9" id="{EE1A0677-8097-4FC1-AF4E-F8DD3277EC6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35" id="{55192C12-73C2-450E-B51D-D4F7566068B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rgb="FF00B0F0"/>
  </sheetPr>
  <dimension ref="A1:BD112"/>
  <sheetViews>
    <sheetView zoomScale="25" zoomScaleNormal="25" zoomScaleSheetLayoutView="23" zoomScalePageLayoutView="23" workbookViewId="0">
      <pane xSplit="2" ySplit="5" topLeftCell="K6" activePane="bottomRight" state="frozen"/>
      <selection activeCell="M52" sqref="M52"/>
      <selection pane="topRight" activeCell="M52" sqref="M52"/>
      <selection pane="bottomLeft" activeCell="M52" sqref="M52"/>
      <selection pane="bottomRight" activeCell="AG89" sqref="AG89"/>
    </sheetView>
  </sheetViews>
  <sheetFormatPr defaultColWidth="9.140625" defaultRowHeight="36" x14ac:dyDescent="0.55000000000000004"/>
  <cols>
    <col min="1" max="1" width="1" style="91" customWidth="1"/>
    <col min="2" max="2" width="18.85546875" style="94" customWidth="1"/>
    <col min="3" max="3" width="46.28515625" style="92" customWidth="1"/>
    <col min="4" max="4" width="3.85546875" style="92" hidden="1" customWidth="1"/>
    <col min="5" max="5" width="29.140625" style="92" customWidth="1"/>
    <col min="6" max="6" width="45.7109375" style="92" customWidth="1"/>
    <col min="7" max="7" width="31.140625" style="92" customWidth="1"/>
    <col min="8" max="8" width="45.140625" style="92" customWidth="1"/>
    <col min="9" max="9" width="26.7109375" style="93" customWidth="1"/>
    <col min="10" max="10" width="28.7109375" style="92" customWidth="1"/>
    <col min="11" max="11" width="42.42578125" style="99" customWidth="1"/>
    <col min="12" max="22" width="25.85546875" style="91" customWidth="1"/>
    <col min="23" max="23" width="27" style="91" customWidth="1"/>
    <col min="24" max="24" width="33.5703125" style="91" customWidth="1"/>
    <col min="25" max="25" width="33.140625" style="91" customWidth="1"/>
    <col min="26" max="26" width="37.42578125" style="91" customWidth="1"/>
    <col min="27" max="27" width="33.140625" style="91" hidden="1" customWidth="1"/>
    <col min="28" max="28" width="32.42578125" style="91" customWidth="1"/>
    <col min="29" max="29" width="30.42578125" style="95" customWidth="1"/>
    <col min="30" max="30" width="26.85546875" style="155" customWidth="1"/>
    <col min="31" max="31" width="32.42578125" style="98" customWidth="1"/>
    <col min="32" max="32" width="34" style="98" customWidth="1"/>
    <col min="33" max="33" width="35.42578125" style="98" customWidth="1"/>
    <col min="34" max="34" width="34.5703125" style="91" customWidth="1"/>
    <col min="35" max="35" width="40.7109375" style="91" customWidth="1"/>
    <col min="36" max="36" width="38.28515625" style="91" customWidth="1"/>
    <col min="37" max="43" width="9.140625" style="91" customWidth="1"/>
    <col min="44" max="44" width="30.28515625" style="91" customWidth="1"/>
    <col min="45" max="100" width="9.140625" style="91" customWidth="1"/>
    <col min="101" max="16384" width="9.140625" style="91"/>
  </cols>
  <sheetData>
    <row r="1" spans="1:35" ht="23.25" customHeight="1" x14ac:dyDescent="0.5">
      <c r="B1" s="545" t="s">
        <v>29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B1" s="534" t="s">
        <v>81</v>
      </c>
      <c r="AC1" s="534"/>
    </row>
    <row r="2" spans="1:35" ht="67.5" customHeight="1" x14ac:dyDescent="0.7">
      <c r="A2" s="91">
        <v>77</v>
      </c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96"/>
      <c r="AB2" s="535">
        <f>+AF2/AE2</f>
        <v>0.80229623243553927</v>
      </c>
      <c r="AC2" s="535"/>
      <c r="AD2" s="155">
        <v>15</v>
      </c>
      <c r="AE2" s="183">
        <f>+SUBTOTAL(9,AE6:AE107)</f>
        <v>504570</v>
      </c>
      <c r="AF2" s="183">
        <f>+SUBTOTAL(9,AF6:AF107)</f>
        <v>404814.61000000004</v>
      </c>
    </row>
    <row r="3" spans="1:35" ht="64.5" customHeight="1" x14ac:dyDescent="0.7">
      <c r="B3" s="233"/>
      <c r="C3" s="233"/>
      <c r="D3" s="233"/>
      <c r="E3" s="231"/>
      <c r="F3" s="231"/>
      <c r="G3" s="231"/>
      <c r="H3" s="231"/>
      <c r="I3" s="231"/>
      <c r="J3" s="536" t="s">
        <v>97</v>
      </c>
      <c r="K3" s="536"/>
      <c r="L3" s="147" t="s">
        <v>82</v>
      </c>
      <c r="M3" s="147" t="s">
        <v>267</v>
      </c>
      <c r="N3" s="147" t="s">
        <v>268</v>
      </c>
      <c r="O3" s="147" t="s">
        <v>269</v>
      </c>
      <c r="P3" s="147" t="s">
        <v>270</v>
      </c>
      <c r="Q3" s="147" t="s">
        <v>271</v>
      </c>
      <c r="R3" s="147" t="s">
        <v>272</v>
      </c>
      <c r="S3" s="147" t="s">
        <v>273</v>
      </c>
      <c r="T3" s="147" t="s">
        <v>262</v>
      </c>
      <c r="V3" s="243"/>
      <c r="X3" s="147"/>
      <c r="Y3" s="233"/>
      <c r="Z3" s="233"/>
      <c r="AA3" s="96"/>
      <c r="AB3" s="535"/>
      <c r="AC3" s="535"/>
      <c r="AE3" s="183"/>
      <c r="AF3" s="183"/>
    </row>
    <row r="4" spans="1:35" s="141" customFormat="1" ht="79.5" customHeight="1" thickBot="1" x14ac:dyDescent="0.75">
      <c r="B4" s="537" t="s">
        <v>108</v>
      </c>
      <c r="C4" s="537"/>
      <c r="D4" s="537"/>
      <c r="E4" s="537"/>
      <c r="F4" s="537"/>
      <c r="G4" s="217"/>
      <c r="I4" s="142"/>
      <c r="J4" s="538" t="s">
        <v>113</v>
      </c>
      <c r="K4" s="538"/>
      <c r="L4" s="225" t="s">
        <v>82</v>
      </c>
      <c r="M4" s="225" t="s">
        <v>83</v>
      </c>
      <c r="N4" s="225" t="s">
        <v>84</v>
      </c>
      <c r="O4" s="225" t="s">
        <v>85</v>
      </c>
      <c r="P4" s="225" t="s">
        <v>86</v>
      </c>
      <c r="Q4" s="225" t="s">
        <v>87</v>
      </c>
      <c r="R4" s="225" t="s">
        <v>88</v>
      </c>
      <c r="S4" s="225" t="s">
        <v>105</v>
      </c>
      <c r="T4" s="225" t="s">
        <v>106</v>
      </c>
      <c r="U4" s="548"/>
      <c r="V4" s="548"/>
      <c r="W4" s="548"/>
      <c r="X4" s="548"/>
      <c r="Y4" s="170">
        <f>+X91</f>
        <v>6441</v>
      </c>
      <c r="Z4" s="144" t="s">
        <v>28</v>
      </c>
      <c r="AA4" s="145"/>
      <c r="AB4" s="539">
        <v>44796</v>
      </c>
      <c r="AC4" s="539"/>
      <c r="AD4" s="171">
        <f>+SUM(AD6:AD95)</f>
        <v>8409.5</v>
      </c>
      <c r="AE4" s="98"/>
      <c r="AF4" s="98"/>
      <c r="AG4" s="148"/>
    </row>
    <row r="5" spans="1:35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542" t="s">
        <v>95</v>
      </c>
      <c r="J5" s="543"/>
      <c r="K5" s="151"/>
      <c r="L5" s="249" t="s">
        <v>89</v>
      </c>
      <c r="M5" s="150">
        <v>2</v>
      </c>
      <c r="N5" s="150">
        <v>3</v>
      </c>
      <c r="O5" s="150">
        <v>4</v>
      </c>
      <c r="P5" s="150">
        <v>5</v>
      </c>
      <c r="Q5" s="150">
        <v>6</v>
      </c>
      <c r="R5" s="150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/>
      <c r="AD5" s="156"/>
    </row>
    <row r="6" spans="1:35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>
        <v>50</v>
      </c>
      <c r="M6" s="215">
        <v>50</v>
      </c>
      <c r="N6" s="215">
        <v>50</v>
      </c>
      <c r="O6" s="215">
        <v>50</v>
      </c>
      <c r="P6" s="215">
        <v>50</v>
      </c>
      <c r="Q6" s="215">
        <v>50</v>
      </c>
      <c r="R6" s="215"/>
      <c r="S6" s="215"/>
      <c r="T6" s="215"/>
      <c r="U6" s="215"/>
      <c r="W6" s="135"/>
      <c r="X6" s="540">
        <f>+W8</f>
        <v>-26.888888888888889</v>
      </c>
      <c r="Y6" s="135">
        <f t="shared" ref="Y6:Y37" si="0">+SUM(L6:V6)</f>
        <v>300</v>
      </c>
      <c r="Z6" s="136">
        <f>+AA6+Y6</f>
        <v>878</v>
      </c>
      <c r="AA6" s="136">
        <v>578</v>
      </c>
      <c r="AB6" s="109"/>
      <c r="AC6" s="110"/>
      <c r="AD6" s="157"/>
      <c r="AE6" s="167"/>
      <c r="AF6" s="167"/>
      <c r="AG6" s="167"/>
      <c r="AH6" s="124"/>
      <c r="AI6" s="91"/>
    </row>
    <row r="7" spans="1:35" s="98" customFormat="1" ht="62.25" customHeight="1" x14ac:dyDescent="0.9">
      <c r="A7" s="124"/>
      <c r="B7" s="132">
        <v>1</v>
      </c>
      <c r="C7" s="111" t="s">
        <v>314</v>
      </c>
      <c r="D7" s="111"/>
      <c r="E7" s="111" t="s">
        <v>35</v>
      </c>
      <c r="F7" s="111" t="s">
        <v>315</v>
      </c>
      <c r="G7" s="111">
        <v>10000</v>
      </c>
      <c r="H7" s="111" t="s">
        <v>33</v>
      </c>
      <c r="I7" s="113">
        <v>68.45</v>
      </c>
      <c r="J7" s="130">
        <v>50</v>
      </c>
      <c r="K7" s="101" t="s">
        <v>17</v>
      </c>
      <c r="L7" s="214">
        <v>0</v>
      </c>
      <c r="M7" s="214">
        <v>18</v>
      </c>
      <c r="N7" s="214">
        <v>23</v>
      </c>
      <c r="O7" s="214">
        <v>22</v>
      </c>
      <c r="P7" s="214">
        <v>25</v>
      </c>
      <c r="Q7" s="214">
        <v>30</v>
      </c>
      <c r="R7" s="214">
        <v>30</v>
      </c>
      <c r="S7" s="214">
        <v>30</v>
      </c>
      <c r="T7" s="214">
        <v>30</v>
      </c>
      <c r="U7" s="214"/>
      <c r="V7" s="214"/>
      <c r="W7" s="123">
        <f>+IF(COUNTA(L7:V7)=0,0,Y7/(COUNTA(L7:V7)))</f>
        <v>23.111111111111111</v>
      </c>
      <c r="X7" s="541"/>
      <c r="Y7" s="134">
        <f t="shared" si="0"/>
        <v>208</v>
      </c>
      <c r="Z7" s="137">
        <f>+Y7+AA7</f>
        <v>208</v>
      </c>
      <c r="AA7" s="137">
        <v>0</v>
      </c>
      <c r="AB7" s="140">
        <f>+Z6-Z7</f>
        <v>670</v>
      </c>
      <c r="AC7" s="131">
        <f>+IF(((Y8+(Y9/2))*60)=0,"",(I7*Y7)/((Y8+(Y9/2))*60))</f>
        <v>0.43861983980283425</v>
      </c>
      <c r="AD7" s="157"/>
      <c r="AE7" s="167"/>
      <c r="AF7" s="167">
        <f>+Y7*I7</f>
        <v>14237.6</v>
      </c>
      <c r="AG7" s="167"/>
      <c r="AH7" s="124"/>
      <c r="AI7" s="91"/>
    </row>
    <row r="8" spans="1:35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238"/>
      <c r="H8" s="210"/>
      <c r="I8" s="210"/>
      <c r="J8" s="114" t="s">
        <v>22</v>
      </c>
      <c r="K8" s="102" t="s">
        <v>18</v>
      </c>
      <c r="L8" s="215">
        <v>54</v>
      </c>
      <c r="M8" s="215">
        <v>58</v>
      </c>
      <c r="N8" s="215">
        <v>60</v>
      </c>
      <c r="O8" s="215">
        <v>60</v>
      </c>
      <c r="P8" s="215">
        <v>60</v>
      </c>
      <c r="Q8" s="215">
        <v>60</v>
      </c>
      <c r="R8" s="215">
        <v>60</v>
      </c>
      <c r="S8" s="215">
        <v>60</v>
      </c>
      <c r="T8" s="215">
        <v>60</v>
      </c>
      <c r="U8" s="244"/>
      <c r="V8" s="215"/>
      <c r="W8" s="160">
        <f>+W7-J7</f>
        <v>-26.888888888888889</v>
      </c>
      <c r="X8" s="541"/>
      <c r="Y8" s="103">
        <f t="shared" si="0"/>
        <v>532</v>
      </c>
      <c r="Z8" s="103"/>
      <c r="AA8" s="103"/>
      <c r="AB8" s="115"/>
      <c r="AC8" s="116"/>
      <c r="AD8" s="157">
        <f>-(L8+(L9/2))*$AD$2/60</f>
        <v>-13.75</v>
      </c>
      <c r="AE8" s="167">
        <f>+AD8*60</f>
        <v>-825</v>
      </c>
      <c r="AF8" s="167"/>
      <c r="AG8" s="167"/>
      <c r="AH8" s="124"/>
      <c r="AI8" s="91"/>
    </row>
    <row r="9" spans="1:35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94</v>
      </c>
      <c r="G9" s="218"/>
      <c r="H9" s="159"/>
      <c r="I9" s="165">
        <f>+IF(J9="","",IF(J7=0,"",(J7*I7)/(J9*60)))</f>
        <v>0.92002688172043012</v>
      </c>
      <c r="J9" s="118">
        <v>62</v>
      </c>
      <c r="K9" s="104" t="s">
        <v>19</v>
      </c>
      <c r="L9" s="216">
        <v>2</v>
      </c>
      <c r="M9" s="216">
        <v>2</v>
      </c>
      <c r="N9" s="216">
        <v>2</v>
      </c>
      <c r="O9" s="216">
        <v>2</v>
      </c>
      <c r="P9" s="216">
        <v>2</v>
      </c>
      <c r="Q9" s="216">
        <v>2</v>
      </c>
      <c r="R9" s="216">
        <v>2</v>
      </c>
      <c r="S9" s="216">
        <v>2</v>
      </c>
      <c r="T9" s="216">
        <v>2</v>
      </c>
      <c r="U9" s="245"/>
      <c r="V9" s="216"/>
      <c r="W9" s="173"/>
      <c r="X9" s="168">
        <f>15.55+(COUNTA(L7:V7)-(Y7/J7))</f>
        <v>20.39</v>
      </c>
      <c r="Y9" s="105">
        <f t="shared" si="0"/>
        <v>18</v>
      </c>
      <c r="Z9" s="105"/>
      <c r="AA9" s="105"/>
      <c r="AB9" s="119">
        <f>+IFERROR(AB7/(J7*9),"")</f>
        <v>1.4888888888888889</v>
      </c>
      <c r="AC9" s="120"/>
      <c r="AD9" s="161">
        <f>+Y8+Y9/2</f>
        <v>541</v>
      </c>
      <c r="AE9" s="167">
        <f>+AD9*60</f>
        <v>32460</v>
      </c>
      <c r="AF9" s="167"/>
      <c r="AG9" s="230">
        <f>+AD8+AD9</f>
        <v>527.25</v>
      </c>
      <c r="AH9" s="124"/>
      <c r="AI9" s="91"/>
    </row>
    <row r="10" spans="1:35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5">
        <v>80</v>
      </c>
      <c r="M10" s="215">
        <v>40</v>
      </c>
      <c r="N10" s="215">
        <v>80</v>
      </c>
      <c r="O10" s="215">
        <v>40</v>
      </c>
      <c r="P10" s="215">
        <v>40</v>
      </c>
      <c r="Q10" s="215">
        <v>40</v>
      </c>
      <c r="R10" s="215">
        <v>80</v>
      </c>
      <c r="S10" s="215">
        <v>40</v>
      </c>
      <c r="T10" s="215">
        <v>40</v>
      </c>
      <c r="U10" s="215"/>
      <c r="W10" s="135"/>
      <c r="X10" s="540">
        <f>+W12</f>
        <v>0.6666666666666643</v>
      </c>
      <c r="Y10" s="135">
        <f t="shared" si="0"/>
        <v>480</v>
      </c>
      <c r="Z10" s="136">
        <f>+AA10+Y10</f>
        <v>6040</v>
      </c>
      <c r="AA10" s="136">
        <v>5560</v>
      </c>
      <c r="AB10" s="109"/>
      <c r="AC10" s="110"/>
      <c r="AD10" s="157"/>
      <c r="AE10" s="167">
        <f t="shared" ref="AE10:AE85" si="1">+AD10*60</f>
        <v>0</v>
      </c>
      <c r="AF10" s="167"/>
      <c r="AG10" s="167"/>
      <c r="AH10" s="124"/>
      <c r="AI10" s="91"/>
    </row>
    <row r="11" spans="1:35" s="98" customFormat="1" ht="62.25" customHeight="1" x14ac:dyDescent="0.9">
      <c r="A11" s="124"/>
      <c r="B11" s="132">
        <v>2</v>
      </c>
      <c r="C11" s="111" t="s">
        <v>298</v>
      </c>
      <c r="D11" s="111"/>
      <c r="E11" s="111" t="s">
        <v>35</v>
      </c>
      <c r="F11" s="111" t="s">
        <v>299</v>
      </c>
      <c r="G11" s="111">
        <v>8731</v>
      </c>
      <c r="H11" s="111" t="s">
        <v>300</v>
      </c>
      <c r="I11" s="113">
        <v>54.97</v>
      </c>
      <c r="J11" s="130">
        <v>50</v>
      </c>
      <c r="K11" s="101" t="s">
        <v>17</v>
      </c>
      <c r="L11" s="214">
        <v>35</v>
      </c>
      <c r="M11" s="214">
        <v>52</v>
      </c>
      <c r="N11" s="214">
        <v>41</v>
      </c>
      <c r="O11" s="214">
        <v>52</v>
      </c>
      <c r="P11" s="214">
        <v>41</v>
      </c>
      <c r="Q11" s="214">
        <v>55</v>
      </c>
      <c r="R11" s="214">
        <v>55</v>
      </c>
      <c r="S11" s="214">
        <v>70</v>
      </c>
      <c r="T11" s="214">
        <v>55</v>
      </c>
      <c r="U11" s="214"/>
      <c r="V11" s="214"/>
      <c r="W11" s="123">
        <f>+IF(COUNTA(L11:V11)=0,0,Y11/(COUNTA(L11:V11)))</f>
        <v>50.666666666666664</v>
      </c>
      <c r="X11" s="541"/>
      <c r="Y11" s="134">
        <f t="shared" si="0"/>
        <v>456</v>
      </c>
      <c r="Z11" s="137">
        <f>+Y11+AA11</f>
        <v>5541</v>
      </c>
      <c r="AA11" s="137">
        <v>5085</v>
      </c>
      <c r="AB11" s="140">
        <f>+Z10-Z11</f>
        <v>499</v>
      </c>
      <c r="AC11" s="131">
        <f>+IF(((Y12+(Y13/2))*60)=0,"",(I11*Y11)/((Y12+(Y13/2))*60))</f>
        <v>0.96371856978085346</v>
      </c>
      <c r="AD11" s="157"/>
      <c r="AE11" s="167">
        <f t="shared" si="1"/>
        <v>0</v>
      </c>
      <c r="AF11" s="167">
        <f>+Y11*I11</f>
        <v>25066.32</v>
      </c>
      <c r="AG11" s="167"/>
      <c r="AH11" s="124"/>
      <c r="AI11" s="91"/>
    </row>
    <row r="12" spans="1:35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238"/>
      <c r="H12" s="210"/>
      <c r="I12" s="113">
        <v>3</v>
      </c>
      <c r="J12" s="114" t="s">
        <v>22</v>
      </c>
      <c r="K12" s="102" t="s">
        <v>18</v>
      </c>
      <c r="L12" s="215">
        <v>45</v>
      </c>
      <c r="M12" s="215">
        <v>48</v>
      </c>
      <c r="N12" s="215">
        <v>48</v>
      </c>
      <c r="O12" s="215">
        <v>48</v>
      </c>
      <c r="P12" s="215">
        <v>48</v>
      </c>
      <c r="Q12" s="215">
        <v>48</v>
      </c>
      <c r="R12" s="215">
        <v>48</v>
      </c>
      <c r="S12" s="215">
        <v>48</v>
      </c>
      <c r="T12" s="215">
        <v>48</v>
      </c>
      <c r="U12" s="244"/>
      <c r="V12" s="215"/>
      <c r="W12" s="160">
        <f>+W11-J11</f>
        <v>0.6666666666666643</v>
      </c>
      <c r="X12" s="541"/>
      <c r="Y12" s="103">
        <f t="shared" si="0"/>
        <v>429</v>
      </c>
      <c r="Z12" s="138"/>
      <c r="AA12" s="138"/>
      <c r="AB12" s="115"/>
      <c r="AC12" s="116"/>
      <c r="AD12" s="157">
        <f>-(L12+(L13/2))*$AD$2/60</f>
        <v>-11.375</v>
      </c>
      <c r="AE12" s="167">
        <f t="shared" si="1"/>
        <v>-682.5</v>
      </c>
      <c r="AF12" s="167"/>
      <c r="AG12" s="167"/>
      <c r="AH12" s="124"/>
      <c r="AI12" s="91"/>
    </row>
    <row r="13" spans="1:35" s="98" customFormat="1" ht="62.25" customHeight="1" thickBot="1" x14ac:dyDescent="0.95">
      <c r="A13" s="124"/>
      <c r="B13" s="129">
        <f>+B11</f>
        <v>2</v>
      </c>
      <c r="C13" s="174" t="s">
        <v>275</v>
      </c>
      <c r="D13" s="175">
        <f>+D12+100</f>
        <v>102</v>
      </c>
      <c r="E13" s="175"/>
      <c r="F13" s="117" t="s">
        <v>111</v>
      </c>
      <c r="G13" s="218"/>
      <c r="H13" s="146"/>
      <c r="I13" s="165">
        <f>+IF(J13="","",IF(J11=0,"",(J11*I11)/(J13*60)))</f>
        <v>0.88092948717948716</v>
      </c>
      <c r="J13" s="118">
        <v>52</v>
      </c>
      <c r="K13" s="104" t="s">
        <v>19</v>
      </c>
      <c r="L13" s="216">
        <v>1</v>
      </c>
      <c r="M13" s="216">
        <v>1</v>
      </c>
      <c r="N13" s="216">
        <v>1</v>
      </c>
      <c r="O13" s="216">
        <v>1</v>
      </c>
      <c r="P13" s="216">
        <v>1</v>
      </c>
      <c r="Q13" s="216">
        <v>1</v>
      </c>
      <c r="R13" s="216">
        <v>1</v>
      </c>
      <c r="S13" s="216">
        <v>1</v>
      </c>
      <c r="T13" s="216">
        <v>1</v>
      </c>
      <c r="U13" s="245"/>
      <c r="V13" s="216"/>
      <c r="W13" s="173"/>
      <c r="X13" s="169">
        <v>18.18</v>
      </c>
      <c r="Y13" s="105">
        <f t="shared" si="0"/>
        <v>9</v>
      </c>
      <c r="Z13" s="139"/>
      <c r="AA13" s="139"/>
      <c r="AB13" s="119">
        <f>+IFERROR(AB11/(J11*9),"")</f>
        <v>1.1088888888888888</v>
      </c>
      <c r="AC13" s="162"/>
      <c r="AD13" s="161">
        <f>+Y12+Y13/2</f>
        <v>433.5</v>
      </c>
      <c r="AE13" s="167">
        <f t="shared" si="1"/>
        <v>26010</v>
      </c>
      <c r="AF13" s="167"/>
      <c r="AG13" s="230">
        <f>+AD12+AD13</f>
        <v>422.125</v>
      </c>
      <c r="AH13" s="124"/>
      <c r="AI13" s="91"/>
    </row>
    <row r="14" spans="1:35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5">
        <v>50</v>
      </c>
      <c r="M14" s="215">
        <v>50</v>
      </c>
      <c r="N14" s="215">
        <v>50</v>
      </c>
      <c r="O14" s="215">
        <v>50</v>
      </c>
      <c r="P14" s="215">
        <v>50</v>
      </c>
      <c r="Q14" s="215">
        <v>50</v>
      </c>
      <c r="R14" s="215">
        <v>50</v>
      </c>
      <c r="S14" s="215">
        <v>50</v>
      </c>
      <c r="T14" s="215">
        <v>50</v>
      </c>
      <c r="U14" s="215"/>
      <c r="W14" s="135"/>
      <c r="X14" s="540">
        <f>+W16</f>
        <v>0</v>
      </c>
      <c r="Y14" s="135">
        <f t="shared" si="0"/>
        <v>450</v>
      </c>
      <c r="Z14" s="136">
        <f>+AA14+Y14</f>
        <v>1550</v>
      </c>
      <c r="AA14" s="136">
        <v>1100</v>
      </c>
      <c r="AB14" s="109"/>
      <c r="AC14" s="110"/>
      <c r="AD14" s="157"/>
      <c r="AE14" s="167">
        <f t="shared" si="1"/>
        <v>0</v>
      </c>
      <c r="AF14" s="167"/>
      <c r="AG14" s="167"/>
      <c r="AH14" s="124"/>
      <c r="AI14" s="91"/>
    </row>
    <row r="15" spans="1:35" s="98" customFormat="1" ht="62.25" customHeight="1" x14ac:dyDescent="0.9">
      <c r="A15" s="124"/>
      <c r="B15" s="132">
        <v>3</v>
      </c>
      <c r="C15" s="111" t="s">
        <v>309</v>
      </c>
      <c r="D15" s="111"/>
      <c r="E15" s="111" t="s">
        <v>35</v>
      </c>
      <c r="F15" s="111" t="s">
        <v>310</v>
      </c>
      <c r="G15" s="111">
        <v>14500</v>
      </c>
      <c r="H15" s="111" t="s">
        <v>33</v>
      </c>
      <c r="I15" s="113">
        <v>70.680000000000007</v>
      </c>
      <c r="J15" s="130">
        <v>44</v>
      </c>
      <c r="K15" s="101" t="s">
        <v>17</v>
      </c>
      <c r="L15" s="214">
        <v>20</v>
      </c>
      <c r="M15" s="214">
        <v>50</v>
      </c>
      <c r="N15" s="214">
        <v>50</v>
      </c>
      <c r="O15" s="214">
        <v>50</v>
      </c>
      <c r="P15" s="247">
        <v>50</v>
      </c>
      <c r="Q15" s="247">
        <v>50</v>
      </c>
      <c r="R15" s="247">
        <v>45</v>
      </c>
      <c r="S15" s="247">
        <v>45</v>
      </c>
      <c r="T15" s="247">
        <v>36</v>
      </c>
      <c r="U15" s="214"/>
      <c r="V15" s="214"/>
      <c r="W15" s="123">
        <f>+IF(COUNTA(L15:V15)=0,0,Y15/(COUNTA(L15:V15)))</f>
        <v>44</v>
      </c>
      <c r="X15" s="541"/>
      <c r="Y15" s="134">
        <f t="shared" si="0"/>
        <v>396</v>
      </c>
      <c r="Z15" s="137">
        <f>+Y15+AA15</f>
        <v>800</v>
      </c>
      <c r="AA15" s="137">
        <v>404</v>
      </c>
      <c r="AB15" s="140">
        <f>+Z14-Z15</f>
        <v>750</v>
      </c>
      <c r="AC15" s="131">
        <f>+IF(((Y16+(Y17/2))*60)=0,"",(I15*Y15)/((Y16+(Y17/2))*60))</f>
        <v>0.84051891891891894</v>
      </c>
      <c r="AD15" s="157"/>
      <c r="AE15" s="167">
        <f t="shared" si="1"/>
        <v>0</v>
      </c>
      <c r="AF15" s="167">
        <f>+Y15*I15</f>
        <v>27989.280000000002</v>
      </c>
      <c r="AG15" s="167"/>
      <c r="AH15" s="124"/>
      <c r="AI15" s="91"/>
    </row>
    <row r="16" spans="1:35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238"/>
      <c r="H16" s="210"/>
      <c r="I16" s="113">
        <v>3</v>
      </c>
      <c r="J16" s="114" t="s">
        <v>22</v>
      </c>
      <c r="K16" s="102" t="s">
        <v>18</v>
      </c>
      <c r="L16" s="215">
        <v>56</v>
      </c>
      <c r="M16" s="215">
        <v>59</v>
      </c>
      <c r="N16" s="215">
        <v>59</v>
      </c>
      <c r="O16" s="215">
        <v>59</v>
      </c>
      <c r="P16" s="215">
        <v>59</v>
      </c>
      <c r="Q16" s="215">
        <v>59</v>
      </c>
      <c r="R16" s="215">
        <v>59</v>
      </c>
      <c r="S16" s="215">
        <v>59</v>
      </c>
      <c r="T16" s="215">
        <v>59</v>
      </c>
      <c r="U16" s="244"/>
      <c r="V16" s="215"/>
      <c r="W16" s="160">
        <f>+W15-J15</f>
        <v>0</v>
      </c>
      <c r="X16" s="541"/>
      <c r="Y16" s="103">
        <f t="shared" si="0"/>
        <v>528</v>
      </c>
      <c r="Z16" s="138"/>
      <c r="AA16" s="138"/>
      <c r="AB16" s="115"/>
      <c r="AC16" s="116"/>
      <c r="AD16" s="157">
        <f>-(L16+(L17/2))*$AD$2/60</f>
        <v>-14.75</v>
      </c>
      <c r="AE16" s="167">
        <f t="shared" si="1"/>
        <v>-885</v>
      </c>
      <c r="AF16" s="167"/>
      <c r="AG16" s="167"/>
      <c r="AH16" s="124"/>
      <c r="AI16" s="91"/>
    </row>
    <row r="17" spans="1:56" s="98" customFormat="1" ht="62.25" customHeight="1" thickBot="1" x14ac:dyDescent="0.95">
      <c r="A17" s="124"/>
      <c r="B17" s="126">
        <f>+B15</f>
        <v>3</v>
      </c>
      <c r="C17" s="174" t="s">
        <v>236</v>
      </c>
      <c r="D17" s="175">
        <f>+D16+100</f>
        <v>103</v>
      </c>
      <c r="E17" s="175"/>
      <c r="F17" s="117" t="s">
        <v>94</v>
      </c>
      <c r="G17" s="117"/>
      <c r="H17" s="159"/>
      <c r="I17" s="165">
        <f>+IF(J17="","",IF(J15=0,"",(J15*I15)/(J17*60)))</f>
        <v>0.87850847457627124</v>
      </c>
      <c r="J17" s="118">
        <v>59</v>
      </c>
      <c r="K17" s="104" t="s">
        <v>19</v>
      </c>
      <c r="L17" s="216">
        <v>6</v>
      </c>
      <c r="M17" s="216">
        <v>6</v>
      </c>
      <c r="N17" s="216">
        <v>6</v>
      </c>
      <c r="O17" s="216">
        <v>6</v>
      </c>
      <c r="P17" s="216">
        <v>6</v>
      </c>
      <c r="Q17" s="216">
        <v>6</v>
      </c>
      <c r="R17" s="216">
        <v>6</v>
      </c>
      <c r="S17" s="216">
        <v>6</v>
      </c>
      <c r="T17" s="216">
        <v>6</v>
      </c>
      <c r="U17" s="245"/>
      <c r="V17" s="216"/>
      <c r="W17" s="173"/>
      <c r="X17" s="169">
        <v>17</v>
      </c>
      <c r="Y17" s="105">
        <f t="shared" si="0"/>
        <v>54</v>
      </c>
      <c r="Z17" s="139"/>
      <c r="AA17" s="139"/>
      <c r="AB17" s="119">
        <f>+IFERROR(AB15/(J15*9),"")</f>
        <v>1.893939393939394</v>
      </c>
      <c r="AC17" s="120"/>
      <c r="AD17" s="161">
        <f>+Y16+Y17/2</f>
        <v>555</v>
      </c>
      <c r="AE17" s="167">
        <f t="shared" si="1"/>
        <v>33300</v>
      </c>
      <c r="AF17" s="167"/>
      <c r="AG17" s="230">
        <f>+AD16+AD17</f>
        <v>540.25</v>
      </c>
      <c r="AH17" s="124"/>
      <c r="AI17" s="91"/>
    </row>
    <row r="18" spans="1:56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>
        <v>100</v>
      </c>
      <c r="M18" s="215">
        <v>50</v>
      </c>
      <c r="N18" s="215">
        <v>50</v>
      </c>
      <c r="O18" s="215">
        <v>50</v>
      </c>
      <c r="P18" s="215">
        <v>50</v>
      </c>
      <c r="Q18" s="215">
        <v>50</v>
      </c>
      <c r="R18" s="215"/>
      <c r="S18" s="215"/>
      <c r="T18" s="215"/>
      <c r="U18" s="215"/>
      <c r="W18" s="135"/>
      <c r="X18" s="540">
        <f>+W20</f>
        <v>0</v>
      </c>
      <c r="Y18" s="135">
        <f t="shared" si="0"/>
        <v>350</v>
      </c>
      <c r="Z18" s="136">
        <f>+AA18+Y18</f>
        <v>7001</v>
      </c>
      <c r="AA18" s="136">
        <v>6651</v>
      </c>
      <c r="AB18" s="109"/>
      <c r="AC18" s="110"/>
      <c r="AD18" s="157"/>
      <c r="AE18" s="167">
        <f t="shared" si="1"/>
        <v>0</v>
      </c>
      <c r="AF18" s="167"/>
      <c r="AG18" s="167"/>
      <c r="AH18" s="124"/>
      <c r="AI18" s="91"/>
    </row>
    <row r="19" spans="1:56" s="98" customFormat="1" ht="62.25" customHeight="1" x14ac:dyDescent="0.9">
      <c r="A19" s="124"/>
      <c r="B19" s="132">
        <v>4</v>
      </c>
      <c r="C19" s="111" t="s">
        <v>292</v>
      </c>
      <c r="D19" s="111"/>
      <c r="E19" s="111" t="s">
        <v>35</v>
      </c>
      <c r="F19" s="111" t="s">
        <v>293</v>
      </c>
      <c r="G19" s="111">
        <v>11466</v>
      </c>
      <c r="H19" s="111" t="s">
        <v>33</v>
      </c>
      <c r="I19" s="113">
        <v>61.52</v>
      </c>
      <c r="J19" s="130">
        <v>45</v>
      </c>
      <c r="K19" s="101" t="s">
        <v>17</v>
      </c>
      <c r="L19" s="214">
        <v>25</v>
      </c>
      <c r="M19" s="214">
        <v>45</v>
      </c>
      <c r="N19" s="214">
        <v>45</v>
      </c>
      <c r="O19" s="214">
        <v>45</v>
      </c>
      <c r="P19" s="214">
        <v>45</v>
      </c>
      <c r="Q19" s="214">
        <v>45</v>
      </c>
      <c r="R19" s="214">
        <v>65</v>
      </c>
      <c r="S19" s="214">
        <v>45</v>
      </c>
      <c r="T19" s="214">
        <v>45</v>
      </c>
      <c r="U19" s="214"/>
      <c r="V19" s="214"/>
      <c r="W19" s="123">
        <f>+IF(COUNTA(L19:V19)=0,0,Y19/(COUNTA(L19:V19)))</f>
        <v>45</v>
      </c>
      <c r="X19" s="541"/>
      <c r="Y19" s="134">
        <f t="shared" si="0"/>
        <v>405</v>
      </c>
      <c r="Z19" s="137">
        <f>+Y19+AA19</f>
        <v>6244</v>
      </c>
      <c r="AA19" s="137">
        <v>5839</v>
      </c>
      <c r="AB19" s="140">
        <f>+Z18-Z19</f>
        <v>757</v>
      </c>
      <c r="AC19" s="131">
        <f>+IF(((Y20+(Y21/2))*60)=0,"",(I19*Y19)/((Y20+(Y21/2))*60))</f>
        <v>0.78129821260583265</v>
      </c>
      <c r="AD19" s="157"/>
      <c r="AE19" s="167">
        <f t="shared" si="1"/>
        <v>0</v>
      </c>
      <c r="AF19" s="167">
        <f>+Y19*I19</f>
        <v>24915.600000000002</v>
      </c>
      <c r="AG19" s="167"/>
      <c r="AH19" s="124"/>
      <c r="AI19" s="91"/>
    </row>
    <row r="20" spans="1:56" s="98" customFormat="1" ht="62.25" customHeight="1" x14ac:dyDescent="0.9">
      <c r="A20" s="124"/>
      <c r="B20" s="125">
        <f>+B19</f>
        <v>4</v>
      </c>
      <c r="C20" s="184"/>
      <c r="D20" s="111">
        <f>+B19</f>
        <v>4</v>
      </c>
      <c r="E20" s="111"/>
      <c r="F20" s="112" t="e">
        <f>+VLOOKUP(F19,'Obj Prix'!$H:$H,2,FALSE)</f>
        <v>#N/A</v>
      </c>
      <c r="G20" s="238" t="s">
        <v>263</v>
      </c>
      <c r="H20" s="210"/>
      <c r="I20" s="113">
        <v>4</v>
      </c>
      <c r="J20" s="114" t="s">
        <v>22</v>
      </c>
      <c r="K20" s="102" t="s">
        <v>18</v>
      </c>
      <c r="L20" s="215">
        <v>54</v>
      </c>
      <c r="M20" s="215">
        <v>58</v>
      </c>
      <c r="N20" s="215">
        <v>58</v>
      </c>
      <c r="O20" s="215">
        <v>58</v>
      </c>
      <c r="P20" s="215">
        <v>58</v>
      </c>
      <c r="Q20" s="215">
        <v>58</v>
      </c>
      <c r="R20" s="215">
        <v>58</v>
      </c>
      <c r="S20" s="215">
        <v>58</v>
      </c>
      <c r="T20" s="215">
        <v>58</v>
      </c>
      <c r="U20" s="244"/>
      <c r="V20" s="215"/>
      <c r="W20" s="160">
        <f>+W19-J19</f>
        <v>0</v>
      </c>
      <c r="X20" s="541"/>
      <c r="Y20" s="103">
        <f t="shared" si="0"/>
        <v>518</v>
      </c>
      <c r="Z20" s="138"/>
      <c r="AA20" s="138"/>
      <c r="AB20" s="115"/>
      <c r="AC20" s="116"/>
      <c r="AD20" s="157">
        <f>-(L20+(L21/2))*$AD$2/60</f>
        <v>-13.875</v>
      </c>
      <c r="AE20" s="167">
        <f t="shared" si="1"/>
        <v>-832.5</v>
      </c>
      <c r="AF20" s="167"/>
      <c r="AG20" s="167"/>
      <c r="AH20" s="124"/>
      <c r="AI20" s="91"/>
    </row>
    <row r="21" spans="1:56" s="98" customFormat="1" ht="62.25" customHeight="1" thickBot="1" x14ac:dyDescent="0.95">
      <c r="A21" s="124"/>
      <c r="B21" s="126">
        <f>+B19</f>
        <v>4</v>
      </c>
      <c r="C21" s="174" t="s">
        <v>96</v>
      </c>
      <c r="D21" s="175">
        <f>+D20+100</f>
        <v>104</v>
      </c>
      <c r="E21" s="175"/>
      <c r="F21" s="117" t="s">
        <v>94</v>
      </c>
      <c r="G21" s="117"/>
      <c r="H21" s="159" t="s">
        <v>301</v>
      </c>
      <c r="I21" s="165">
        <f>+IF(J21="","",IF(J19=0,"",(J19*I19)/(J21*60)))</f>
        <v>0.85444444444444445</v>
      </c>
      <c r="J21" s="118">
        <v>54</v>
      </c>
      <c r="K21" s="104" t="s">
        <v>19</v>
      </c>
      <c r="L21" s="216">
        <v>3</v>
      </c>
      <c r="M21" s="216">
        <v>3</v>
      </c>
      <c r="N21" s="216">
        <v>3</v>
      </c>
      <c r="O21" s="216">
        <v>3</v>
      </c>
      <c r="P21" s="216">
        <v>3</v>
      </c>
      <c r="Q21" s="216">
        <v>3</v>
      </c>
      <c r="R21" s="216">
        <v>3</v>
      </c>
      <c r="S21" s="216">
        <v>3</v>
      </c>
      <c r="T21" s="216">
        <v>3</v>
      </c>
      <c r="U21" s="245"/>
      <c r="V21" s="216"/>
      <c r="W21" s="173"/>
      <c r="X21" s="169">
        <v>27.11</v>
      </c>
      <c r="Y21" s="105">
        <f t="shared" si="0"/>
        <v>27</v>
      </c>
      <c r="Z21" s="139"/>
      <c r="AA21" s="139"/>
      <c r="AB21" s="119">
        <f>+IFERROR(AB19/(J19*9),"")</f>
        <v>1.8691358024691358</v>
      </c>
      <c r="AC21" s="120"/>
      <c r="AD21" s="161">
        <f>+Y20+Y21/2</f>
        <v>531.5</v>
      </c>
      <c r="AE21" s="167">
        <f t="shared" si="1"/>
        <v>31890</v>
      </c>
      <c r="AF21" s="167"/>
      <c r="AG21" s="230">
        <f>+AD20+AD21</f>
        <v>517.625</v>
      </c>
      <c r="AH21" s="124"/>
      <c r="AI21" s="91"/>
    </row>
    <row r="22" spans="1:56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5">
        <v>34</v>
      </c>
      <c r="M22" s="215">
        <v>19</v>
      </c>
      <c r="N22" s="215">
        <v>18</v>
      </c>
      <c r="O22" s="215"/>
      <c r="P22" s="215"/>
      <c r="Q22" s="215"/>
      <c r="R22" s="215"/>
      <c r="S22" s="215"/>
      <c r="T22" s="215"/>
      <c r="U22" s="215"/>
      <c r="V22" s="98"/>
      <c r="W22" s="135"/>
      <c r="X22" s="540">
        <f>+W24</f>
        <v>-5.5555555555555571</v>
      </c>
      <c r="Y22" s="135">
        <f t="shared" si="0"/>
        <v>71</v>
      </c>
      <c r="Z22" s="136">
        <f>+AA22+Y22</f>
        <v>4806</v>
      </c>
      <c r="AA22" s="136">
        <v>4735</v>
      </c>
      <c r="AB22" s="121"/>
      <c r="AC22" s="110"/>
      <c r="AD22" s="157"/>
      <c r="AE22" s="167">
        <f t="shared" si="1"/>
        <v>0</v>
      </c>
      <c r="AF22" s="167"/>
      <c r="AG22" s="167"/>
      <c r="AH22" s="124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</row>
    <row r="23" spans="1:56" ht="62.25" customHeight="1" x14ac:dyDescent="0.9">
      <c r="A23" s="124"/>
      <c r="B23" s="132">
        <v>5</v>
      </c>
      <c r="C23" s="111" t="s">
        <v>304</v>
      </c>
      <c r="D23" s="111"/>
      <c r="E23" s="111" t="s">
        <v>35</v>
      </c>
      <c r="F23" s="111" t="s">
        <v>305</v>
      </c>
      <c r="G23" s="111">
        <v>5000</v>
      </c>
      <c r="H23" s="111" t="s">
        <v>33</v>
      </c>
      <c r="I23" s="113">
        <v>66.739999999999995</v>
      </c>
      <c r="J23" s="130">
        <v>50</v>
      </c>
      <c r="K23" s="101" t="s">
        <v>17</v>
      </c>
      <c r="L23" s="214">
        <v>30</v>
      </c>
      <c r="M23" s="214">
        <v>50</v>
      </c>
      <c r="N23" s="214">
        <v>40</v>
      </c>
      <c r="O23" s="214">
        <v>50</v>
      </c>
      <c r="P23" s="214">
        <v>50</v>
      </c>
      <c r="Q23" s="214">
        <v>50</v>
      </c>
      <c r="R23" s="214">
        <v>50</v>
      </c>
      <c r="S23" s="214">
        <v>50</v>
      </c>
      <c r="T23" s="214">
        <v>30</v>
      </c>
      <c r="U23" s="214"/>
      <c r="V23" s="214"/>
      <c r="W23" s="123">
        <f>+IF(COUNTA(L23:V23)=0,0,Y23/(COUNTA(L23:V23)))</f>
        <v>44.444444444444443</v>
      </c>
      <c r="X23" s="541"/>
      <c r="Y23" s="134">
        <f t="shared" si="0"/>
        <v>400</v>
      </c>
      <c r="Z23" s="137">
        <f>+Y23+AA23</f>
        <v>4218</v>
      </c>
      <c r="AA23" s="137">
        <v>3818</v>
      </c>
      <c r="AB23" s="140">
        <f>+Z22-Z23</f>
        <v>588</v>
      </c>
      <c r="AC23" s="131">
        <f>+IF(((Y24+(Y25/2))*60)=0,"",(I23*Y23)/((Y24+(Y25/2))*60))</f>
        <v>0.82701363073110279</v>
      </c>
      <c r="AD23" s="157"/>
      <c r="AE23" s="167">
        <f t="shared" si="1"/>
        <v>0</v>
      </c>
      <c r="AF23" s="167">
        <f>+Y23*I23</f>
        <v>26695.999999999996</v>
      </c>
      <c r="AG23" s="167"/>
      <c r="AH23" s="124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</row>
    <row r="24" spans="1:56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238" t="s">
        <v>263</v>
      </c>
      <c r="H24" s="210"/>
      <c r="I24" s="210">
        <v>3</v>
      </c>
      <c r="J24" s="114" t="s">
        <v>22</v>
      </c>
      <c r="K24" s="102" t="s">
        <v>18</v>
      </c>
      <c r="L24" s="215">
        <v>56</v>
      </c>
      <c r="M24" s="215">
        <v>58</v>
      </c>
      <c r="N24" s="215">
        <v>58</v>
      </c>
      <c r="O24" s="215">
        <v>58</v>
      </c>
      <c r="P24" s="215">
        <v>58</v>
      </c>
      <c r="Q24" s="215">
        <v>58</v>
      </c>
      <c r="R24" s="215">
        <v>58</v>
      </c>
      <c r="S24" s="215">
        <v>58</v>
      </c>
      <c r="T24" s="215">
        <v>58</v>
      </c>
      <c r="U24" s="244"/>
      <c r="V24" s="215"/>
      <c r="W24" s="160">
        <f>+W23-J23</f>
        <v>-5.5555555555555571</v>
      </c>
      <c r="X24" s="541"/>
      <c r="Y24" s="103">
        <f t="shared" si="0"/>
        <v>520</v>
      </c>
      <c r="Z24" s="138"/>
      <c r="AA24" s="138"/>
      <c r="AB24" s="122"/>
      <c r="AC24" s="116"/>
      <c r="AD24" s="157">
        <f>-(L24+(L25/2))*$AD$2/60</f>
        <v>-14.5</v>
      </c>
      <c r="AE24" s="167">
        <f t="shared" si="1"/>
        <v>-870</v>
      </c>
      <c r="AF24" s="167"/>
      <c r="AG24" s="167"/>
      <c r="AH24" s="124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</row>
    <row r="25" spans="1:56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111</v>
      </c>
      <c r="G25" s="117"/>
      <c r="H25" s="159" t="s">
        <v>301</v>
      </c>
      <c r="I25" s="165">
        <f>+IF(J25="","",IF(J23=0,"",(J23*I23)/(J25*60)))</f>
        <v>0.94265536723163834</v>
      </c>
      <c r="J25" s="118">
        <v>59</v>
      </c>
      <c r="K25" s="104" t="s">
        <v>19</v>
      </c>
      <c r="L25" s="216">
        <v>4</v>
      </c>
      <c r="M25" s="216">
        <v>4</v>
      </c>
      <c r="N25" s="216">
        <v>4</v>
      </c>
      <c r="O25" s="216">
        <v>4</v>
      </c>
      <c r="P25" s="216">
        <v>4</v>
      </c>
      <c r="Q25" s="216">
        <v>4</v>
      </c>
      <c r="R25" s="216">
        <v>4</v>
      </c>
      <c r="S25" s="216">
        <v>4</v>
      </c>
      <c r="T25" s="216">
        <v>4</v>
      </c>
      <c r="U25" s="245"/>
      <c r="V25" s="216"/>
      <c r="W25" s="173"/>
      <c r="X25" s="169">
        <v>16.850000000000001</v>
      </c>
      <c r="Y25" s="105">
        <f t="shared" si="0"/>
        <v>36</v>
      </c>
      <c r="Z25" s="139"/>
      <c r="AA25" s="139"/>
      <c r="AB25" s="119">
        <f>+IFERROR(AB23/(J23*9),"")</f>
        <v>1.3066666666666666</v>
      </c>
      <c r="AC25" s="120"/>
      <c r="AD25" s="161">
        <f>+Y24+Y25/2</f>
        <v>538</v>
      </c>
      <c r="AE25" s="167">
        <f t="shared" si="1"/>
        <v>32280</v>
      </c>
      <c r="AF25" s="167"/>
      <c r="AG25" s="230">
        <f>+AD24+AD25</f>
        <v>523.5</v>
      </c>
      <c r="AH25" s="124"/>
      <c r="AI25" s="91"/>
    </row>
    <row r="26" spans="1:56" ht="62.25" customHeight="1" thickTop="1" x14ac:dyDescent="0.9">
      <c r="A26" s="124"/>
      <c r="B26" s="127">
        <f>+B27</f>
        <v>5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5"/>
      <c r="M26" s="215"/>
      <c r="N26" s="215"/>
      <c r="O26" s="215">
        <v>40</v>
      </c>
      <c r="P26" s="215">
        <v>40</v>
      </c>
      <c r="Q26" s="215">
        <v>40</v>
      </c>
      <c r="R26" s="215">
        <v>40</v>
      </c>
      <c r="S26" s="215"/>
      <c r="T26" s="215"/>
      <c r="U26" s="215"/>
      <c r="V26" s="98"/>
      <c r="W26" s="135"/>
      <c r="X26" s="540">
        <f>+W28</f>
        <v>0</v>
      </c>
      <c r="Y26" s="135">
        <f t="shared" si="0"/>
        <v>160</v>
      </c>
      <c r="Z26" s="136">
        <f>+AA26+Y26</f>
        <v>160</v>
      </c>
      <c r="AA26" s="136"/>
      <c r="AB26" s="121"/>
      <c r="AC26" s="110"/>
      <c r="AD26" s="157"/>
      <c r="AE26" s="167">
        <f t="shared" si="1"/>
        <v>0</v>
      </c>
      <c r="AF26" s="167"/>
      <c r="AG26" s="167"/>
      <c r="AH26" s="124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</row>
    <row r="27" spans="1:56" ht="62.25" customHeight="1" x14ac:dyDescent="0.9">
      <c r="A27" s="124"/>
      <c r="B27" s="132">
        <v>5</v>
      </c>
      <c r="C27" s="111" t="s">
        <v>325</v>
      </c>
      <c r="D27" s="111"/>
      <c r="E27" s="111" t="s">
        <v>35</v>
      </c>
      <c r="F27" s="111" t="s">
        <v>326</v>
      </c>
      <c r="G27" s="111"/>
      <c r="H27" s="111" t="s">
        <v>33</v>
      </c>
      <c r="I27" s="113"/>
      <c r="J27" s="130"/>
      <c r="K27" s="101" t="s">
        <v>17</v>
      </c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123">
        <f>+IF(COUNTA(L27:V27)=0,0,Y27/(COUNTA(L27:V27)))</f>
        <v>0</v>
      </c>
      <c r="X27" s="541"/>
      <c r="Y27" s="134">
        <f t="shared" si="0"/>
        <v>0</v>
      </c>
      <c r="Z27" s="137">
        <f>+Y27+AA27</f>
        <v>0</v>
      </c>
      <c r="AA27" s="137"/>
      <c r="AB27" s="140">
        <f>+Z26-Z27</f>
        <v>160</v>
      </c>
      <c r="AC27" s="131" t="str">
        <f>+IF(((Y28+(Y29/2))*60)=0,"",(I27*Y27)/((Y28+(Y29/2))*60))</f>
        <v/>
      </c>
      <c r="AD27" s="157"/>
      <c r="AE27" s="167">
        <f t="shared" si="1"/>
        <v>0</v>
      </c>
      <c r="AF27" s="167">
        <f>+Y27*I27</f>
        <v>0</v>
      </c>
      <c r="AG27" s="167"/>
      <c r="AH27" s="124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</row>
    <row r="28" spans="1:56" ht="62.25" customHeight="1" x14ac:dyDescent="0.9">
      <c r="A28" s="124"/>
      <c r="B28" s="125">
        <f>+B27</f>
        <v>5</v>
      </c>
      <c r="C28" s="184"/>
      <c r="D28" s="111">
        <f>+B27</f>
        <v>5</v>
      </c>
      <c r="E28" s="111"/>
      <c r="F28" s="112" t="e">
        <f>+VLOOKUP(F27,'Obj Prix'!$H:$H,2,FALSE)</f>
        <v>#N/A</v>
      </c>
      <c r="G28" s="238"/>
      <c r="H28" s="210"/>
      <c r="I28" s="210"/>
      <c r="J28" s="114" t="s">
        <v>22</v>
      </c>
      <c r="K28" s="102" t="s">
        <v>18</v>
      </c>
      <c r="L28" s="215"/>
      <c r="M28" s="215"/>
      <c r="N28" s="215"/>
      <c r="O28" s="215"/>
      <c r="P28" s="215"/>
      <c r="Q28" s="215"/>
      <c r="R28" s="215"/>
      <c r="S28" s="215"/>
      <c r="T28" s="215"/>
      <c r="U28" s="244"/>
      <c r="V28" s="215"/>
      <c r="W28" s="160">
        <f>+W27-J27</f>
        <v>0</v>
      </c>
      <c r="X28" s="541"/>
      <c r="Y28" s="103">
        <f t="shared" si="0"/>
        <v>0</v>
      </c>
      <c r="Z28" s="138"/>
      <c r="AA28" s="138"/>
      <c r="AB28" s="122"/>
      <c r="AC28" s="116"/>
      <c r="AD28" s="157">
        <f>-(L28+(L29/2))*$AD$2/60</f>
        <v>0</v>
      </c>
      <c r="AE28" s="167">
        <f t="shared" si="1"/>
        <v>0</v>
      </c>
      <c r="AF28" s="167"/>
      <c r="AG28" s="167"/>
      <c r="AH28" s="124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</row>
    <row r="29" spans="1:56" s="98" customFormat="1" ht="62.25" customHeight="1" thickBot="1" x14ac:dyDescent="0.95">
      <c r="A29" s="124"/>
      <c r="B29" s="129">
        <f>+B27</f>
        <v>5</v>
      </c>
      <c r="C29" s="174" t="s">
        <v>128</v>
      </c>
      <c r="D29" s="175">
        <f>+D28+100</f>
        <v>105</v>
      </c>
      <c r="E29" s="175"/>
      <c r="F29" s="117" t="s">
        <v>111</v>
      </c>
      <c r="G29" s="117"/>
      <c r="H29" s="159"/>
      <c r="I29" s="165" t="str">
        <f>+IF(J29="","",IF(J27=0,"",(J27*I27)/(J29*60)))</f>
        <v/>
      </c>
      <c r="J29" s="118"/>
      <c r="K29" s="104" t="s">
        <v>19</v>
      </c>
      <c r="L29" s="216"/>
      <c r="M29" s="216"/>
      <c r="N29" s="216"/>
      <c r="O29" s="216"/>
      <c r="P29" s="216"/>
      <c r="Q29" s="216"/>
      <c r="R29" s="216"/>
      <c r="S29" s="216"/>
      <c r="T29" s="216"/>
      <c r="U29" s="245"/>
      <c r="V29" s="216"/>
      <c r="W29" s="173"/>
      <c r="X29" s="169"/>
      <c r="Y29" s="105">
        <f t="shared" si="0"/>
        <v>0</v>
      </c>
      <c r="Z29" s="139"/>
      <c r="AA29" s="139"/>
      <c r="AB29" s="119" t="str">
        <f>+IFERROR(AB27/(J27*9),"")</f>
        <v/>
      </c>
      <c r="AC29" s="120"/>
      <c r="AD29" s="161">
        <f>+Y28+Y29/2</f>
        <v>0</v>
      </c>
      <c r="AE29" s="167">
        <f t="shared" si="1"/>
        <v>0</v>
      </c>
      <c r="AF29" s="167"/>
      <c r="AG29" s="230">
        <f>+AD28+AD29</f>
        <v>0</v>
      </c>
      <c r="AH29" s="124"/>
      <c r="AI29" s="91"/>
    </row>
    <row r="30" spans="1:56" ht="62.25" customHeight="1" thickTop="1" x14ac:dyDescent="0.9">
      <c r="A30" s="124"/>
      <c r="B30" s="127">
        <f>+B31</f>
        <v>6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5">
        <v>40</v>
      </c>
      <c r="M30" s="215">
        <v>40</v>
      </c>
      <c r="N30" s="215">
        <v>40</v>
      </c>
      <c r="O30" s="215">
        <v>40</v>
      </c>
      <c r="P30" s="215">
        <v>40</v>
      </c>
      <c r="Q30" s="215">
        <v>40</v>
      </c>
      <c r="R30" s="215">
        <v>80</v>
      </c>
      <c r="S30" s="215">
        <v>40</v>
      </c>
      <c r="T30" s="215">
        <v>40</v>
      </c>
      <c r="U30" s="215"/>
      <c r="V30" s="98"/>
      <c r="W30" s="135"/>
      <c r="X30" s="540">
        <f>+W32</f>
        <v>-8.4444444444444429</v>
      </c>
      <c r="Y30" s="135">
        <f t="shared" si="0"/>
        <v>400</v>
      </c>
      <c r="Z30" s="136">
        <f>+AA30+Y30</f>
        <v>4680</v>
      </c>
      <c r="AA30" s="136">
        <v>4280</v>
      </c>
      <c r="AB30" s="121"/>
      <c r="AC30" s="110"/>
      <c r="AD30" s="157"/>
      <c r="AE30" s="167">
        <f t="shared" si="1"/>
        <v>0</v>
      </c>
      <c r="AF30" s="167"/>
      <c r="AG30" s="167"/>
      <c r="AH30" s="124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</row>
    <row r="31" spans="1:56" ht="62.25" customHeight="1" x14ac:dyDescent="0.9">
      <c r="A31" s="124"/>
      <c r="B31" s="132">
        <v>6</v>
      </c>
      <c r="C31" s="111" t="s">
        <v>298</v>
      </c>
      <c r="D31" s="111"/>
      <c r="E31" s="111" t="s">
        <v>35</v>
      </c>
      <c r="F31" s="111" t="s">
        <v>299</v>
      </c>
      <c r="G31" s="111">
        <v>8731</v>
      </c>
      <c r="H31" s="111" t="s">
        <v>300</v>
      </c>
      <c r="I31" s="113">
        <v>55.97</v>
      </c>
      <c r="J31" s="130">
        <v>50</v>
      </c>
      <c r="K31" s="101" t="s">
        <v>17</v>
      </c>
      <c r="L31" s="247">
        <v>15</v>
      </c>
      <c r="M31" s="247">
        <v>30</v>
      </c>
      <c r="N31" s="247">
        <v>39</v>
      </c>
      <c r="O31" s="247">
        <v>45</v>
      </c>
      <c r="P31" s="247">
        <v>45</v>
      </c>
      <c r="Q31" s="247">
        <v>45</v>
      </c>
      <c r="R31" s="247">
        <v>65</v>
      </c>
      <c r="S31" s="247">
        <v>45</v>
      </c>
      <c r="T31" s="247">
        <v>45</v>
      </c>
      <c r="U31" s="214"/>
      <c r="V31" s="214"/>
      <c r="W31" s="123">
        <f>+IF(COUNTA(L31:V31)=0,0,Y31/(COUNTA(L31:V31)))</f>
        <v>41.555555555555557</v>
      </c>
      <c r="X31" s="541"/>
      <c r="Y31" s="134">
        <f t="shared" si="0"/>
        <v>374</v>
      </c>
      <c r="Z31" s="137">
        <f>+Y31+AA31</f>
        <v>4067</v>
      </c>
      <c r="AA31" s="137">
        <v>3693</v>
      </c>
      <c r="AB31" s="140">
        <f>+Z30-Z31</f>
        <v>613</v>
      </c>
      <c r="AC31" s="131">
        <f>+IF(((Y32+(Y33/2))*60)=0,"",(I31*Y31)/((Y32+(Y33/2))*60))</f>
        <v>0.77271244001476558</v>
      </c>
      <c r="AD31" s="157"/>
      <c r="AE31" s="167">
        <f t="shared" si="1"/>
        <v>0</v>
      </c>
      <c r="AF31" s="167">
        <f>+Y31*I31</f>
        <v>20932.78</v>
      </c>
      <c r="AG31" s="167"/>
      <c r="AH31" s="124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</row>
    <row r="32" spans="1:56" ht="62.25" customHeight="1" x14ac:dyDescent="0.9">
      <c r="A32" s="124"/>
      <c r="B32" s="125">
        <f>+B31</f>
        <v>6</v>
      </c>
      <c r="C32" s="184"/>
      <c r="D32" s="111">
        <f>+B31</f>
        <v>6</v>
      </c>
      <c r="E32" s="111"/>
      <c r="F32" s="112" t="e">
        <f>+VLOOKUP(F31,'Obj Prix'!$H:$H,2,FALSE)</f>
        <v>#N/A</v>
      </c>
      <c r="G32" s="238" t="s">
        <v>263</v>
      </c>
      <c r="H32" s="210"/>
      <c r="I32" s="113">
        <v>6</v>
      </c>
      <c r="J32" s="114" t="s">
        <v>22</v>
      </c>
      <c r="K32" s="102" t="s">
        <v>18</v>
      </c>
      <c r="L32" s="215">
        <v>48</v>
      </c>
      <c r="M32" s="215">
        <v>48</v>
      </c>
      <c r="N32" s="215">
        <v>48</v>
      </c>
      <c r="O32" s="215">
        <v>48</v>
      </c>
      <c r="P32" s="215">
        <v>48</v>
      </c>
      <c r="Q32" s="215">
        <v>48</v>
      </c>
      <c r="R32" s="215">
        <v>47</v>
      </c>
      <c r="S32" s="215">
        <v>47</v>
      </c>
      <c r="T32" s="215">
        <v>47</v>
      </c>
      <c r="U32" s="244"/>
      <c r="V32" s="215"/>
      <c r="W32" s="160">
        <f>+W31-J31</f>
        <v>-8.4444444444444429</v>
      </c>
      <c r="X32" s="541"/>
      <c r="Y32" s="103">
        <f t="shared" si="0"/>
        <v>429</v>
      </c>
      <c r="Z32" s="138"/>
      <c r="AA32" s="138"/>
      <c r="AB32" s="122"/>
      <c r="AC32" s="116"/>
      <c r="AD32" s="157">
        <f>-(L32+(L33/2))*$AD$2/60</f>
        <v>-12.625</v>
      </c>
      <c r="AE32" s="167">
        <f>+AD32*60</f>
        <v>-757.5</v>
      </c>
      <c r="AF32" s="167"/>
      <c r="AG32" s="167"/>
      <c r="AH32" s="124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</row>
    <row r="33" spans="1:35" s="98" customFormat="1" ht="62.25" customHeight="1" thickBot="1" x14ac:dyDescent="0.95">
      <c r="A33" s="124"/>
      <c r="B33" s="129">
        <f>+B31</f>
        <v>6</v>
      </c>
      <c r="C33" s="174" t="s">
        <v>321</v>
      </c>
      <c r="D33" s="175">
        <f>+D32+100</f>
        <v>106</v>
      </c>
      <c r="E33" s="175"/>
      <c r="F33" s="117" t="s">
        <v>203</v>
      </c>
      <c r="G33" s="117"/>
      <c r="H33" s="159" t="s">
        <v>322</v>
      </c>
      <c r="I33" s="165">
        <f>+IF(J33="","",IF(J31=0,"",(J31*I31)/(J33*60)))</f>
        <v>0.89695512820512824</v>
      </c>
      <c r="J33" s="118">
        <v>52</v>
      </c>
      <c r="K33" s="104" t="s">
        <v>19</v>
      </c>
      <c r="L33" s="216">
        <v>5</v>
      </c>
      <c r="M33" s="216">
        <v>5</v>
      </c>
      <c r="N33" s="216">
        <v>5</v>
      </c>
      <c r="O33" s="216">
        <v>5</v>
      </c>
      <c r="P33" s="216">
        <v>5</v>
      </c>
      <c r="Q33" s="216">
        <v>5</v>
      </c>
      <c r="R33" s="216">
        <v>5</v>
      </c>
      <c r="S33" s="216">
        <v>5</v>
      </c>
      <c r="T33" s="216">
        <v>5</v>
      </c>
      <c r="U33" s="245"/>
      <c r="V33" s="216"/>
      <c r="W33" s="173"/>
      <c r="X33" s="168">
        <f>52.4+(COUNTA(L31:V31)-(Y31/J31))</f>
        <v>53.92</v>
      </c>
      <c r="Y33" s="105">
        <f t="shared" si="0"/>
        <v>45</v>
      </c>
      <c r="Z33" s="139"/>
      <c r="AA33" s="139"/>
      <c r="AB33" s="119">
        <f>+IFERROR(AB31/(J31*9),"")</f>
        <v>1.3622222222222222</v>
      </c>
      <c r="AC33" s="120"/>
      <c r="AD33" s="161">
        <f>+Y32+Y33/2</f>
        <v>451.5</v>
      </c>
      <c r="AE33" s="167">
        <f t="shared" si="1"/>
        <v>27090</v>
      </c>
      <c r="AF33" s="167"/>
      <c r="AG33" s="230">
        <f>+AD32+AD33</f>
        <v>438.875</v>
      </c>
      <c r="AH33" s="124"/>
      <c r="AI33" s="91"/>
    </row>
    <row r="34" spans="1:35" s="98" customFormat="1" ht="65.25" customHeight="1" thickTop="1" x14ac:dyDescent="0.9">
      <c r="A34" s="124"/>
      <c r="B34" s="127">
        <f>+B35</f>
        <v>7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5">
        <v>120</v>
      </c>
      <c r="M34" s="215">
        <v>60</v>
      </c>
      <c r="N34" s="215">
        <v>60</v>
      </c>
      <c r="O34" s="215">
        <v>60</v>
      </c>
      <c r="P34" s="215">
        <v>60</v>
      </c>
      <c r="Q34" s="215">
        <v>60</v>
      </c>
      <c r="R34" s="215"/>
      <c r="S34" s="215"/>
      <c r="T34" s="215"/>
      <c r="U34" s="215"/>
      <c r="W34" s="135"/>
      <c r="X34" s="540">
        <f>+W36</f>
        <v>-22.222222222222221</v>
      </c>
      <c r="Y34" s="135">
        <f t="shared" si="0"/>
        <v>420</v>
      </c>
      <c r="Z34" s="136">
        <f>+AA34+Y34</f>
        <v>1030</v>
      </c>
      <c r="AA34" s="136">
        <v>610</v>
      </c>
      <c r="AB34" s="121"/>
      <c r="AC34" s="110"/>
      <c r="AD34" s="157"/>
      <c r="AE34" s="167">
        <f t="shared" si="1"/>
        <v>0</v>
      </c>
      <c r="AF34" s="167"/>
      <c r="AG34" s="167"/>
      <c r="AH34" s="124"/>
      <c r="AI34" s="91"/>
    </row>
    <row r="35" spans="1:35" s="98" customFormat="1" ht="62.25" customHeight="1" x14ac:dyDescent="0.9">
      <c r="A35" s="124"/>
      <c r="B35" s="132">
        <v>7</v>
      </c>
      <c r="C35" s="111" t="s">
        <v>316</v>
      </c>
      <c r="D35" s="111"/>
      <c r="E35" s="111" t="s">
        <v>35</v>
      </c>
      <c r="F35" s="111" t="s">
        <v>317</v>
      </c>
      <c r="G35" s="111">
        <v>7720</v>
      </c>
      <c r="H35" s="111" t="s">
        <v>33</v>
      </c>
      <c r="I35" s="113">
        <v>62.08</v>
      </c>
      <c r="J35" s="130">
        <v>49</v>
      </c>
      <c r="K35" s="101" t="s">
        <v>17</v>
      </c>
      <c r="L35" s="214">
        <v>11</v>
      </c>
      <c r="M35" s="214">
        <v>30</v>
      </c>
      <c r="N35" s="214">
        <v>69</v>
      </c>
      <c r="O35" s="247">
        <v>8</v>
      </c>
      <c r="P35" s="247">
        <v>16</v>
      </c>
      <c r="Q35" s="247">
        <v>30</v>
      </c>
      <c r="R35" s="247">
        <v>30</v>
      </c>
      <c r="S35" s="247">
        <v>27</v>
      </c>
      <c r="T35" s="247">
        <v>20</v>
      </c>
      <c r="U35" s="214"/>
      <c r="V35" s="214"/>
      <c r="W35" s="123">
        <f>+IF(COUNTA(L35:V35)=0,0,Y35/(COUNTA(L35:V35)))</f>
        <v>26.777777777777779</v>
      </c>
      <c r="X35" s="541"/>
      <c r="Y35" s="134">
        <f t="shared" si="0"/>
        <v>241</v>
      </c>
      <c r="Z35" s="137">
        <f>+Y35+AA35</f>
        <v>281</v>
      </c>
      <c r="AA35" s="137">
        <v>40</v>
      </c>
      <c r="AB35" s="140">
        <f>+Z34-Z35</f>
        <v>749</v>
      </c>
      <c r="AC35" s="131">
        <f>+IF(((Y36+(Y37/2))*60)=0,"",(I35*Y35)/((Y36+(Y37/2))*60))</f>
        <v>0.47723381180223284</v>
      </c>
      <c r="AD35" s="157"/>
      <c r="AE35" s="167">
        <f t="shared" si="1"/>
        <v>0</v>
      </c>
      <c r="AF35" s="167">
        <f>+Y35*I35</f>
        <v>14961.279999999999</v>
      </c>
      <c r="AG35" s="167"/>
      <c r="AH35" s="124"/>
      <c r="AI35" s="91"/>
    </row>
    <row r="36" spans="1:35" s="98" customFormat="1" ht="62.25" customHeight="1" x14ac:dyDescent="0.9">
      <c r="A36" s="124"/>
      <c r="B36" s="125">
        <f>+B35</f>
        <v>7</v>
      </c>
      <c r="C36" s="184"/>
      <c r="D36" s="111">
        <f>+B35</f>
        <v>7</v>
      </c>
      <c r="E36" s="111"/>
      <c r="F36" s="112" t="e">
        <f>+VLOOKUP(F35,'Obj Prix'!$H:$H,2,FALSE)</f>
        <v>#N/A</v>
      </c>
      <c r="G36" s="238" t="s">
        <v>263</v>
      </c>
      <c r="H36" s="210"/>
      <c r="I36" s="210">
        <v>3</v>
      </c>
      <c r="J36" s="114" t="s">
        <v>22</v>
      </c>
      <c r="K36" s="102" t="s">
        <v>18</v>
      </c>
      <c r="L36" s="215">
        <v>56</v>
      </c>
      <c r="M36" s="215">
        <v>57</v>
      </c>
      <c r="N36" s="215">
        <v>57</v>
      </c>
      <c r="O36" s="215">
        <v>57</v>
      </c>
      <c r="P36" s="215">
        <v>57</v>
      </c>
      <c r="Q36" s="215">
        <v>57</v>
      </c>
      <c r="R36" s="215">
        <v>56</v>
      </c>
      <c r="S36" s="215">
        <v>56</v>
      </c>
      <c r="T36" s="215">
        <v>56</v>
      </c>
      <c r="U36" s="244"/>
      <c r="V36" s="215"/>
      <c r="W36" s="160">
        <f>+W35-J35</f>
        <v>-22.222222222222221</v>
      </c>
      <c r="X36" s="541"/>
      <c r="Y36" s="103">
        <f t="shared" si="0"/>
        <v>509</v>
      </c>
      <c r="Z36" s="138"/>
      <c r="AA36" s="138"/>
      <c r="AB36" s="122"/>
      <c r="AC36" s="116"/>
      <c r="AD36" s="157">
        <f>-(L36+(L37/2))*$AD$2/60</f>
        <v>-14.375</v>
      </c>
      <c r="AE36" s="167">
        <f t="shared" si="1"/>
        <v>-862.5</v>
      </c>
      <c r="AF36" s="167"/>
      <c r="AG36" s="167"/>
      <c r="AH36" s="124"/>
      <c r="AI36" s="91"/>
    </row>
    <row r="37" spans="1:35" s="98" customFormat="1" ht="62.25" customHeight="1" thickBot="1" x14ac:dyDescent="0.95">
      <c r="A37" s="124"/>
      <c r="B37" s="126">
        <f>+B35</f>
        <v>7</v>
      </c>
      <c r="C37" s="174" t="s">
        <v>93</v>
      </c>
      <c r="D37" s="175">
        <f>+D36+100</f>
        <v>107</v>
      </c>
      <c r="E37" s="175"/>
      <c r="F37" s="117" t="s">
        <v>94</v>
      </c>
      <c r="G37" s="218"/>
      <c r="H37" s="159" t="s">
        <v>327</v>
      </c>
      <c r="I37" s="165">
        <f>+IF(J37="","",IF(J35=0,"",(J35*I35)/(J37*60)))</f>
        <v>0.88945029239766082</v>
      </c>
      <c r="J37" s="118">
        <v>57</v>
      </c>
      <c r="K37" s="104" t="s">
        <v>19</v>
      </c>
      <c r="L37" s="216">
        <v>3</v>
      </c>
      <c r="M37" s="216">
        <v>3</v>
      </c>
      <c r="N37" s="216">
        <v>3</v>
      </c>
      <c r="O37" s="216">
        <v>3</v>
      </c>
      <c r="P37" s="216">
        <v>3</v>
      </c>
      <c r="Q37" s="216">
        <v>3</v>
      </c>
      <c r="R37" s="216">
        <v>3</v>
      </c>
      <c r="S37" s="216">
        <v>3</v>
      </c>
      <c r="T37" s="216">
        <v>3</v>
      </c>
      <c r="U37" s="245"/>
      <c r="V37" s="216"/>
      <c r="W37" s="173"/>
      <c r="X37" s="168">
        <f>13.3+(COUNTA(L35:V35)-(Y35/J35))</f>
        <v>17.381632653061224</v>
      </c>
      <c r="Y37" s="105">
        <f t="shared" si="0"/>
        <v>27</v>
      </c>
      <c r="Z37" s="139"/>
      <c r="AA37" s="139"/>
      <c r="AB37" s="119">
        <f>+IFERROR(AB35/(J35*9),"")</f>
        <v>1.6984126984126984</v>
      </c>
      <c r="AC37" s="120"/>
      <c r="AD37" s="161">
        <f>+Y36+Y37/2</f>
        <v>522.5</v>
      </c>
      <c r="AE37" s="167">
        <f t="shared" si="1"/>
        <v>31350</v>
      </c>
      <c r="AF37" s="167"/>
      <c r="AG37" s="230">
        <f>+AD36+AD37</f>
        <v>508.125</v>
      </c>
      <c r="AH37" s="124"/>
      <c r="AI37" s="91"/>
    </row>
    <row r="38" spans="1:35" ht="62.25" customHeight="1" thickTop="1" x14ac:dyDescent="0.9">
      <c r="A38" s="124"/>
      <c r="B38" s="127">
        <f>+B39</f>
        <v>8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5">
        <v>40</v>
      </c>
      <c r="M38" s="215">
        <v>40</v>
      </c>
      <c r="N38" s="215">
        <v>40</v>
      </c>
      <c r="O38" s="215">
        <v>40</v>
      </c>
      <c r="P38" s="215">
        <v>80</v>
      </c>
      <c r="Q38" s="215">
        <v>40</v>
      </c>
      <c r="R38" s="215">
        <v>80</v>
      </c>
      <c r="S38" s="215">
        <v>40</v>
      </c>
      <c r="T38" s="215">
        <v>40</v>
      </c>
      <c r="U38" s="215"/>
      <c r="V38" s="98"/>
      <c r="W38" s="135"/>
      <c r="X38" s="540">
        <f>+W40</f>
        <v>0.77777777777777857</v>
      </c>
      <c r="Y38" s="135">
        <f t="shared" ref="Y38:Y69" si="2">+SUM(L38:V38)</f>
        <v>440</v>
      </c>
      <c r="Z38" s="136">
        <f>+AA38+Y38</f>
        <v>3000</v>
      </c>
      <c r="AA38" s="136">
        <v>2560</v>
      </c>
      <c r="AB38" s="109"/>
      <c r="AC38" s="110"/>
      <c r="AD38" s="157"/>
      <c r="AE38" s="167">
        <f>+AD38*60</f>
        <v>0</v>
      </c>
      <c r="AF38" s="167"/>
      <c r="AG38" s="167"/>
      <c r="AH38" s="124"/>
    </row>
    <row r="39" spans="1:35" ht="62.25" customHeight="1" x14ac:dyDescent="0.9">
      <c r="A39" s="124"/>
      <c r="B39" s="132">
        <v>8</v>
      </c>
      <c r="C39" s="111" t="s">
        <v>298</v>
      </c>
      <c r="D39" s="111"/>
      <c r="E39" s="111" t="s">
        <v>35</v>
      </c>
      <c r="F39" s="111" t="s">
        <v>299</v>
      </c>
      <c r="G39" s="111">
        <v>8731</v>
      </c>
      <c r="H39" s="111" t="s">
        <v>300</v>
      </c>
      <c r="I39" s="113">
        <v>55.97</v>
      </c>
      <c r="J39" s="130">
        <v>50</v>
      </c>
      <c r="K39" s="101" t="s">
        <v>17</v>
      </c>
      <c r="L39" s="247">
        <v>44</v>
      </c>
      <c r="M39" s="247">
        <v>56</v>
      </c>
      <c r="N39" s="247">
        <v>50</v>
      </c>
      <c r="O39" s="247">
        <v>50</v>
      </c>
      <c r="P39" s="247">
        <v>50</v>
      </c>
      <c r="Q39" s="247">
        <v>51</v>
      </c>
      <c r="R39" s="247">
        <v>52</v>
      </c>
      <c r="S39" s="247">
        <v>52</v>
      </c>
      <c r="T39" s="247">
        <v>52</v>
      </c>
      <c r="U39" s="214"/>
      <c r="V39" s="214"/>
      <c r="W39" s="123">
        <f>+IF(COUNTA(L39:V39)=0,0,Y39/(COUNTA(L39:V39)))</f>
        <v>50.777777777777779</v>
      </c>
      <c r="X39" s="541"/>
      <c r="Y39" s="134">
        <f t="shared" si="2"/>
        <v>457</v>
      </c>
      <c r="Z39" s="137">
        <f>+Y39+AA39</f>
        <v>2304</v>
      </c>
      <c r="AA39" s="137">
        <v>1847</v>
      </c>
      <c r="AB39" s="140">
        <f>+Z38-Z39</f>
        <v>696</v>
      </c>
      <c r="AC39" s="131">
        <f>+IF(((Y40+(Y41/2))*60)=0,"",(I39*Y39)/((Y40+(Y41/2))*60))</f>
        <v>0.87717043895747604</v>
      </c>
      <c r="AD39" s="157"/>
      <c r="AE39" s="167">
        <f>+AD39*60</f>
        <v>0</v>
      </c>
      <c r="AF39" s="167">
        <f>+Y39*I39</f>
        <v>25578.29</v>
      </c>
      <c r="AG39" s="167"/>
      <c r="AH39" s="124"/>
    </row>
    <row r="40" spans="1:35" ht="62.25" customHeight="1" x14ac:dyDescent="0.9">
      <c r="A40" s="124"/>
      <c r="B40" s="125">
        <f>+B39</f>
        <v>8</v>
      </c>
      <c r="C40" s="184"/>
      <c r="D40" s="111">
        <f>+B39</f>
        <v>8</v>
      </c>
      <c r="E40" s="111"/>
      <c r="F40" s="112" t="e">
        <f>+VLOOKUP(F39,'Obj Prix'!$H:$H,2,FALSE)</f>
        <v>#N/A</v>
      </c>
      <c r="G40" s="238" t="s">
        <v>263</v>
      </c>
      <c r="H40" s="210"/>
      <c r="I40" s="113">
        <v>2</v>
      </c>
      <c r="J40" s="114" t="s">
        <v>22</v>
      </c>
      <c r="K40" s="102" t="s">
        <v>18</v>
      </c>
      <c r="L40" s="215">
        <v>52</v>
      </c>
      <c r="M40" s="215">
        <v>52</v>
      </c>
      <c r="N40" s="215">
        <v>52</v>
      </c>
      <c r="O40" s="215">
        <v>52</v>
      </c>
      <c r="P40" s="215">
        <v>52</v>
      </c>
      <c r="Q40" s="215">
        <v>52</v>
      </c>
      <c r="R40" s="215">
        <v>52</v>
      </c>
      <c r="S40" s="215">
        <v>52</v>
      </c>
      <c r="T40" s="215">
        <v>52</v>
      </c>
      <c r="U40" s="244"/>
      <c r="V40" s="215"/>
      <c r="W40" s="160">
        <f>+W39-J39</f>
        <v>0.77777777777777857</v>
      </c>
      <c r="X40" s="541"/>
      <c r="Y40" s="103">
        <f t="shared" si="2"/>
        <v>468</v>
      </c>
      <c r="Z40" s="138"/>
      <c r="AA40" s="138"/>
      <c r="AB40" s="115"/>
      <c r="AC40" s="116"/>
      <c r="AD40" s="157">
        <f>-(L40+(L41/2))*$AD$2/60</f>
        <v>-13.5</v>
      </c>
      <c r="AE40" s="167">
        <f>+AD40*60</f>
        <v>-810</v>
      </c>
      <c r="AF40" s="167"/>
      <c r="AG40" s="167"/>
      <c r="AH40" s="124"/>
    </row>
    <row r="41" spans="1:35" s="98" customFormat="1" ht="62.25" customHeight="1" thickBot="1" x14ac:dyDescent="0.95">
      <c r="A41" s="124"/>
      <c r="B41" s="126">
        <f>+B39</f>
        <v>8</v>
      </c>
      <c r="C41" s="174" t="s">
        <v>130</v>
      </c>
      <c r="D41" s="175">
        <f>+D40+100</f>
        <v>108</v>
      </c>
      <c r="E41" s="175"/>
      <c r="F41" s="117" t="s">
        <v>203</v>
      </c>
      <c r="G41" s="117"/>
      <c r="H41" s="159" t="s">
        <v>328</v>
      </c>
      <c r="I41" s="165">
        <f>+IF(J41="","",IF(J39=0,"",(J39*I39)/(J41*60)))</f>
        <v>0.89695512820512824</v>
      </c>
      <c r="J41" s="118">
        <v>52</v>
      </c>
      <c r="K41" s="104" t="s">
        <v>19</v>
      </c>
      <c r="L41" s="216">
        <v>4</v>
      </c>
      <c r="M41" s="216">
        <v>4</v>
      </c>
      <c r="N41" s="216">
        <v>4</v>
      </c>
      <c r="O41" s="216">
        <v>4</v>
      </c>
      <c r="P41" s="216">
        <v>4</v>
      </c>
      <c r="Q41" s="216">
        <v>4</v>
      </c>
      <c r="R41" s="216">
        <v>4</v>
      </c>
      <c r="S41" s="216">
        <v>4</v>
      </c>
      <c r="T41" s="216">
        <v>4</v>
      </c>
      <c r="U41" s="245"/>
      <c r="V41" s="216"/>
      <c r="W41" s="173"/>
      <c r="X41" s="169">
        <v>29.5</v>
      </c>
      <c r="Y41" s="105">
        <f t="shared" si="2"/>
        <v>36</v>
      </c>
      <c r="Z41" s="139"/>
      <c r="AA41" s="139"/>
      <c r="AB41" s="119">
        <f>+IFERROR(AB39/(J39*9),"")</f>
        <v>1.5466666666666666</v>
      </c>
      <c r="AC41" s="120"/>
      <c r="AD41" s="161">
        <f>+Y40+Y41/2</f>
        <v>486</v>
      </c>
      <c r="AE41" s="167">
        <f>+AD41*60</f>
        <v>29160</v>
      </c>
      <c r="AF41" s="167"/>
      <c r="AG41" s="230">
        <f>+AD40+AD41</f>
        <v>472.5</v>
      </c>
      <c r="AH41" s="124"/>
      <c r="AI41" s="91"/>
    </row>
    <row r="42" spans="1:35" ht="62.25" customHeight="1" thickTop="1" x14ac:dyDescent="0.9">
      <c r="A42" s="124"/>
      <c r="B42" s="127">
        <f>+B43</f>
        <v>9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98"/>
      <c r="W42" s="135"/>
      <c r="X42" s="540">
        <f>+W44</f>
        <v>0</v>
      </c>
      <c r="Y42" s="135">
        <f t="shared" si="2"/>
        <v>0</v>
      </c>
      <c r="Z42" s="136">
        <f>+AA42+Y42</f>
        <v>950</v>
      </c>
      <c r="AA42" s="136">
        <v>950</v>
      </c>
      <c r="AB42" s="109"/>
      <c r="AC42" s="110"/>
      <c r="AD42" s="157"/>
      <c r="AE42" s="167">
        <f t="shared" si="1"/>
        <v>0</v>
      </c>
      <c r="AF42" s="167"/>
      <c r="AG42" s="167"/>
      <c r="AH42" s="246"/>
      <c r="AI42" s="246"/>
    </row>
    <row r="43" spans="1:35" ht="62.25" customHeight="1" x14ac:dyDescent="0.9">
      <c r="A43" s="124"/>
      <c r="B43" s="133">
        <v>9</v>
      </c>
      <c r="C43" s="111" t="s">
        <v>309</v>
      </c>
      <c r="D43" s="111"/>
      <c r="E43" s="111" t="s">
        <v>35</v>
      </c>
      <c r="F43" s="111" t="s">
        <v>310</v>
      </c>
      <c r="G43" s="111">
        <v>1500</v>
      </c>
      <c r="H43" s="111" t="s">
        <v>33</v>
      </c>
      <c r="I43" s="113">
        <v>70.680000000000007</v>
      </c>
      <c r="J43" s="130">
        <v>44</v>
      </c>
      <c r="K43" s="101" t="s">
        <v>17</v>
      </c>
      <c r="L43" s="214">
        <v>30</v>
      </c>
      <c r="M43" s="214">
        <v>45</v>
      </c>
      <c r="N43" s="214">
        <v>45</v>
      </c>
      <c r="O43" s="214">
        <v>45</v>
      </c>
      <c r="P43" s="214">
        <v>45</v>
      </c>
      <c r="Q43" s="214">
        <v>45</v>
      </c>
      <c r="R43" s="214">
        <v>53</v>
      </c>
      <c r="S43" s="214">
        <v>44</v>
      </c>
      <c r="T43" s="214">
        <v>44</v>
      </c>
      <c r="U43" s="214"/>
      <c r="V43" s="214"/>
      <c r="W43" s="123">
        <f>+IF(COUNTA(L43:V43)=0,0,Y43/(COUNTA(L43:V43)))</f>
        <v>44</v>
      </c>
      <c r="X43" s="541"/>
      <c r="Y43" s="134">
        <f t="shared" si="2"/>
        <v>396</v>
      </c>
      <c r="Z43" s="137">
        <f>+Y43+AA43</f>
        <v>583</v>
      </c>
      <c r="AA43" s="137">
        <v>187</v>
      </c>
      <c r="AB43" s="140">
        <f>+Z42-Z43</f>
        <v>367</v>
      </c>
      <c r="AC43" s="131">
        <f>+IF(((Y44+(Y45/2))*60)=0,"",(I43*Y43)/((Y44+(Y45/2))*60))</f>
        <v>0.89537044145873323</v>
      </c>
      <c r="AD43" s="157"/>
      <c r="AE43" s="167">
        <f t="shared" si="1"/>
        <v>0</v>
      </c>
      <c r="AF43" s="167">
        <f>+Y43*I43</f>
        <v>27989.280000000002</v>
      </c>
      <c r="AG43" s="167"/>
      <c r="AH43" s="246"/>
      <c r="AI43" s="246"/>
    </row>
    <row r="44" spans="1:35" ht="62.25" customHeight="1" x14ac:dyDescent="0.9">
      <c r="A44" s="124"/>
      <c r="B44" s="125">
        <f>+B43</f>
        <v>9</v>
      </c>
      <c r="C44" s="184"/>
      <c r="D44" s="111">
        <f>+B43</f>
        <v>9</v>
      </c>
      <c r="E44" s="111"/>
      <c r="F44" s="112" t="e">
        <f>+VLOOKUP(F43,'Obj Prix'!$H:$H,2,FALSE)</f>
        <v>#N/A</v>
      </c>
      <c r="G44" s="238" t="s">
        <v>263</v>
      </c>
      <c r="H44" s="210"/>
      <c r="I44" s="210">
        <v>2</v>
      </c>
      <c r="J44" s="114" t="s">
        <v>22</v>
      </c>
      <c r="K44" s="102" t="s">
        <v>18</v>
      </c>
      <c r="L44" s="215">
        <v>57</v>
      </c>
      <c r="M44" s="215">
        <v>58</v>
      </c>
      <c r="N44" s="215">
        <v>58</v>
      </c>
      <c r="O44" s="215">
        <v>56</v>
      </c>
      <c r="P44" s="215">
        <v>56</v>
      </c>
      <c r="Q44" s="215">
        <v>56</v>
      </c>
      <c r="R44" s="215">
        <v>56</v>
      </c>
      <c r="S44" s="215">
        <v>56</v>
      </c>
      <c r="T44" s="215">
        <v>56</v>
      </c>
      <c r="U44" s="244"/>
      <c r="V44" s="215"/>
      <c r="W44" s="160">
        <f>+W43-J43</f>
        <v>0</v>
      </c>
      <c r="X44" s="541"/>
      <c r="Y44" s="103">
        <f t="shared" si="2"/>
        <v>509</v>
      </c>
      <c r="Z44" s="138"/>
      <c r="AA44" s="138"/>
      <c r="AB44" s="115"/>
      <c r="AC44" s="116"/>
      <c r="AD44" s="157">
        <f>-(L44+(L45/2))*$AD$2/60</f>
        <v>-14.75</v>
      </c>
      <c r="AE44" s="167">
        <f t="shared" si="1"/>
        <v>-885</v>
      </c>
      <c r="AF44" s="167"/>
      <c r="AG44" s="167"/>
      <c r="AH44" s="124"/>
    </row>
    <row r="45" spans="1:35" s="98" customFormat="1" ht="62.25" customHeight="1" thickBot="1" x14ac:dyDescent="0.95">
      <c r="A45" s="124"/>
      <c r="B45" s="126">
        <f>+B43</f>
        <v>9</v>
      </c>
      <c r="C45" s="174" t="s">
        <v>75</v>
      </c>
      <c r="D45" s="175">
        <f>+D44+100</f>
        <v>109</v>
      </c>
      <c r="E45" s="175"/>
      <c r="F45" s="117" t="s">
        <v>94</v>
      </c>
      <c r="G45" s="117"/>
      <c r="H45" s="159" t="s">
        <v>285</v>
      </c>
      <c r="I45" s="165">
        <f>+IF(J45="","",IF(J43=0,"",(J43*I43)/(J45*60)))</f>
        <v>0.87850847457627124</v>
      </c>
      <c r="J45" s="118">
        <v>59</v>
      </c>
      <c r="K45" s="104" t="s">
        <v>19</v>
      </c>
      <c r="L45" s="216">
        <v>4</v>
      </c>
      <c r="M45" s="216">
        <v>4</v>
      </c>
      <c r="N45" s="216">
        <v>4</v>
      </c>
      <c r="O45" s="216">
        <v>4</v>
      </c>
      <c r="P45" s="216">
        <v>4</v>
      </c>
      <c r="Q45" s="216">
        <v>1</v>
      </c>
      <c r="R45" s="216">
        <v>1</v>
      </c>
      <c r="S45" s="216">
        <v>1</v>
      </c>
      <c r="T45" s="216">
        <v>1</v>
      </c>
      <c r="U45" s="245"/>
      <c r="V45" s="216"/>
      <c r="W45" s="173"/>
      <c r="X45" s="169">
        <v>22.04</v>
      </c>
      <c r="Y45" s="105">
        <f t="shared" si="2"/>
        <v>24</v>
      </c>
      <c r="Z45" s="139"/>
      <c r="AA45" s="139"/>
      <c r="AB45" s="119">
        <f>+IFERROR(AB43/(J43*9),"")</f>
        <v>0.9267676767676768</v>
      </c>
      <c r="AC45" s="120"/>
      <c r="AD45" s="161">
        <f>+Y44+Y45/2</f>
        <v>521</v>
      </c>
      <c r="AE45" s="167">
        <f t="shared" si="1"/>
        <v>31260</v>
      </c>
      <c r="AF45" s="167"/>
      <c r="AG45" s="230">
        <f>+AD44+AD45</f>
        <v>506.25</v>
      </c>
      <c r="AH45" s="124"/>
      <c r="AI45" s="91"/>
    </row>
    <row r="46" spans="1:35" ht="62.25" customHeight="1" thickTop="1" x14ac:dyDescent="0.9">
      <c r="A46" s="124"/>
      <c r="B46" s="127">
        <f>+B47</f>
        <v>9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5">
        <v>80</v>
      </c>
      <c r="M46" s="215">
        <v>78</v>
      </c>
      <c r="N46" s="215">
        <v>80</v>
      </c>
      <c r="O46" s="215">
        <v>40</v>
      </c>
      <c r="P46" s="215"/>
      <c r="Q46" s="215">
        <v>40</v>
      </c>
      <c r="R46" s="215"/>
      <c r="S46" s="215"/>
      <c r="T46" s="215"/>
      <c r="U46" s="215"/>
      <c r="V46" s="98"/>
      <c r="W46" s="135"/>
      <c r="X46" s="540">
        <f>+W48</f>
        <v>-45</v>
      </c>
      <c r="Y46" s="135">
        <f t="shared" si="2"/>
        <v>318</v>
      </c>
      <c r="Z46" s="136">
        <f>+AA46+Y46</f>
        <v>318</v>
      </c>
      <c r="AA46" s="136"/>
      <c r="AB46" s="109"/>
      <c r="AC46" s="110"/>
      <c r="AD46" s="157"/>
      <c r="AE46" s="167">
        <f t="shared" si="1"/>
        <v>0</v>
      </c>
      <c r="AF46" s="167"/>
      <c r="AG46" s="167"/>
      <c r="AH46" s="246"/>
      <c r="AI46" s="246"/>
    </row>
    <row r="47" spans="1:35" ht="62.25" customHeight="1" x14ac:dyDescent="0.9">
      <c r="A47" s="124"/>
      <c r="B47" s="133">
        <v>9</v>
      </c>
      <c r="C47" s="111" t="s">
        <v>323</v>
      </c>
      <c r="D47" s="111"/>
      <c r="E47" s="111" t="s">
        <v>35</v>
      </c>
      <c r="F47" s="111" t="s">
        <v>324</v>
      </c>
      <c r="G47" s="111"/>
      <c r="H47" s="111" t="s">
        <v>33</v>
      </c>
      <c r="I47" s="113">
        <v>72</v>
      </c>
      <c r="J47" s="130">
        <v>45</v>
      </c>
      <c r="K47" s="101" t="s">
        <v>17</v>
      </c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123">
        <f>+IF(COUNTA(L47:V47)=0,0,Y47/(COUNTA(L47:V47)))</f>
        <v>0</v>
      </c>
      <c r="X47" s="541"/>
      <c r="Y47" s="134">
        <f t="shared" si="2"/>
        <v>0</v>
      </c>
      <c r="Z47" s="137">
        <f>+Y47+AA47</f>
        <v>0</v>
      </c>
      <c r="AA47" s="137"/>
      <c r="AB47" s="140">
        <f>+Z46-Z47</f>
        <v>318</v>
      </c>
      <c r="AC47" s="131" t="str">
        <f>+IF(((Y48+(Y49/2))*60)=0,"",(I47*Y47)/((Y48+(Y49/2))*60))</f>
        <v/>
      </c>
      <c r="AD47" s="157"/>
      <c r="AE47" s="167">
        <f t="shared" si="1"/>
        <v>0</v>
      </c>
      <c r="AF47" s="167">
        <f>+Y47*I47</f>
        <v>0</v>
      </c>
      <c r="AG47" s="167"/>
      <c r="AH47" s="246"/>
      <c r="AI47" s="246"/>
    </row>
    <row r="48" spans="1:35" ht="62.25" customHeight="1" x14ac:dyDescent="0.9">
      <c r="A48" s="124"/>
      <c r="B48" s="125">
        <f>+B47</f>
        <v>9</v>
      </c>
      <c r="C48" s="184"/>
      <c r="D48" s="111">
        <f>+B47</f>
        <v>9</v>
      </c>
      <c r="E48" s="111"/>
      <c r="F48" s="112" t="e">
        <f>+VLOOKUP(F47,'Obj Prix'!$H:$H,2,FALSE)</f>
        <v>#N/A</v>
      </c>
      <c r="G48" s="238" t="s">
        <v>263</v>
      </c>
      <c r="H48" s="210"/>
      <c r="I48" s="210"/>
      <c r="J48" s="114" t="s">
        <v>22</v>
      </c>
      <c r="K48" s="102" t="s">
        <v>18</v>
      </c>
      <c r="L48" s="215"/>
      <c r="M48" s="215"/>
      <c r="N48" s="215"/>
      <c r="O48" s="215"/>
      <c r="P48" s="215"/>
      <c r="Q48" s="215"/>
      <c r="R48" s="215"/>
      <c r="S48" s="215"/>
      <c r="T48" s="215"/>
      <c r="U48" s="244"/>
      <c r="V48" s="215"/>
      <c r="W48" s="160">
        <f>+W47-J47</f>
        <v>-45</v>
      </c>
      <c r="X48" s="541"/>
      <c r="Y48" s="103">
        <f t="shared" si="2"/>
        <v>0</v>
      </c>
      <c r="Z48" s="138"/>
      <c r="AA48" s="138"/>
      <c r="AB48" s="115"/>
      <c r="AC48" s="116"/>
      <c r="AD48" s="157">
        <f>-(L48+(L49/2))*$AD$2/60</f>
        <v>0</v>
      </c>
      <c r="AE48" s="167">
        <f t="shared" si="1"/>
        <v>0</v>
      </c>
      <c r="AF48" s="167"/>
      <c r="AG48" s="167"/>
      <c r="AH48" s="124"/>
    </row>
    <row r="49" spans="1:35" s="98" customFormat="1" ht="62.25" customHeight="1" thickBot="1" x14ac:dyDescent="0.95">
      <c r="A49" s="124"/>
      <c r="B49" s="126">
        <f>+B47</f>
        <v>9</v>
      </c>
      <c r="C49" s="174" t="s">
        <v>75</v>
      </c>
      <c r="D49" s="175">
        <f>+D48+100</f>
        <v>109</v>
      </c>
      <c r="E49" s="175"/>
      <c r="F49" s="117" t="s">
        <v>94</v>
      </c>
      <c r="G49" s="117"/>
      <c r="H49" s="159"/>
      <c r="I49" s="165">
        <f>+IF(J49="","",IF(J47=0,"",(J47*I47)/(J49*60)))</f>
        <v>0.9</v>
      </c>
      <c r="J49" s="118">
        <v>60</v>
      </c>
      <c r="K49" s="104" t="s">
        <v>19</v>
      </c>
      <c r="L49" s="216"/>
      <c r="M49" s="216"/>
      <c r="N49" s="216"/>
      <c r="O49" s="216"/>
      <c r="P49" s="216"/>
      <c r="Q49" s="216"/>
      <c r="R49" s="216"/>
      <c r="S49" s="216"/>
      <c r="T49" s="216"/>
      <c r="U49" s="245"/>
      <c r="V49" s="216"/>
      <c r="W49" s="173"/>
      <c r="X49" s="169"/>
      <c r="Y49" s="105">
        <f t="shared" si="2"/>
        <v>0</v>
      </c>
      <c r="Z49" s="139"/>
      <c r="AA49" s="139"/>
      <c r="AB49" s="119">
        <f>+IFERROR(AB47/(J47*9),"")</f>
        <v>0.78518518518518521</v>
      </c>
      <c r="AC49" s="120"/>
      <c r="AD49" s="161">
        <f>+Y48+Y49/2</f>
        <v>0</v>
      </c>
      <c r="AE49" s="167">
        <f t="shared" si="1"/>
        <v>0</v>
      </c>
      <c r="AF49" s="167"/>
      <c r="AG49" s="230">
        <f>+AD48+AD49</f>
        <v>0</v>
      </c>
      <c r="AH49" s="124"/>
      <c r="AI49" s="91"/>
    </row>
    <row r="50" spans="1:35" ht="62.25" customHeight="1" thickTop="1" x14ac:dyDescent="0.9">
      <c r="A50" s="124"/>
      <c r="B50" s="127">
        <f>+B51</f>
        <v>11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5">
        <v>50</v>
      </c>
      <c r="M50" s="215">
        <v>50</v>
      </c>
      <c r="N50" s="215">
        <v>50</v>
      </c>
      <c r="O50" s="215">
        <v>50</v>
      </c>
      <c r="P50" s="215">
        <v>50</v>
      </c>
      <c r="Q50" s="215">
        <v>50</v>
      </c>
      <c r="R50" s="215">
        <v>50</v>
      </c>
      <c r="S50" s="215">
        <v>50</v>
      </c>
      <c r="T50" s="215"/>
      <c r="U50" s="215"/>
      <c r="V50" s="98"/>
      <c r="W50" s="135"/>
      <c r="X50" s="540">
        <f>+W52</f>
        <v>0</v>
      </c>
      <c r="Y50" s="135">
        <f t="shared" si="2"/>
        <v>400</v>
      </c>
      <c r="Z50" s="136">
        <f>+AA50+Y50</f>
        <v>8015</v>
      </c>
      <c r="AA50" s="136">
        <v>7615</v>
      </c>
      <c r="AB50" s="109"/>
      <c r="AC50" s="110"/>
      <c r="AD50" s="157"/>
      <c r="AE50" s="167">
        <f t="shared" si="1"/>
        <v>0</v>
      </c>
      <c r="AF50" s="167"/>
      <c r="AG50" s="167"/>
      <c r="AH50" s="124"/>
    </row>
    <row r="51" spans="1:35" ht="62.25" customHeight="1" x14ac:dyDescent="0.9">
      <c r="A51" s="124"/>
      <c r="B51" s="132">
        <v>11</v>
      </c>
      <c r="C51" s="111" t="s">
        <v>292</v>
      </c>
      <c r="D51" s="111"/>
      <c r="E51" s="111" t="s">
        <v>35</v>
      </c>
      <c r="F51" s="111" t="s">
        <v>293</v>
      </c>
      <c r="G51" s="111">
        <v>11466</v>
      </c>
      <c r="H51" s="111" t="s">
        <v>33</v>
      </c>
      <c r="I51" s="113">
        <v>61.52</v>
      </c>
      <c r="J51" s="130">
        <v>45</v>
      </c>
      <c r="K51" s="101" t="s">
        <v>17</v>
      </c>
      <c r="L51" s="214">
        <v>39</v>
      </c>
      <c r="M51" s="214">
        <v>0</v>
      </c>
      <c r="N51" s="214">
        <v>50</v>
      </c>
      <c r="O51" s="214">
        <v>50</v>
      </c>
      <c r="P51" s="214">
        <v>50</v>
      </c>
      <c r="Q51" s="214">
        <v>50</v>
      </c>
      <c r="R51" s="214">
        <v>50</v>
      </c>
      <c r="S51" s="214">
        <v>50</v>
      </c>
      <c r="T51" s="214">
        <v>66</v>
      </c>
      <c r="U51" s="214"/>
      <c r="V51" s="214"/>
      <c r="W51" s="123">
        <f>+IF(COUNTA(L51:V51)=0,0,Y51/(COUNTA(L51:V51)))</f>
        <v>45</v>
      </c>
      <c r="X51" s="541"/>
      <c r="Y51" s="134">
        <f t="shared" si="2"/>
        <v>405</v>
      </c>
      <c r="Z51" s="137">
        <f>+Y51+AA51</f>
        <v>7296</v>
      </c>
      <c r="AA51" s="137">
        <v>6891</v>
      </c>
      <c r="AB51" s="140">
        <f>+Z50-Z51</f>
        <v>719</v>
      </c>
      <c r="AC51" s="131">
        <f>+IF(((Y52+(Y53/2))*60)=0,"",(I51*Y51)/((Y52+(Y53/2))*60))</f>
        <v>0.89785945945945955</v>
      </c>
      <c r="AD51" s="157"/>
      <c r="AE51" s="167">
        <f t="shared" si="1"/>
        <v>0</v>
      </c>
      <c r="AF51" s="167">
        <f>+Y51*I51</f>
        <v>24915.600000000002</v>
      </c>
      <c r="AG51" s="167"/>
      <c r="AH51" s="124"/>
    </row>
    <row r="52" spans="1:35" ht="62.25" customHeight="1" x14ac:dyDescent="0.9">
      <c r="A52" s="124"/>
      <c r="B52" s="125">
        <f>+B51</f>
        <v>11</v>
      </c>
      <c r="C52" s="184"/>
      <c r="D52" s="111"/>
      <c r="E52" s="111"/>
      <c r="F52" s="112" t="e">
        <f>+VLOOKUP(F51,'Obj Prix'!$H:$H,2,FALSE)</f>
        <v>#N/A</v>
      </c>
      <c r="G52" s="238" t="s">
        <v>263</v>
      </c>
      <c r="H52" s="210"/>
      <c r="I52" s="210">
        <v>2</v>
      </c>
      <c r="J52" s="114" t="s">
        <v>22</v>
      </c>
      <c r="K52" s="102" t="s">
        <v>18</v>
      </c>
      <c r="L52" s="215">
        <v>49</v>
      </c>
      <c r="M52" s="215">
        <v>50</v>
      </c>
      <c r="N52" s="215">
        <v>50</v>
      </c>
      <c r="O52" s="215">
        <v>50</v>
      </c>
      <c r="P52" s="215">
        <v>50</v>
      </c>
      <c r="Q52" s="215">
        <v>50</v>
      </c>
      <c r="R52" s="215">
        <v>50</v>
      </c>
      <c r="S52" s="215">
        <v>50</v>
      </c>
      <c r="T52" s="215">
        <v>50</v>
      </c>
      <c r="U52" s="244"/>
      <c r="V52" s="215"/>
      <c r="W52" s="160">
        <f>+W51-J51</f>
        <v>0</v>
      </c>
      <c r="X52" s="541"/>
      <c r="Y52" s="103">
        <f t="shared" si="2"/>
        <v>449</v>
      </c>
      <c r="Z52" s="138"/>
      <c r="AA52" s="138"/>
      <c r="AB52" s="115"/>
      <c r="AC52" s="116"/>
      <c r="AD52" s="157">
        <f>-(L52+(L53/2))*$AD$2/60</f>
        <v>-12.625</v>
      </c>
      <c r="AE52" s="167">
        <f t="shared" si="1"/>
        <v>-757.5</v>
      </c>
      <c r="AF52" s="167"/>
      <c r="AG52" s="167"/>
      <c r="AH52" s="124"/>
    </row>
    <row r="53" spans="1:35" s="98" customFormat="1" ht="62.25" customHeight="1" thickBot="1" x14ac:dyDescent="0.95">
      <c r="A53" s="124"/>
      <c r="B53" s="126">
        <f>+B51</f>
        <v>11</v>
      </c>
      <c r="C53" s="174" t="s">
        <v>175</v>
      </c>
      <c r="D53" s="175">
        <f>+D52+100</f>
        <v>100</v>
      </c>
      <c r="E53" s="175"/>
      <c r="F53" s="117" t="s">
        <v>94</v>
      </c>
      <c r="G53" s="117"/>
      <c r="H53" s="159" t="s">
        <v>301</v>
      </c>
      <c r="I53" s="165">
        <f>+IF(J53="","",IF(J51=0,"",(J51*I51)/(J53*60)))</f>
        <v>0.85444444444444445</v>
      </c>
      <c r="J53" s="118">
        <v>54</v>
      </c>
      <c r="K53" s="104" t="s">
        <v>19</v>
      </c>
      <c r="L53" s="216">
        <v>3</v>
      </c>
      <c r="M53" s="216">
        <v>3</v>
      </c>
      <c r="N53" s="216">
        <v>3</v>
      </c>
      <c r="O53" s="216">
        <v>3</v>
      </c>
      <c r="P53" s="216">
        <v>3</v>
      </c>
      <c r="Q53" s="216">
        <v>3</v>
      </c>
      <c r="R53" s="216">
        <v>3</v>
      </c>
      <c r="S53" s="216">
        <v>3</v>
      </c>
      <c r="T53" s="216">
        <v>3</v>
      </c>
      <c r="U53" s="245"/>
      <c r="V53" s="216"/>
      <c r="W53" s="173"/>
      <c r="X53" s="169">
        <v>24.27</v>
      </c>
      <c r="Y53" s="105">
        <f t="shared" si="2"/>
        <v>27</v>
      </c>
      <c r="Z53" s="139"/>
      <c r="AA53" s="139"/>
      <c r="AB53" s="119">
        <f>+IFERROR(AB51/(J51*9),"")</f>
        <v>1.7753086419753086</v>
      </c>
      <c r="AC53" s="120"/>
      <c r="AD53" s="161">
        <f>+Y52+Y53/2</f>
        <v>462.5</v>
      </c>
      <c r="AE53" s="167">
        <f t="shared" si="1"/>
        <v>27750</v>
      </c>
      <c r="AF53" s="167"/>
      <c r="AG53" s="230">
        <f>+AD52+AD53</f>
        <v>449.875</v>
      </c>
      <c r="AH53" s="124"/>
      <c r="AI53" s="91"/>
    </row>
    <row r="54" spans="1:35" ht="62.25" customHeight="1" thickTop="1" x14ac:dyDescent="0.9">
      <c r="A54" s="124"/>
      <c r="B54" s="127">
        <f>+B55</f>
        <v>12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98"/>
      <c r="W54" s="135"/>
      <c r="X54" s="540">
        <f>+W56</f>
        <v>-41</v>
      </c>
      <c r="Y54" s="135">
        <f t="shared" si="2"/>
        <v>0</v>
      </c>
      <c r="Z54" s="136">
        <f>+AA54+Y54</f>
        <v>4332</v>
      </c>
      <c r="AA54" s="136">
        <v>4332</v>
      </c>
      <c r="AB54" s="121"/>
      <c r="AC54" s="110"/>
      <c r="AD54" s="157"/>
      <c r="AE54" s="167">
        <f t="shared" si="1"/>
        <v>0</v>
      </c>
      <c r="AF54" s="167"/>
      <c r="AG54" s="167"/>
      <c r="AH54" s="246" t="s">
        <v>291</v>
      </c>
    </row>
    <row r="55" spans="1:35" ht="62.25" customHeight="1" x14ac:dyDescent="0.9">
      <c r="A55" s="124"/>
      <c r="B55" s="132">
        <v>12</v>
      </c>
      <c r="C55" s="111" t="s">
        <v>294</v>
      </c>
      <c r="D55" s="111"/>
      <c r="E55" s="111" t="s">
        <v>35</v>
      </c>
      <c r="F55" s="111" t="s">
        <v>297</v>
      </c>
      <c r="G55" s="111">
        <v>4500</v>
      </c>
      <c r="H55" s="111" t="s">
        <v>33</v>
      </c>
      <c r="I55" s="113">
        <v>69.260000000000005</v>
      </c>
      <c r="J55" s="130">
        <v>50</v>
      </c>
      <c r="K55" s="101" t="s">
        <v>17</v>
      </c>
      <c r="L55" s="214">
        <v>9</v>
      </c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123">
        <f>+IF(COUNTA(L55:V55)=0,0,Y55/(COUNTA(L55:V55)))</f>
        <v>9</v>
      </c>
      <c r="X55" s="541"/>
      <c r="Y55" s="134">
        <f t="shared" si="2"/>
        <v>9</v>
      </c>
      <c r="Z55" s="137">
        <f>+Y55+AA55</f>
        <v>4327</v>
      </c>
      <c r="AA55" s="137">
        <v>4318</v>
      </c>
      <c r="AB55" s="140">
        <f>+Z54-Z55</f>
        <v>5</v>
      </c>
      <c r="AC55" s="131">
        <f>+IF(((Y56+(Y57/2))*60)=0,"",(I55*Y55)/((Y56+(Y57/2))*60))</f>
        <v>10.389000000000001</v>
      </c>
      <c r="AD55" s="157"/>
      <c r="AE55" s="167">
        <f t="shared" si="1"/>
        <v>0</v>
      </c>
      <c r="AF55" s="167">
        <f>+Y55*I55</f>
        <v>623.34</v>
      </c>
      <c r="AG55" s="167"/>
      <c r="AH55" s="246">
        <v>2964</v>
      </c>
    </row>
    <row r="56" spans="1:35" ht="62.25" customHeight="1" x14ac:dyDescent="0.9">
      <c r="A56" s="124"/>
      <c r="B56" s="125">
        <f>+B55</f>
        <v>12</v>
      </c>
      <c r="C56" s="184"/>
      <c r="D56" s="111"/>
      <c r="E56" s="111"/>
      <c r="F56" s="112" t="e">
        <f>+VLOOKUP(F55,'Obj Prix'!$H:$H,2,FALSE)</f>
        <v>#N/A</v>
      </c>
      <c r="G56" s="238" t="s">
        <v>263</v>
      </c>
      <c r="H56" s="210"/>
      <c r="I56" s="210"/>
      <c r="J56" s="114" t="s">
        <v>22</v>
      </c>
      <c r="K56" s="102" t="s">
        <v>18</v>
      </c>
      <c r="L56" s="215">
        <v>1</v>
      </c>
      <c r="M56" s="215"/>
      <c r="N56" s="215"/>
      <c r="O56" s="215"/>
      <c r="P56" s="215"/>
      <c r="Q56" s="215"/>
      <c r="R56" s="215"/>
      <c r="S56" s="215"/>
      <c r="T56" s="215"/>
      <c r="U56" s="244"/>
      <c r="V56" s="215"/>
      <c r="W56" s="160">
        <f>+W55-J55</f>
        <v>-41</v>
      </c>
      <c r="X56" s="541"/>
      <c r="Y56" s="103">
        <f t="shared" si="2"/>
        <v>1</v>
      </c>
      <c r="Z56" s="138"/>
      <c r="AA56" s="138"/>
      <c r="AB56" s="122"/>
      <c r="AC56" s="116"/>
      <c r="AD56" s="157">
        <f>-(L56+(L57/2))*$AD$2/60</f>
        <v>-0.25</v>
      </c>
      <c r="AE56" s="167">
        <f t="shared" si="1"/>
        <v>-15</v>
      </c>
      <c r="AF56" s="167"/>
      <c r="AG56" s="167"/>
      <c r="AH56" s="124"/>
    </row>
    <row r="57" spans="1:35" ht="69" customHeight="1" thickBot="1" x14ac:dyDescent="0.95">
      <c r="A57" s="124"/>
      <c r="B57" s="126">
        <f>+B55</f>
        <v>12</v>
      </c>
      <c r="C57" s="174" t="s">
        <v>286</v>
      </c>
      <c r="D57" s="175">
        <f>+D56+100</f>
        <v>100</v>
      </c>
      <c r="E57" s="175"/>
      <c r="F57" s="117" t="s">
        <v>203</v>
      </c>
      <c r="G57" s="117"/>
      <c r="H57" s="159" t="s">
        <v>285</v>
      </c>
      <c r="I57" s="165">
        <f>+IF(J57="","",IF(J55=0,"",(J55*I55)/(J57*60)))</f>
        <v>0.9619444444444446</v>
      </c>
      <c r="J57" s="118">
        <v>60</v>
      </c>
      <c r="K57" s="104" t="s">
        <v>19</v>
      </c>
      <c r="L57" s="216"/>
      <c r="M57" s="216"/>
      <c r="N57" s="216"/>
      <c r="O57" s="216"/>
      <c r="P57" s="216"/>
      <c r="Q57" s="216"/>
      <c r="R57" s="216"/>
      <c r="S57" s="216"/>
      <c r="T57" s="216"/>
      <c r="U57" s="245"/>
      <c r="V57" s="216"/>
      <c r="W57" s="173"/>
      <c r="X57" s="169">
        <v>13.54</v>
      </c>
      <c r="Y57" s="105">
        <f t="shared" si="2"/>
        <v>0</v>
      </c>
      <c r="Z57" s="139"/>
      <c r="AA57" s="139"/>
      <c r="AB57" s="119">
        <f>+IFERROR(AB55/(J55*9),"")</f>
        <v>1.1111111111111112E-2</v>
      </c>
      <c r="AC57" s="162"/>
      <c r="AD57" s="161">
        <f>+Y56+Y57/2</f>
        <v>1</v>
      </c>
      <c r="AE57" s="167">
        <f t="shared" si="1"/>
        <v>60</v>
      </c>
      <c r="AF57" s="167"/>
      <c r="AG57" s="230">
        <f>+AD56+AD57</f>
        <v>0.75</v>
      </c>
      <c r="AH57" s="124"/>
    </row>
    <row r="58" spans="1:35" ht="62.25" customHeight="1" thickTop="1" x14ac:dyDescent="0.9">
      <c r="A58" s="124"/>
      <c r="B58" s="127">
        <f>+B59</f>
        <v>12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5">
        <v>40</v>
      </c>
      <c r="M58" s="215">
        <v>40</v>
      </c>
      <c r="N58" s="215">
        <v>40</v>
      </c>
      <c r="O58" s="215">
        <v>40</v>
      </c>
      <c r="P58" s="215">
        <v>40</v>
      </c>
      <c r="Q58" s="215">
        <v>40</v>
      </c>
      <c r="R58" s="215"/>
      <c r="S58" s="215"/>
      <c r="T58" s="215"/>
      <c r="U58" s="215"/>
      <c r="V58" s="98"/>
      <c r="W58" s="135"/>
      <c r="X58" s="540">
        <f>+W60</f>
        <v>-20.555555555555557</v>
      </c>
      <c r="Y58" s="135">
        <f t="shared" si="2"/>
        <v>240</v>
      </c>
      <c r="Z58" s="136">
        <f>+AA58+Y58</f>
        <v>760</v>
      </c>
      <c r="AA58" s="136">
        <v>520</v>
      </c>
      <c r="AB58" s="121"/>
      <c r="AC58" s="110"/>
      <c r="AD58" s="157"/>
      <c r="AE58" s="167">
        <f t="shared" si="1"/>
        <v>0</v>
      </c>
      <c r="AF58" s="167"/>
      <c r="AG58" s="167"/>
      <c r="AH58" s="124"/>
    </row>
    <row r="59" spans="1:35" ht="62.25" customHeight="1" x14ac:dyDescent="0.9">
      <c r="A59" s="124"/>
      <c r="B59" s="132">
        <v>12</v>
      </c>
      <c r="C59" s="111" t="s">
        <v>318</v>
      </c>
      <c r="D59" s="111"/>
      <c r="E59" s="111" t="s">
        <v>35</v>
      </c>
      <c r="F59" s="111" t="s">
        <v>319</v>
      </c>
      <c r="G59" s="111">
        <v>12070</v>
      </c>
      <c r="H59" s="111" t="s">
        <v>300</v>
      </c>
      <c r="I59" s="113">
        <v>66.400000000000006</v>
      </c>
      <c r="J59" s="130">
        <v>48</v>
      </c>
      <c r="K59" s="101" t="s">
        <v>17</v>
      </c>
      <c r="L59" s="214">
        <v>10</v>
      </c>
      <c r="M59" s="214">
        <v>16</v>
      </c>
      <c r="N59" s="214">
        <v>31</v>
      </c>
      <c r="O59" s="214">
        <v>40</v>
      </c>
      <c r="P59" s="214">
        <v>35</v>
      </c>
      <c r="Q59" s="214">
        <v>40</v>
      </c>
      <c r="R59" s="214">
        <v>10</v>
      </c>
      <c r="S59" s="214">
        <v>33</v>
      </c>
      <c r="T59" s="214">
        <v>32</v>
      </c>
      <c r="U59" s="214"/>
      <c r="V59" s="214"/>
      <c r="W59" s="123">
        <f>+IF(COUNTA(L59:V59)=0,0,Y59/(COUNTA(L59:V59)))</f>
        <v>27.444444444444443</v>
      </c>
      <c r="X59" s="541"/>
      <c r="Y59" s="134">
        <f t="shared" si="2"/>
        <v>247</v>
      </c>
      <c r="Z59" s="137">
        <f>+Y59+AA59</f>
        <v>285</v>
      </c>
      <c r="AA59" s="137">
        <v>38</v>
      </c>
      <c r="AB59" s="140">
        <f>+Z58-Z59</f>
        <v>475</v>
      </c>
      <c r="AC59" s="131">
        <f>+IF(((Y60+(Y61/2))*60)=0,"",(I59*Y59)/((Y60+(Y61/2))*60))</f>
        <v>0.51332707355242579</v>
      </c>
      <c r="AD59" s="157"/>
      <c r="AE59" s="167">
        <f t="shared" si="1"/>
        <v>0</v>
      </c>
      <c r="AF59" s="167">
        <f>+Y59*I59</f>
        <v>16400.800000000003</v>
      </c>
      <c r="AG59" s="167"/>
      <c r="AH59" s="124"/>
    </row>
    <row r="60" spans="1:35" ht="62.25" customHeight="1" x14ac:dyDescent="0.9">
      <c r="A60" s="124"/>
      <c r="B60" s="125">
        <f>+B59</f>
        <v>12</v>
      </c>
      <c r="C60" s="184"/>
      <c r="D60" s="111"/>
      <c r="E60" s="111"/>
      <c r="F60" s="112" t="e">
        <f>+VLOOKUP(F59,'Obj Prix'!$H:$H,2,FALSE)</f>
        <v>#N/A</v>
      </c>
      <c r="G60" s="238" t="s">
        <v>263</v>
      </c>
      <c r="H60" s="210"/>
      <c r="I60" s="210"/>
      <c r="J60" s="114" t="s">
        <v>22</v>
      </c>
      <c r="K60" s="102" t="s">
        <v>18</v>
      </c>
      <c r="L60" s="215">
        <v>57</v>
      </c>
      <c r="M60" s="215">
        <v>57</v>
      </c>
      <c r="N60" s="215">
        <v>57</v>
      </c>
      <c r="O60" s="215">
        <v>58</v>
      </c>
      <c r="P60" s="215">
        <v>58</v>
      </c>
      <c r="Q60" s="215">
        <v>58</v>
      </c>
      <c r="R60" s="215">
        <v>58</v>
      </c>
      <c r="S60" s="215">
        <v>58</v>
      </c>
      <c r="T60" s="215">
        <v>58</v>
      </c>
      <c r="U60" s="244"/>
      <c r="V60" s="215"/>
      <c r="W60" s="160">
        <f>+W59-J59</f>
        <v>-20.555555555555557</v>
      </c>
      <c r="X60" s="541"/>
      <c r="Y60" s="103">
        <f t="shared" si="2"/>
        <v>519</v>
      </c>
      <c r="Z60" s="138"/>
      <c r="AA60" s="138"/>
      <c r="AB60" s="122"/>
      <c r="AC60" s="116"/>
      <c r="AD60" s="157">
        <f>-(L60+(L61/2))*$AD$2/60</f>
        <v>-14.625</v>
      </c>
      <c r="AE60" s="167">
        <f t="shared" si="1"/>
        <v>-877.5</v>
      </c>
      <c r="AF60" s="167"/>
      <c r="AG60" s="167"/>
      <c r="AH60" s="124"/>
    </row>
    <row r="61" spans="1:35" ht="69" customHeight="1" thickBot="1" x14ac:dyDescent="0.95">
      <c r="A61" s="124"/>
      <c r="B61" s="126">
        <f>+B59</f>
        <v>12</v>
      </c>
      <c r="C61" s="174" t="s">
        <v>286</v>
      </c>
      <c r="D61" s="175">
        <f>+D60+100</f>
        <v>100</v>
      </c>
      <c r="E61" s="175"/>
      <c r="F61" s="117" t="s">
        <v>203</v>
      </c>
      <c r="G61" s="117"/>
      <c r="H61" s="159" t="s">
        <v>303</v>
      </c>
      <c r="I61" s="165">
        <f>+IF(J61="","",IF(J59=0,"",(J59*I59)/(J61*60)))</f>
        <v>0.85677419354838713</v>
      </c>
      <c r="J61" s="118">
        <v>62</v>
      </c>
      <c r="K61" s="104" t="s">
        <v>19</v>
      </c>
      <c r="L61" s="216">
        <v>3</v>
      </c>
      <c r="M61" s="216">
        <v>3</v>
      </c>
      <c r="N61" s="216">
        <v>3</v>
      </c>
      <c r="O61" s="216">
        <v>3</v>
      </c>
      <c r="P61" s="216">
        <v>3</v>
      </c>
      <c r="Q61" s="216">
        <v>3</v>
      </c>
      <c r="R61" s="216">
        <v>3</v>
      </c>
      <c r="S61" s="216">
        <v>3</v>
      </c>
      <c r="T61" s="216">
        <v>3</v>
      </c>
      <c r="U61" s="245"/>
      <c r="V61" s="216"/>
      <c r="W61" s="173"/>
      <c r="X61" s="168">
        <f>10.79+(COUNTA(L59:V59)-(Y59/J59))</f>
        <v>14.644166666666667</v>
      </c>
      <c r="Y61" s="105">
        <f t="shared" si="2"/>
        <v>27</v>
      </c>
      <c r="Z61" s="139"/>
      <c r="AA61" s="139"/>
      <c r="AB61" s="119">
        <f>+IFERROR(AB59/(J59*9),"")</f>
        <v>1.099537037037037</v>
      </c>
      <c r="AC61" s="162"/>
      <c r="AD61" s="161">
        <f>+Y60+Y61/2</f>
        <v>532.5</v>
      </c>
      <c r="AE61" s="167">
        <f t="shared" si="1"/>
        <v>31950</v>
      </c>
      <c r="AF61" s="167"/>
      <c r="AG61" s="230">
        <f>+AD60+AD61</f>
        <v>517.875</v>
      </c>
      <c r="AH61" s="124"/>
    </row>
    <row r="62" spans="1:35" s="98" customFormat="1" ht="62.25" customHeight="1" thickTop="1" x14ac:dyDescent="0.9">
      <c r="A62" s="124"/>
      <c r="B62" s="127">
        <f>+B63</f>
        <v>13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5">
        <v>50</v>
      </c>
      <c r="M62" s="215">
        <v>50</v>
      </c>
      <c r="N62" s="215">
        <v>50</v>
      </c>
      <c r="O62" s="215">
        <v>50</v>
      </c>
      <c r="P62" s="215">
        <v>50</v>
      </c>
      <c r="Q62" s="215">
        <v>50</v>
      </c>
      <c r="R62" s="215"/>
      <c r="S62" s="215"/>
      <c r="T62" s="215"/>
      <c r="U62" s="215"/>
      <c r="W62" s="135"/>
      <c r="X62" s="540">
        <f>+W64</f>
        <v>0</v>
      </c>
      <c r="Y62" s="135">
        <f t="shared" si="2"/>
        <v>300</v>
      </c>
      <c r="Z62" s="136">
        <f>+AA62+Y62</f>
        <v>3026</v>
      </c>
      <c r="AA62" s="136">
        <v>2726</v>
      </c>
      <c r="AB62" s="109"/>
      <c r="AC62" s="110"/>
      <c r="AD62" s="157"/>
      <c r="AE62" s="167">
        <f t="shared" si="1"/>
        <v>0</v>
      </c>
      <c r="AF62" s="167"/>
      <c r="AG62" s="167"/>
      <c r="AH62" s="124"/>
      <c r="AI62" s="91"/>
    </row>
    <row r="63" spans="1:35" s="98" customFormat="1" ht="62.25" customHeight="1" x14ac:dyDescent="0.9">
      <c r="A63" s="124"/>
      <c r="B63" s="132">
        <v>13</v>
      </c>
      <c r="C63" s="111" t="s">
        <v>309</v>
      </c>
      <c r="D63" s="111"/>
      <c r="E63" s="111" t="s">
        <v>35</v>
      </c>
      <c r="F63" s="111" t="s">
        <v>310</v>
      </c>
      <c r="G63" s="111">
        <v>16000</v>
      </c>
      <c r="H63" s="111" t="s">
        <v>33</v>
      </c>
      <c r="I63" s="113">
        <v>68.48</v>
      </c>
      <c r="J63" s="130">
        <v>44</v>
      </c>
      <c r="K63" s="101" t="s">
        <v>17</v>
      </c>
      <c r="L63" s="214">
        <v>32</v>
      </c>
      <c r="M63" s="214">
        <v>44</v>
      </c>
      <c r="N63" s="214">
        <v>44</v>
      </c>
      <c r="O63" s="214">
        <v>44</v>
      </c>
      <c r="P63" s="247">
        <v>44</v>
      </c>
      <c r="Q63" s="247">
        <v>44</v>
      </c>
      <c r="R63" s="247">
        <v>44</v>
      </c>
      <c r="S63" s="247">
        <v>44</v>
      </c>
      <c r="T63" s="247">
        <v>56</v>
      </c>
      <c r="U63" s="214"/>
      <c r="V63" s="214"/>
      <c r="W63" s="123">
        <f>+IF(COUNTA(L63:V63)=0,0,Y63/(COUNTA(L63:V63)))</f>
        <v>44</v>
      </c>
      <c r="X63" s="541"/>
      <c r="Y63" s="134">
        <f t="shared" si="2"/>
        <v>396</v>
      </c>
      <c r="Z63" s="137">
        <f>+Y63+AA63</f>
        <v>2168</v>
      </c>
      <c r="AA63" s="137">
        <v>1772</v>
      </c>
      <c r="AB63" s="140">
        <f>+Z62-Z63</f>
        <v>858</v>
      </c>
      <c r="AC63" s="131">
        <f>+IF(((Y64+(Y65/2))*60)=0,"",(I63*Y63)/((Y64+(Y65/2))*60))</f>
        <v>0.86007231208372981</v>
      </c>
      <c r="AD63" s="157"/>
      <c r="AE63" s="167">
        <f t="shared" si="1"/>
        <v>0</v>
      </c>
      <c r="AF63" s="167">
        <f>+Y63*I63</f>
        <v>27118.080000000002</v>
      </c>
      <c r="AG63" s="167"/>
      <c r="AH63" s="124"/>
      <c r="AI63" s="91"/>
    </row>
    <row r="64" spans="1:35" s="98" customFormat="1" ht="62.25" customHeight="1" x14ac:dyDescent="0.9">
      <c r="A64" s="124"/>
      <c r="B64" s="125">
        <f>+B63</f>
        <v>13</v>
      </c>
      <c r="C64" s="184"/>
      <c r="D64" s="111"/>
      <c r="E64" s="111"/>
      <c r="F64" s="112" t="e">
        <f>+VLOOKUP(F63,'Obj Prix'!$H:$H,2,FALSE)</f>
        <v>#N/A</v>
      </c>
      <c r="G64" s="238" t="s">
        <v>263</v>
      </c>
      <c r="H64" s="210"/>
      <c r="I64" s="210">
        <v>4</v>
      </c>
      <c r="J64" s="114" t="s">
        <v>22</v>
      </c>
      <c r="K64" s="102" t="s">
        <v>18</v>
      </c>
      <c r="L64" s="215">
        <v>58</v>
      </c>
      <c r="M64" s="215">
        <v>58</v>
      </c>
      <c r="N64" s="215">
        <v>58</v>
      </c>
      <c r="O64" s="215">
        <v>58</v>
      </c>
      <c r="P64" s="215">
        <v>56</v>
      </c>
      <c r="Q64" s="215">
        <v>56</v>
      </c>
      <c r="R64" s="215">
        <v>56</v>
      </c>
      <c r="S64" s="215">
        <v>56</v>
      </c>
      <c r="T64" s="215">
        <v>56</v>
      </c>
      <c r="U64" s="244"/>
      <c r="V64" s="215"/>
      <c r="W64" s="160">
        <f>+W63-J63</f>
        <v>0</v>
      </c>
      <c r="X64" s="541"/>
      <c r="Y64" s="103">
        <f t="shared" si="2"/>
        <v>512</v>
      </c>
      <c r="Z64" s="138"/>
      <c r="AA64" s="138"/>
      <c r="AB64" s="115"/>
      <c r="AC64" s="116"/>
      <c r="AD64" s="157">
        <f>-(L64+(L65/2))*$AD$2/60</f>
        <v>-14.875</v>
      </c>
      <c r="AE64" s="167">
        <f t="shared" si="1"/>
        <v>-892.5</v>
      </c>
      <c r="AF64" s="167"/>
      <c r="AG64" s="167"/>
      <c r="AH64" s="124"/>
      <c r="AI64" s="91"/>
    </row>
    <row r="65" spans="1:35" s="98" customFormat="1" ht="62.25" customHeight="1" thickBot="1" x14ac:dyDescent="0.95">
      <c r="A65" s="124"/>
      <c r="B65" s="126">
        <f>+B63</f>
        <v>13</v>
      </c>
      <c r="C65" s="174" t="s">
        <v>76</v>
      </c>
      <c r="D65" s="175">
        <f>+D64+100</f>
        <v>100</v>
      </c>
      <c r="E65" s="175"/>
      <c r="F65" s="117" t="s">
        <v>94</v>
      </c>
      <c r="G65" s="218"/>
      <c r="H65" s="159" t="s">
        <v>285</v>
      </c>
      <c r="I65" s="165">
        <f>+IF(J65="","",IF(J63=0,"",(J63*I63)/(J65*60)))</f>
        <v>0.88102923976608194</v>
      </c>
      <c r="J65" s="118">
        <v>57</v>
      </c>
      <c r="K65" s="104" t="s">
        <v>19</v>
      </c>
      <c r="L65" s="216">
        <v>3</v>
      </c>
      <c r="M65" s="216">
        <v>3</v>
      </c>
      <c r="N65" s="216">
        <v>3</v>
      </c>
      <c r="O65" s="216">
        <v>3</v>
      </c>
      <c r="P65" s="216">
        <v>3</v>
      </c>
      <c r="Q65" s="216">
        <v>3</v>
      </c>
      <c r="R65" s="216">
        <v>3</v>
      </c>
      <c r="S65" s="216">
        <v>3</v>
      </c>
      <c r="T65" s="216">
        <v>3</v>
      </c>
      <c r="U65" s="245"/>
      <c r="V65" s="216"/>
      <c r="W65" s="173"/>
      <c r="X65" s="169">
        <v>26.69</v>
      </c>
      <c r="Y65" s="105">
        <f t="shared" si="2"/>
        <v>27</v>
      </c>
      <c r="Z65" s="139"/>
      <c r="AA65" s="139"/>
      <c r="AB65" s="119">
        <f>+IFERROR(AB63/(J63*9),"")</f>
        <v>2.1666666666666665</v>
      </c>
      <c r="AC65" s="120"/>
      <c r="AD65" s="161">
        <f>+Y64+Y65/2</f>
        <v>525.5</v>
      </c>
      <c r="AE65" s="167">
        <f t="shared" si="1"/>
        <v>31530</v>
      </c>
      <c r="AF65" s="167"/>
      <c r="AG65" s="230">
        <f>+AD64+AD65</f>
        <v>510.625</v>
      </c>
      <c r="AH65" s="124"/>
      <c r="AI65" s="91"/>
    </row>
    <row r="66" spans="1:35" s="98" customFormat="1" ht="62.25" customHeight="1" thickTop="1" x14ac:dyDescent="0.9">
      <c r="A66" s="124"/>
      <c r="B66" s="127">
        <f>+B67</f>
        <v>14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5">
        <v>60</v>
      </c>
      <c r="M66" s="215">
        <v>60</v>
      </c>
      <c r="N66" s="215">
        <v>60</v>
      </c>
      <c r="O66" s="215">
        <v>120</v>
      </c>
      <c r="P66" s="215"/>
      <c r="Q66" s="215">
        <v>39</v>
      </c>
      <c r="R66" s="215">
        <v>40</v>
      </c>
      <c r="S66" s="215">
        <v>41</v>
      </c>
      <c r="T66" s="215"/>
      <c r="U66" s="215"/>
      <c r="W66" s="135"/>
      <c r="X66" s="540">
        <f>+W68</f>
        <v>-21.111111111111111</v>
      </c>
      <c r="Y66" s="135">
        <f t="shared" si="2"/>
        <v>420</v>
      </c>
      <c r="Z66" s="136">
        <f>+AA66+Y66</f>
        <v>1250</v>
      </c>
      <c r="AA66" s="136">
        <v>830</v>
      </c>
      <c r="AB66" s="109"/>
      <c r="AC66" s="110"/>
      <c r="AD66" s="157"/>
      <c r="AE66" s="167">
        <f t="shared" si="1"/>
        <v>0</v>
      </c>
      <c r="AF66" s="167"/>
      <c r="AG66" s="167"/>
      <c r="AH66" s="124"/>
      <c r="AI66" s="91"/>
    </row>
    <row r="67" spans="1:35" s="98" customFormat="1" ht="62.25" customHeight="1" x14ac:dyDescent="0.9">
      <c r="A67" s="124"/>
      <c r="B67" s="133">
        <v>14</v>
      </c>
      <c r="C67" s="111" t="s">
        <v>316</v>
      </c>
      <c r="D67" s="111"/>
      <c r="E67" s="111" t="s">
        <v>35</v>
      </c>
      <c r="F67" s="111" t="s">
        <v>317</v>
      </c>
      <c r="G67" s="111">
        <v>7720</v>
      </c>
      <c r="H67" s="111" t="s">
        <v>33</v>
      </c>
      <c r="I67" s="113">
        <v>69.08</v>
      </c>
      <c r="J67" s="130">
        <v>49</v>
      </c>
      <c r="K67" s="101" t="s">
        <v>17</v>
      </c>
      <c r="L67" s="214">
        <v>6</v>
      </c>
      <c r="M67" s="214">
        <v>15</v>
      </c>
      <c r="N67" s="214">
        <v>20</v>
      </c>
      <c r="O67" s="214">
        <v>28</v>
      </c>
      <c r="P67" s="214">
        <v>30</v>
      </c>
      <c r="Q67" s="214">
        <v>35</v>
      </c>
      <c r="R67" s="214">
        <v>35</v>
      </c>
      <c r="S67" s="214">
        <v>35</v>
      </c>
      <c r="T67" s="247">
        <v>47</v>
      </c>
      <c r="U67" s="214"/>
      <c r="V67" s="214"/>
      <c r="W67" s="123">
        <f>+IF(COUNTA(L67:V67)=0,0,Y67/(COUNTA(L67:V67)))</f>
        <v>27.888888888888889</v>
      </c>
      <c r="X67" s="541"/>
      <c r="Y67" s="134">
        <f t="shared" si="2"/>
        <v>251</v>
      </c>
      <c r="Z67" s="137">
        <f>+Y67+AA67</f>
        <v>358</v>
      </c>
      <c r="AA67" s="137">
        <v>107</v>
      </c>
      <c r="AB67" s="140">
        <f>+Z66-Z67</f>
        <v>892</v>
      </c>
      <c r="AC67" s="131">
        <f>+IF(((Y68+(Y69/2))*60)=0,"",(I67*Y67)/((Y68+(Y69/2))*60))</f>
        <v>0.52638372799028532</v>
      </c>
      <c r="AD67" s="157"/>
      <c r="AE67" s="167">
        <f t="shared" si="1"/>
        <v>0</v>
      </c>
      <c r="AF67" s="167">
        <f>+Y67*I67</f>
        <v>17339.079999999998</v>
      </c>
      <c r="AG67" s="167"/>
      <c r="AH67" s="124"/>
      <c r="AI67" s="91"/>
    </row>
    <row r="68" spans="1:35" s="98" customFormat="1" ht="62.25" customHeight="1" x14ac:dyDescent="0.9">
      <c r="A68" s="124"/>
      <c r="B68" s="125">
        <f>+B67</f>
        <v>14</v>
      </c>
      <c r="C68" s="184"/>
      <c r="D68" s="111">
        <f>+B67</f>
        <v>14</v>
      </c>
      <c r="E68" s="111"/>
      <c r="F68" s="112" t="e">
        <f>+VLOOKUP(F67,'Obj Prix'!$H:$H,2,FALSE)</f>
        <v>#N/A</v>
      </c>
      <c r="G68" s="238" t="s">
        <v>263</v>
      </c>
      <c r="H68" s="210"/>
      <c r="I68" s="210">
        <v>1</v>
      </c>
      <c r="J68" s="114" t="s">
        <v>22</v>
      </c>
      <c r="K68" s="102" t="s">
        <v>18</v>
      </c>
      <c r="L68" s="215">
        <v>60</v>
      </c>
      <c r="M68" s="215">
        <v>60</v>
      </c>
      <c r="N68" s="215">
        <v>60</v>
      </c>
      <c r="O68" s="215">
        <v>60</v>
      </c>
      <c r="P68" s="215">
        <v>60</v>
      </c>
      <c r="Q68" s="215">
        <v>60</v>
      </c>
      <c r="R68" s="215">
        <v>60</v>
      </c>
      <c r="S68" s="215">
        <v>60</v>
      </c>
      <c r="T68" s="215">
        <v>60</v>
      </c>
      <c r="U68" s="244"/>
      <c r="V68" s="215"/>
      <c r="W68" s="160">
        <f>+W67-J67</f>
        <v>-21.111111111111111</v>
      </c>
      <c r="X68" s="541"/>
      <c r="Y68" s="103">
        <f t="shared" si="2"/>
        <v>540</v>
      </c>
      <c r="Z68" s="138"/>
      <c r="AA68" s="138"/>
      <c r="AB68" s="115"/>
      <c r="AC68" s="116"/>
      <c r="AD68" s="157">
        <f>-(L68+(L69/2))*$AD$2/60</f>
        <v>-15.25</v>
      </c>
      <c r="AE68" s="167">
        <f t="shared" si="1"/>
        <v>-915</v>
      </c>
      <c r="AF68" s="167"/>
      <c r="AG68" s="167"/>
      <c r="AH68" s="124"/>
      <c r="AI68" s="91"/>
    </row>
    <row r="69" spans="1:35" s="98" customFormat="1" ht="62.25" customHeight="1" thickBot="1" x14ac:dyDescent="0.95">
      <c r="A69" s="124"/>
      <c r="B69" s="126">
        <f>+B67</f>
        <v>14</v>
      </c>
      <c r="C69" s="174" t="s">
        <v>112</v>
      </c>
      <c r="D69" s="175">
        <f>+D68+100</f>
        <v>114</v>
      </c>
      <c r="E69" s="175"/>
      <c r="F69" s="117" t="s">
        <v>94</v>
      </c>
      <c r="G69" s="117"/>
      <c r="H69" s="159" t="s">
        <v>320</v>
      </c>
      <c r="I69" s="165">
        <f>+IF(J69="","",IF(J67=0,"",(J67*I67)/(J69*60)))</f>
        <v>0.89548148148148154</v>
      </c>
      <c r="J69" s="118">
        <v>63</v>
      </c>
      <c r="K69" s="104" t="s">
        <v>19</v>
      </c>
      <c r="L69" s="216">
        <v>2</v>
      </c>
      <c r="M69" s="216">
        <v>2</v>
      </c>
      <c r="N69" s="216">
        <v>2</v>
      </c>
      <c r="O69" s="216">
        <v>2</v>
      </c>
      <c r="P69" s="216">
        <v>2</v>
      </c>
      <c r="Q69" s="216">
        <v>2</v>
      </c>
      <c r="R69" s="216">
        <v>2</v>
      </c>
      <c r="S69" s="216">
        <v>2</v>
      </c>
      <c r="T69" s="216">
        <v>2</v>
      </c>
      <c r="U69" s="245"/>
      <c r="V69" s="216"/>
      <c r="W69" s="173"/>
      <c r="X69" s="168">
        <f>12.38+(COUNTA(L67:V67)-(Y67/J67))</f>
        <v>16.257551020408165</v>
      </c>
      <c r="Y69" s="105">
        <f t="shared" si="2"/>
        <v>18</v>
      </c>
      <c r="Z69" s="139"/>
      <c r="AA69" s="139"/>
      <c r="AB69" s="119">
        <f>+IFERROR(AB67/(J67*9),"")</f>
        <v>2.0226757369614514</v>
      </c>
      <c r="AC69" s="120"/>
      <c r="AD69" s="161">
        <f>+Y68+Y69/2</f>
        <v>549</v>
      </c>
      <c r="AE69" s="167">
        <f t="shared" si="1"/>
        <v>32940</v>
      </c>
      <c r="AF69" s="167"/>
      <c r="AG69" s="230">
        <f>+AD68+AD69</f>
        <v>533.75</v>
      </c>
      <c r="AH69" s="124"/>
      <c r="AI69" s="91"/>
    </row>
    <row r="70" spans="1:35" ht="62.25" customHeight="1" thickTop="1" x14ac:dyDescent="0.9">
      <c r="A70" s="124"/>
      <c r="B70" s="127">
        <f>+B71</f>
        <v>15</v>
      </c>
      <c r="C70" s="106"/>
      <c r="D70" s="106"/>
      <c r="E70" s="106"/>
      <c r="F70" s="106"/>
      <c r="G70" s="106"/>
      <c r="H70" s="106"/>
      <c r="I70" s="107" t="s">
        <v>20</v>
      </c>
      <c r="J70" s="108" t="s">
        <v>23</v>
      </c>
      <c r="K70" s="100" t="s">
        <v>21</v>
      </c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98"/>
      <c r="W70" s="135"/>
      <c r="X70" s="540">
        <f>+W72</f>
        <v>0</v>
      </c>
      <c r="Y70" s="135">
        <f t="shared" ref="Y70:Y89" si="3">+SUM(L70:V70)</f>
        <v>0</v>
      </c>
      <c r="Z70" s="136">
        <f>+AA70+Y70</f>
        <v>6274</v>
      </c>
      <c r="AA70" s="136">
        <v>6274</v>
      </c>
      <c r="AB70" s="121"/>
      <c r="AC70" s="110"/>
      <c r="AD70" s="157"/>
      <c r="AE70" s="167">
        <f t="shared" si="1"/>
        <v>0</v>
      </c>
      <c r="AF70" s="167"/>
      <c r="AG70" s="167"/>
      <c r="AH70" s="124"/>
    </row>
    <row r="71" spans="1:35" ht="62.25" customHeight="1" x14ac:dyDescent="0.9">
      <c r="A71" s="124"/>
      <c r="B71" s="133">
        <v>15</v>
      </c>
      <c r="C71" s="111" t="s">
        <v>295</v>
      </c>
      <c r="D71" s="111"/>
      <c r="E71" s="111" t="s">
        <v>35</v>
      </c>
      <c r="F71" s="111" t="s">
        <v>296</v>
      </c>
      <c r="G71" s="111">
        <v>7500</v>
      </c>
      <c r="H71" s="111" t="s">
        <v>33</v>
      </c>
      <c r="I71" s="113">
        <v>61.46</v>
      </c>
      <c r="J71" s="130">
        <v>48</v>
      </c>
      <c r="K71" s="101" t="s">
        <v>17</v>
      </c>
      <c r="L71" s="214">
        <v>35</v>
      </c>
      <c r="M71" s="214">
        <v>50</v>
      </c>
      <c r="N71" s="214">
        <v>48</v>
      </c>
      <c r="O71" s="214">
        <v>48</v>
      </c>
      <c r="P71" s="214">
        <v>52</v>
      </c>
      <c r="Q71" s="214">
        <v>38</v>
      </c>
      <c r="R71" s="214">
        <v>48</v>
      </c>
      <c r="S71" s="214">
        <v>53</v>
      </c>
      <c r="T71" s="214">
        <v>60</v>
      </c>
      <c r="U71" s="214"/>
      <c r="V71" s="214"/>
      <c r="W71" s="123">
        <f>+IF(COUNTA(L71:V71)=0,0,Y71/(COUNTA(L71:V71)))</f>
        <v>48</v>
      </c>
      <c r="X71" s="541"/>
      <c r="Y71" s="134">
        <f t="shared" si="3"/>
        <v>432</v>
      </c>
      <c r="Z71" s="137">
        <f>+Y71+AA71</f>
        <v>5926</v>
      </c>
      <c r="AA71" s="137">
        <v>5494</v>
      </c>
      <c r="AB71" s="140">
        <f>+Z70-Z71</f>
        <v>348</v>
      </c>
      <c r="AC71" s="131">
        <f>+IF(((Y72+(Y73/2))*60)=0,"",(I71*Y71)/((Y72+(Y73/2))*60))</f>
        <v>3.512</v>
      </c>
      <c r="AD71" s="157"/>
      <c r="AE71" s="167">
        <f t="shared" si="1"/>
        <v>0</v>
      </c>
      <c r="AF71" s="167">
        <f>+Y71*I71</f>
        <v>26550.720000000001</v>
      </c>
      <c r="AG71" s="167"/>
      <c r="AH71" s="124"/>
    </row>
    <row r="72" spans="1:35" ht="62.25" customHeight="1" x14ac:dyDescent="0.9">
      <c r="A72" s="124"/>
      <c r="B72" s="125">
        <f>+B71</f>
        <v>15</v>
      </c>
      <c r="C72" s="184"/>
      <c r="D72" s="111">
        <f>+B71</f>
        <v>15</v>
      </c>
      <c r="E72" s="111"/>
      <c r="F72" s="112" t="e">
        <f>+VLOOKUP(F71,'Obj Prix'!$H:$H,2,FALSE)</f>
        <v>#N/A</v>
      </c>
      <c r="G72" s="238" t="s">
        <v>263</v>
      </c>
      <c r="H72" s="111"/>
      <c r="I72" s="210">
        <v>3</v>
      </c>
      <c r="J72" s="114" t="s">
        <v>22</v>
      </c>
      <c r="K72" s="102" t="s">
        <v>18</v>
      </c>
      <c r="L72" s="215">
        <v>25</v>
      </c>
      <c r="M72" s="215">
        <v>20</v>
      </c>
      <c r="N72" s="215">
        <v>17</v>
      </c>
      <c r="O72" s="215">
        <v>15</v>
      </c>
      <c r="P72" s="215">
        <v>14</v>
      </c>
      <c r="Q72" s="215">
        <v>12</v>
      </c>
      <c r="R72" s="215">
        <v>10</v>
      </c>
      <c r="S72" s="215">
        <v>8</v>
      </c>
      <c r="T72" s="215">
        <v>5</v>
      </c>
      <c r="U72" s="244"/>
      <c r="V72" s="215"/>
      <c r="W72" s="160">
        <f>+W71-J71</f>
        <v>0</v>
      </c>
      <c r="X72" s="541"/>
      <c r="Y72" s="103">
        <f t="shared" si="3"/>
        <v>126</v>
      </c>
      <c r="Z72" s="138"/>
      <c r="AA72" s="138"/>
      <c r="AB72" s="122"/>
      <c r="AC72" s="116"/>
      <c r="AD72" s="157">
        <f>-(L72+(L73/2))*$AD$2/60</f>
        <v>-6.25</v>
      </c>
      <c r="AE72" s="167">
        <f t="shared" si="1"/>
        <v>-375</v>
      </c>
      <c r="AF72" s="167"/>
      <c r="AG72" s="167"/>
      <c r="AH72" s="124"/>
    </row>
    <row r="73" spans="1:35" ht="59.25" customHeight="1" thickBot="1" x14ac:dyDescent="0.95">
      <c r="A73" s="124"/>
      <c r="B73" s="126">
        <f>+B71</f>
        <v>15</v>
      </c>
      <c r="C73" s="174" t="s">
        <v>80</v>
      </c>
      <c r="D73" s="175">
        <f>+D72+100</f>
        <v>115</v>
      </c>
      <c r="E73" s="175"/>
      <c r="F73" s="117" t="s">
        <v>94</v>
      </c>
      <c r="G73" s="117"/>
      <c r="H73" s="159" t="s">
        <v>312</v>
      </c>
      <c r="I73" s="165">
        <f>+IF(J73="","",IF(J71=0,"",(J71*I71)/(J73*60)))</f>
        <v>0.86259649122807014</v>
      </c>
      <c r="J73" s="118">
        <v>57</v>
      </c>
      <c r="K73" s="104" t="s">
        <v>19</v>
      </c>
      <c r="L73" s="216"/>
      <c r="M73" s="216"/>
      <c r="N73" s="216"/>
      <c r="O73" s="216"/>
      <c r="P73" s="216"/>
      <c r="Q73" s="216"/>
      <c r="R73" s="216"/>
      <c r="S73" s="216"/>
      <c r="T73" s="216"/>
      <c r="U73" s="245"/>
      <c r="V73" s="216"/>
      <c r="W73" s="173"/>
      <c r="X73" s="169">
        <v>23.28</v>
      </c>
      <c r="Y73" s="105">
        <f t="shared" si="3"/>
        <v>0</v>
      </c>
      <c r="Z73" s="139"/>
      <c r="AA73" s="139"/>
      <c r="AB73" s="119">
        <f>+IFERROR(AB71/(J71*9),"")</f>
        <v>0.80555555555555558</v>
      </c>
      <c r="AC73" s="120"/>
      <c r="AD73" s="161">
        <f>+Y72+Y73/2</f>
        <v>126</v>
      </c>
      <c r="AE73" s="167">
        <f t="shared" si="1"/>
        <v>7560</v>
      </c>
      <c r="AF73" s="167"/>
      <c r="AG73" s="230">
        <f>+AD72+AD73</f>
        <v>119.75</v>
      </c>
      <c r="AH73" s="124"/>
    </row>
    <row r="74" spans="1:35" ht="62.25" customHeight="1" thickTop="1" x14ac:dyDescent="0.9">
      <c r="A74" s="124"/>
      <c r="B74" s="127">
        <f>+B75</f>
        <v>15</v>
      </c>
      <c r="C74" s="106"/>
      <c r="D74" s="106"/>
      <c r="E74" s="106"/>
      <c r="F74" s="106"/>
      <c r="G74" s="106"/>
      <c r="H74" s="106"/>
      <c r="I74" s="107" t="s">
        <v>20</v>
      </c>
      <c r="J74" s="108" t="s">
        <v>23</v>
      </c>
      <c r="K74" s="100" t="s">
        <v>21</v>
      </c>
      <c r="L74" s="215">
        <v>90</v>
      </c>
      <c r="M74" s="215">
        <v>40</v>
      </c>
      <c r="N74" s="215">
        <v>90</v>
      </c>
      <c r="O74" s="215">
        <v>40</v>
      </c>
      <c r="P74" s="215"/>
      <c r="Q74" s="215">
        <v>50</v>
      </c>
      <c r="R74" s="215">
        <v>29</v>
      </c>
      <c r="S74" s="215"/>
      <c r="T74" s="215"/>
      <c r="U74" s="215"/>
      <c r="V74" s="98"/>
      <c r="W74" s="135"/>
      <c r="X74" s="540">
        <f>+W76</f>
        <v>0</v>
      </c>
      <c r="Y74" s="135">
        <f t="shared" si="3"/>
        <v>339</v>
      </c>
      <c r="Z74" s="136">
        <f>+AA74+Y74</f>
        <v>339</v>
      </c>
      <c r="AA74" s="136"/>
      <c r="AB74" s="121"/>
      <c r="AC74" s="110"/>
      <c r="AD74" s="157"/>
      <c r="AE74" s="167">
        <f t="shared" si="1"/>
        <v>0</v>
      </c>
      <c r="AF74" s="167"/>
      <c r="AG74" s="167"/>
      <c r="AH74" s="124"/>
    </row>
    <row r="75" spans="1:35" ht="62.25" customHeight="1" x14ac:dyDescent="0.9">
      <c r="A75" s="124"/>
      <c r="B75" s="133">
        <v>15</v>
      </c>
      <c r="C75" s="111" t="s">
        <v>323</v>
      </c>
      <c r="D75" s="111"/>
      <c r="E75" s="111" t="s">
        <v>35</v>
      </c>
      <c r="F75" s="111" t="s">
        <v>324</v>
      </c>
      <c r="G75" s="111"/>
      <c r="H75" s="111" t="s">
        <v>33</v>
      </c>
      <c r="I75" s="113"/>
      <c r="J75" s="130"/>
      <c r="K75" s="101" t="s">
        <v>17</v>
      </c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123">
        <f>+IF(COUNTA(L75:V75)=0,0,Y75/(COUNTA(L75:V75)))</f>
        <v>0</v>
      </c>
      <c r="X75" s="541"/>
      <c r="Y75" s="134">
        <f t="shared" si="3"/>
        <v>0</v>
      </c>
      <c r="Z75" s="137">
        <f>+Y75+AA75</f>
        <v>0</v>
      </c>
      <c r="AA75" s="137"/>
      <c r="AB75" s="140">
        <f>+Z74-Z75</f>
        <v>339</v>
      </c>
      <c r="AC75" s="131">
        <f>+IF(((Y76+(Y77/2))*60)=0,"",(I75*Y75)/((Y76+(Y77/2))*60))</f>
        <v>0</v>
      </c>
      <c r="AD75" s="157"/>
      <c r="AE75" s="167">
        <f t="shared" si="1"/>
        <v>0</v>
      </c>
      <c r="AF75" s="167">
        <f>+Y75*I75</f>
        <v>0</v>
      </c>
      <c r="AG75" s="167"/>
      <c r="AH75" s="124"/>
    </row>
    <row r="76" spans="1:35" ht="62.25" customHeight="1" x14ac:dyDescent="0.9">
      <c r="A76" s="124"/>
      <c r="B76" s="125">
        <f>+B75</f>
        <v>15</v>
      </c>
      <c r="C76" s="184"/>
      <c r="D76" s="111">
        <f>+B75</f>
        <v>15</v>
      </c>
      <c r="E76" s="111"/>
      <c r="F76" s="112" t="e">
        <f>+VLOOKUP(F75,'Obj Prix'!$H:$H,2,FALSE)</f>
        <v>#N/A</v>
      </c>
      <c r="G76" s="238"/>
      <c r="H76" s="111"/>
      <c r="I76" s="210"/>
      <c r="J76" s="114" t="s">
        <v>22</v>
      </c>
      <c r="K76" s="102" t="s">
        <v>18</v>
      </c>
      <c r="L76" s="215">
        <f t="shared" ref="L76:T76" si="4">56-L72</f>
        <v>31</v>
      </c>
      <c r="M76" s="215">
        <f t="shared" si="4"/>
        <v>36</v>
      </c>
      <c r="N76" s="215">
        <f t="shared" si="4"/>
        <v>39</v>
      </c>
      <c r="O76" s="215">
        <f t="shared" si="4"/>
        <v>41</v>
      </c>
      <c r="P76" s="215">
        <f t="shared" si="4"/>
        <v>42</v>
      </c>
      <c r="Q76" s="215">
        <f t="shared" si="4"/>
        <v>44</v>
      </c>
      <c r="R76" s="215">
        <f t="shared" si="4"/>
        <v>46</v>
      </c>
      <c r="S76" s="215">
        <f t="shared" si="4"/>
        <v>48</v>
      </c>
      <c r="T76" s="215">
        <f t="shared" si="4"/>
        <v>51</v>
      </c>
      <c r="U76" s="244"/>
      <c r="V76" s="215"/>
      <c r="W76" s="160">
        <f>+W75-J75</f>
        <v>0</v>
      </c>
      <c r="X76" s="541"/>
      <c r="Y76" s="103">
        <f t="shared" si="3"/>
        <v>378</v>
      </c>
      <c r="Z76" s="138"/>
      <c r="AA76" s="138"/>
      <c r="AB76" s="122"/>
      <c r="AC76" s="116"/>
      <c r="AD76" s="157">
        <f>-(L76+(L77/2))*$AD$2/60</f>
        <v>-8</v>
      </c>
      <c r="AE76" s="167">
        <f t="shared" si="1"/>
        <v>-480</v>
      </c>
      <c r="AF76" s="167"/>
      <c r="AG76" s="167"/>
      <c r="AH76" s="124"/>
    </row>
    <row r="77" spans="1:35" ht="59.25" customHeight="1" thickBot="1" x14ac:dyDescent="0.95">
      <c r="A77" s="124"/>
      <c r="B77" s="126">
        <f>+B75</f>
        <v>15</v>
      </c>
      <c r="C77" s="174" t="s">
        <v>80</v>
      </c>
      <c r="D77" s="175">
        <f>+D76+100</f>
        <v>115</v>
      </c>
      <c r="E77" s="175"/>
      <c r="F77" s="117" t="s">
        <v>94</v>
      </c>
      <c r="G77" s="117"/>
      <c r="H77" s="159"/>
      <c r="I77" s="165" t="str">
        <f>+IF(J77="","",IF(J75=0,"",(J75*I75)/(J77*60)))</f>
        <v/>
      </c>
      <c r="J77" s="118"/>
      <c r="K77" s="104" t="s">
        <v>19</v>
      </c>
      <c r="L77" s="216">
        <v>2</v>
      </c>
      <c r="M77" s="216">
        <v>2</v>
      </c>
      <c r="N77" s="216">
        <v>2</v>
      </c>
      <c r="O77" s="216">
        <v>2</v>
      </c>
      <c r="P77" s="216">
        <v>2</v>
      </c>
      <c r="Q77" s="216">
        <v>3</v>
      </c>
      <c r="R77" s="216">
        <v>4</v>
      </c>
      <c r="S77" s="216">
        <v>5</v>
      </c>
      <c r="T77" s="216">
        <v>6</v>
      </c>
      <c r="U77" s="245"/>
      <c r="V77" s="216"/>
      <c r="W77" s="173"/>
      <c r="X77" s="169"/>
      <c r="Y77" s="105">
        <f t="shared" si="3"/>
        <v>28</v>
      </c>
      <c r="Z77" s="139"/>
      <c r="AA77" s="139"/>
      <c r="AB77" s="119" t="str">
        <f>+IFERROR(AB75/(J75*9),"")</f>
        <v/>
      </c>
      <c r="AC77" s="120"/>
      <c r="AD77" s="161">
        <f>+Y76+Y77/2</f>
        <v>392</v>
      </c>
      <c r="AE77" s="167">
        <f t="shared" si="1"/>
        <v>23520</v>
      </c>
      <c r="AF77" s="167"/>
      <c r="AG77" s="230">
        <f>+AD76+AD77</f>
        <v>384</v>
      </c>
      <c r="AH77" s="124"/>
    </row>
    <row r="78" spans="1:35" s="98" customFormat="1" ht="62.25" customHeight="1" thickTop="1" x14ac:dyDescent="0.9">
      <c r="A78" s="124"/>
      <c r="B78" s="127">
        <f>+B79</f>
        <v>17</v>
      </c>
      <c r="C78" s="106"/>
      <c r="D78" s="106"/>
      <c r="E78" s="106"/>
      <c r="F78" s="111"/>
      <c r="G78" s="106"/>
      <c r="H78" s="106"/>
      <c r="I78" s="107" t="s">
        <v>20</v>
      </c>
      <c r="J78" s="108" t="s">
        <v>23</v>
      </c>
      <c r="K78" s="100" t="s">
        <v>21</v>
      </c>
      <c r="L78" s="215">
        <v>40</v>
      </c>
      <c r="M78" s="215">
        <v>40</v>
      </c>
      <c r="N78" s="215">
        <v>40</v>
      </c>
      <c r="O78" s="215">
        <v>40</v>
      </c>
      <c r="P78" s="215">
        <v>40</v>
      </c>
      <c r="Q78" s="215">
        <v>80</v>
      </c>
      <c r="R78" s="215">
        <v>40</v>
      </c>
      <c r="S78" s="215">
        <v>80</v>
      </c>
      <c r="T78" s="215">
        <v>40</v>
      </c>
      <c r="U78" s="215"/>
      <c r="W78" s="135"/>
      <c r="X78" s="540">
        <f>+W80</f>
        <v>2</v>
      </c>
      <c r="Y78" s="135">
        <f t="shared" si="3"/>
        <v>440</v>
      </c>
      <c r="Z78" s="136">
        <f>+AA78+Y78</f>
        <v>6440</v>
      </c>
      <c r="AA78" s="136">
        <v>6000</v>
      </c>
      <c r="AB78" s="121"/>
      <c r="AC78" s="110"/>
      <c r="AD78" s="157"/>
      <c r="AE78" s="167">
        <f t="shared" si="1"/>
        <v>0</v>
      </c>
      <c r="AF78" s="167"/>
      <c r="AG78" s="167"/>
      <c r="AH78" s="124"/>
      <c r="AI78" s="91"/>
    </row>
    <row r="79" spans="1:35" s="98" customFormat="1" ht="62.25" customHeight="1" x14ac:dyDescent="0.9">
      <c r="A79" s="124"/>
      <c r="B79" s="132">
        <v>17</v>
      </c>
      <c r="C79" s="111" t="s">
        <v>298</v>
      </c>
      <c r="D79" s="111"/>
      <c r="E79" s="111" t="s">
        <v>35</v>
      </c>
      <c r="F79" s="111" t="s">
        <v>299</v>
      </c>
      <c r="G79" s="111">
        <v>8731</v>
      </c>
      <c r="H79" s="111" t="s">
        <v>300</v>
      </c>
      <c r="I79" s="113">
        <v>60.17</v>
      </c>
      <c r="J79" s="130">
        <v>50</v>
      </c>
      <c r="K79" s="101" t="s">
        <v>17</v>
      </c>
      <c r="L79" s="214">
        <v>52</v>
      </c>
      <c r="M79" s="214">
        <v>52</v>
      </c>
      <c r="N79" s="214">
        <v>45</v>
      </c>
      <c r="O79" s="214">
        <v>59</v>
      </c>
      <c r="P79" s="214">
        <v>52</v>
      </c>
      <c r="Q79" s="214">
        <v>52</v>
      </c>
      <c r="R79" s="214">
        <v>52</v>
      </c>
      <c r="S79" s="214">
        <v>52</v>
      </c>
      <c r="T79" s="214">
        <v>52</v>
      </c>
      <c r="U79" s="214"/>
      <c r="V79" s="214"/>
      <c r="W79" s="123">
        <f>+IF(COUNTA(L79:V79)=0,0,Y79/(COUNTA(L79:V79)))</f>
        <v>52</v>
      </c>
      <c r="X79" s="541"/>
      <c r="Y79" s="134">
        <f t="shared" si="3"/>
        <v>468</v>
      </c>
      <c r="Z79" s="137">
        <f>+Y79+AA79</f>
        <v>5926</v>
      </c>
      <c r="AA79" s="137">
        <v>5458</v>
      </c>
      <c r="AB79" s="140">
        <f>+Z78-Z79</f>
        <v>514</v>
      </c>
      <c r="AC79" s="131">
        <f>+IF(((Y80+(Y81/2))*60)=0,"",(I79*Y79)/((Y80+(Y81/2))*60))</f>
        <v>0.90866602129719265</v>
      </c>
      <c r="AD79" s="157"/>
      <c r="AE79" s="167">
        <f t="shared" si="1"/>
        <v>0</v>
      </c>
      <c r="AF79" s="167">
        <f>+Y79*I79</f>
        <v>28159.56</v>
      </c>
      <c r="AG79" s="167"/>
      <c r="AH79" s="124"/>
      <c r="AI79" s="91"/>
    </row>
    <row r="80" spans="1:35" s="98" customFormat="1" ht="62.25" customHeight="1" x14ac:dyDescent="0.9">
      <c r="A80" s="124"/>
      <c r="B80" s="125">
        <f>+B79</f>
        <v>17</v>
      </c>
      <c r="C80" s="184"/>
      <c r="D80" s="111"/>
      <c r="E80" s="111"/>
      <c r="F80" s="112" t="e">
        <f>+VLOOKUP(F79,'Obj Prix'!$H:$H,2,FALSE)</f>
        <v>#N/A</v>
      </c>
      <c r="G80" s="238" t="s">
        <v>263</v>
      </c>
      <c r="H80" s="210"/>
      <c r="I80" s="113">
        <v>1</v>
      </c>
      <c r="J80" s="114" t="s">
        <v>22</v>
      </c>
      <c r="K80" s="102" t="s">
        <v>18</v>
      </c>
      <c r="L80" s="215">
        <v>56</v>
      </c>
      <c r="M80" s="215">
        <v>57</v>
      </c>
      <c r="N80" s="215">
        <v>57</v>
      </c>
      <c r="O80" s="215">
        <v>57</v>
      </c>
      <c r="P80" s="215">
        <v>57</v>
      </c>
      <c r="Q80" s="215">
        <v>57</v>
      </c>
      <c r="R80" s="215">
        <v>57</v>
      </c>
      <c r="S80" s="215">
        <v>57</v>
      </c>
      <c r="T80" s="215">
        <v>57</v>
      </c>
      <c r="U80" s="244"/>
      <c r="V80" s="215"/>
      <c r="W80" s="160">
        <f>+W79-J79</f>
        <v>2</v>
      </c>
      <c r="X80" s="541"/>
      <c r="Y80" s="103">
        <f t="shared" si="3"/>
        <v>512</v>
      </c>
      <c r="Z80" s="138"/>
      <c r="AA80" s="138"/>
      <c r="AB80" s="122"/>
      <c r="AC80" s="116"/>
      <c r="AD80" s="157">
        <f>-(L80+(L81/2))*$AD$2/60</f>
        <v>-14.125</v>
      </c>
      <c r="AE80" s="167">
        <f t="shared" si="1"/>
        <v>-847.5</v>
      </c>
      <c r="AF80" s="167"/>
      <c r="AG80" s="167"/>
      <c r="AH80" s="124"/>
      <c r="AI80" s="91"/>
    </row>
    <row r="81" spans="1:36" s="98" customFormat="1" ht="62.25" customHeight="1" thickBot="1" x14ac:dyDescent="0.95">
      <c r="A81" s="124"/>
      <c r="B81" s="126">
        <f>+B79</f>
        <v>17</v>
      </c>
      <c r="C81" s="174" t="s">
        <v>284</v>
      </c>
      <c r="D81" s="175">
        <f>+D80+100</f>
        <v>100</v>
      </c>
      <c r="E81" s="175"/>
      <c r="F81" s="117" t="s">
        <v>111</v>
      </c>
      <c r="G81" s="117"/>
      <c r="H81" s="159" t="s">
        <v>303</v>
      </c>
      <c r="I81" s="165">
        <f>+IF(J81="","",IF(J79=0,"",(J79*I79)/(J81*60)))</f>
        <v>0.89538690476190474</v>
      </c>
      <c r="J81" s="118">
        <v>56</v>
      </c>
      <c r="K81" s="104" t="s">
        <v>19</v>
      </c>
      <c r="L81" s="216">
        <v>1</v>
      </c>
      <c r="M81" s="216">
        <v>1</v>
      </c>
      <c r="N81" s="216">
        <v>1</v>
      </c>
      <c r="O81" s="216">
        <v>1</v>
      </c>
      <c r="P81" s="216">
        <v>1</v>
      </c>
      <c r="Q81" s="216">
        <v>1</v>
      </c>
      <c r="R81" s="216">
        <v>1</v>
      </c>
      <c r="S81" s="216">
        <v>1</v>
      </c>
      <c r="T81" s="216">
        <v>1</v>
      </c>
      <c r="U81" s="245"/>
      <c r="V81" s="216"/>
      <c r="W81" s="173"/>
      <c r="X81" s="169">
        <v>14.54</v>
      </c>
      <c r="Y81" s="105">
        <f t="shared" si="3"/>
        <v>9</v>
      </c>
      <c r="Z81" s="139"/>
      <c r="AA81" s="139"/>
      <c r="AB81" s="119">
        <f>+IFERROR(AB79/(J79*9),"")</f>
        <v>1.1422222222222222</v>
      </c>
      <c r="AC81" s="120"/>
      <c r="AD81" s="161">
        <f>+Y80+Y81/2</f>
        <v>516.5</v>
      </c>
      <c r="AE81" s="167">
        <f t="shared" si="1"/>
        <v>30990</v>
      </c>
      <c r="AF81" s="167"/>
      <c r="AG81" s="230">
        <f>+AD80+AD81</f>
        <v>502.375</v>
      </c>
      <c r="AH81" s="124"/>
      <c r="AI81" s="91"/>
    </row>
    <row r="82" spans="1:36" s="98" customFormat="1" ht="62.25" customHeight="1" thickTop="1" x14ac:dyDescent="0.9">
      <c r="A82" s="124"/>
      <c r="B82" s="127">
        <f>+B83</f>
        <v>18</v>
      </c>
      <c r="C82" s="106"/>
      <c r="D82" s="106"/>
      <c r="E82" s="106"/>
      <c r="F82" s="111"/>
      <c r="G82" s="106"/>
      <c r="H82" s="106"/>
      <c r="I82" s="107" t="s">
        <v>20</v>
      </c>
      <c r="J82" s="108" t="s">
        <v>23</v>
      </c>
      <c r="K82" s="100" t="s">
        <v>21</v>
      </c>
      <c r="L82" s="215">
        <v>50</v>
      </c>
      <c r="M82" s="215">
        <v>50</v>
      </c>
      <c r="N82" s="215">
        <v>50</v>
      </c>
      <c r="O82" s="215">
        <v>50</v>
      </c>
      <c r="P82" s="215">
        <v>50</v>
      </c>
      <c r="Q82" s="215">
        <v>50</v>
      </c>
      <c r="R82" s="215">
        <v>50</v>
      </c>
      <c r="S82" s="215">
        <v>50</v>
      </c>
      <c r="T82" s="215">
        <v>50</v>
      </c>
      <c r="U82" s="215"/>
      <c r="W82" s="135"/>
      <c r="X82" s="540">
        <f>+W84</f>
        <v>2</v>
      </c>
      <c r="Y82" s="135">
        <f t="shared" si="3"/>
        <v>450</v>
      </c>
      <c r="Z82" s="136">
        <f>+AA82+Y82</f>
        <v>4100</v>
      </c>
      <c r="AA82" s="136">
        <v>3650</v>
      </c>
      <c r="AB82" s="121"/>
      <c r="AC82" s="110"/>
      <c r="AD82" s="157"/>
      <c r="AE82" s="167">
        <f t="shared" si="1"/>
        <v>0</v>
      </c>
      <c r="AF82" s="167"/>
      <c r="AG82" s="167"/>
      <c r="AH82" s="91"/>
      <c r="AI82" s="91"/>
    </row>
    <row r="83" spans="1:36" s="98" customFormat="1" ht="62.25" customHeight="1" x14ac:dyDescent="0.9">
      <c r="A83" s="124"/>
      <c r="B83" s="132">
        <v>18</v>
      </c>
      <c r="C83" s="111" t="s">
        <v>295</v>
      </c>
      <c r="D83" s="111"/>
      <c r="E83" s="111" t="s">
        <v>35</v>
      </c>
      <c r="F83" s="111" t="s">
        <v>296</v>
      </c>
      <c r="G83" s="111">
        <v>6712</v>
      </c>
      <c r="H83" s="111" t="s">
        <v>33</v>
      </c>
      <c r="I83" s="113">
        <v>61.46</v>
      </c>
      <c r="J83" s="130">
        <v>48</v>
      </c>
      <c r="K83" s="101" t="s">
        <v>17</v>
      </c>
      <c r="L83" s="214">
        <v>50</v>
      </c>
      <c r="M83" s="214">
        <v>50</v>
      </c>
      <c r="N83" s="214">
        <v>50</v>
      </c>
      <c r="O83" s="214">
        <v>50</v>
      </c>
      <c r="P83" s="214">
        <v>50</v>
      </c>
      <c r="Q83" s="214">
        <v>50</v>
      </c>
      <c r="R83" s="214">
        <v>50</v>
      </c>
      <c r="S83" s="214">
        <v>50</v>
      </c>
      <c r="T83" s="214">
        <v>50</v>
      </c>
      <c r="U83" s="214"/>
      <c r="V83" s="214"/>
      <c r="W83" s="123">
        <f>+IF(COUNTA(L83:V83)=0,0,Y83/(COUNTA(L83:V83)))</f>
        <v>50</v>
      </c>
      <c r="X83" s="541"/>
      <c r="Y83" s="134">
        <f t="shared" si="3"/>
        <v>450</v>
      </c>
      <c r="Z83" s="137">
        <f>+Y83+AA83</f>
        <v>3386</v>
      </c>
      <c r="AA83" s="137">
        <v>2936</v>
      </c>
      <c r="AB83" s="140">
        <f>+Z82-Z83</f>
        <v>714</v>
      </c>
      <c r="AC83" s="131">
        <f>+IF(((Y84+(Y85/2))*60)=0,"",(I83*Y83)/((Y84+(Y85/2))*60))</f>
        <v>0.92653266331658291</v>
      </c>
      <c r="AD83" s="157"/>
      <c r="AE83" s="167">
        <f t="shared" si="1"/>
        <v>0</v>
      </c>
      <c r="AF83" s="167">
        <f>+Y83*I83</f>
        <v>27657</v>
      </c>
      <c r="AG83" s="167"/>
      <c r="AH83" s="91"/>
      <c r="AI83" s="91"/>
    </row>
    <row r="84" spans="1:36" s="98" customFormat="1" ht="62.25" customHeight="1" x14ac:dyDescent="0.9">
      <c r="A84" s="124"/>
      <c r="B84" s="125">
        <f>+B83</f>
        <v>18</v>
      </c>
      <c r="C84" s="184"/>
      <c r="D84" s="111"/>
      <c r="E84" s="111"/>
      <c r="F84" s="112" t="e">
        <f>+VLOOKUP(F83,'Obj Prix'!$H:$H,2,FALSE)</f>
        <v>#N/A</v>
      </c>
      <c r="G84" s="238" t="s">
        <v>263</v>
      </c>
      <c r="H84" s="210"/>
      <c r="I84" s="210">
        <v>3</v>
      </c>
      <c r="J84" s="114" t="s">
        <v>22</v>
      </c>
      <c r="K84" s="102" t="s">
        <v>18</v>
      </c>
      <c r="L84" s="215">
        <v>52</v>
      </c>
      <c r="M84" s="215">
        <v>54</v>
      </c>
      <c r="N84" s="215">
        <v>54</v>
      </c>
      <c r="O84" s="215">
        <v>54</v>
      </c>
      <c r="P84" s="215">
        <v>54</v>
      </c>
      <c r="Q84" s="215">
        <v>54</v>
      </c>
      <c r="R84" s="215">
        <v>54</v>
      </c>
      <c r="S84" s="215">
        <v>54</v>
      </c>
      <c r="T84" s="215">
        <v>54</v>
      </c>
      <c r="U84" s="244"/>
      <c r="V84" s="215"/>
      <c r="W84" s="160">
        <f>+W83-J83</f>
        <v>2</v>
      </c>
      <c r="X84" s="541"/>
      <c r="Y84" s="103">
        <f t="shared" si="3"/>
        <v>484</v>
      </c>
      <c r="Z84" s="138"/>
      <c r="AA84" s="138"/>
      <c r="AB84" s="122"/>
      <c r="AC84" s="116"/>
      <c r="AD84" s="157">
        <f>-(L84+(L85/2))*$AD$2/60</f>
        <v>-13.375</v>
      </c>
      <c r="AE84" s="167">
        <f t="shared" si="1"/>
        <v>-802.5</v>
      </c>
      <c r="AF84" s="167"/>
      <c r="AG84" s="167"/>
      <c r="AH84" s="124"/>
      <c r="AI84" s="91"/>
    </row>
    <row r="85" spans="1:36" s="98" customFormat="1" ht="62.25" customHeight="1" thickBot="1" x14ac:dyDescent="0.95">
      <c r="A85" s="124"/>
      <c r="B85" s="126">
        <f>+B83</f>
        <v>18</v>
      </c>
      <c r="C85" s="174" t="s">
        <v>308</v>
      </c>
      <c r="D85" s="175">
        <f>+D84+100</f>
        <v>100</v>
      </c>
      <c r="E85" s="175"/>
      <c r="F85" s="117" t="s">
        <v>203</v>
      </c>
      <c r="G85" s="117"/>
      <c r="H85" s="159" t="s">
        <v>311</v>
      </c>
      <c r="I85" s="165">
        <f>+IF(J85="","",IF(J83=0,"",(J83*I83)/(J85*60)))</f>
        <v>0.86259649122807014</v>
      </c>
      <c r="J85" s="118">
        <v>57</v>
      </c>
      <c r="K85" s="104" t="s">
        <v>19</v>
      </c>
      <c r="L85" s="216">
        <v>3</v>
      </c>
      <c r="M85" s="216">
        <v>3</v>
      </c>
      <c r="N85" s="216">
        <v>3</v>
      </c>
      <c r="O85" s="216">
        <v>3</v>
      </c>
      <c r="P85" s="216">
        <v>3</v>
      </c>
      <c r="Q85" s="216">
        <v>3</v>
      </c>
      <c r="R85" s="216">
        <v>3</v>
      </c>
      <c r="S85" s="216">
        <v>3</v>
      </c>
      <c r="T85" s="216">
        <v>3</v>
      </c>
      <c r="U85" s="245"/>
      <c r="V85" s="216"/>
      <c r="W85" s="173"/>
      <c r="X85" s="169">
        <v>8.49</v>
      </c>
      <c r="Y85" s="105">
        <f t="shared" si="3"/>
        <v>27</v>
      </c>
      <c r="Z85" s="139"/>
      <c r="AA85" s="139"/>
      <c r="AB85" s="119">
        <f>+IFERROR(AB83/(J83*9),"")</f>
        <v>1.6527777777777777</v>
      </c>
      <c r="AC85" s="120"/>
      <c r="AD85" s="161">
        <f>+Y84+Y85/2</f>
        <v>497.5</v>
      </c>
      <c r="AE85" s="167">
        <f t="shared" si="1"/>
        <v>29850</v>
      </c>
      <c r="AF85" s="167"/>
      <c r="AG85" s="230">
        <f>+AD84+AD85</f>
        <v>484.125</v>
      </c>
      <c r="AH85" s="124"/>
      <c r="AI85" s="91"/>
    </row>
    <row r="86" spans="1:36" ht="62.25" customHeight="1" thickTop="1" x14ac:dyDescent="0.9">
      <c r="A86" s="124"/>
      <c r="B86" s="127">
        <f>+B87</f>
        <v>19</v>
      </c>
      <c r="C86" s="106"/>
      <c r="D86" s="106"/>
      <c r="E86" s="106"/>
      <c r="F86" s="106"/>
      <c r="G86" s="106"/>
      <c r="H86" s="106"/>
      <c r="I86" s="107" t="s">
        <v>20</v>
      </c>
      <c r="J86" s="108" t="s">
        <v>23</v>
      </c>
      <c r="K86" s="100" t="s">
        <v>21</v>
      </c>
      <c r="L86" s="215">
        <v>100</v>
      </c>
      <c r="M86" s="215">
        <v>100</v>
      </c>
      <c r="N86" s="215">
        <v>50</v>
      </c>
      <c r="O86" s="215">
        <v>50</v>
      </c>
      <c r="P86" s="215">
        <v>50</v>
      </c>
      <c r="Q86" s="215">
        <v>50</v>
      </c>
      <c r="R86" s="215">
        <v>50</v>
      </c>
      <c r="S86" s="215"/>
      <c r="T86" s="215"/>
      <c r="U86" s="215"/>
      <c r="V86" s="98"/>
      <c r="W86" s="135"/>
      <c r="X86" s="540">
        <f>+W88</f>
        <v>5</v>
      </c>
      <c r="Y86" s="135">
        <f t="shared" si="3"/>
        <v>450</v>
      </c>
      <c r="Z86" s="136">
        <f>+AA86+Y86</f>
        <v>7360</v>
      </c>
      <c r="AA86" s="136">
        <v>6910</v>
      </c>
      <c r="AB86" s="109"/>
      <c r="AC86" s="110"/>
      <c r="AD86" s="157"/>
      <c r="AE86" s="167">
        <f>+AD86*60</f>
        <v>0</v>
      </c>
      <c r="AF86" s="167"/>
      <c r="AG86" s="167"/>
      <c r="AH86" s="124"/>
    </row>
    <row r="87" spans="1:36" ht="62.25" customHeight="1" x14ac:dyDescent="0.9">
      <c r="A87" s="124"/>
      <c r="B87" s="133">
        <v>19</v>
      </c>
      <c r="C87" s="111" t="s">
        <v>292</v>
      </c>
      <c r="D87" s="111"/>
      <c r="E87" s="111" t="s">
        <v>35</v>
      </c>
      <c r="F87" s="111" t="s">
        <v>293</v>
      </c>
      <c r="G87" s="111">
        <v>11466</v>
      </c>
      <c r="H87" s="111" t="s">
        <v>33</v>
      </c>
      <c r="I87" s="113">
        <v>61.52</v>
      </c>
      <c r="J87" s="130">
        <v>45</v>
      </c>
      <c r="K87" s="101" t="s">
        <v>17</v>
      </c>
      <c r="L87" s="214">
        <v>30</v>
      </c>
      <c r="M87" s="214">
        <v>50</v>
      </c>
      <c r="N87" s="214">
        <v>50</v>
      </c>
      <c r="O87" s="214">
        <v>50</v>
      </c>
      <c r="P87" s="214">
        <v>50</v>
      </c>
      <c r="Q87" s="214">
        <v>50</v>
      </c>
      <c r="R87" s="214">
        <v>50</v>
      </c>
      <c r="S87" s="214">
        <v>50</v>
      </c>
      <c r="T87" s="214">
        <v>70</v>
      </c>
      <c r="U87" s="214"/>
      <c r="V87" s="214"/>
      <c r="W87" s="123">
        <f>+IF(COUNTA(L87:V87)=0,0,Y87/(COUNTA(L87:V87)))</f>
        <v>50</v>
      </c>
      <c r="X87" s="541"/>
      <c r="Y87" s="134">
        <f t="shared" si="3"/>
        <v>450</v>
      </c>
      <c r="Z87" s="137">
        <f>+Y87+AA87</f>
        <v>6571</v>
      </c>
      <c r="AA87" s="137">
        <v>6121</v>
      </c>
      <c r="AB87" s="140">
        <f>+Z86-Z87</f>
        <v>789</v>
      </c>
      <c r="AC87" s="131">
        <f>+IF(((Y88+(Y89/2))*60)=0,"",(I87*Y87)/((Y88+(Y89/2))*60))</f>
        <v>0.9976216216216216</v>
      </c>
      <c r="AD87" s="157"/>
      <c r="AE87" s="167">
        <f>+AD87*60</f>
        <v>0</v>
      </c>
      <c r="AF87" s="167">
        <f>+Y87*I87</f>
        <v>27684</v>
      </c>
      <c r="AG87" s="167"/>
      <c r="AH87" s="124"/>
    </row>
    <row r="88" spans="1:36" ht="62.25" customHeight="1" x14ac:dyDescent="0.9">
      <c r="A88" s="124"/>
      <c r="B88" s="125">
        <f>+B87</f>
        <v>19</v>
      </c>
      <c r="C88" s="184"/>
      <c r="D88" s="111">
        <f>+B87</f>
        <v>19</v>
      </c>
      <c r="E88" s="111"/>
      <c r="F88" s="112" t="e">
        <f>+VLOOKUP(F87,'Obj Prix'!$H:$H,2,FALSE)</f>
        <v>#N/A</v>
      </c>
      <c r="G88" s="238" t="s">
        <v>263</v>
      </c>
      <c r="H88" s="210">
        <v>4</v>
      </c>
      <c r="I88" s="113">
        <v>4</v>
      </c>
      <c r="J88" s="114" t="s">
        <v>22</v>
      </c>
      <c r="K88" s="102" t="s">
        <v>18</v>
      </c>
      <c r="L88" s="215">
        <v>49</v>
      </c>
      <c r="M88" s="215">
        <v>49</v>
      </c>
      <c r="N88" s="215">
        <v>49</v>
      </c>
      <c r="O88" s="215">
        <v>49</v>
      </c>
      <c r="P88" s="215">
        <v>49</v>
      </c>
      <c r="Q88" s="215">
        <v>49</v>
      </c>
      <c r="R88" s="215">
        <v>49</v>
      </c>
      <c r="S88" s="215">
        <v>49</v>
      </c>
      <c r="T88" s="215">
        <v>49</v>
      </c>
      <c r="U88" s="244"/>
      <c r="V88" s="215"/>
      <c r="W88" s="160">
        <f>+W87-J87</f>
        <v>5</v>
      </c>
      <c r="X88" s="541"/>
      <c r="Y88" s="103">
        <f t="shared" si="3"/>
        <v>441</v>
      </c>
      <c r="Z88" s="138"/>
      <c r="AA88" s="138"/>
      <c r="AB88" s="115"/>
      <c r="AC88" s="116"/>
      <c r="AD88" s="157">
        <f>-(L88+(L89/2))*$AD$2/60</f>
        <v>-12.625</v>
      </c>
      <c r="AE88" s="167">
        <f>+AD88*60</f>
        <v>-757.5</v>
      </c>
      <c r="AF88" s="167"/>
      <c r="AG88" s="167"/>
      <c r="AH88" s="124"/>
    </row>
    <row r="89" spans="1:36" s="98" customFormat="1" ht="62.25" customHeight="1" thickBot="1" x14ac:dyDescent="0.95">
      <c r="A89" s="124"/>
      <c r="B89" s="126">
        <f>+B87</f>
        <v>19</v>
      </c>
      <c r="C89" s="174" t="s">
        <v>284</v>
      </c>
      <c r="D89" s="175">
        <f>+D88+100</f>
        <v>119</v>
      </c>
      <c r="E89" s="175"/>
      <c r="F89" s="117" t="s">
        <v>94</v>
      </c>
      <c r="G89" s="117"/>
      <c r="H89" s="159" t="s">
        <v>301</v>
      </c>
      <c r="I89" s="165">
        <f>+IF(J89="","",IF(J87=0,"",(J87*I87)/(J89*60)))</f>
        <v>0.85444444444444445</v>
      </c>
      <c r="J89" s="118">
        <v>54</v>
      </c>
      <c r="K89" s="104" t="s">
        <v>19</v>
      </c>
      <c r="L89" s="216">
        <v>3</v>
      </c>
      <c r="M89" s="216">
        <v>5</v>
      </c>
      <c r="N89" s="216">
        <v>5</v>
      </c>
      <c r="O89" s="216">
        <v>5</v>
      </c>
      <c r="P89" s="216">
        <v>5</v>
      </c>
      <c r="Q89" s="216">
        <v>5</v>
      </c>
      <c r="R89" s="216">
        <v>5</v>
      </c>
      <c r="S89" s="216">
        <v>5</v>
      </c>
      <c r="T89" s="216">
        <v>5</v>
      </c>
      <c r="U89" s="245"/>
      <c r="V89" s="216"/>
      <c r="W89" s="173"/>
      <c r="X89" s="169">
        <v>33.630000000000003</v>
      </c>
      <c r="Y89" s="105">
        <f t="shared" si="3"/>
        <v>43</v>
      </c>
      <c r="Z89" s="139"/>
      <c r="AA89" s="139"/>
      <c r="AB89" s="119">
        <f>+IFERROR(AB87/(J87*9),"")</f>
        <v>1.9481481481481482</v>
      </c>
      <c r="AC89" s="120"/>
      <c r="AD89" s="161">
        <f>+Y88+Y89/2</f>
        <v>462.5</v>
      </c>
      <c r="AE89" s="167">
        <f>+AD89*60</f>
        <v>27750</v>
      </c>
      <c r="AF89" s="167"/>
      <c r="AG89" s="230">
        <f>+AD88+AD89</f>
        <v>449.875</v>
      </c>
      <c r="AH89" s="124"/>
      <c r="AI89" s="91"/>
    </row>
    <row r="90" spans="1:36" s="98" customFormat="1" ht="39.75" customHeight="1" thickTop="1" thickBot="1" x14ac:dyDescent="0.95">
      <c r="A90" s="124"/>
      <c r="B90" s="94"/>
      <c r="C90" s="176"/>
      <c r="D90" s="91"/>
      <c r="E90" s="91"/>
      <c r="F90" s="91"/>
      <c r="G90" s="91"/>
      <c r="I90" s="91"/>
      <c r="J90" s="91"/>
      <c r="K90" s="99"/>
      <c r="L90" s="124"/>
      <c r="M90" s="124"/>
      <c r="N90" s="124"/>
      <c r="O90" s="124"/>
      <c r="P90" s="124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5"/>
      <c r="AD90" s="158"/>
      <c r="AE90" s="167"/>
      <c r="AG90" s="148"/>
      <c r="AH90" s="124"/>
      <c r="AI90" s="220"/>
      <c r="AJ90" s="220"/>
    </row>
    <row r="91" spans="1:36" s="148" customFormat="1" ht="91.5" customHeight="1" thickTop="1" thickBot="1" x14ac:dyDescent="0.55000000000000004">
      <c r="A91" s="164"/>
      <c r="B91" s="181"/>
      <c r="C91" s="547" t="s">
        <v>266</v>
      </c>
      <c r="D91" s="547"/>
      <c r="E91" s="547"/>
      <c r="F91" s="239" t="s">
        <v>264</v>
      </c>
      <c r="G91" s="240">
        <f>+COUNTIF(G6:G89,"A.FINAL")</f>
        <v>16</v>
      </c>
      <c r="H91" s="98"/>
      <c r="I91" s="92"/>
      <c r="J91" s="92"/>
      <c r="K91" s="179" t="s">
        <v>17</v>
      </c>
      <c r="L91" s="166">
        <f t="shared" ref="L91:V91" si="5">+SUMIF($K$6:$K$90,$K$91,L6:L90)</f>
        <v>473</v>
      </c>
      <c r="M91" s="166">
        <f t="shared" si="5"/>
        <v>653</v>
      </c>
      <c r="N91" s="166">
        <f t="shared" si="5"/>
        <v>740</v>
      </c>
      <c r="O91" s="166">
        <f t="shared" si="5"/>
        <v>736</v>
      </c>
      <c r="P91" s="166">
        <f t="shared" si="5"/>
        <v>730</v>
      </c>
      <c r="Q91" s="166">
        <f t="shared" si="5"/>
        <v>760</v>
      </c>
      <c r="R91" s="166">
        <f t="shared" si="5"/>
        <v>784</v>
      </c>
      <c r="S91" s="166">
        <f t="shared" si="5"/>
        <v>775</v>
      </c>
      <c r="T91" s="166">
        <f t="shared" si="5"/>
        <v>790</v>
      </c>
      <c r="U91" s="166">
        <f t="shared" si="5"/>
        <v>0</v>
      </c>
      <c r="V91" s="166">
        <f t="shared" si="5"/>
        <v>0</v>
      </c>
      <c r="W91" s="2"/>
      <c r="X91" s="166">
        <f>+SUM(L91:V91)</f>
        <v>6441</v>
      </c>
      <c r="Y91" s="92"/>
      <c r="Z91" s="164"/>
      <c r="AA91" s="92"/>
      <c r="AB91" s="92"/>
      <c r="AC91" s="177"/>
      <c r="AD91" s="178"/>
      <c r="AE91" s="167">
        <f>+AD91*60</f>
        <v>0</v>
      </c>
      <c r="AH91" s="164"/>
      <c r="AI91" s="91"/>
    </row>
    <row r="92" spans="1:36" s="148" customFormat="1" ht="91.5" customHeight="1" thickTop="1" thickBot="1" x14ac:dyDescent="0.55000000000000004">
      <c r="A92" s="164"/>
      <c r="B92" s="223"/>
      <c r="C92" s="547"/>
      <c r="D92" s="547"/>
      <c r="E92" s="547"/>
      <c r="F92" s="239" t="s">
        <v>265</v>
      </c>
      <c r="G92" s="241">
        <f>+SUMPRODUCT(1/COUNTIF(B6:B89,B6:B89))-G91</f>
        <v>1</v>
      </c>
      <c r="H92" s="98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92"/>
      <c r="Z92" s="92"/>
      <c r="AA92" s="92"/>
      <c r="AB92" s="92"/>
      <c r="AC92" s="177"/>
      <c r="AD92" s="178"/>
      <c r="AE92" s="167"/>
      <c r="AH92" s="164"/>
      <c r="AI92" s="91"/>
    </row>
    <row r="93" spans="1:36" s="98" customFormat="1" ht="91.5" customHeight="1" thickTop="1" thickBot="1" x14ac:dyDescent="0.95">
      <c r="A93" s="124"/>
      <c r="B93" s="94"/>
      <c r="C93" s="91"/>
      <c r="D93" s="91"/>
      <c r="E93" s="91"/>
      <c r="F93" s="91"/>
      <c r="G93" s="91"/>
      <c r="H93" s="91"/>
      <c r="I93" s="91"/>
      <c r="J93" s="91"/>
      <c r="K93" s="208" t="s">
        <v>18</v>
      </c>
      <c r="L93" s="166">
        <f t="shared" ref="L93:V93" si="6">+SUMIF($K$6:$K$90,$K$93,L6:L90)</f>
        <v>916</v>
      </c>
      <c r="M93" s="166">
        <f t="shared" si="6"/>
        <v>937</v>
      </c>
      <c r="N93" s="166">
        <f t="shared" si="6"/>
        <v>939</v>
      </c>
      <c r="O93" s="166">
        <f t="shared" si="6"/>
        <v>938</v>
      </c>
      <c r="P93" s="166">
        <f t="shared" si="6"/>
        <v>936</v>
      </c>
      <c r="Q93" s="166">
        <f t="shared" si="6"/>
        <v>936</v>
      </c>
      <c r="R93" s="166">
        <f t="shared" si="6"/>
        <v>934</v>
      </c>
      <c r="S93" s="166">
        <f t="shared" si="6"/>
        <v>934</v>
      </c>
      <c r="T93" s="166">
        <f t="shared" si="6"/>
        <v>934</v>
      </c>
      <c r="U93" s="166">
        <f t="shared" si="6"/>
        <v>0</v>
      </c>
      <c r="V93" s="166">
        <f t="shared" si="6"/>
        <v>0</v>
      </c>
      <c r="W93" s="2"/>
      <c r="X93" s="91"/>
      <c r="Y93" s="91"/>
      <c r="Z93" s="91"/>
      <c r="AA93" s="91"/>
      <c r="AB93" s="91"/>
      <c r="AC93" s="95"/>
      <c r="AD93" s="158"/>
      <c r="AH93" s="124"/>
      <c r="AI93" s="91"/>
    </row>
    <row r="94" spans="1:36" s="98" customFormat="1" ht="91.5" customHeight="1" thickTop="1" thickBot="1" x14ac:dyDescent="0.95">
      <c r="A94" s="124"/>
      <c r="B94" s="94"/>
      <c r="C94" s="91"/>
      <c r="D94" s="91"/>
      <c r="E94" s="91"/>
      <c r="F94" s="91"/>
      <c r="G94" s="91"/>
      <c r="H94" s="92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 t="s">
        <v>185</v>
      </c>
      <c r="Y94" s="91"/>
      <c r="Z94" s="91"/>
      <c r="AA94" s="91"/>
      <c r="AB94" s="91"/>
      <c r="AC94" s="95"/>
      <c r="AD94" s="158"/>
      <c r="AH94" s="124"/>
      <c r="AI94" s="91"/>
    </row>
    <row r="95" spans="1:36" s="98" customFormat="1" ht="91.5" customHeight="1" thickTop="1" thickBot="1" x14ac:dyDescent="0.95">
      <c r="A95" s="124"/>
      <c r="B95" s="94"/>
      <c r="C95" s="92"/>
      <c r="D95" s="92"/>
      <c r="E95" s="92"/>
      <c r="F95" s="92"/>
      <c r="G95" s="92"/>
      <c r="H95" s="223"/>
      <c r="I95" s="93"/>
      <c r="J95" s="92"/>
      <c r="K95" s="208" t="s">
        <v>19</v>
      </c>
      <c r="L95" s="166">
        <f t="shared" ref="L95:V95" si="7">+SUMIF($K$6:$K$90,$K$95,L6:L90)</f>
        <v>52</v>
      </c>
      <c r="M95" s="166">
        <f t="shared" si="7"/>
        <v>54</v>
      </c>
      <c r="N95" s="166">
        <f t="shared" si="7"/>
        <v>54</v>
      </c>
      <c r="O95" s="166">
        <f t="shared" si="7"/>
        <v>54</v>
      </c>
      <c r="P95" s="166">
        <f t="shared" si="7"/>
        <v>54</v>
      </c>
      <c r="Q95" s="166">
        <f t="shared" si="7"/>
        <v>52</v>
      </c>
      <c r="R95" s="166">
        <f t="shared" si="7"/>
        <v>53</v>
      </c>
      <c r="S95" s="166">
        <f t="shared" si="7"/>
        <v>54</v>
      </c>
      <c r="T95" s="166">
        <f t="shared" si="7"/>
        <v>55</v>
      </c>
      <c r="U95" s="166">
        <f t="shared" si="7"/>
        <v>0</v>
      </c>
      <c r="V95" s="166">
        <f t="shared" si="7"/>
        <v>0</v>
      </c>
      <c r="W95" s="2"/>
      <c r="X95" s="91"/>
      <c r="Y95" s="91"/>
      <c r="Z95" s="91"/>
      <c r="AA95" s="91"/>
      <c r="AB95" s="91"/>
      <c r="AC95" s="95"/>
      <c r="AD95" s="158"/>
      <c r="AH95" s="124"/>
      <c r="AI95" s="91"/>
    </row>
    <row r="96" spans="1:36" s="98" customFormat="1" ht="62.25" customHeight="1" thickTop="1" x14ac:dyDescent="0.9">
      <c r="A96" s="124"/>
      <c r="B96" s="94"/>
      <c r="C96" s="92"/>
      <c r="D96" s="92"/>
      <c r="E96" s="92"/>
      <c r="F96" s="92"/>
      <c r="G96" s="92"/>
      <c r="H96" s="91"/>
      <c r="I96" s="93"/>
      <c r="J96" s="92"/>
      <c r="K96" s="99"/>
      <c r="L96" s="209">
        <f>+IF(L93=0,"",L95/L93)</f>
        <v>5.6768558951965066E-2</v>
      </c>
      <c r="M96" s="209">
        <f t="shared" ref="M96:V96" si="8">+IF(M93=0,"",M95/M93)</f>
        <v>5.7630736392742798E-2</v>
      </c>
      <c r="N96" s="209">
        <f t="shared" si="8"/>
        <v>5.7507987220447282E-2</v>
      </c>
      <c r="O96" s="209">
        <f t="shared" si="8"/>
        <v>5.7569296375266525E-2</v>
      </c>
      <c r="P96" s="209">
        <f t="shared" si="8"/>
        <v>5.7692307692307696E-2</v>
      </c>
      <c r="Q96" s="209">
        <f t="shared" si="8"/>
        <v>5.5555555555555552E-2</v>
      </c>
      <c r="R96" s="209">
        <f t="shared" si="8"/>
        <v>5.6745182012847964E-2</v>
      </c>
      <c r="S96" s="209">
        <f t="shared" si="8"/>
        <v>5.7815845824411134E-2</v>
      </c>
      <c r="T96" s="209">
        <f t="shared" si="8"/>
        <v>5.8886509635974305E-2</v>
      </c>
      <c r="U96" s="209" t="str">
        <f t="shared" si="8"/>
        <v/>
      </c>
      <c r="V96" s="209" t="str">
        <f t="shared" si="8"/>
        <v/>
      </c>
      <c r="W96" s="91"/>
      <c r="X96" s="91"/>
      <c r="Y96" s="91"/>
      <c r="Z96" s="91"/>
      <c r="AA96" s="91"/>
      <c r="AB96" s="211"/>
      <c r="AC96" s="95"/>
      <c r="AD96" s="158"/>
      <c r="AH96" s="124"/>
      <c r="AI96" s="91"/>
    </row>
    <row r="97" spans="1:35" s="98" customFormat="1" ht="62.25" customHeight="1" thickBot="1" x14ac:dyDescent="0.95">
      <c r="A97" s="124"/>
      <c r="B97" s="94"/>
      <c r="C97" s="92"/>
      <c r="D97" s="92"/>
      <c r="E97" s="92"/>
      <c r="F97" s="92"/>
      <c r="G97" s="92"/>
      <c r="H97" s="91"/>
      <c r="I97" s="93"/>
      <c r="J97" s="92"/>
      <c r="K97" s="99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5"/>
      <c r="AD97" s="158"/>
      <c r="AH97" s="124"/>
      <c r="AI97" s="91"/>
    </row>
    <row r="98" spans="1:35" s="98" customFormat="1" ht="88.5" customHeight="1" thickTop="1" thickBot="1" x14ac:dyDescent="0.95">
      <c r="A98" s="124"/>
      <c r="B98" s="94"/>
      <c r="C98" s="92"/>
      <c r="D98" s="92"/>
      <c r="E98" s="92"/>
      <c r="F98" s="92"/>
      <c r="G98" s="92"/>
      <c r="H98" s="92"/>
      <c r="I98" s="93"/>
      <c r="J98" s="212" t="s">
        <v>18</v>
      </c>
      <c r="K98" s="222" t="s">
        <v>180</v>
      </c>
      <c r="L98" s="166">
        <f t="shared" ref="L98:V98" si="9">+IF(L93=0,"",SUMIF($K$6:$K$90,$J$98,$I$6:$I$90))</f>
        <v>44</v>
      </c>
      <c r="M98" s="166">
        <f t="shared" si="9"/>
        <v>44</v>
      </c>
      <c r="N98" s="166">
        <f t="shared" si="9"/>
        <v>44</v>
      </c>
      <c r="O98" s="166">
        <f t="shared" si="9"/>
        <v>44</v>
      </c>
      <c r="P98" s="166">
        <f t="shared" si="9"/>
        <v>44</v>
      </c>
      <c r="Q98" s="166">
        <f t="shared" si="9"/>
        <v>44</v>
      </c>
      <c r="R98" s="166">
        <f t="shared" si="9"/>
        <v>44</v>
      </c>
      <c r="S98" s="166">
        <f t="shared" si="9"/>
        <v>44</v>
      </c>
      <c r="T98" s="166">
        <f t="shared" si="9"/>
        <v>44</v>
      </c>
      <c r="U98" s="166" t="str">
        <f t="shared" si="9"/>
        <v/>
      </c>
      <c r="V98" s="166" t="str">
        <f t="shared" si="9"/>
        <v/>
      </c>
      <c r="W98" s="2"/>
      <c r="X98" s="91"/>
      <c r="Y98" s="91"/>
      <c r="Z98" s="91"/>
      <c r="AA98" s="91"/>
      <c r="AB98" s="91"/>
      <c r="AC98" s="95"/>
      <c r="AD98" s="158"/>
      <c r="AH98" s="124"/>
      <c r="AI98" s="91"/>
    </row>
    <row r="99" spans="1:35" s="98" customFormat="1" ht="62.25" customHeight="1" thickTop="1" x14ac:dyDescent="0.9">
      <c r="A99" s="124"/>
      <c r="B99" s="94"/>
      <c r="C99" s="92"/>
      <c r="D99" s="92"/>
      <c r="E99" s="92"/>
      <c r="F99" s="92"/>
      <c r="G99" s="92"/>
      <c r="H99" s="92"/>
      <c r="I99" s="93"/>
      <c r="J99" s="212"/>
      <c r="K99" s="99"/>
      <c r="L99" s="209">
        <f>+IF(L93=0,"",L98/L93)</f>
        <v>4.8034934497816595E-2</v>
      </c>
      <c r="M99" s="209">
        <f t="shared" ref="M99:V99" si="10">+IF(M93=0,"",M98/M93)</f>
        <v>4.6958377801494131E-2</v>
      </c>
      <c r="N99" s="209">
        <f t="shared" si="10"/>
        <v>4.6858359957401494E-2</v>
      </c>
      <c r="O99" s="209">
        <f t="shared" si="10"/>
        <v>4.6908315565031986E-2</v>
      </c>
      <c r="P99" s="209">
        <f t="shared" si="10"/>
        <v>4.7008547008547008E-2</v>
      </c>
      <c r="Q99" s="209">
        <f t="shared" si="10"/>
        <v>4.7008547008547008E-2</v>
      </c>
      <c r="R99" s="209">
        <f t="shared" si="10"/>
        <v>4.7109207708779445E-2</v>
      </c>
      <c r="S99" s="209">
        <f t="shared" si="10"/>
        <v>4.7109207708779445E-2</v>
      </c>
      <c r="T99" s="209">
        <f t="shared" si="10"/>
        <v>4.7109207708779445E-2</v>
      </c>
      <c r="U99" s="209" t="str">
        <f t="shared" si="10"/>
        <v/>
      </c>
      <c r="V99" s="209" t="str">
        <f t="shared" si="10"/>
        <v/>
      </c>
      <c r="W99" s="91"/>
      <c r="X99" s="91"/>
      <c r="Y99" s="91"/>
      <c r="Z99" s="91"/>
      <c r="AA99" s="91"/>
      <c r="AB99" s="91"/>
      <c r="AC99" s="95"/>
      <c r="AD99" s="158"/>
      <c r="AH99" s="124"/>
      <c r="AI99" s="91"/>
    </row>
    <row r="100" spans="1:35" s="98" customFormat="1" ht="62.25" customHeight="1" thickBot="1" x14ac:dyDescent="0.95">
      <c r="A100" s="124"/>
      <c r="B100" s="94"/>
      <c r="C100" s="92"/>
      <c r="D100" s="92"/>
      <c r="E100" s="92"/>
      <c r="F100" s="92"/>
      <c r="G100" s="92"/>
      <c r="H100" s="92"/>
      <c r="I100" s="93"/>
      <c r="J100" s="212"/>
      <c r="K100" s="99"/>
      <c r="L100" s="91"/>
      <c r="M100" s="91"/>
      <c r="N100" s="91"/>
      <c r="O100" s="91"/>
      <c r="P100" s="124"/>
      <c r="Q100" s="124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5"/>
      <c r="AD100" s="158"/>
      <c r="AH100" s="124"/>
      <c r="AI100" s="91"/>
    </row>
    <row r="101" spans="1:35" s="98" customFormat="1" ht="98.25" customHeight="1" thickTop="1" thickBot="1" x14ac:dyDescent="0.95">
      <c r="A101" s="124"/>
      <c r="B101" s="94"/>
      <c r="C101" s="92"/>
      <c r="D101" s="92"/>
      <c r="E101" s="92"/>
      <c r="F101" s="92"/>
      <c r="G101" s="92"/>
      <c r="H101" s="92"/>
      <c r="I101" s="93"/>
      <c r="J101" s="212"/>
      <c r="K101" s="222" t="s">
        <v>181</v>
      </c>
      <c r="L101" s="166">
        <f t="shared" ref="L101:V101" si="11">+IF(L93=0,"",SUMIF($K$6:$K$90,$J$98,$H$6:$H$93))</f>
        <v>4</v>
      </c>
      <c r="M101" s="166">
        <f t="shared" si="11"/>
        <v>4</v>
      </c>
      <c r="N101" s="166">
        <f t="shared" si="11"/>
        <v>4</v>
      </c>
      <c r="O101" s="166">
        <f t="shared" si="11"/>
        <v>4</v>
      </c>
      <c r="P101" s="166">
        <f t="shared" si="11"/>
        <v>4</v>
      </c>
      <c r="Q101" s="166">
        <f t="shared" si="11"/>
        <v>4</v>
      </c>
      <c r="R101" s="166">
        <f t="shared" si="11"/>
        <v>4</v>
      </c>
      <c r="S101" s="166">
        <f t="shared" si="11"/>
        <v>4</v>
      </c>
      <c r="T101" s="166">
        <f t="shared" si="11"/>
        <v>4</v>
      </c>
      <c r="U101" s="166" t="str">
        <f t="shared" si="11"/>
        <v/>
      </c>
      <c r="V101" s="166" t="str">
        <f t="shared" si="11"/>
        <v/>
      </c>
      <c r="W101" s="91"/>
      <c r="X101" s="91"/>
      <c r="Y101" s="91"/>
      <c r="Z101" s="91"/>
      <c r="AA101" s="91"/>
      <c r="AB101" s="91"/>
      <c r="AC101" s="95"/>
      <c r="AD101" s="158"/>
      <c r="AH101" s="124"/>
      <c r="AI101" s="91"/>
    </row>
    <row r="102" spans="1:35" s="98" customFormat="1" ht="62.25" customHeight="1" thickTop="1" x14ac:dyDescent="0.9">
      <c r="A102" s="124"/>
      <c r="B102" s="94"/>
      <c r="C102" s="92"/>
      <c r="D102" s="92"/>
      <c r="E102" s="92"/>
      <c r="F102" s="92"/>
      <c r="G102" s="92"/>
      <c r="H102" s="92"/>
      <c r="I102" s="93"/>
      <c r="J102" s="212"/>
      <c r="K102" s="99"/>
      <c r="L102" s="209">
        <f>+IF(L93=0,"",L101/L93)</f>
        <v>4.3668122270742356E-3</v>
      </c>
      <c r="M102" s="209">
        <f t="shared" ref="M102:V102" si="12">+IF(M93=0,"",M101/M93)</f>
        <v>4.2689434364994666E-3</v>
      </c>
      <c r="N102" s="209">
        <f t="shared" si="12"/>
        <v>4.2598509052183178E-3</v>
      </c>
      <c r="O102" s="209">
        <f t="shared" si="12"/>
        <v>4.2643923240938165E-3</v>
      </c>
      <c r="P102" s="209">
        <f t="shared" si="12"/>
        <v>4.2735042735042739E-3</v>
      </c>
      <c r="Q102" s="209">
        <f t="shared" si="12"/>
        <v>4.2735042735042739E-3</v>
      </c>
      <c r="R102" s="209">
        <f t="shared" si="12"/>
        <v>4.2826552462526769E-3</v>
      </c>
      <c r="S102" s="209">
        <f t="shared" si="12"/>
        <v>4.2826552462526769E-3</v>
      </c>
      <c r="T102" s="209">
        <f t="shared" si="12"/>
        <v>4.2826552462526769E-3</v>
      </c>
      <c r="U102" s="209" t="str">
        <f t="shared" si="12"/>
        <v/>
      </c>
      <c r="V102" s="209" t="str">
        <f t="shared" si="12"/>
        <v/>
      </c>
      <c r="W102" s="91"/>
      <c r="X102" s="91"/>
      <c r="Y102" s="91"/>
      <c r="Z102" s="91"/>
      <c r="AA102" s="91"/>
      <c r="AB102" s="91"/>
      <c r="AC102" s="95"/>
      <c r="AD102" s="158"/>
      <c r="AH102" s="124"/>
      <c r="AI102" s="91"/>
    </row>
    <row r="103" spans="1:35" s="98" customFormat="1" ht="62.25" customHeight="1" x14ac:dyDescent="0.9">
      <c r="A103" s="124"/>
      <c r="B103" s="94"/>
      <c r="C103" s="92"/>
      <c r="D103" s="92"/>
      <c r="E103" s="92"/>
      <c r="F103" s="92"/>
      <c r="G103" s="92"/>
      <c r="H103" s="92"/>
      <c r="I103" s="93"/>
      <c r="J103" s="212"/>
      <c r="K103" s="99"/>
      <c r="L103" s="91"/>
      <c r="M103" s="91"/>
      <c r="N103" s="91"/>
      <c r="O103" s="91"/>
      <c r="P103" s="124"/>
      <c r="Q103" s="124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5"/>
      <c r="AD103" s="158"/>
      <c r="AH103" s="124"/>
      <c r="AI103" s="91"/>
    </row>
    <row r="104" spans="1:35" s="98" customFormat="1" x14ac:dyDescent="0.55000000000000004">
      <c r="A104" s="91"/>
      <c r="B104" s="94"/>
      <c r="C104" s="92"/>
      <c r="D104" s="92"/>
      <c r="E104" s="92"/>
      <c r="F104" s="92"/>
      <c r="G104" s="92"/>
      <c r="H104" s="92"/>
      <c r="I104" s="93"/>
      <c r="J104" s="92"/>
      <c r="K104" s="99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5"/>
      <c r="AD104" s="155"/>
      <c r="AH104" s="91"/>
      <c r="AI104" s="91"/>
    </row>
    <row r="105" spans="1:35" s="98" customFormat="1" ht="46.5" x14ac:dyDescent="0.7">
      <c r="A105" s="91"/>
      <c r="B105" s="94"/>
      <c r="C105" s="92"/>
      <c r="D105" s="92"/>
      <c r="E105" s="92"/>
      <c r="F105" s="92"/>
      <c r="G105" s="92"/>
      <c r="H105" s="92"/>
      <c r="I105" s="93"/>
      <c r="J105" s="92"/>
      <c r="K105" s="99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5"/>
      <c r="AD105" s="158"/>
      <c r="AH105" s="91"/>
      <c r="AI105" s="91"/>
    </row>
    <row r="106" spans="1:35" ht="46.5" x14ac:dyDescent="0.7">
      <c r="I106" s="91"/>
      <c r="J106" s="91"/>
      <c r="S106" s="544"/>
      <c r="T106" s="544"/>
      <c r="U106" s="544"/>
      <c r="AD106" s="158"/>
    </row>
    <row r="107" spans="1:35" ht="105" customHeight="1" x14ac:dyDescent="0.7">
      <c r="AD107" s="158"/>
    </row>
    <row r="108" spans="1:35" ht="46.5" x14ac:dyDescent="0.7">
      <c r="A108" s="91" t="s">
        <v>197</v>
      </c>
      <c r="AD108" s="158"/>
    </row>
    <row r="109" spans="1:35" s="98" customFormat="1" ht="46.5" x14ac:dyDescent="0.7">
      <c r="A109" s="91"/>
      <c r="B109" s="94"/>
      <c r="C109" s="92"/>
      <c r="D109" s="92"/>
      <c r="E109" s="92"/>
      <c r="F109" s="92"/>
      <c r="G109" s="92"/>
      <c r="H109" s="91"/>
      <c r="I109" s="93"/>
      <c r="J109" s="92"/>
      <c r="K109" s="99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5"/>
      <c r="AD109" s="158"/>
      <c r="AH109" s="91"/>
      <c r="AI109" s="91"/>
    </row>
    <row r="110" spans="1:35" s="98" customFormat="1" ht="46.5" x14ac:dyDescent="0.7">
      <c r="A110" s="91"/>
      <c r="B110" s="94"/>
      <c r="C110" s="92"/>
      <c r="D110" s="92"/>
      <c r="E110" s="92"/>
      <c r="F110" s="92"/>
      <c r="G110" s="92"/>
      <c r="H110" s="92"/>
      <c r="I110" s="93"/>
      <c r="J110" s="92"/>
      <c r="K110" s="99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5"/>
      <c r="AD110" s="158"/>
      <c r="AH110" s="91"/>
      <c r="AI110" s="91"/>
    </row>
    <row r="111" spans="1:35" s="98" customFormat="1" ht="46.5" x14ac:dyDescent="0.7">
      <c r="A111" s="91"/>
      <c r="B111" s="94"/>
      <c r="C111" s="92"/>
      <c r="D111" s="92"/>
      <c r="E111" s="92"/>
      <c r="F111" s="92"/>
      <c r="G111" s="92"/>
      <c r="H111" s="92"/>
      <c r="I111" s="93"/>
      <c r="J111" s="92"/>
      <c r="K111" s="99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5"/>
      <c r="AD111" s="158"/>
      <c r="AH111" s="91"/>
      <c r="AI111" s="91"/>
    </row>
    <row r="112" spans="1:35" s="98" customFormat="1" ht="66" customHeight="1" x14ac:dyDescent="0.7">
      <c r="A112" s="91"/>
      <c r="B112" s="94"/>
      <c r="C112" s="92"/>
      <c r="D112" s="92"/>
      <c r="E112" s="92"/>
      <c r="F112" s="92"/>
      <c r="G112" s="92"/>
      <c r="H112" s="92"/>
      <c r="I112" s="93"/>
      <c r="J112" s="92"/>
      <c r="K112" s="99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5"/>
      <c r="AD112" s="158"/>
      <c r="AH112" s="91"/>
      <c r="AI112" s="91"/>
    </row>
  </sheetData>
  <sheetProtection selectLockedCells="1" autoFilter="0"/>
  <autoFilter ref="A5:CV89">
    <filterColumn colId="8" showButton="0"/>
  </autoFilter>
  <mergeCells count="32">
    <mergeCell ref="B1:Z2"/>
    <mergeCell ref="AB1:AC1"/>
    <mergeCell ref="AB2:AC3"/>
    <mergeCell ref="J3:K3"/>
    <mergeCell ref="B4:F4"/>
    <mergeCell ref="J4:K4"/>
    <mergeCell ref="U4:X4"/>
    <mergeCell ref="AB4:AC4"/>
    <mergeCell ref="X46:X48"/>
    <mergeCell ref="I5:J5"/>
    <mergeCell ref="X6:X8"/>
    <mergeCell ref="X10:X12"/>
    <mergeCell ref="X14:X16"/>
    <mergeCell ref="X18:X20"/>
    <mergeCell ref="X22:X24"/>
    <mergeCell ref="X26:X28"/>
    <mergeCell ref="X30:X32"/>
    <mergeCell ref="X34:X36"/>
    <mergeCell ref="X38:X40"/>
    <mergeCell ref="X42:X44"/>
    <mergeCell ref="C91:E92"/>
    <mergeCell ref="S106:U106"/>
    <mergeCell ref="X50:X52"/>
    <mergeCell ref="X54:X56"/>
    <mergeCell ref="X58:X60"/>
    <mergeCell ref="X62:X64"/>
    <mergeCell ref="X66:X68"/>
    <mergeCell ref="X70:X72"/>
    <mergeCell ref="X74:X76"/>
    <mergeCell ref="X78:X80"/>
    <mergeCell ref="X82:X84"/>
    <mergeCell ref="X86:X88"/>
  </mergeCells>
  <conditionalFormatting sqref="U6:U89">
    <cfRule type="cellIs" dxfId="2123" priority="1" operator="equal">
      <formula>0</formula>
    </cfRule>
  </conditionalFormatting>
  <conditionalFormatting sqref="W7">
    <cfRule type="iconSet" priority="16">
      <iconSet>
        <cfvo type="percent" val="0"/>
        <cfvo type="percent" val="&quot;$I$6&quot;"/>
        <cfvo type="percent" val="#REF!"/>
      </iconSet>
    </cfRule>
  </conditionalFormatting>
  <conditionalFormatting sqref="W8">
    <cfRule type="cellIs" dxfId="2122" priority="17" operator="lessThan">
      <formula>0</formula>
    </cfRule>
  </conditionalFormatting>
  <conditionalFormatting sqref="W12 W16 W20 W24 W32 W36 W40 W44 W52 W56 W60 W64 W68 W72 W80 W84 W88">
    <cfRule type="cellIs" dxfId="2121" priority="15" operator="lessThan">
      <formula>0</formula>
    </cfRule>
  </conditionalFormatting>
  <conditionalFormatting sqref="W27">
    <cfRule type="iconSet" priority="2">
      <iconSet>
        <cfvo type="percent" val="0"/>
        <cfvo type="percent" val="&quot;$I$6&quot;"/>
        <cfvo type="percent" val="#REF!"/>
      </iconSet>
    </cfRule>
  </conditionalFormatting>
  <conditionalFormatting sqref="W28">
    <cfRule type="cellIs" dxfId="2120" priority="3" operator="lessThan">
      <formula>0</formula>
    </cfRule>
  </conditionalFormatting>
  <conditionalFormatting sqref="W47">
    <cfRule type="iconSet" priority="10">
      <iconSet>
        <cfvo type="percent" val="0"/>
        <cfvo type="percent" val="&quot;$I$6&quot;"/>
        <cfvo type="percent" val="#REF!"/>
      </iconSet>
    </cfRule>
  </conditionalFormatting>
  <conditionalFormatting sqref="W48">
    <cfRule type="cellIs" dxfId="2119" priority="11" operator="lessThan">
      <formula>0</formula>
    </cfRule>
  </conditionalFormatting>
  <conditionalFormatting sqref="W67 W43 W11 W15 W19 W23 W31 W35 W39 W51 W55 W59 W63 W71 W79 W83 W87">
    <cfRule type="iconSet" priority="14">
      <iconSet>
        <cfvo type="percent" val="0"/>
        <cfvo type="percent" val="&quot;$I$6&quot;"/>
        <cfvo type="percent" val="#REF!"/>
      </iconSet>
    </cfRule>
  </conditionalFormatting>
  <conditionalFormatting sqref="W75">
    <cfRule type="iconSet" priority="6">
      <iconSet>
        <cfvo type="percent" val="0"/>
        <cfvo type="percent" val="&quot;$I$6&quot;"/>
        <cfvo type="percent" val="#REF!"/>
      </iconSet>
    </cfRule>
  </conditionalFormatting>
  <conditionalFormatting sqref="W76">
    <cfRule type="cellIs" dxfId="2118" priority="7" operator="lessThan">
      <formula>0</formula>
    </cfRule>
  </conditionalFormatting>
  <conditionalFormatting sqref="AB2:AC3">
    <cfRule type="cellIs" dxfId="2117" priority="37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 r:id="rId1"/>
  <headerFooter>
    <oddHeader>&amp;L&amp;"-,Bold"&amp;48&amp;T</oddHeader>
  </headerFooter>
  <rowBreaks count="2" manualBreakCount="2">
    <brk id="49" max="31" man="1"/>
    <brk id="89" max="31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01A28063-3F10-4C7E-823A-7AB695AEDA2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29" id="{3BB8CB93-5531-4DA4-A10C-2FECB2B2652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24" id="{1B3C57B6-8068-460C-B558-61DD8D55289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36" id="{BE69054F-91AD-4AF2-8A1A-2215BCF90ED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27" id="{5A35AF72-D2B8-4391-ADD5-F9DEE0924B7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4" id="{D7322359-A99B-454A-AC62-E65E4BA657F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30" id="{551ECD8C-6422-46D2-BB62-890FFAA2A24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22" id="{CFD29EAF-4B7C-438E-9D79-33E2F75024C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32" id="{1ED40B4F-6203-4530-8333-9AA57AB44F9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18" id="{9426B9A0-5D8A-4492-A6E4-99F09C73BF2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12" id="{B51E778D-D337-4846-8A0F-590B6441883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35" id="{D52F8B93-9609-4AB6-BFB6-5DB84B78BC1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31" id="{0A1117A5-92B2-4DDC-B36C-A1EA77776A5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19" id="{283C2B6A-1C1F-4734-8D07-C083A0D7826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25" id="{E5910081-E21B-4FA4-AB0A-C80F5997960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23" id="{C9FC6F8A-6D16-4E9E-B33B-893CF0B235E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33" id="{E565B031-9D65-4C57-AD22-5915BF5B8E8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8" id="{E8E45313-99C8-4AF2-B6FB-D9F06948422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28" id="{35648968-8277-4285-9B40-B937AC9FDE4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  <x14:conditionalFormatting xmlns:xm="http://schemas.microsoft.com/office/excel/2006/main">
          <x14:cfRule type="iconSet" priority="26" id="{E1D99D45-1942-4617-9079-AC0B3395CA7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X82</xm:sqref>
        </x14:conditionalFormatting>
        <x14:conditionalFormatting xmlns:xm="http://schemas.microsoft.com/office/excel/2006/main">
          <x14:cfRule type="iconSet" priority="34" id="{F2223A25-AA34-4DC2-95BF-F17DB27D477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/>
  <dimension ref="B1:Y51"/>
  <sheetViews>
    <sheetView topLeftCell="A22" workbookViewId="0">
      <selection activeCell="F49" sqref="F49"/>
    </sheetView>
  </sheetViews>
  <sheetFormatPr defaultColWidth="9.140625" defaultRowHeight="15" x14ac:dyDescent="0.25"/>
  <cols>
    <col min="1" max="1" width="2.28515625" style="266" customWidth="1"/>
    <col min="2" max="3" width="17.28515625" style="266" customWidth="1"/>
    <col min="4" max="4" width="11.140625" style="290" hidden="1" customWidth="1"/>
    <col min="5" max="5" width="18" style="266" customWidth="1"/>
    <col min="6" max="6" width="19.85546875" style="266" customWidth="1"/>
    <col min="7" max="7" width="16" style="266" customWidth="1"/>
    <col min="8" max="8" width="18" style="266" customWidth="1"/>
    <col min="9" max="9" width="14.5703125" style="290" hidden="1" customWidth="1"/>
    <col min="10" max="10" width="16" style="290" hidden="1" customWidth="1"/>
    <col min="11" max="11" width="9.140625" style="290" hidden="1" customWidth="1"/>
    <col min="12" max="16384" width="9.140625" style="266"/>
  </cols>
  <sheetData>
    <row r="1" spans="2:25" x14ac:dyDescent="0.25">
      <c r="I1" s="290">
        <v>37</v>
      </c>
    </row>
    <row r="2" spans="2:25" ht="25.5" customHeight="1" x14ac:dyDescent="0.25">
      <c r="I2" s="291">
        <f>+SUBTOTAL(9,I6:I1000)</f>
        <v>82329.369081706536</v>
      </c>
      <c r="J2" s="291">
        <f>+SUBTOTAL(9,J6:J1000)</f>
        <v>140309.53999999998</v>
      </c>
      <c r="K2" s="274">
        <f>+I2/J2</f>
        <v>0.58676957448300771</v>
      </c>
    </row>
    <row r="3" spans="2:25" ht="25.5" customHeight="1" x14ac:dyDescent="0.25">
      <c r="G3" s="267"/>
    </row>
    <row r="4" spans="2:25" s="269" customFormat="1" ht="28.5" customHeight="1" thickBot="1" x14ac:dyDescent="0.3">
      <c r="B4" s="268" t="s">
        <v>341</v>
      </c>
      <c r="C4" s="268" t="s">
        <v>351</v>
      </c>
      <c r="D4" s="292" t="s">
        <v>352</v>
      </c>
      <c r="E4" s="268" t="s">
        <v>344</v>
      </c>
      <c r="F4" s="268" t="s">
        <v>342</v>
      </c>
      <c r="G4" s="268" t="s">
        <v>343</v>
      </c>
      <c r="I4" s="292" t="s">
        <v>347</v>
      </c>
      <c r="J4" s="292" t="s">
        <v>348</v>
      </c>
      <c r="K4" s="292" t="s">
        <v>349</v>
      </c>
      <c r="X4" s="268" t="s">
        <v>345</v>
      </c>
      <c r="Y4" s="268" t="s">
        <v>346</v>
      </c>
    </row>
    <row r="5" spans="2:25" s="269" customFormat="1" ht="18.75" customHeight="1" thickBot="1" x14ac:dyDescent="0.3">
      <c r="B5" s="270"/>
      <c r="C5" s="270"/>
      <c r="D5" s="293"/>
      <c r="E5" s="270"/>
      <c r="F5" s="270"/>
      <c r="G5" s="270"/>
      <c r="I5" s="293"/>
      <c r="J5" s="293"/>
      <c r="K5" s="293"/>
    </row>
    <row r="6" spans="2:25" s="273" customFormat="1" ht="25.5" customHeight="1" x14ac:dyDescent="0.25">
      <c r="B6" s="276">
        <v>45064</v>
      </c>
      <c r="C6" s="276" t="s">
        <v>338</v>
      </c>
      <c r="D6" s="296">
        <v>22</v>
      </c>
      <c r="E6" s="277">
        <v>4.22</v>
      </c>
      <c r="F6" s="278">
        <v>38</v>
      </c>
      <c r="G6" s="278">
        <v>0</v>
      </c>
      <c r="I6" s="294">
        <f t="shared" ref="I6:I34" si="0">$I$1*F6</f>
        <v>1406</v>
      </c>
      <c r="J6" s="189">
        <f t="shared" ref="J6:J30" si="1">11*D6*G6</f>
        <v>0</v>
      </c>
      <c r="K6" s="189"/>
      <c r="X6" s="272">
        <f t="shared" ref="X6:X12" si="2">+E6-Y6</f>
        <v>3.2199999999999998</v>
      </c>
      <c r="Y6" s="273">
        <v>1</v>
      </c>
    </row>
    <row r="7" spans="2:25" s="273" customFormat="1" ht="25.5" customHeight="1" x14ac:dyDescent="0.25">
      <c r="B7" s="279">
        <v>45065</v>
      </c>
      <c r="C7" s="279" t="s">
        <v>338</v>
      </c>
      <c r="D7" s="297">
        <v>22</v>
      </c>
      <c r="E7" s="280">
        <v>5</v>
      </c>
      <c r="F7" s="280">
        <v>42.5</v>
      </c>
      <c r="G7" s="281">
        <v>0</v>
      </c>
      <c r="I7" s="294">
        <f t="shared" si="0"/>
        <v>1572.5</v>
      </c>
      <c r="J7" s="189">
        <f t="shared" si="1"/>
        <v>0</v>
      </c>
      <c r="K7" s="189"/>
      <c r="X7" s="272">
        <f t="shared" si="2"/>
        <v>2</v>
      </c>
      <c r="Y7" s="273">
        <v>3</v>
      </c>
    </row>
    <row r="8" spans="2:25" s="273" customFormat="1" ht="25.5" customHeight="1" x14ac:dyDescent="0.25">
      <c r="B8" s="279">
        <v>45066</v>
      </c>
      <c r="C8" s="279" t="s">
        <v>338</v>
      </c>
      <c r="D8" s="297">
        <v>22</v>
      </c>
      <c r="E8" s="280">
        <v>7</v>
      </c>
      <c r="F8" s="280">
        <v>52.5</v>
      </c>
      <c r="G8" s="281">
        <v>0</v>
      </c>
      <c r="I8" s="294">
        <f t="shared" si="0"/>
        <v>1942.5</v>
      </c>
      <c r="J8" s="189">
        <f t="shared" si="1"/>
        <v>0</v>
      </c>
      <c r="K8" s="189"/>
      <c r="X8" s="272">
        <f t="shared" si="2"/>
        <v>4</v>
      </c>
      <c r="Y8" s="273">
        <v>3</v>
      </c>
    </row>
    <row r="9" spans="2:25" s="273" customFormat="1" ht="25.5" customHeight="1" x14ac:dyDescent="0.25">
      <c r="B9" s="279">
        <v>45068</v>
      </c>
      <c r="C9" s="279" t="s">
        <v>338</v>
      </c>
      <c r="D9" s="297">
        <v>22</v>
      </c>
      <c r="E9" s="280">
        <v>8.66</v>
      </c>
      <c r="F9" s="281">
        <v>78</v>
      </c>
      <c r="G9" s="281">
        <v>10</v>
      </c>
      <c r="I9" s="294">
        <f t="shared" si="0"/>
        <v>2886</v>
      </c>
      <c r="J9" s="189">
        <f t="shared" si="1"/>
        <v>2420</v>
      </c>
      <c r="K9" s="275">
        <f t="shared" ref="K9:K27" si="3">+I9/J9</f>
        <v>1.1925619834710743</v>
      </c>
      <c r="X9" s="272">
        <f t="shared" si="2"/>
        <v>5.66</v>
      </c>
      <c r="Y9" s="273">
        <v>3</v>
      </c>
    </row>
    <row r="10" spans="2:25" s="273" customFormat="1" ht="25.5" customHeight="1" x14ac:dyDescent="0.25">
      <c r="B10" s="279">
        <v>45069</v>
      </c>
      <c r="C10" s="279" t="s">
        <v>338</v>
      </c>
      <c r="D10" s="297">
        <v>22</v>
      </c>
      <c r="E10" s="280">
        <v>8.44</v>
      </c>
      <c r="F10" s="281">
        <v>76</v>
      </c>
      <c r="G10" s="281">
        <v>15</v>
      </c>
      <c r="I10" s="294">
        <f t="shared" si="0"/>
        <v>2812</v>
      </c>
      <c r="J10" s="189">
        <f t="shared" si="1"/>
        <v>3630</v>
      </c>
      <c r="K10" s="275">
        <f t="shared" si="3"/>
        <v>0.77465564738292014</v>
      </c>
      <c r="X10" s="272">
        <f t="shared" si="2"/>
        <v>5.4399999999999995</v>
      </c>
      <c r="Y10" s="273">
        <v>3</v>
      </c>
    </row>
    <row r="11" spans="2:25" s="273" customFormat="1" ht="25.5" customHeight="1" x14ac:dyDescent="0.25">
      <c r="B11" s="279">
        <v>45070</v>
      </c>
      <c r="C11" s="279" t="s">
        <v>338</v>
      </c>
      <c r="D11" s="297">
        <v>22</v>
      </c>
      <c r="E11" s="281">
        <v>9</v>
      </c>
      <c r="F11" s="281">
        <v>81</v>
      </c>
      <c r="G11" s="281">
        <v>25</v>
      </c>
      <c r="I11" s="294">
        <f t="shared" si="0"/>
        <v>2997</v>
      </c>
      <c r="J11" s="189">
        <f t="shared" si="1"/>
        <v>6050</v>
      </c>
      <c r="K11" s="275">
        <f t="shared" si="3"/>
        <v>0.49537190082644628</v>
      </c>
      <c r="X11" s="273">
        <f t="shared" si="2"/>
        <v>5</v>
      </c>
      <c r="Y11" s="273">
        <v>4</v>
      </c>
    </row>
    <row r="12" spans="2:25" s="273" customFormat="1" ht="25.5" customHeight="1" x14ac:dyDescent="0.25">
      <c r="B12" s="279">
        <v>45071</v>
      </c>
      <c r="C12" s="279" t="s">
        <v>338</v>
      </c>
      <c r="D12" s="297">
        <v>22</v>
      </c>
      <c r="E12" s="281">
        <v>10</v>
      </c>
      <c r="F12" s="281">
        <v>95</v>
      </c>
      <c r="G12" s="281">
        <v>30</v>
      </c>
      <c r="I12" s="294">
        <f t="shared" si="0"/>
        <v>3515</v>
      </c>
      <c r="J12" s="189">
        <f t="shared" si="1"/>
        <v>7260</v>
      </c>
      <c r="K12" s="275">
        <f t="shared" si="3"/>
        <v>0.48415977961432505</v>
      </c>
      <c r="X12" s="273">
        <f t="shared" si="2"/>
        <v>6</v>
      </c>
      <c r="Y12" s="273">
        <v>4</v>
      </c>
    </row>
    <row r="13" spans="2:25" s="273" customFormat="1" ht="25.5" customHeight="1" x14ac:dyDescent="0.25">
      <c r="B13" s="279">
        <v>45072</v>
      </c>
      <c r="C13" s="279" t="s">
        <v>338</v>
      </c>
      <c r="D13" s="297">
        <v>22</v>
      </c>
      <c r="E13" s="281">
        <v>10</v>
      </c>
      <c r="F13" s="281">
        <v>90</v>
      </c>
      <c r="G13" s="281">
        <v>30</v>
      </c>
      <c r="I13" s="189">
        <f t="shared" si="0"/>
        <v>3330</v>
      </c>
      <c r="J13" s="189">
        <f t="shared" si="1"/>
        <v>7260</v>
      </c>
      <c r="K13" s="275">
        <f t="shared" si="3"/>
        <v>0.45867768595041325</v>
      </c>
    </row>
    <row r="14" spans="2:25" s="273" customFormat="1" ht="25.5" customHeight="1" x14ac:dyDescent="0.25">
      <c r="B14" s="279">
        <v>45073</v>
      </c>
      <c r="C14" s="279" t="s">
        <v>338</v>
      </c>
      <c r="D14" s="297">
        <v>22</v>
      </c>
      <c r="E14" s="281">
        <v>11</v>
      </c>
      <c r="F14" s="281">
        <v>85</v>
      </c>
      <c r="G14" s="281">
        <v>30</v>
      </c>
      <c r="I14" s="189">
        <f t="shared" si="0"/>
        <v>3145</v>
      </c>
      <c r="J14" s="189">
        <f t="shared" si="1"/>
        <v>7260</v>
      </c>
      <c r="K14" s="275">
        <f t="shared" si="3"/>
        <v>0.4331955922865014</v>
      </c>
    </row>
    <row r="15" spans="2:25" s="273" customFormat="1" ht="25.5" customHeight="1" x14ac:dyDescent="0.25">
      <c r="B15" s="279">
        <v>45075</v>
      </c>
      <c r="C15" s="279" t="s">
        <v>338</v>
      </c>
      <c r="D15" s="297">
        <v>22</v>
      </c>
      <c r="E15" s="281">
        <v>11</v>
      </c>
      <c r="F15" s="281">
        <v>99</v>
      </c>
      <c r="G15" s="281">
        <v>30</v>
      </c>
      <c r="I15" s="189">
        <f t="shared" si="0"/>
        <v>3663</v>
      </c>
      <c r="J15" s="189">
        <f t="shared" si="1"/>
        <v>7260</v>
      </c>
      <c r="K15" s="275">
        <f t="shared" si="3"/>
        <v>0.50454545454545452</v>
      </c>
    </row>
    <row r="16" spans="2:25" s="273" customFormat="1" ht="25.5" customHeight="1" x14ac:dyDescent="0.25">
      <c r="B16" s="279">
        <v>45076</v>
      </c>
      <c r="C16" s="279" t="s">
        <v>338</v>
      </c>
      <c r="D16" s="297">
        <v>22</v>
      </c>
      <c r="E16" s="281">
        <v>11</v>
      </c>
      <c r="F16" s="281">
        <v>99</v>
      </c>
      <c r="G16" s="281">
        <v>30</v>
      </c>
      <c r="I16" s="189">
        <f t="shared" si="0"/>
        <v>3663</v>
      </c>
      <c r="J16" s="189">
        <f t="shared" si="1"/>
        <v>7260</v>
      </c>
      <c r="K16" s="275">
        <f t="shared" si="3"/>
        <v>0.50454545454545452</v>
      </c>
    </row>
    <row r="17" spans="2:11" s="273" customFormat="1" ht="24" customHeight="1" x14ac:dyDescent="0.25">
      <c r="B17" s="282">
        <v>45077</v>
      </c>
      <c r="C17" s="282" t="s">
        <v>338</v>
      </c>
      <c r="D17" s="298">
        <v>22</v>
      </c>
      <c r="E17" s="283">
        <v>8</v>
      </c>
      <c r="F17" s="283">
        <v>60</v>
      </c>
      <c r="G17" s="283">
        <v>20</v>
      </c>
      <c r="I17" s="189">
        <f t="shared" si="0"/>
        <v>2220</v>
      </c>
      <c r="J17" s="189">
        <f t="shared" si="1"/>
        <v>4840</v>
      </c>
      <c r="K17" s="549">
        <f>+SUM(I17:I18)/SUM(J17:J18)</f>
        <v>0.57487603305785129</v>
      </c>
    </row>
    <row r="18" spans="2:11" ht="24" customHeight="1" x14ac:dyDescent="0.25">
      <c r="B18" s="284">
        <v>45077</v>
      </c>
      <c r="C18" s="284" t="s">
        <v>350</v>
      </c>
      <c r="D18" s="299">
        <v>22</v>
      </c>
      <c r="E18" s="285">
        <v>2</v>
      </c>
      <c r="F18" s="285">
        <v>34</v>
      </c>
      <c r="G18" s="285">
        <v>5</v>
      </c>
      <c r="I18" s="189">
        <f t="shared" si="0"/>
        <v>1258</v>
      </c>
      <c r="J18" s="189">
        <f t="shared" si="1"/>
        <v>1210</v>
      </c>
      <c r="K18" s="549"/>
    </row>
    <row r="19" spans="2:11" ht="24" customHeight="1" x14ac:dyDescent="0.25">
      <c r="B19" s="279">
        <v>45078</v>
      </c>
      <c r="C19" s="279" t="s">
        <v>350</v>
      </c>
      <c r="D19" s="297">
        <v>22</v>
      </c>
      <c r="E19" s="281">
        <v>12</v>
      </c>
      <c r="F19" s="281">
        <v>108</v>
      </c>
      <c r="G19" s="281">
        <v>30</v>
      </c>
      <c r="I19" s="189">
        <f t="shared" si="0"/>
        <v>3996</v>
      </c>
      <c r="J19" s="189">
        <f t="shared" si="1"/>
        <v>7260</v>
      </c>
      <c r="K19" s="275">
        <f t="shared" si="3"/>
        <v>0.5504132231404959</v>
      </c>
    </row>
    <row r="20" spans="2:11" ht="24" customHeight="1" x14ac:dyDescent="0.25">
      <c r="B20" s="279">
        <v>45079</v>
      </c>
      <c r="C20" s="279" t="s">
        <v>350</v>
      </c>
      <c r="D20" s="297">
        <v>22</v>
      </c>
      <c r="E20" s="281">
        <v>12</v>
      </c>
      <c r="F20" s="281">
        <v>102</v>
      </c>
      <c r="G20" s="281">
        <v>30</v>
      </c>
      <c r="I20" s="189">
        <f t="shared" si="0"/>
        <v>3774</v>
      </c>
      <c r="J20" s="189">
        <f t="shared" si="1"/>
        <v>7260</v>
      </c>
      <c r="K20" s="275">
        <f t="shared" si="3"/>
        <v>0.51983471074380161</v>
      </c>
    </row>
    <row r="21" spans="2:11" ht="24" customHeight="1" x14ac:dyDescent="0.25">
      <c r="B21" s="279">
        <v>45080</v>
      </c>
      <c r="C21" s="279" t="s">
        <v>350</v>
      </c>
      <c r="D21" s="297">
        <v>22</v>
      </c>
      <c r="E21" s="281">
        <v>11</v>
      </c>
      <c r="F21" s="281">
        <v>82.5</v>
      </c>
      <c r="G21" s="281">
        <v>35</v>
      </c>
      <c r="I21" s="189">
        <f t="shared" si="0"/>
        <v>3052.5</v>
      </c>
      <c r="J21" s="189">
        <f t="shared" si="1"/>
        <v>8470</v>
      </c>
      <c r="K21" s="275">
        <f t="shared" si="3"/>
        <v>0.36038961038961037</v>
      </c>
    </row>
    <row r="22" spans="2:11" ht="24" customHeight="1" x14ac:dyDescent="0.25">
      <c r="B22" s="279">
        <v>45082</v>
      </c>
      <c r="C22" s="279" t="s">
        <v>350</v>
      </c>
      <c r="D22" s="297">
        <v>22</v>
      </c>
      <c r="E22" s="281">
        <v>12</v>
      </c>
      <c r="F22" s="281">
        <v>99</v>
      </c>
      <c r="G22" s="281">
        <v>30</v>
      </c>
      <c r="I22" s="189">
        <f t="shared" si="0"/>
        <v>3663</v>
      </c>
      <c r="J22" s="189">
        <f t="shared" si="1"/>
        <v>7260</v>
      </c>
      <c r="K22" s="275">
        <f t="shared" si="3"/>
        <v>0.50454545454545452</v>
      </c>
    </row>
    <row r="23" spans="2:11" ht="24" customHeight="1" x14ac:dyDescent="0.25">
      <c r="B23" s="279">
        <f>+B22+1</f>
        <v>45083</v>
      </c>
      <c r="C23" s="279" t="s">
        <v>350</v>
      </c>
      <c r="D23" s="297">
        <v>22</v>
      </c>
      <c r="E23" s="281">
        <v>12</v>
      </c>
      <c r="F23" s="281">
        <v>99</v>
      </c>
      <c r="G23" s="281">
        <v>30</v>
      </c>
      <c r="I23" s="189">
        <f t="shared" si="0"/>
        <v>3663</v>
      </c>
      <c r="J23" s="189">
        <f t="shared" si="1"/>
        <v>7260</v>
      </c>
      <c r="K23" s="275">
        <f t="shared" si="3"/>
        <v>0.50454545454545452</v>
      </c>
    </row>
    <row r="24" spans="2:11" ht="24" customHeight="1" x14ac:dyDescent="0.25">
      <c r="B24" s="282">
        <f t="shared" ref="B24:B26" si="4">+B23+1</f>
        <v>45084</v>
      </c>
      <c r="C24" s="282" t="s">
        <v>350</v>
      </c>
      <c r="D24" s="298">
        <v>22</v>
      </c>
      <c r="E24" s="283">
        <v>11</v>
      </c>
      <c r="F24" s="283">
        <v>77</v>
      </c>
      <c r="G24" s="283">
        <v>30</v>
      </c>
      <c r="I24" s="189">
        <f t="shared" si="0"/>
        <v>2849</v>
      </c>
      <c r="J24" s="189">
        <f t="shared" si="1"/>
        <v>7260</v>
      </c>
      <c r="K24" s="549">
        <f>+SUM(I24:I25)/SUM(J24:J25)</f>
        <v>0.50454545454545452</v>
      </c>
    </row>
    <row r="25" spans="2:11" ht="24" customHeight="1" x14ac:dyDescent="0.25">
      <c r="B25" s="284">
        <v>45084</v>
      </c>
      <c r="C25" s="285" t="s">
        <v>353</v>
      </c>
      <c r="D25" s="299">
        <v>16.5</v>
      </c>
      <c r="E25" s="285">
        <v>11</v>
      </c>
      <c r="F25" s="285">
        <v>22</v>
      </c>
      <c r="G25" s="285">
        <v>0</v>
      </c>
      <c r="I25" s="189">
        <f t="shared" si="0"/>
        <v>814</v>
      </c>
      <c r="J25" s="189">
        <f t="shared" si="1"/>
        <v>0</v>
      </c>
      <c r="K25" s="549"/>
    </row>
    <row r="26" spans="2:11" ht="24" customHeight="1" x14ac:dyDescent="0.25">
      <c r="B26" s="279">
        <f t="shared" si="4"/>
        <v>45085</v>
      </c>
      <c r="C26" s="279" t="s">
        <v>353</v>
      </c>
      <c r="D26" s="297">
        <v>16.5</v>
      </c>
      <c r="E26" s="281">
        <v>11</v>
      </c>
      <c r="F26" s="281">
        <v>99</v>
      </c>
      <c r="G26" s="281">
        <v>25</v>
      </c>
      <c r="I26" s="189">
        <f t="shared" si="0"/>
        <v>3663</v>
      </c>
      <c r="J26" s="189">
        <f t="shared" si="1"/>
        <v>4537.5</v>
      </c>
      <c r="K26" s="275">
        <f t="shared" si="3"/>
        <v>0.80727272727272725</v>
      </c>
    </row>
    <row r="27" spans="2:11" ht="24" customHeight="1" x14ac:dyDescent="0.25">
      <c r="B27" s="279">
        <v>45086</v>
      </c>
      <c r="C27" s="281" t="s">
        <v>353</v>
      </c>
      <c r="D27" s="300">
        <v>16.5</v>
      </c>
      <c r="E27" s="281">
        <v>11</v>
      </c>
      <c r="F27" s="281">
        <v>93.5</v>
      </c>
      <c r="G27" s="281">
        <v>34</v>
      </c>
      <c r="I27" s="189">
        <f t="shared" si="0"/>
        <v>3459.5</v>
      </c>
      <c r="J27" s="189">
        <f t="shared" si="1"/>
        <v>6171</v>
      </c>
      <c r="K27" s="275">
        <f t="shared" si="3"/>
        <v>0.56060606060606055</v>
      </c>
    </row>
    <row r="28" spans="2:11" ht="24" customHeight="1" x14ac:dyDescent="0.25">
      <c r="B28" s="282">
        <f>+B27+1</f>
        <v>45087</v>
      </c>
      <c r="C28" s="283" t="s">
        <v>353</v>
      </c>
      <c r="D28" s="301">
        <v>16.5</v>
      </c>
      <c r="E28" s="283">
        <v>11</v>
      </c>
      <c r="F28" s="283">
        <v>10</v>
      </c>
      <c r="G28" s="283">
        <v>6</v>
      </c>
      <c r="I28" s="189">
        <f t="shared" si="0"/>
        <v>370</v>
      </c>
      <c r="J28" s="189">
        <f t="shared" si="1"/>
        <v>1089</v>
      </c>
      <c r="K28" s="549">
        <f>+SUM(I28:I29)/SUM(J28:J29)</f>
        <v>0.64480792690517097</v>
      </c>
    </row>
    <row r="29" spans="2:11" ht="24" customHeight="1" x14ac:dyDescent="0.25">
      <c r="B29" s="284">
        <v>45087</v>
      </c>
      <c r="C29" s="285" t="s">
        <v>355</v>
      </c>
      <c r="D29" s="302">
        <v>15.93</v>
      </c>
      <c r="E29" s="285">
        <v>11</v>
      </c>
      <c r="F29" s="285">
        <v>67</v>
      </c>
      <c r="G29" s="285">
        <v>19</v>
      </c>
      <c r="I29" s="189">
        <f t="shared" si="0"/>
        <v>2479</v>
      </c>
      <c r="J29" s="189">
        <f t="shared" si="1"/>
        <v>3329.37</v>
      </c>
      <c r="K29" s="549"/>
    </row>
    <row r="30" spans="2:11" ht="24" customHeight="1" x14ac:dyDescent="0.25">
      <c r="B30" s="279">
        <v>45089</v>
      </c>
      <c r="C30" s="281" t="s">
        <v>355</v>
      </c>
      <c r="D30" s="302">
        <v>15.93</v>
      </c>
      <c r="E30" s="281">
        <v>11</v>
      </c>
      <c r="F30" s="281">
        <v>117</v>
      </c>
      <c r="G30" s="281">
        <v>26</v>
      </c>
      <c r="I30" s="189">
        <f t="shared" si="0"/>
        <v>4329</v>
      </c>
      <c r="J30" s="189">
        <f t="shared" si="1"/>
        <v>4555.9799999999996</v>
      </c>
      <c r="K30" s="275">
        <f t="shared" ref="K30:K34" si="5">+I30/J30</f>
        <v>0.95017976373908586</v>
      </c>
    </row>
    <row r="31" spans="2:11" ht="24" customHeight="1" x14ac:dyDescent="0.25">
      <c r="B31" s="279">
        <f>+B30+1</f>
        <v>45090</v>
      </c>
      <c r="C31" s="279" t="s">
        <v>356</v>
      </c>
      <c r="D31" s="302">
        <v>15.93</v>
      </c>
      <c r="E31" s="281">
        <v>11</v>
      </c>
      <c r="F31" s="281">
        <v>111</v>
      </c>
      <c r="G31" s="281">
        <v>37</v>
      </c>
      <c r="I31" s="189">
        <f t="shared" si="0"/>
        <v>4107</v>
      </c>
      <c r="J31" s="189">
        <f t="shared" ref="J31:J34" si="6">11*D31*G31</f>
        <v>6483.5099999999993</v>
      </c>
      <c r="K31" s="275">
        <f>+I31/J31</f>
        <v>0.6334531758260572</v>
      </c>
    </row>
    <row r="32" spans="2:11" ht="24" customHeight="1" x14ac:dyDescent="0.25">
      <c r="B32" s="282">
        <f>+B31+1</f>
        <v>45091</v>
      </c>
      <c r="C32" s="282" t="s">
        <v>356</v>
      </c>
      <c r="D32" s="303">
        <v>15.93</v>
      </c>
      <c r="E32" s="283">
        <v>11</v>
      </c>
      <c r="F32" s="283">
        <v>89</v>
      </c>
      <c r="G32" s="283">
        <v>23</v>
      </c>
      <c r="I32" s="189">
        <f t="shared" si="0"/>
        <v>3293</v>
      </c>
      <c r="J32" s="189">
        <f>11*D32*G32</f>
        <v>4030.29</v>
      </c>
      <c r="K32" s="549">
        <f>+SUM(I32:I33)/SUM(J32:J33)</f>
        <v>0.47818032998750698</v>
      </c>
    </row>
    <row r="33" spans="2:12" ht="24" customHeight="1" x14ac:dyDescent="0.25">
      <c r="B33" s="284">
        <v>45091</v>
      </c>
      <c r="C33" s="284" t="s">
        <v>354</v>
      </c>
      <c r="D33" s="304">
        <v>16.5</v>
      </c>
      <c r="E33" s="285">
        <v>11</v>
      </c>
      <c r="F33" s="285">
        <v>10</v>
      </c>
      <c r="G33" s="285">
        <v>20</v>
      </c>
      <c r="I33" s="189">
        <f t="shared" si="0"/>
        <v>370</v>
      </c>
      <c r="J33" s="189">
        <f>11*D33*G33</f>
        <v>3630</v>
      </c>
      <c r="K33" s="549"/>
    </row>
    <row r="34" spans="2:12" ht="24" customHeight="1" x14ac:dyDescent="0.25">
      <c r="B34" s="279">
        <v>45092</v>
      </c>
      <c r="C34" s="279" t="s">
        <v>354</v>
      </c>
      <c r="D34" s="304">
        <v>16.5</v>
      </c>
      <c r="E34" s="281">
        <v>11</v>
      </c>
      <c r="F34" s="281">
        <v>109</v>
      </c>
      <c r="G34" s="281">
        <v>40</v>
      </c>
      <c r="I34" s="189">
        <f t="shared" si="0"/>
        <v>4033</v>
      </c>
      <c r="J34" s="189">
        <f t="shared" si="6"/>
        <v>7260</v>
      </c>
      <c r="K34" s="275">
        <f t="shared" si="5"/>
        <v>0.55550964187327823</v>
      </c>
    </row>
    <row r="35" spans="2:12" ht="24" customHeight="1" x14ac:dyDescent="0.25">
      <c r="B35" s="271"/>
      <c r="C35" s="271"/>
      <c r="D35" s="305"/>
      <c r="E35" s="273"/>
      <c r="F35" s="273"/>
      <c r="G35" s="273"/>
      <c r="I35" s="189"/>
      <c r="J35" s="189"/>
      <c r="K35" s="275"/>
    </row>
    <row r="36" spans="2:12" ht="24" customHeight="1" x14ac:dyDescent="0.25">
      <c r="B36" s="271"/>
      <c r="C36" s="271"/>
      <c r="D36" s="305"/>
      <c r="E36" s="273"/>
      <c r="F36" s="273"/>
      <c r="G36" s="273"/>
      <c r="I36" s="189"/>
      <c r="J36" s="189"/>
      <c r="K36" s="275"/>
    </row>
    <row r="37" spans="2:12" s="289" customFormat="1" ht="39.75" hidden="1" customHeight="1" x14ac:dyDescent="0.3">
      <c r="B37" s="295" t="s">
        <v>114</v>
      </c>
      <c r="C37" s="295" t="s">
        <v>361</v>
      </c>
      <c r="D37" s="295" t="s">
        <v>352</v>
      </c>
      <c r="E37" s="308" t="s">
        <v>359</v>
      </c>
      <c r="F37" s="295" t="s">
        <v>343</v>
      </c>
      <c r="G37" s="295" t="s">
        <v>347</v>
      </c>
      <c r="H37" s="295" t="s">
        <v>363</v>
      </c>
      <c r="I37" s="295" t="s">
        <v>360</v>
      </c>
      <c r="J37" s="295" t="s">
        <v>362</v>
      </c>
      <c r="K37" s="288"/>
    </row>
    <row r="38" spans="2:12" ht="28.5" hidden="1" customHeight="1" x14ac:dyDescent="0.25">
      <c r="B38" s="307" t="s">
        <v>338</v>
      </c>
      <c r="C38" s="307" t="s">
        <v>38</v>
      </c>
      <c r="D38" s="306">
        <f t="shared" ref="D38:D43" si="7">+VLOOKUP(B38,$C$6:$K$34,2,FALSE)</f>
        <v>22</v>
      </c>
      <c r="E38" s="190">
        <f t="shared" ref="E38:E43" si="8">+SUMIF($C$6:$C$34,B38,$F$6:$F$34)</f>
        <v>896</v>
      </c>
      <c r="F38" s="190">
        <f t="shared" ref="F38:F43" si="9">+SUMIF($C$6:$C$34,B38,$G$6:$G$34)</f>
        <v>220</v>
      </c>
      <c r="G38" s="309">
        <f>+E38*$I$1</f>
        <v>33152</v>
      </c>
      <c r="H38" s="309">
        <f>+F38*D38*11</f>
        <v>53240</v>
      </c>
      <c r="I38" s="274">
        <f>+G38/H38</f>
        <v>0.6226897069872277</v>
      </c>
      <c r="J38" s="274">
        <v>0.28999999999999998</v>
      </c>
      <c r="L38" s="286"/>
    </row>
    <row r="39" spans="2:12" ht="28.5" hidden="1" customHeight="1" x14ac:dyDescent="0.25">
      <c r="B39" s="307" t="s">
        <v>350</v>
      </c>
      <c r="C39" s="307" t="s">
        <v>38</v>
      </c>
      <c r="D39" s="306">
        <f t="shared" si="7"/>
        <v>22</v>
      </c>
      <c r="E39" s="309">
        <f t="shared" si="8"/>
        <v>601.5</v>
      </c>
      <c r="F39" s="190">
        <f t="shared" si="9"/>
        <v>190</v>
      </c>
      <c r="G39" s="309">
        <f t="shared" ref="G39:G43" si="10">+E39*$I$1</f>
        <v>22255.5</v>
      </c>
      <c r="H39" s="309">
        <f t="shared" ref="H39:H43" si="11">+F39*D39*11</f>
        <v>45980</v>
      </c>
      <c r="I39" s="274">
        <f t="shared" ref="I39:I43" si="12">+G39/H39</f>
        <v>0.4840256633318834</v>
      </c>
      <c r="J39" s="274">
        <v>0.44</v>
      </c>
      <c r="L39" s="286"/>
    </row>
    <row r="40" spans="2:12" ht="28.5" hidden="1" customHeight="1" x14ac:dyDescent="0.25">
      <c r="B40" s="307" t="s">
        <v>353</v>
      </c>
      <c r="C40" s="307" t="s">
        <v>33</v>
      </c>
      <c r="D40" s="306">
        <f t="shared" si="7"/>
        <v>16.5</v>
      </c>
      <c r="E40" s="309">
        <f t="shared" si="8"/>
        <v>224.5</v>
      </c>
      <c r="F40" s="190">
        <f t="shared" si="9"/>
        <v>65</v>
      </c>
      <c r="G40" s="309">
        <f>+E40*$I$1</f>
        <v>8306.5</v>
      </c>
      <c r="H40" s="309">
        <f t="shared" si="11"/>
        <v>11797.5</v>
      </c>
      <c r="I40" s="274">
        <f t="shared" si="12"/>
        <v>0.70408984954439502</v>
      </c>
      <c r="J40" s="274">
        <v>0.4</v>
      </c>
      <c r="L40" s="286"/>
    </row>
    <row r="41" spans="2:12" ht="28.5" hidden="1" customHeight="1" x14ac:dyDescent="0.25">
      <c r="B41" s="307" t="s">
        <v>355</v>
      </c>
      <c r="C41" s="307" t="s">
        <v>33</v>
      </c>
      <c r="D41" s="306">
        <f t="shared" si="7"/>
        <v>15.93</v>
      </c>
      <c r="E41" s="190">
        <f t="shared" si="8"/>
        <v>184</v>
      </c>
      <c r="F41" s="190">
        <f t="shared" si="9"/>
        <v>45</v>
      </c>
      <c r="G41" s="309">
        <f t="shared" si="10"/>
        <v>6808</v>
      </c>
      <c r="H41" s="309">
        <f t="shared" si="11"/>
        <v>7885.35</v>
      </c>
      <c r="I41" s="274">
        <f t="shared" si="12"/>
        <v>0.86337321742218165</v>
      </c>
      <c r="J41" s="274">
        <v>0.32</v>
      </c>
      <c r="L41" s="286"/>
    </row>
    <row r="42" spans="2:12" ht="28.5" hidden="1" customHeight="1" x14ac:dyDescent="0.25">
      <c r="B42" s="307" t="s">
        <v>356</v>
      </c>
      <c r="C42" s="307" t="s">
        <v>33</v>
      </c>
      <c r="D42" s="306">
        <f t="shared" si="7"/>
        <v>15.93</v>
      </c>
      <c r="E42" s="190">
        <f t="shared" si="8"/>
        <v>200</v>
      </c>
      <c r="F42" s="190">
        <f t="shared" si="9"/>
        <v>60</v>
      </c>
      <c r="G42" s="309">
        <f t="shared" si="10"/>
        <v>7400</v>
      </c>
      <c r="H42" s="309">
        <f t="shared" si="11"/>
        <v>10513.8</v>
      </c>
      <c r="I42" s="274">
        <f t="shared" si="12"/>
        <v>0.70383686202895246</v>
      </c>
      <c r="J42" s="274">
        <v>0.4</v>
      </c>
      <c r="L42" s="286"/>
    </row>
    <row r="43" spans="2:12" ht="28.5" hidden="1" customHeight="1" x14ac:dyDescent="0.25">
      <c r="B43" s="307" t="s">
        <v>354</v>
      </c>
      <c r="C43" s="307" t="s">
        <v>33</v>
      </c>
      <c r="D43" s="306">
        <f t="shared" si="7"/>
        <v>16.5</v>
      </c>
      <c r="E43" s="190">
        <f t="shared" si="8"/>
        <v>119</v>
      </c>
      <c r="F43" s="190">
        <f t="shared" si="9"/>
        <v>60</v>
      </c>
      <c r="G43" s="309">
        <f t="shared" si="10"/>
        <v>4403</v>
      </c>
      <c r="H43" s="309">
        <f t="shared" si="11"/>
        <v>10890</v>
      </c>
      <c r="I43" s="274">
        <f t="shared" si="12"/>
        <v>0.40431588613406794</v>
      </c>
      <c r="J43" s="274">
        <v>0.67</v>
      </c>
      <c r="L43" s="286"/>
    </row>
    <row r="44" spans="2:12" ht="24" hidden="1" customHeight="1" x14ac:dyDescent="0.25">
      <c r="B44" s="271"/>
      <c r="C44" s="271"/>
      <c r="D44" s="305"/>
      <c r="E44" s="271"/>
      <c r="F44" s="271"/>
      <c r="G44" s="271"/>
      <c r="H44" s="271"/>
    </row>
    <row r="45" spans="2:12" ht="30" hidden="1" customHeight="1" x14ac:dyDescent="0.25">
      <c r="B45" s="271"/>
      <c r="C45" s="271"/>
      <c r="D45" s="295" t="s">
        <v>13</v>
      </c>
      <c r="E45" s="310">
        <f>+SUM(E38:E43)</f>
        <v>2225</v>
      </c>
      <c r="F45" s="310">
        <f t="shared" ref="F45" si="13">+SUM(F38:F43)</f>
        <v>640</v>
      </c>
      <c r="G45" s="311">
        <f>+SUM(G38:G43)</f>
        <v>82325</v>
      </c>
      <c r="H45" s="311">
        <f>+SUM(H38:H43)</f>
        <v>140306.65000000002</v>
      </c>
      <c r="I45" s="287">
        <f>+G45/H45</f>
        <v>0.58675052109076786</v>
      </c>
      <c r="J45" s="287">
        <v>0.37</v>
      </c>
    </row>
    <row r="46" spans="2:12" ht="24" customHeight="1" x14ac:dyDescent="0.25">
      <c r="B46" s="271"/>
      <c r="C46" s="271"/>
      <c r="D46" s="305"/>
      <c r="E46" s="271"/>
      <c r="F46" s="271"/>
      <c r="G46" s="271"/>
    </row>
    <row r="47" spans="2:12" ht="24" customHeight="1" x14ac:dyDescent="0.25"/>
    <row r="48" spans="2:12" ht="24" customHeight="1" x14ac:dyDescent="0.25"/>
    <row r="49" ht="24" customHeight="1" x14ac:dyDescent="0.25"/>
    <row r="50" ht="24" customHeight="1" x14ac:dyDescent="0.25"/>
    <row r="51" ht="24" customHeight="1" x14ac:dyDescent="0.25"/>
  </sheetData>
  <sheetProtection algorithmName="SHA-512" hashValue="8WX9bagAfTdn3UChXBZ0XKAyfYH7f+G0ERhPh+FYeoh55UEpmJEdGrX+3Snnm3BSQ8BMian9UQGdLRqoO31exA==" saltValue="6Y8gAEpSwSfuetULTG2N1A==" spinCount="100000" sheet="1" objects="1" scenarios="1"/>
  <autoFilter ref="B5:K34"/>
  <mergeCells count="4">
    <mergeCell ref="K32:K33"/>
    <mergeCell ref="K28:K29"/>
    <mergeCell ref="K24:K25"/>
    <mergeCell ref="K17:K18"/>
  </mergeCells>
  <pageMargins left="0.7" right="0.7" top="0.75" bottom="0.75" header="0.3" footer="0.3"/>
  <pageSetup paperSize="9" orientation="portrait" r:id="rId1"/>
  <ignoredErrors>
    <ignoredError sqref="I3:K4 I15:I17 I14 I13 K13 I7:I12 I6 K6 K14 K7:K12 D39:D43 D38 K2 I2:J2" emptyCellReference="1"/>
    <ignoredError sqref="K15:K16" evalError="1" emptyCellReferenc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/>
  <dimension ref="A1:AA29"/>
  <sheetViews>
    <sheetView zoomScale="80" zoomScaleNormal="80" workbookViewId="0">
      <selection activeCell="D2" sqref="D2"/>
    </sheetView>
  </sheetViews>
  <sheetFormatPr defaultColWidth="11.42578125" defaultRowHeight="19.5" x14ac:dyDescent="0.3"/>
  <cols>
    <col min="1" max="1" width="13.5703125" style="260" customWidth="1"/>
    <col min="2" max="2" width="16.7109375" style="257" customWidth="1"/>
    <col min="3" max="16384" width="11.42578125" style="257"/>
  </cols>
  <sheetData>
    <row r="1" spans="1:27" s="254" customFormat="1" ht="51" customHeight="1" x14ac:dyDescent="0.25">
      <c r="A1" s="550" t="s">
        <v>330</v>
      </c>
      <c r="B1" s="551"/>
      <c r="C1" s="251" t="s">
        <v>132</v>
      </c>
      <c r="D1" s="251" t="s">
        <v>133</v>
      </c>
      <c r="E1" s="251" t="s">
        <v>134</v>
      </c>
      <c r="F1" s="251" t="s">
        <v>135</v>
      </c>
      <c r="G1" s="251" t="s">
        <v>136</v>
      </c>
      <c r="H1" s="251" t="s">
        <v>137</v>
      </c>
      <c r="I1" s="251" t="s">
        <v>138</v>
      </c>
      <c r="J1" s="251" t="s">
        <v>139</v>
      </c>
      <c r="K1" s="251" t="s">
        <v>140</v>
      </c>
      <c r="L1" s="251" t="s">
        <v>141</v>
      </c>
      <c r="M1" s="251" t="s">
        <v>142</v>
      </c>
      <c r="N1" s="251" t="s">
        <v>143</v>
      </c>
      <c r="O1" s="251" t="s">
        <v>144</v>
      </c>
      <c r="P1" s="251" t="s">
        <v>145</v>
      </c>
      <c r="Q1" s="251" t="s">
        <v>146</v>
      </c>
      <c r="R1" s="251" t="s">
        <v>147</v>
      </c>
      <c r="S1" s="251" t="s">
        <v>148</v>
      </c>
      <c r="T1" s="251" t="s">
        <v>149</v>
      </c>
      <c r="U1" s="252"/>
      <c r="V1" s="251"/>
      <c r="W1" s="253" t="s">
        <v>150</v>
      </c>
      <c r="X1" s="253" t="s">
        <v>178</v>
      </c>
      <c r="Z1" s="255"/>
      <c r="AA1" s="255"/>
    </row>
    <row r="2" spans="1:27" x14ac:dyDescent="0.3">
      <c r="A2" s="259" t="s">
        <v>331</v>
      </c>
      <c r="B2" s="258">
        <v>44928</v>
      </c>
      <c r="C2" s="256"/>
      <c r="D2" s="256">
        <f>2*9</f>
        <v>18</v>
      </c>
      <c r="E2" s="256"/>
      <c r="F2" s="256"/>
      <c r="G2" s="256"/>
      <c r="H2" s="256">
        <v>90</v>
      </c>
      <c r="I2" s="256">
        <f>6*9</f>
        <v>54</v>
      </c>
      <c r="J2" s="256"/>
      <c r="K2" s="256">
        <f>16*9</f>
        <v>144</v>
      </c>
      <c r="L2" s="256">
        <f>8*9</f>
        <v>72</v>
      </c>
      <c r="M2" s="256">
        <v>48</v>
      </c>
      <c r="N2" s="256"/>
      <c r="O2" s="256">
        <v>18</v>
      </c>
      <c r="P2" s="256"/>
      <c r="Q2" s="256"/>
      <c r="R2" s="256">
        <f>21*9</f>
        <v>189</v>
      </c>
      <c r="S2" s="256"/>
      <c r="T2" s="256"/>
    </row>
    <row r="3" spans="1:27" x14ac:dyDescent="0.3">
      <c r="A3" s="259" t="s">
        <v>332</v>
      </c>
      <c r="B3" s="258">
        <v>44929</v>
      </c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</row>
    <row r="4" spans="1:27" x14ac:dyDescent="0.3">
      <c r="A4" s="259" t="s">
        <v>333</v>
      </c>
      <c r="B4" s="258">
        <v>44930</v>
      </c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</row>
    <row r="5" spans="1:27" x14ac:dyDescent="0.3">
      <c r="A5" s="259" t="s">
        <v>334</v>
      </c>
      <c r="B5" s="258">
        <v>44931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</row>
    <row r="6" spans="1:27" x14ac:dyDescent="0.3">
      <c r="A6" s="259" t="s">
        <v>335</v>
      </c>
      <c r="B6" s="258">
        <v>44932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</row>
    <row r="7" spans="1:27" x14ac:dyDescent="0.3">
      <c r="A7" s="259" t="s">
        <v>336</v>
      </c>
      <c r="B7" s="258">
        <v>44933</v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</row>
    <row r="8" spans="1:27" x14ac:dyDescent="0.3">
      <c r="A8" s="259" t="s">
        <v>337</v>
      </c>
      <c r="B8" s="258">
        <v>44934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</row>
    <row r="9" spans="1:27" x14ac:dyDescent="0.3">
      <c r="A9" s="259"/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</row>
    <row r="10" spans="1:27" x14ac:dyDescent="0.3">
      <c r="A10" s="259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</row>
    <row r="11" spans="1:27" x14ac:dyDescent="0.3">
      <c r="A11" s="259"/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</row>
    <row r="12" spans="1:27" x14ac:dyDescent="0.3">
      <c r="A12" s="259"/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</row>
    <row r="13" spans="1:27" x14ac:dyDescent="0.3">
      <c r="A13" s="259"/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</row>
    <row r="14" spans="1:27" x14ac:dyDescent="0.3">
      <c r="A14" s="259"/>
      <c r="B14" s="256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</row>
    <row r="15" spans="1:27" x14ac:dyDescent="0.3">
      <c r="A15" s="259"/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</row>
    <row r="16" spans="1:27" x14ac:dyDescent="0.3">
      <c r="A16" s="259"/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</row>
    <row r="17" spans="1:20" x14ac:dyDescent="0.3">
      <c r="A17" s="259"/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</row>
    <row r="18" spans="1:20" x14ac:dyDescent="0.3">
      <c r="A18" s="259"/>
      <c r="B18" s="256"/>
      <c r="C18" s="256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</row>
    <row r="19" spans="1:20" x14ac:dyDescent="0.3">
      <c r="A19" s="259"/>
      <c r="B19" s="256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</row>
    <row r="20" spans="1:20" x14ac:dyDescent="0.3">
      <c r="A20" s="259"/>
      <c r="B20" s="256"/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</row>
    <row r="21" spans="1:20" x14ac:dyDescent="0.3">
      <c r="A21" s="259"/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</row>
    <row r="22" spans="1:20" x14ac:dyDescent="0.3">
      <c r="A22" s="259"/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</row>
    <row r="23" spans="1:20" x14ac:dyDescent="0.3">
      <c r="A23" s="259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</row>
    <row r="24" spans="1:20" x14ac:dyDescent="0.3">
      <c r="A24" s="259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</row>
    <row r="25" spans="1:20" x14ac:dyDescent="0.3">
      <c r="A25" s="259"/>
      <c r="B25" s="256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</row>
    <row r="26" spans="1:20" x14ac:dyDescent="0.3">
      <c r="A26" s="259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</row>
    <row r="27" spans="1:20" x14ac:dyDescent="0.3">
      <c r="A27" s="259"/>
      <c r="B27" s="256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</row>
    <row r="28" spans="1:20" x14ac:dyDescent="0.3">
      <c r="A28" s="259"/>
      <c r="B28" s="256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</row>
    <row r="29" spans="1:20" x14ac:dyDescent="0.3">
      <c r="A29" s="259"/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</row>
  </sheetData>
  <mergeCells count="1">
    <mergeCell ref="A1:B1"/>
  </mergeCells>
  <conditionalFormatting sqref="C1:XFD1">
    <cfRule type="cellIs" dxfId="2116" priority="2" operator="equal">
      <formula>"."</formula>
    </cfRule>
  </conditionalFormatting>
  <conditionalFormatting sqref="C2:XFD29">
    <cfRule type="cellIs" dxfId="2115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E19"/>
  <sheetViews>
    <sheetView workbookViewId="0">
      <selection activeCell="E19" sqref="E19"/>
    </sheetView>
  </sheetViews>
  <sheetFormatPr defaultColWidth="11.42578125" defaultRowHeight="15" x14ac:dyDescent="0.25"/>
  <sheetData>
    <row r="19" spans="5:5" x14ac:dyDescent="0.25">
      <c r="E19" s="3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AB60"/>
  <sheetViews>
    <sheetView view="pageBreakPreview" topLeftCell="B1" zoomScale="50" zoomScaleNormal="50" zoomScaleSheetLayoutView="50" workbookViewId="0">
      <pane xSplit="8" ySplit="18" topLeftCell="J19" activePane="bottomRight" state="frozen"/>
      <selection activeCell="B1" sqref="B1"/>
      <selection pane="topRight" activeCell="J1" sqref="J1"/>
      <selection pane="bottomLeft" activeCell="B19" sqref="B19"/>
      <selection pane="bottomRight" activeCell="C21" sqref="C21"/>
    </sheetView>
  </sheetViews>
  <sheetFormatPr defaultColWidth="7.7109375" defaultRowHeight="32.25" customHeight="1" x14ac:dyDescent="0.25"/>
  <cols>
    <col min="1" max="1" width="2" style="186" hidden="1" customWidth="1"/>
    <col min="2" max="2" width="22.140625" style="186" customWidth="1"/>
    <col min="3" max="4" width="15.28515625" style="186" customWidth="1"/>
    <col min="5" max="5" width="14.140625" style="186" customWidth="1"/>
    <col min="6" max="10" width="15.28515625" style="186" customWidth="1"/>
    <col min="11" max="12" width="15.28515625" style="186" hidden="1" customWidth="1"/>
    <col min="13" max="13" width="14.7109375" style="186" customWidth="1"/>
    <col min="14" max="16" width="15.28515625" style="186" customWidth="1"/>
    <col min="17" max="17" width="13.7109375" style="186" customWidth="1"/>
    <col min="18" max="18" width="15.28515625" style="264" customWidth="1"/>
    <col min="19" max="19" width="14.42578125" style="186" customWidth="1"/>
    <col min="20" max="22" width="15.28515625" style="186" customWidth="1"/>
    <col min="23" max="23" width="15.28515625" style="186" hidden="1" customWidth="1"/>
    <col min="24" max="24" width="18.85546875" style="186" customWidth="1"/>
    <col min="25" max="25" width="16.5703125" style="186" customWidth="1"/>
    <col min="26" max="26" width="1.85546875" style="186" customWidth="1"/>
    <col min="27" max="27" width="9.28515625" style="186" customWidth="1"/>
    <col min="28" max="16384" width="7.7109375" style="186"/>
  </cols>
  <sheetData>
    <row r="1" spans="1:28" ht="21" customHeight="1" x14ac:dyDescent="0.25">
      <c r="A1" s="186" t="s">
        <v>174</v>
      </c>
      <c r="B1" s="186" t="s">
        <v>174</v>
      </c>
      <c r="C1" s="188">
        <v>1</v>
      </c>
      <c r="D1" s="188">
        <v>2</v>
      </c>
      <c r="E1" s="188">
        <v>3</v>
      </c>
      <c r="F1" s="188">
        <v>4</v>
      </c>
      <c r="G1" s="188">
        <v>5</v>
      </c>
      <c r="H1" s="188">
        <v>6</v>
      </c>
      <c r="I1" s="188">
        <v>7</v>
      </c>
      <c r="J1" s="188">
        <v>8</v>
      </c>
      <c r="K1" s="188">
        <v>9</v>
      </c>
      <c r="L1" s="188">
        <v>10</v>
      </c>
      <c r="M1" s="188">
        <v>11</v>
      </c>
      <c r="N1" s="188">
        <v>12</v>
      </c>
      <c r="O1" s="188">
        <v>13</v>
      </c>
      <c r="P1" s="188">
        <v>14</v>
      </c>
      <c r="Q1" s="188">
        <v>15</v>
      </c>
      <c r="R1" s="314">
        <v>16</v>
      </c>
      <c r="S1" s="188">
        <v>17</v>
      </c>
      <c r="T1" s="188">
        <v>18</v>
      </c>
      <c r="U1" s="188">
        <v>19</v>
      </c>
      <c r="V1" s="188">
        <v>20</v>
      </c>
      <c r="W1" s="188">
        <v>22</v>
      </c>
      <c r="X1" s="188" t="s">
        <v>174</v>
      </c>
      <c r="Y1" s="188"/>
      <c r="Z1" s="186" t="s">
        <v>174</v>
      </c>
      <c r="AA1" s="198"/>
      <c r="AB1" s="198">
        <v>0.84499999999999997</v>
      </c>
    </row>
    <row r="2" spans="1:28" ht="30" customHeight="1" x14ac:dyDescent="0.25">
      <c r="B2" s="228" t="s">
        <v>191</v>
      </c>
      <c r="C2" s="201" t="s">
        <v>132</v>
      </c>
      <c r="D2" s="201" t="s">
        <v>133</v>
      </c>
      <c r="E2" s="201" t="s">
        <v>134</v>
      </c>
      <c r="F2" s="201" t="s">
        <v>135</v>
      </c>
      <c r="G2" s="201" t="s">
        <v>136</v>
      </c>
      <c r="H2" s="201" t="s">
        <v>137</v>
      </c>
      <c r="I2" s="201" t="s">
        <v>138</v>
      </c>
      <c r="J2" s="201" t="s">
        <v>139</v>
      </c>
      <c r="K2" s="201" t="s">
        <v>140</v>
      </c>
      <c r="L2" s="201" t="s">
        <v>377</v>
      </c>
      <c r="M2" s="201" t="s">
        <v>141</v>
      </c>
      <c r="N2" s="201" t="s">
        <v>142</v>
      </c>
      <c r="O2" s="201" t="s">
        <v>143</v>
      </c>
      <c r="P2" s="201" t="s">
        <v>144</v>
      </c>
      <c r="Q2" s="201" t="s">
        <v>145</v>
      </c>
      <c r="R2" s="315" t="s">
        <v>146</v>
      </c>
      <c r="S2" s="201" t="s">
        <v>147</v>
      </c>
      <c r="T2" s="201" t="s">
        <v>148</v>
      </c>
      <c r="U2" s="201" t="s">
        <v>149</v>
      </c>
      <c r="V2" s="201" t="s">
        <v>340</v>
      </c>
      <c r="W2" s="201"/>
      <c r="X2" s="229" t="s">
        <v>150</v>
      </c>
      <c r="Y2" s="392" t="s">
        <v>178</v>
      </c>
      <c r="AA2" s="198"/>
      <c r="AB2" s="198"/>
    </row>
    <row r="3" spans="1:28" s="261" customFormat="1" ht="30" hidden="1" customHeight="1" x14ac:dyDescent="0.25">
      <c r="B3" s="262">
        <v>46023</v>
      </c>
      <c r="C3" s="263" t="e">
        <f ca="1">+C50</f>
        <v>#REF!</v>
      </c>
      <c r="D3" s="263" t="e">
        <f t="shared" ref="D3:Y3" ca="1" si="0">+D50</f>
        <v>#REF!</v>
      </c>
      <c r="E3" s="263" t="str">
        <f t="shared" si="0"/>
        <v>,</v>
      </c>
      <c r="F3" s="263" t="e">
        <f t="shared" ca="1" si="0"/>
        <v>#REF!</v>
      </c>
      <c r="G3" s="263" t="e">
        <f t="shared" si="0"/>
        <v>#REF!</v>
      </c>
      <c r="H3" s="263" t="e">
        <f t="shared" si="0"/>
        <v>#REF!</v>
      </c>
      <c r="I3" s="263" t="e">
        <f t="shared" si="0"/>
        <v>#REF!</v>
      </c>
      <c r="J3" s="263" t="e">
        <f t="shared" si="0"/>
        <v>#REF!</v>
      </c>
      <c r="K3" s="263" t="str">
        <f t="shared" si="0"/>
        <v>,</v>
      </c>
      <c r="L3" s="263" t="str">
        <f t="shared" si="0"/>
        <v>,</v>
      </c>
      <c r="M3" s="263" t="e">
        <f t="shared" si="0"/>
        <v>#REF!</v>
      </c>
      <c r="N3" s="263" t="str">
        <f t="shared" si="0"/>
        <v>,</v>
      </c>
      <c r="O3" s="263" t="e">
        <f t="shared" si="0"/>
        <v>#REF!</v>
      </c>
      <c r="P3" s="263" t="e">
        <f t="shared" si="0"/>
        <v>#REF!</v>
      </c>
      <c r="Q3" s="263" t="e">
        <f t="shared" si="0"/>
        <v>#REF!</v>
      </c>
      <c r="R3" s="263" t="e">
        <f t="shared" si="0"/>
        <v>#REF!</v>
      </c>
      <c r="S3" s="263" t="e">
        <f t="shared" si="0"/>
        <v>#REF!</v>
      </c>
      <c r="T3" s="263" t="e">
        <f t="shared" si="0"/>
        <v>#REF!</v>
      </c>
      <c r="U3" s="263" t="str">
        <f t="shared" si="0"/>
        <v>,</v>
      </c>
      <c r="V3" s="263" t="str">
        <f t="shared" si="0"/>
        <v>,</v>
      </c>
      <c r="W3" s="263" t="e">
        <f t="shared" si="0"/>
        <v>#REF!</v>
      </c>
      <c r="X3" s="263" t="e">
        <f t="shared" si="0"/>
        <v>#REF!</v>
      </c>
      <c r="Y3" s="263">
        <f t="shared" si="0"/>
        <v>0.82320000000000004</v>
      </c>
    </row>
    <row r="4" spans="1:28" s="261" customFormat="1" ht="30" hidden="1" customHeight="1" x14ac:dyDescent="0.25">
      <c r="B4" s="262">
        <v>46054</v>
      </c>
      <c r="C4" s="392" t="s">
        <v>182</v>
      </c>
      <c r="D4" s="392" t="s">
        <v>182</v>
      </c>
      <c r="E4" s="392" t="s">
        <v>182</v>
      </c>
      <c r="F4" s="392" t="s">
        <v>182</v>
      </c>
      <c r="G4" s="392" t="s">
        <v>182</v>
      </c>
      <c r="H4" s="392" t="s">
        <v>182</v>
      </c>
      <c r="I4" s="392" t="s">
        <v>182</v>
      </c>
      <c r="J4" s="392" t="s">
        <v>182</v>
      </c>
      <c r="K4" s="392" t="s">
        <v>182</v>
      </c>
      <c r="L4" s="392" t="s">
        <v>182</v>
      </c>
      <c r="M4" s="392" t="s">
        <v>182</v>
      </c>
      <c r="N4" s="392" t="s">
        <v>182</v>
      </c>
      <c r="O4" s="392" t="s">
        <v>182</v>
      </c>
      <c r="P4" s="392" t="s">
        <v>182</v>
      </c>
      <c r="Q4" s="392" t="s">
        <v>182</v>
      </c>
      <c r="R4" s="392" t="s">
        <v>182</v>
      </c>
      <c r="S4" s="392" t="s">
        <v>182</v>
      </c>
      <c r="T4" s="392" t="s">
        <v>182</v>
      </c>
      <c r="U4" s="392" t="s">
        <v>182</v>
      </c>
      <c r="V4" s="392" t="s">
        <v>182</v>
      </c>
      <c r="W4" s="392" t="s">
        <v>182</v>
      </c>
      <c r="X4" s="392" t="s">
        <v>182</v>
      </c>
      <c r="Y4" s="392" t="s">
        <v>182</v>
      </c>
    </row>
    <row r="5" spans="1:28" s="261" customFormat="1" ht="30" hidden="1" customHeight="1" x14ac:dyDescent="0.25">
      <c r="B5" s="262">
        <v>46082</v>
      </c>
      <c r="C5" s="392" t="s">
        <v>182</v>
      </c>
      <c r="D5" s="392" t="s">
        <v>182</v>
      </c>
      <c r="E5" s="392" t="s">
        <v>182</v>
      </c>
      <c r="F5" s="392" t="s">
        <v>182</v>
      </c>
      <c r="G5" s="392" t="s">
        <v>182</v>
      </c>
      <c r="H5" s="392" t="s">
        <v>182</v>
      </c>
      <c r="I5" s="392" t="s">
        <v>182</v>
      </c>
      <c r="J5" s="392" t="s">
        <v>182</v>
      </c>
      <c r="K5" s="392" t="s">
        <v>182</v>
      </c>
      <c r="L5" s="392" t="s">
        <v>182</v>
      </c>
      <c r="M5" s="392" t="s">
        <v>182</v>
      </c>
      <c r="N5" s="392" t="s">
        <v>182</v>
      </c>
      <c r="O5" s="392" t="s">
        <v>182</v>
      </c>
      <c r="P5" s="392" t="s">
        <v>182</v>
      </c>
      <c r="Q5" s="392" t="s">
        <v>182</v>
      </c>
      <c r="R5" s="392" t="s">
        <v>182</v>
      </c>
      <c r="S5" s="392" t="s">
        <v>182</v>
      </c>
      <c r="T5" s="392" t="s">
        <v>182</v>
      </c>
      <c r="U5" s="392" t="s">
        <v>182</v>
      </c>
      <c r="V5" s="392" t="s">
        <v>182</v>
      </c>
      <c r="W5" s="392" t="s">
        <v>182</v>
      </c>
      <c r="X5" s="392" t="s">
        <v>182</v>
      </c>
      <c r="Y5" s="392" t="s">
        <v>182</v>
      </c>
    </row>
    <row r="6" spans="1:28" s="261" customFormat="1" ht="30" hidden="1" customHeight="1" x14ac:dyDescent="0.25">
      <c r="B6" s="262">
        <v>46113</v>
      </c>
      <c r="C6" s="392" t="s">
        <v>182</v>
      </c>
      <c r="D6" s="392" t="s">
        <v>182</v>
      </c>
      <c r="E6" s="392" t="s">
        <v>182</v>
      </c>
      <c r="F6" s="392" t="s">
        <v>182</v>
      </c>
      <c r="G6" s="392" t="s">
        <v>182</v>
      </c>
      <c r="H6" s="392" t="s">
        <v>182</v>
      </c>
      <c r="I6" s="392" t="s">
        <v>182</v>
      </c>
      <c r="J6" s="392" t="s">
        <v>182</v>
      </c>
      <c r="K6" s="392" t="s">
        <v>182</v>
      </c>
      <c r="L6" s="392" t="s">
        <v>182</v>
      </c>
      <c r="M6" s="392" t="s">
        <v>182</v>
      </c>
      <c r="N6" s="392" t="s">
        <v>182</v>
      </c>
      <c r="O6" s="392" t="s">
        <v>182</v>
      </c>
      <c r="P6" s="392" t="s">
        <v>182</v>
      </c>
      <c r="Q6" s="392" t="s">
        <v>182</v>
      </c>
      <c r="R6" s="392" t="s">
        <v>182</v>
      </c>
      <c r="S6" s="392" t="s">
        <v>182</v>
      </c>
      <c r="T6" s="392" t="s">
        <v>182</v>
      </c>
      <c r="U6" s="392" t="s">
        <v>182</v>
      </c>
      <c r="V6" s="392" t="s">
        <v>182</v>
      </c>
      <c r="W6" s="392" t="s">
        <v>182</v>
      </c>
      <c r="X6" s="392" t="s">
        <v>182</v>
      </c>
      <c r="Y6" s="392" t="s">
        <v>182</v>
      </c>
    </row>
    <row r="7" spans="1:28" s="261" customFormat="1" ht="30" hidden="1" customHeight="1" x14ac:dyDescent="0.25">
      <c r="B7" s="262">
        <v>46143</v>
      </c>
      <c r="C7" s="392" t="s">
        <v>182</v>
      </c>
      <c r="D7" s="392" t="s">
        <v>182</v>
      </c>
      <c r="E7" s="392" t="s">
        <v>182</v>
      </c>
      <c r="F7" s="392" t="s">
        <v>182</v>
      </c>
      <c r="G7" s="392" t="s">
        <v>182</v>
      </c>
      <c r="H7" s="392" t="s">
        <v>182</v>
      </c>
      <c r="I7" s="392" t="s">
        <v>182</v>
      </c>
      <c r="J7" s="392" t="s">
        <v>182</v>
      </c>
      <c r="K7" s="392" t="s">
        <v>182</v>
      </c>
      <c r="L7" s="392" t="s">
        <v>182</v>
      </c>
      <c r="M7" s="392" t="s">
        <v>182</v>
      </c>
      <c r="N7" s="392" t="s">
        <v>182</v>
      </c>
      <c r="O7" s="392" t="s">
        <v>182</v>
      </c>
      <c r="P7" s="392" t="s">
        <v>182</v>
      </c>
      <c r="Q7" s="392" t="s">
        <v>182</v>
      </c>
      <c r="R7" s="392" t="s">
        <v>182</v>
      </c>
      <c r="S7" s="392" t="s">
        <v>182</v>
      </c>
      <c r="T7" s="392" t="s">
        <v>182</v>
      </c>
      <c r="U7" s="392" t="s">
        <v>182</v>
      </c>
      <c r="V7" s="392" t="s">
        <v>182</v>
      </c>
      <c r="W7" s="392" t="s">
        <v>182</v>
      </c>
      <c r="X7" s="392" t="s">
        <v>182</v>
      </c>
      <c r="Y7" s="392" t="s">
        <v>182</v>
      </c>
    </row>
    <row r="8" spans="1:28" s="261" customFormat="1" ht="30" hidden="1" customHeight="1" x14ac:dyDescent="0.25">
      <c r="B8" s="262">
        <v>46174</v>
      </c>
      <c r="C8" s="392" t="s">
        <v>182</v>
      </c>
      <c r="D8" s="392" t="s">
        <v>182</v>
      </c>
      <c r="E8" s="392" t="s">
        <v>182</v>
      </c>
      <c r="F8" s="392" t="s">
        <v>182</v>
      </c>
      <c r="G8" s="392" t="s">
        <v>182</v>
      </c>
      <c r="H8" s="392" t="s">
        <v>182</v>
      </c>
      <c r="I8" s="392" t="s">
        <v>182</v>
      </c>
      <c r="J8" s="392" t="s">
        <v>182</v>
      </c>
      <c r="K8" s="392" t="s">
        <v>182</v>
      </c>
      <c r="L8" s="392" t="s">
        <v>182</v>
      </c>
      <c r="M8" s="392" t="s">
        <v>182</v>
      </c>
      <c r="N8" s="392" t="s">
        <v>182</v>
      </c>
      <c r="O8" s="392" t="s">
        <v>182</v>
      </c>
      <c r="P8" s="392" t="s">
        <v>182</v>
      </c>
      <c r="Q8" s="392" t="s">
        <v>182</v>
      </c>
      <c r="R8" s="392" t="s">
        <v>182</v>
      </c>
      <c r="S8" s="392" t="s">
        <v>182</v>
      </c>
      <c r="T8" s="392" t="s">
        <v>182</v>
      </c>
      <c r="U8" s="392" t="s">
        <v>182</v>
      </c>
      <c r="V8" s="392" t="s">
        <v>182</v>
      </c>
      <c r="W8" s="392" t="s">
        <v>182</v>
      </c>
      <c r="X8" s="392" t="s">
        <v>182</v>
      </c>
      <c r="Y8" s="392" t="s">
        <v>182</v>
      </c>
    </row>
    <row r="9" spans="1:28" s="261" customFormat="1" ht="30" hidden="1" customHeight="1" x14ac:dyDescent="0.25">
      <c r="B9" s="262">
        <v>46204</v>
      </c>
      <c r="C9" s="392" t="s">
        <v>182</v>
      </c>
      <c r="D9" s="392" t="s">
        <v>182</v>
      </c>
      <c r="E9" s="392" t="s">
        <v>182</v>
      </c>
      <c r="F9" s="392" t="s">
        <v>182</v>
      </c>
      <c r="G9" s="392" t="s">
        <v>182</v>
      </c>
      <c r="H9" s="392" t="s">
        <v>182</v>
      </c>
      <c r="I9" s="392" t="s">
        <v>182</v>
      </c>
      <c r="J9" s="392" t="s">
        <v>182</v>
      </c>
      <c r="K9" s="392" t="s">
        <v>182</v>
      </c>
      <c r="L9" s="392" t="s">
        <v>182</v>
      </c>
      <c r="M9" s="392" t="s">
        <v>182</v>
      </c>
      <c r="N9" s="392" t="s">
        <v>182</v>
      </c>
      <c r="O9" s="392" t="s">
        <v>182</v>
      </c>
      <c r="P9" s="392" t="s">
        <v>182</v>
      </c>
      <c r="Q9" s="392" t="s">
        <v>182</v>
      </c>
      <c r="R9" s="392" t="s">
        <v>182</v>
      </c>
      <c r="S9" s="392" t="s">
        <v>182</v>
      </c>
      <c r="T9" s="392" t="s">
        <v>182</v>
      </c>
      <c r="U9" s="392" t="s">
        <v>182</v>
      </c>
      <c r="V9" s="392" t="s">
        <v>182</v>
      </c>
      <c r="W9" s="392" t="s">
        <v>182</v>
      </c>
      <c r="X9" s="392" t="s">
        <v>182</v>
      </c>
      <c r="Y9" s="392" t="s">
        <v>182</v>
      </c>
    </row>
    <row r="10" spans="1:28" s="261" customFormat="1" ht="30" hidden="1" customHeight="1" x14ac:dyDescent="0.25">
      <c r="B10" s="262">
        <v>46235</v>
      </c>
      <c r="C10" s="392" t="s">
        <v>182</v>
      </c>
      <c r="D10" s="392" t="s">
        <v>182</v>
      </c>
      <c r="E10" s="392" t="s">
        <v>182</v>
      </c>
      <c r="F10" s="392" t="s">
        <v>182</v>
      </c>
      <c r="G10" s="392" t="s">
        <v>182</v>
      </c>
      <c r="H10" s="392" t="s">
        <v>182</v>
      </c>
      <c r="I10" s="392" t="s">
        <v>182</v>
      </c>
      <c r="J10" s="392" t="s">
        <v>182</v>
      </c>
      <c r="K10" s="392" t="s">
        <v>182</v>
      </c>
      <c r="L10" s="392" t="s">
        <v>182</v>
      </c>
      <c r="M10" s="392" t="s">
        <v>182</v>
      </c>
      <c r="N10" s="392" t="s">
        <v>182</v>
      </c>
      <c r="O10" s="392" t="s">
        <v>182</v>
      </c>
      <c r="P10" s="392" t="s">
        <v>182</v>
      </c>
      <c r="Q10" s="392" t="s">
        <v>182</v>
      </c>
      <c r="R10" s="392" t="s">
        <v>182</v>
      </c>
      <c r="S10" s="392" t="s">
        <v>182</v>
      </c>
      <c r="T10" s="392" t="s">
        <v>182</v>
      </c>
      <c r="U10" s="392" t="s">
        <v>182</v>
      </c>
      <c r="V10" s="392" t="s">
        <v>182</v>
      </c>
      <c r="W10" s="392" t="s">
        <v>182</v>
      </c>
      <c r="X10" s="392" t="s">
        <v>182</v>
      </c>
      <c r="Y10" s="392" t="s">
        <v>182</v>
      </c>
    </row>
    <row r="11" spans="1:28" s="261" customFormat="1" ht="30" hidden="1" customHeight="1" x14ac:dyDescent="0.25">
      <c r="B11" s="262">
        <v>46266</v>
      </c>
      <c r="C11" s="392" t="s">
        <v>182</v>
      </c>
      <c r="D11" s="392" t="s">
        <v>182</v>
      </c>
      <c r="E11" s="392" t="s">
        <v>182</v>
      </c>
      <c r="F11" s="392" t="s">
        <v>182</v>
      </c>
      <c r="G11" s="392" t="s">
        <v>182</v>
      </c>
      <c r="H11" s="392" t="s">
        <v>182</v>
      </c>
      <c r="I11" s="392" t="s">
        <v>182</v>
      </c>
      <c r="J11" s="392" t="s">
        <v>182</v>
      </c>
      <c r="K11" s="392" t="s">
        <v>182</v>
      </c>
      <c r="L11" s="392" t="s">
        <v>182</v>
      </c>
      <c r="M11" s="392" t="s">
        <v>182</v>
      </c>
      <c r="N11" s="392" t="s">
        <v>182</v>
      </c>
      <c r="O11" s="392" t="s">
        <v>182</v>
      </c>
      <c r="P11" s="392" t="s">
        <v>182</v>
      </c>
      <c r="Q11" s="392" t="s">
        <v>182</v>
      </c>
      <c r="R11" s="392" t="s">
        <v>182</v>
      </c>
      <c r="S11" s="392" t="s">
        <v>182</v>
      </c>
      <c r="T11" s="392" t="s">
        <v>182</v>
      </c>
      <c r="U11" s="392" t="s">
        <v>182</v>
      </c>
      <c r="V11" s="392" t="s">
        <v>182</v>
      </c>
      <c r="W11" s="392" t="s">
        <v>182</v>
      </c>
      <c r="X11" s="392" t="s">
        <v>182</v>
      </c>
      <c r="Y11" s="392" t="s">
        <v>182</v>
      </c>
    </row>
    <row r="12" spans="1:28" s="261" customFormat="1" ht="30" hidden="1" customHeight="1" x14ac:dyDescent="0.25">
      <c r="B12" s="262">
        <v>46296</v>
      </c>
      <c r="C12" s="392" t="s">
        <v>182</v>
      </c>
      <c r="D12" s="392" t="s">
        <v>182</v>
      </c>
      <c r="E12" s="392" t="s">
        <v>182</v>
      </c>
      <c r="F12" s="392" t="s">
        <v>182</v>
      </c>
      <c r="G12" s="392" t="s">
        <v>182</v>
      </c>
      <c r="H12" s="392" t="s">
        <v>182</v>
      </c>
      <c r="I12" s="392" t="s">
        <v>182</v>
      </c>
      <c r="J12" s="392" t="s">
        <v>182</v>
      </c>
      <c r="K12" s="392" t="s">
        <v>182</v>
      </c>
      <c r="L12" s="392" t="s">
        <v>182</v>
      </c>
      <c r="M12" s="392" t="s">
        <v>182</v>
      </c>
      <c r="N12" s="392" t="s">
        <v>182</v>
      </c>
      <c r="O12" s="392" t="s">
        <v>182</v>
      </c>
      <c r="P12" s="392" t="s">
        <v>182</v>
      </c>
      <c r="Q12" s="392" t="s">
        <v>182</v>
      </c>
      <c r="R12" s="392" t="s">
        <v>182</v>
      </c>
      <c r="S12" s="392" t="s">
        <v>182</v>
      </c>
      <c r="T12" s="392" t="s">
        <v>182</v>
      </c>
      <c r="U12" s="392" t="s">
        <v>182</v>
      </c>
      <c r="V12" s="392" t="s">
        <v>182</v>
      </c>
      <c r="W12" s="392" t="s">
        <v>182</v>
      </c>
      <c r="X12" s="392" t="s">
        <v>182</v>
      </c>
      <c r="Y12" s="392" t="s">
        <v>182</v>
      </c>
    </row>
    <row r="13" spans="1:28" s="261" customFormat="1" ht="30" hidden="1" customHeight="1" x14ac:dyDescent="0.25">
      <c r="B13" s="262">
        <v>46327</v>
      </c>
      <c r="C13" s="392" t="s">
        <v>182</v>
      </c>
      <c r="D13" s="392" t="s">
        <v>182</v>
      </c>
      <c r="E13" s="392" t="s">
        <v>182</v>
      </c>
      <c r="F13" s="392" t="s">
        <v>182</v>
      </c>
      <c r="G13" s="392" t="s">
        <v>182</v>
      </c>
      <c r="H13" s="392" t="s">
        <v>182</v>
      </c>
      <c r="I13" s="392" t="s">
        <v>182</v>
      </c>
      <c r="J13" s="392" t="s">
        <v>182</v>
      </c>
      <c r="K13" s="392" t="s">
        <v>182</v>
      </c>
      <c r="L13" s="392" t="s">
        <v>182</v>
      </c>
      <c r="M13" s="392" t="s">
        <v>182</v>
      </c>
      <c r="N13" s="392" t="s">
        <v>182</v>
      </c>
      <c r="O13" s="392" t="s">
        <v>182</v>
      </c>
      <c r="P13" s="392" t="s">
        <v>182</v>
      </c>
      <c r="Q13" s="392" t="s">
        <v>182</v>
      </c>
      <c r="R13" s="392" t="s">
        <v>182</v>
      </c>
      <c r="S13" s="392" t="s">
        <v>182</v>
      </c>
      <c r="T13" s="392" t="s">
        <v>182</v>
      </c>
      <c r="U13" s="392" t="s">
        <v>182</v>
      </c>
      <c r="V13" s="392" t="s">
        <v>182</v>
      </c>
      <c r="W13" s="392" t="s">
        <v>182</v>
      </c>
      <c r="X13" s="392" t="s">
        <v>182</v>
      </c>
      <c r="Y13" s="392" t="s">
        <v>182</v>
      </c>
    </row>
    <row r="14" spans="1:28" s="261" customFormat="1" ht="30" hidden="1" customHeight="1" x14ac:dyDescent="0.25">
      <c r="B14" s="262">
        <v>46357</v>
      </c>
      <c r="C14" s="392" t="s">
        <v>182</v>
      </c>
      <c r="D14" s="392" t="s">
        <v>182</v>
      </c>
      <c r="E14" s="392" t="s">
        <v>182</v>
      </c>
      <c r="F14" s="392" t="s">
        <v>182</v>
      </c>
      <c r="G14" s="392" t="s">
        <v>182</v>
      </c>
      <c r="H14" s="392" t="s">
        <v>182</v>
      </c>
      <c r="I14" s="392" t="s">
        <v>182</v>
      </c>
      <c r="J14" s="392" t="s">
        <v>182</v>
      </c>
      <c r="K14" s="392" t="s">
        <v>182</v>
      </c>
      <c r="L14" s="392" t="s">
        <v>182</v>
      </c>
      <c r="M14" s="392" t="s">
        <v>182</v>
      </c>
      <c r="N14" s="392" t="s">
        <v>182</v>
      </c>
      <c r="O14" s="392" t="s">
        <v>182</v>
      </c>
      <c r="P14" s="392" t="s">
        <v>182</v>
      </c>
      <c r="Q14" s="392" t="s">
        <v>182</v>
      </c>
      <c r="R14" s="392" t="s">
        <v>182</v>
      </c>
      <c r="S14" s="392" t="s">
        <v>182</v>
      </c>
      <c r="T14" s="392" t="s">
        <v>182</v>
      </c>
      <c r="U14" s="392" t="s">
        <v>182</v>
      </c>
      <c r="V14" s="392" t="s">
        <v>182</v>
      </c>
      <c r="W14" s="392" t="s">
        <v>182</v>
      </c>
      <c r="X14" s="392" t="s">
        <v>182</v>
      </c>
      <c r="Y14" s="392" t="s">
        <v>182</v>
      </c>
    </row>
    <row r="15" spans="1:28" s="264" customFormat="1" ht="42" hidden="1" customHeight="1" x14ac:dyDescent="0.25">
      <c r="B15" s="265" t="s">
        <v>194</v>
      </c>
      <c r="C15" s="263" t="e">
        <f ca="1">+AVERAGE(C3:C14)</f>
        <v>#REF!</v>
      </c>
      <c r="D15" s="263" t="e">
        <f t="shared" ref="D15:Y15" ca="1" si="1">+AVERAGE(D3:D14)</f>
        <v>#REF!</v>
      </c>
      <c r="E15" s="263" t="e">
        <f t="shared" si="1"/>
        <v>#DIV/0!</v>
      </c>
      <c r="F15" s="263" t="e">
        <f t="shared" ca="1" si="1"/>
        <v>#REF!</v>
      </c>
      <c r="G15" s="263" t="e">
        <f t="shared" si="1"/>
        <v>#REF!</v>
      </c>
      <c r="H15" s="263" t="e">
        <f t="shared" si="1"/>
        <v>#REF!</v>
      </c>
      <c r="I15" s="263" t="e">
        <f t="shared" si="1"/>
        <v>#REF!</v>
      </c>
      <c r="J15" s="263" t="e">
        <f t="shared" si="1"/>
        <v>#REF!</v>
      </c>
      <c r="K15" s="263" t="e">
        <f t="shared" si="1"/>
        <v>#DIV/0!</v>
      </c>
      <c r="L15" s="392" t="s">
        <v>182</v>
      </c>
      <c r="M15" s="263" t="e">
        <f t="shared" si="1"/>
        <v>#REF!</v>
      </c>
      <c r="N15" s="263" t="e">
        <f t="shared" si="1"/>
        <v>#DIV/0!</v>
      </c>
      <c r="O15" s="263" t="e">
        <f t="shared" si="1"/>
        <v>#REF!</v>
      </c>
      <c r="P15" s="263" t="e">
        <f t="shared" si="1"/>
        <v>#REF!</v>
      </c>
      <c r="Q15" s="263" t="e">
        <f t="shared" si="1"/>
        <v>#REF!</v>
      </c>
      <c r="R15" s="263" t="s">
        <v>182</v>
      </c>
      <c r="S15" s="263" t="e">
        <f t="shared" si="1"/>
        <v>#REF!</v>
      </c>
      <c r="T15" s="263" t="e">
        <f t="shared" si="1"/>
        <v>#REF!</v>
      </c>
      <c r="U15" s="263" t="e">
        <f t="shared" si="1"/>
        <v>#DIV/0!</v>
      </c>
      <c r="V15" s="263" t="s">
        <v>182</v>
      </c>
      <c r="W15" s="263" t="e">
        <f t="shared" si="1"/>
        <v>#REF!</v>
      </c>
      <c r="X15" s="263" t="e">
        <f>+AVERAGE(X3:X14)</f>
        <v>#REF!</v>
      </c>
      <c r="Y15" s="263">
        <f t="shared" si="1"/>
        <v>0.82320000000000004</v>
      </c>
      <c r="Z15" s="261"/>
    </row>
    <row r="16" spans="1:28" ht="21" customHeight="1" x14ac:dyDescent="0.25"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316"/>
      <c r="S16" s="242"/>
      <c r="T16" s="242"/>
      <c r="U16" s="242"/>
      <c r="V16" s="242"/>
      <c r="W16" s="242"/>
      <c r="X16" s="242"/>
      <c r="Y16" s="242"/>
      <c r="AA16" s="198"/>
      <c r="AB16" s="198"/>
    </row>
    <row r="17" spans="1:28" s="200" customFormat="1" ht="32.25" customHeight="1" x14ac:dyDescent="0.25">
      <c r="A17" s="200" t="s">
        <v>174</v>
      </c>
      <c r="B17" s="200" t="s">
        <v>174</v>
      </c>
      <c r="C17" s="201" t="s">
        <v>132</v>
      </c>
      <c r="D17" s="201" t="s">
        <v>133</v>
      </c>
      <c r="E17" s="201" t="s">
        <v>134</v>
      </c>
      <c r="F17" s="201" t="s">
        <v>135</v>
      </c>
      <c r="G17" s="201" t="s">
        <v>136</v>
      </c>
      <c r="H17" s="201" t="s">
        <v>137</v>
      </c>
      <c r="I17" s="201" t="s">
        <v>138</v>
      </c>
      <c r="J17" s="201" t="s">
        <v>139</v>
      </c>
      <c r="K17" s="201" t="s">
        <v>140</v>
      </c>
      <c r="L17" s="201" t="s">
        <v>377</v>
      </c>
      <c r="M17" s="201" t="s">
        <v>141</v>
      </c>
      <c r="N17" s="201" t="s">
        <v>142</v>
      </c>
      <c r="O17" s="201" t="s">
        <v>143</v>
      </c>
      <c r="P17" s="201" t="s">
        <v>144</v>
      </c>
      <c r="Q17" s="201" t="s">
        <v>145</v>
      </c>
      <c r="R17" s="315" t="s">
        <v>146</v>
      </c>
      <c r="S17" s="201" t="s">
        <v>147</v>
      </c>
      <c r="T17" s="201" t="s">
        <v>148</v>
      </c>
      <c r="U17" s="201" t="s">
        <v>149</v>
      </c>
      <c r="V17" s="201" t="s">
        <v>339</v>
      </c>
      <c r="W17" s="201" t="s">
        <v>176</v>
      </c>
      <c r="X17" s="202" t="s">
        <v>150</v>
      </c>
      <c r="Y17" s="221" t="s">
        <v>178</v>
      </c>
      <c r="Z17" s="203">
        <v>0.84499999999999997</v>
      </c>
      <c r="AA17" s="204"/>
      <c r="AB17" s="200" t="s">
        <v>174</v>
      </c>
    </row>
    <row r="18" spans="1:28" ht="25.5" customHeight="1" x14ac:dyDescent="0.25">
      <c r="A18" s="186" t="s">
        <v>174</v>
      </c>
      <c r="B18" s="186" t="s">
        <v>174</v>
      </c>
      <c r="C18" s="205" t="s">
        <v>281</v>
      </c>
      <c r="D18" s="205" t="s">
        <v>405</v>
      </c>
      <c r="E18" s="205"/>
      <c r="F18" s="205" t="s">
        <v>406</v>
      </c>
      <c r="G18" s="205" t="s">
        <v>282</v>
      </c>
      <c r="H18" s="205" t="s">
        <v>364</v>
      </c>
      <c r="I18" s="205" t="s">
        <v>279</v>
      </c>
      <c r="J18" s="205" t="s">
        <v>280</v>
      </c>
      <c r="K18" s="205"/>
      <c r="L18" s="205"/>
      <c r="M18" s="205" t="s">
        <v>398</v>
      </c>
      <c r="N18" s="205"/>
      <c r="O18" s="205" t="s">
        <v>378</v>
      </c>
      <c r="P18" s="207" t="s">
        <v>278</v>
      </c>
      <c r="Q18" s="205" t="s">
        <v>279</v>
      </c>
      <c r="R18" s="317" t="s">
        <v>152</v>
      </c>
      <c r="S18" s="205" t="s">
        <v>378</v>
      </c>
      <c r="T18" s="205" t="s">
        <v>283</v>
      </c>
      <c r="U18" s="207"/>
      <c r="V18" s="205"/>
      <c r="W18" s="205" t="s">
        <v>179</v>
      </c>
      <c r="X18" s="206" t="s">
        <v>174</v>
      </c>
      <c r="Y18" s="206"/>
      <c r="Z18" s="197" t="s">
        <v>174</v>
      </c>
      <c r="AB18" s="186" t="s">
        <v>174</v>
      </c>
    </row>
    <row r="19" spans="1:28" ht="32.25" customHeight="1" x14ac:dyDescent="0.25">
      <c r="A19" s="186" t="s">
        <v>174</v>
      </c>
      <c r="B19" s="398" t="s">
        <v>407</v>
      </c>
      <c r="C19" s="392" t="e">
        <f ca="1">+SUMIF(INDIRECT("'" &amp; B19 &amp; "'!$B:$B"),C1,INDIRECT("'" &amp; B19 &amp; "'!$ah:$ah"))/SUMIF(INDIRECT("'" &amp; B19 &amp; "'!$B:$B"),C1,INDIRECT("'" &amp; B19 &amp; "'!$AG:$AG"))</f>
        <v>#REF!</v>
      </c>
      <c r="D19" s="392" t="e">
        <f ca="1">+SUMIF(INDIRECT("'" &amp; C19 &amp; "'!$B:$B"),D1,INDIRECT("'" &amp; C19 &amp; "'!$ah:$ah"))/SUMIF(INDIRECT("'" &amp; C19 &amp; "'!$B:$B"),D1,INDIRECT("'" &amp; C19 &amp; "'!$AG:$AG"))</f>
        <v>#REF!</v>
      </c>
      <c r="E19" s="392" t="e">
        <f t="shared" ref="E19:F19" ca="1" si="2">+SUMIF(INDIRECT("'" &amp; D19 &amp; "'!$B:$B"),E1,INDIRECT("'" &amp; D19 &amp; "'!$ah:$ah"))/SUMIF(INDIRECT("'" &amp; D19 &amp; "'!$B:$B"),E1,INDIRECT("'" &amp; D19 &amp; "'!$AG:$AG"))</f>
        <v>#REF!</v>
      </c>
      <c r="F19" s="392" t="e">
        <f t="shared" ca="1" si="2"/>
        <v>#REF!</v>
      </c>
      <c r="G19" s="392" t="e">
        <f>+SUMIF(#REF!,G1,#REF!)/SUMIF(#REF!,G1,#REF!)</f>
        <v>#REF!</v>
      </c>
      <c r="H19" s="392" t="e">
        <f>+SUMIF(#REF!,H1,#REF!)/SUMIF(#REF!,H1,#REF!)</f>
        <v>#REF!</v>
      </c>
      <c r="I19" s="392" t="e">
        <f>+SUMIF(#REF!,I1,#REF!)/SUMIF(#REF!,I1,#REF!)</f>
        <v>#REF!</v>
      </c>
      <c r="J19" s="392" t="e">
        <f>+SUMIF(#REF!,J1,#REF!)/SUMIF(#REF!,J1,#REF!)</f>
        <v>#REF!</v>
      </c>
      <c r="K19" s="392" t="e">
        <f>+SUMIF(#REF!,K1,#REF!)/SUMIF(#REF!,K1,#REF!)</f>
        <v>#REF!</v>
      </c>
      <c r="L19" s="392" t="e">
        <f>+SUMIF(#REF!,L1,#REF!)/SUMIF(#REF!,L1,#REF!)</f>
        <v>#REF!</v>
      </c>
      <c r="M19" s="392" t="e">
        <f>+SUMIF(#REF!,M1,#REF!)/SUMIF(#REF!,M1,#REF!)</f>
        <v>#REF!</v>
      </c>
      <c r="N19" s="313" t="s">
        <v>182</v>
      </c>
      <c r="O19" s="392" t="e">
        <f>+SUMIF(#REF!,O1,#REF!)/SUMIF(#REF!,O1,#REF!)</f>
        <v>#REF!</v>
      </c>
      <c r="P19" s="392" t="e">
        <f>+SUMIF(#REF!,P1,#REF!)/SUMIF(#REF!,P1,#REF!)</f>
        <v>#REF!</v>
      </c>
      <c r="Q19" s="392" t="e">
        <f>+SUMIF(#REF!,Q1,#REF!)/SUMIF(#REF!,Q1,#REF!)</f>
        <v>#REF!</v>
      </c>
      <c r="R19" s="392" t="e">
        <f>+SUMIF(#REF!,R1,#REF!)/SUMIF(#REF!,R1,#REF!)</f>
        <v>#REF!</v>
      </c>
      <c r="S19" s="392" t="e">
        <f>+SUMIF(#REF!,S1,#REF!)/SUMIF(#REF!,S1,#REF!)</f>
        <v>#REF!</v>
      </c>
      <c r="T19" s="392" t="e">
        <f>+SUMIF(#REF!,T1,#REF!)/SUMIF(#REF!,T1,#REF!)</f>
        <v>#REF!</v>
      </c>
      <c r="U19" s="392" t="s">
        <v>182</v>
      </c>
      <c r="V19" s="392" t="s">
        <v>182</v>
      </c>
      <c r="W19" s="392" t="e">
        <f>+SUMIF(#REF!,W1,#REF!)/SUMIF(#REF!,W1,#REF!)</f>
        <v>#REF!</v>
      </c>
      <c r="X19" s="392" t="e">
        <f>+#REF!</f>
        <v>#REF!</v>
      </c>
      <c r="Y19" s="392">
        <v>0.82320000000000004</v>
      </c>
      <c r="AA19" s="224"/>
      <c r="AB19" s="186" t="s">
        <v>174</v>
      </c>
    </row>
    <row r="20" spans="1:28" ht="32.25" customHeight="1" x14ac:dyDescent="0.25">
      <c r="B20" s="187"/>
      <c r="C20" s="392" t="s">
        <v>182</v>
      </c>
      <c r="D20" s="392" t="s">
        <v>182</v>
      </c>
      <c r="E20" s="392" t="s">
        <v>182</v>
      </c>
      <c r="F20" s="392" t="s">
        <v>182</v>
      </c>
      <c r="G20" s="392" t="s">
        <v>182</v>
      </c>
      <c r="H20" s="392" t="s">
        <v>182</v>
      </c>
      <c r="I20" s="392" t="s">
        <v>182</v>
      </c>
      <c r="J20" s="392" t="s">
        <v>182</v>
      </c>
      <c r="K20" s="392" t="s">
        <v>182</v>
      </c>
      <c r="L20" s="392" t="s">
        <v>182</v>
      </c>
      <c r="M20" s="392" t="s">
        <v>182</v>
      </c>
      <c r="N20" s="392" t="s">
        <v>182</v>
      </c>
      <c r="O20" s="392" t="s">
        <v>182</v>
      </c>
      <c r="P20" s="392" t="s">
        <v>182</v>
      </c>
      <c r="Q20" s="392" t="s">
        <v>182</v>
      </c>
      <c r="R20" s="392" t="s">
        <v>182</v>
      </c>
      <c r="S20" s="392" t="s">
        <v>182</v>
      </c>
      <c r="T20" s="392" t="s">
        <v>182</v>
      </c>
      <c r="U20" s="392" t="s">
        <v>182</v>
      </c>
      <c r="V20" s="392" t="s">
        <v>182</v>
      </c>
      <c r="W20" s="392" t="s">
        <v>182</v>
      </c>
      <c r="X20" s="392" t="s">
        <v>182</v>
      </c>
      <c r="Y20" s="392" t="s">
        <v>182</v>
      </c>
      <c r="Z20" s="197"/>
      <c r="AA20" s="224"/>
    </row>
    <row r="21" spans="1:28" ht="32.25" customHeight="1" x14ac:dyDescent="0.25">
      <c r="A21" s="186" t="s">
        <v>174</v>
      </c>
      <c r="B21" s="187"/>
      <c r="C21" s="392" t="s">
        <v>182</v>
      </c>
      <c r="D21" s="392" t="s">
        <v>182</v>
      </c>
      <c r="E21" s="392" t="s">
        <v>182</v>
      </c>
      <c r="F21" s="392" t="s">
        <v>182</v>
      </c>
      <c r="G21" s="392" t="s">
        <v>182</v>
      </c>
      <c r="H21" s="392" t="s">
        <v>182</v>
      </c>
      <c r="I21" s="392" t="s">
        <v>182</v>
      </c>
      <c r="J21" s="392" t="s">
        <v>182</v>
      </c>
      <c r="K21" s="392" t="s">
        <v>182</v>
      </c>
      <c r="L21" s="392" t="s">
        <v>182</v>
      </c>
      <c r="M21" s="392" t="s">
        <v>182</v>
      </c>
      <c r="N21" s="392" t="s">
        <v>182</v>
      </c>
      <c r="O21" s="392" t="s">
        <v>182</v>
      </c>
      <c r="P21" s="392" t="s">
        <v>182</v>
      </c>
      <c r="Q21" s="392" t="s">
        <v>182</v>
      </c>
      <c r="R21" s="392" t="s">
        <v>182</v>
      </c>
      <c r="S21" s="392" t="s">
        <v>182</v>
      </c>
      <c r="T21" s="392" t="s">
        <v>182</v>
      </c>
      <c r="U21" s="392" t="s">
        <v>182</v>
      </c>
      <c r="V21" s="392" t="s">
        <v>182</v>
      </c>
      <c r="W21" s="392" t="s">
        <v>182</v>
      </c>
      <c r="X21" s="392" t="s">
        <v>182</v>
      </c>
      <c r="Y21" s="392" t="s">
        <v>182</v>
      </c>
      <c r="Z21" s="197" t="s">
        <v>174</v>
      </c>
      <c r="AA21" s="224"/>
      <c r="AB21" s="186" t="s">
        <v>174</v>
      </c>
    </row>
    <row r="22" spans="1:28" ht="32.25" customHeight="1" x14ac:dyDescent="0.25">
      <c r="A22" s="186" t="s">
        <v>174</v>
      </c>
      <c r="B22" s="187"/>
      <c r="C22" s="392" t="s">
        <v>182</v>
      </c>
      <c r="D22" s="392" t="s">
        <v>182</v>
      </c>
      <c r="E22" s="392" t="s">
        <v>182</v>
      </c>
      <c r="F22" s="392" t="s">
        <v>182</v>
      </c>
      <c r="G22" s="392" t="s">
        <v>182</v>
      </c>
      <c r="H22" s="392" t="s">
        <v>182</v>
      </c>
      <c r="I22" s="392" t="s">
        <v>182</v>
      </c>
      <c r="J22" s="392" t="s">
        <v>182</v>
      </c>
      <c r="K22" s="392" t="s">
        <v>182</v>
      </c>
      <c r="L22" s="392" t="s">
        <v>182</v>
      </c>
      <c r="M22" s="392" t="s">
        <v>182</v>
      </c>
      <c r="N22" s="392" t="s">
        <v>182</v>
      </c>
      <c r="O22" s="392" t="s">
        <v>182</v>
      </c>
      <c r="P22" s="392" t="s">
        <v>182</v>
      </c>
      <c r="Q22" s="392" t="s">
        <v>182</v>
      </c>
      <c r="R22" s="392" t="s">
        <v>182</v>
      </c>
      <c r="S22" s="392" t="s">
        <v>182</v>
      </c>
      <c r="T22" s="392" t="s">
        <v>182</v>
      </c>
      <c r="U22" s="392" t="s">
        <v>182</v>
      </c>
      <c r="V22" s="392" t="s">
        <v>182</v>
      </c>
      <c r="W22" s="392" t="s">
        <v>182</v>
      </c>
      <c r="X22" s="392" t="s">
        <v>182</v>
      </c>
      <c r="Y22" s="392" t="s">
        <v>182</v>
      </c>
      <c r="Z22" s="197" t="s">
        <v>174</v>
      </c>
      <c r="AA22" s="224"/>
      <c r="AB22" s="186" t="s">
        <v>174</v>
      </c>
    </row>
    <row r="23" spans="1:28" ht="32.25" customHeight="1" x14ac:dyDescent="0.25">
      <c r="A23" s="186" t="s">
        <v>174</v>
      </c>
      <c r="B23" s="187"/>
      <c r="C23" s="392" t="s">
        <v>182</v>
      </c>
      <c r="D23" s="392" t="s">
        <v>182</v>
      </c>
      <c r="E23" s="392" t="s">
        <v>182</v>
      </c>
      <c r="F23" s="392" t="s">
        <v>182</v>
      </c>
      <c r="G23" s="392" t="s">
        <v>182</v>
      </c>
      <c r="H23" s="392" t="s">
        <v>182</v>
      </c>
      <c r="I23" s="392" t="s">
        <v>182</v>
      </c>
      <c r="J23" s="392" t="s">
        <v>182</v>
      </c>
      <c r="K23" s="392" t="s">
        <v>182</v>
      </c>
      <c r="L23" s="392" t="s">
        <v>182</v>
      </c>
      <c r="M23" s="392" t="s">
        <v>182</v>
      </c>
      <c r="N23" s="392" t="s">
        <v>182</v>
      </c>
      <c r="O23" s="392" t="s">
        <v>182</v>
      </c>
      <c r="P23" s="392" t="s">
        <v>182</v>
      </c>
      <c r="Q23" s="392" t="s">
        <v>182</v>
      </c>
      <c r="R23" s="392" t="s">
        <v>182</v>
      </c>
      <c r="S23" s="392" t="s">
        <v>182</v>
      </c>
      <c r="T23" s="392" t="s">
        <v>182</v>
      </c>
      <c r="U23" s="392" t="s">
        <v>182</v>
      </c>
      <c r="V23" s="392" t="s">
        <v>182</v>
      </c>
      <c r="W23" s="392" t="s">
        <v>182</v>
      </c>
      <c r="X23" s="392" t="s">
        <v>182</v>
      </c>
      <c r="Y23" s="392" t="s">
        <v>182</v>
      </c>
      <c r="Z23" s="197" t="s">
        <v>174</v>
      </c>
      <c r="AA23" s="224"/>
      <c r="AB23" s="186" t="s">
        <v>174</v>
      </c>
    </row>
    <row r="24" spans="1:28" ht="32.25" customHeight="1" x14ac:dyDescent="0.25">
      <c r="A24" s="186" t="s">
        <v>174</v>
      </c>
      <c r="B24" s="187"/>
      <c r="C24" s="392" t="s">
        <v>182</v>
      </c>
      <c r="D24" s="392" t="s">
        <v>182</v>
      </c>
      <c r="E24" s="392" t="s">
        <v>182</v>
      </c>
      <c r="F24" s="392" t="s">
        <v>182</v>
      </c>
      <c r="G24" s="392" t="s">
        <v>182</v>
      </c>
      <c r="H24" s="392" t="s">
        <v>182</v>
      </c>
      <c r="I24" s="392" t="s">
        <v>182</v>
      </c>
      <c r="J24" s="392" t="s">
        <v>182</v>
      </c>
      <c r="K24" s="392" t="s">
        <v>182</v>
      </c>
      <c r="L24" s="392" t="s">
        <v>182</v>
      </c>
      <c r="M24" s="392" t="s">
        <v>182</v>
      </c>
      <c r="N24" s="392" t="s">
        <v>182</v>
      </c>
      <c r="O24" s="392" t="s">
        <v>182</v>
      </c>
      <c r="P24" s="392" t="s">
        <v>182</v>
      </c>
      <c r="Q24" s="392" t="s">
        <v>182</v>
      </c>
      <c r="R24" s="392" t="s">
        <v>182</v>
      </c>
      <c r="S24" s="392" t="s">
        <v>182</v>
      </c>
      <c r="T24" s="392" t="s">
        <v>182</v>
      </c>
      <c r="U24" s="392" t="s">
        <v>182</v>
      </c>
      <c r="V24" s="392" t="s">
        <v>182</v>
      </c>
      <c r="W24" s="392" t="s">
        <v>182</v>
      </c>
      <c r="X24" s="392" t="s">
        <v>182</v>
      </c>
      <c r="Y24" s="392" t="s">
        <v>182</v>
      </c>
      <c r="Z24" s="197" t="s">
        <v>174</v>
      </c>
      <c r="AA24" s="224"/>
      <c r="AB24" s="186" t="s">
        <v>174</v>
      </c>
    </row>
    <row r="25" spans="1:28" ht="32.25" customHeight="1" x14ac:dyDescent="0.25">
      <c r="A25" s="186" t="s">
        <v>174</v>
      </c>
      <c r="B25" s="187"/>
      <c r="C25" s="392" t="s">
        <v>182</v>
      </c>
      <c r="D25" s="392" t="s">
        <v>182</v>
      </c>
      <c r="E25" s="392" t="s">
        <v>182</v>
      </c>
      <c r="F25" s="392" t="s">
        <v>182</v>
      </c>
      <c r="G25" s="392" t="s">
        <v>182</v>
      </c>
      <c r="H25" s="392" t="s">
        <v>182</v>
      </c>
      <c r="I25" s="392" t="s">
        <v>182</v>
      </c>
      <c r="J25" s="392" t="s">
        <v>182</v>
      </c>
      <c r="K25" s="392" t="s">
        <v>182</v>
      </c>
      <c r="L25" s="392" t="s">
        <v>182</v>
      </c>
      <c r="M25" s="392" t="s">
        <v>182</v>
      </c>
      <c r="N25" s="392" t="s">
        <v>182</v>
      </c>
      <c r="O25" s="392" t="s">
        <v>182</v>
      </c>
      <c r="P25" s="392" t="s">
        <v>182</v>
      </c>
      <c r="Q25" s="392" t="s">
        <v>182</v>
      </c>
      <c r="R25" s="392" t="s">
        <v>182</v>
      </c>
      <c r="S25" s="392" t="s">
        <v>182</v>
      </c>
      <c r="T25" s="392" t="s">
        <v>182</v>
      </c>
      <c r="U25" s="392" t="s">
        <v>182</v>
      </c>
      <c r="V25" s="392" t="s">
        <v>182</v>
      </c>
      <c r="W25" s="392" t="s">
        <v>182</v>
      </c>
      <c r="X25" s="392" t="s">
        <v>182</v>
      </c>
      <c r="Y25" s="392" t="s">
        <v>182</v>
      </c>
      <c r="Z25" s="197" t="s">
        <v>174</v>
      </c>
      <c r="AA25" s="224"/>
      <c r="AB25" s="186" t="s">
        <v>174</v>
      </c>
    </row>
    <row r="26" spans="1:28" ht="32.25" customHeight="1" x14ac:dyDescent="0.25">
      <c r="B26" s="187"/>
      <c r="C26" s="392" t="s">
        <v>182</v>
      </c>
      <c r="D26" s="392" t="s">
        <v>182</v>
      </c>
      <c r="E26" s="392" t="s">
        <v>182</v>
      </c>
      <c r="F26" s="392" t="s">
        <v>182</v>
      </c>
      <c r="G26" s="392" t="s">
        <v>182</v>
      </c>
      <c r="H26" s="392" t="s">
        <v>182</v>
      </c>
      <c r="I26" s="392" t="s">
        <v>182</v>
      </c>
      <c r="J26" s="392" t="s">
        <v>182</v>
      </c>
      <c r="K26" s="392" t="s">
        <v>182</v>
      </c>
      <c r="L26" s="392" t="s">
        <v>182</v>
      </c>
      <c r="M26" s="392" t="s">
        <v>182</v>
      </c>
      <c r="N26" s="392" t="s">
        <v>182</v>
      </c>
      <c r="O26" s="392" t="s">
        <v>182</v>
      </c>
      <c r="P26" s="392" t="s">
        <v>182</v>
      </c>
      <c r="Q26" s="392" t="s">
        <v>182</v>
      </c>
      <c r="R26" s="392" t="s">
        <v>182</v>
      </c>
      <c r="S26" s="392" t="s">
        <v>182</v>
      </c>
      <c r="T26" s="392" t="s">
        <v>182</v>
      </c>
      <c r="U26" s="392" t="s">
        <v>182</v>
      </c>
      <c r="V26" s="392" t="s">
        <v>182</v>
      </c>
      <c r="W26" s="392" t="s">
        <v>182</v>
      </c>
      <c r="X26" s="392" t="s">
        <v>182</v>
      </c>
      <c r="Y26" s="392" t="s">
        <v>182</v>
      </c>
      <c r="Z26" s="197"/>
      <c r="AA26" s="224"/>
    </row>
    <row r="27" spans="1:28" ht="32.25" customHeight="1" x14ac:dyDescent="0.25">
      <c r="A27" s="186" t="s">
        <v>174</v>
      </c>
      <c r="B27" s="187"/>
      <c r="C27" s="392" t="s">
        <v>182</v>
      </c>
      <c r="D27" s="392" t="s">
        <v>182</v>
      </c>
      <c r="E27" s="392" t="s">
        <v>182</v>
      </c>
      <c r="F27" s="392" t="s">
        <v>182</v>
      </c>
      <c r="G27" s="392" t="s">
        <v>182</v>
      </c>
      <c r="H27" s="392" t="s">
        <v>182</v>
      </c>
      <c r="I27" s="392" t="s">
        <v>182</v>
      </c>
      <c r="J27" s="392" t="s">
        <v>182</v>
      </c>
      <c r="K27" s="392" t="s">
        <v>182</v>
      </c>
      <c r="L27" s="392" t="s">
        <v>182</v>
      </c>
      <c r="M27" s="392" t="s">
        <v>182</v>
      </c>
      <c r="N27" s="392" t="s">
        <v>182</v>
      </c>
      <c r="O27" s="392" t="s">
        <v>182</v>
      </c>
      <c r="P27" s="392" t="s">
        <v>182</v>
      </c>
      <c r="Q27" s="392" t="s">
        <v>182</v>
      </c>
      <c r="R27" s="392" t="s">
        <v>182</v>
      </c>
      <c r="S27" s="392" t="s">
        <v>182</v>
      </c>
      <c r="T27" s="392" t="s">
        <v>182</v>
      </c>
      <c r="U27" s="392" t="s">
        <v>182</v>
      </c>
      <c r="V27" s="392" t="s">
        <v>182</v>
      </c>
      <c r="W27" s="392" t="s">
        <v>182</v>
      </c>
      <c r="X27" s="392" t="s">
        <v>182</v>
      </c>
      <c r="Y27" s="392" t="s">
        <v>182</v>
      </c>
      <c r="Z27" s="186" t="s">
        <v>174</v>
      </c>
      <c r="AA27" s="224"/>
      <c r="AB27" s="186" t="s">
        <v>174</v>
      </c>
    </row>
    <row r="28" spans="1:28" ht="32.25" customHeight="1" x14ac:dyDescent="0.25">
      <c r="A28" s="186" t="s">
        <v>174</v>
      </c>
      <c r="B28" s="187"/>
      <c r="C28" s="392" t="s">
        <v>182</v>
      </c>
      <c r="D28" s="392" t="s">
        <v>182</v>
      </c>
      <c r="E28" s="392" t="s">
        <v>182</v>
      </c>
      <c r="F28" s="392" t="s">
        <v>182</v>
      </c>
      <c r="G28" s="392" t="s">
        <v>182</v>
      </c>
      <c r="H28" s="392" t="s">
        <v>182</v>
      </c>
      <c r="I28" s="392" t="s">
        <v>182</v>
      </c>
      <c r="J28" s="392" t="s">
        <v>182</v>
      </c>
      <c r="K28" s="392" t="s">
        <v>182</v>
      </c>
      <c r="L28" s="392" t="s">
        <v>182</v>
      </c>
      <c r="M28" s="392" t="s">
        <v>182</v>
      </c>
      <c r="N28" s="392" t="s">
        <v>182</v>
      </c>
      <c r="O28" s="392" t="s">
        <v>182</v>
      </c>
      <c r="P28" s="392" t="s">
        <v>182</v>
      </c>
      <c r="Q28" s="392" t="s">
        <v>182</v>
      </c>
      <c r="R28" s="392" t="s">
        <v>182</v>
      </c>
      <c r="S28" s="392" t="s">
        <v>182</v>
      </c>
      <c r="T28" s="392" t="s">
        <v>182</v>
      </c>
      <c r="U28" s="392" t="s">
        <v>182</v>
      </c>
      <c r="V28" s="392" t="s">
        <v>182</v>
      </c>
      <c r="W28" s="392" t="s">
        <v>182</v>
      </c>
      <c r="X28" s="392" t="s">
        <v>182</v>
      </c>
      <c r="Y28" s="392" t="s">
        <v>182</v>
      </c>
      <c r="Z28" s="186" t="s">
        <v>174</v>
      </c>
      <c r="AA28" s="224"/>
      <c r="AB28" s="186" t="s">
        <v>174</v>
      </c>
    </row>
    <row r="29" spans="1:28" ht="32.25" customHeight="1" x14ac:dyDescent="0.25">
      <c r="A29" s="186" t="s">
        <v>174</v>
      </c>
      <c r="B29" s="187"/>
      <c r="C29" s="392" t="s">
        <v>182</v>
      </c>
      <c r="D29" s="392" t="s">
        <v>182</v>
      </c>
      <c r="E29" s="392" t="s">
        <v>182</v>
      </c>
      <c r="F29" s="392" t="s">
        <v>182</v>
      </c>
      <c r="G29" s="392" t="s">
        <v>182</v>
      </c>
      <c r="H29" s="392" t="s">
        <v>182</v>
      </c>
      <c r="I29" s="392" t="s">
        <v>182</v>
      </c>
      <c r="J29" s="392" t="s">
        <v>182</v>
      </c>
      <c r="K29" s="392" t="s">
        <v>182</v>
      </c>
      <c r="L29" s="392" t="s">
        <v>182</v>
      </c>
      <c r="M29" s="392" t="s">
        <v>182</v>
      </c>
      <c r="N29" s="392" t="s">
        <v>182</v>
      </c>
      <c r="O29" s="392" t="s">
        <v>182</v>
      </c>
      <c r="P29" s="392" t="s">
        <v>182</v>
      </c>
      <c r="Q29" s="392" t="s">
        <v>182</v>
      </c>
      <c r="R29" s="392" t="s">
        <v>182</v>
      </c>
      <c r="S29" s="392" t="s">
        <v>182</v>
      </c>
      <c r="T29" s="392" t="s">
        <v>182</v>
      </c>
      <c r="U29" s="392" t="s">
        <v>182</v>
      </c>
      <c r="V29" s="392" t="s">
        <v>182</v>
      </c>
      <c r="W29" s="392" t="s">
        <v>182</v>
      </c>
      <c r="X29" s="392" t="s">
        <v>182</v>
      </c>
      <c r="Y29" s="392" t="s">
        <v>182</v>
      </c>
      <c r="Z29" s="186">
        <v>29</v>
      </c>
      <c r="AA29" s="224"/>
      <c r="AB29" s="186" t="s">
        <v>174</v>
      </c>
    </row>
    <row r="30" spans="1:28" ht="32.25" customHeight="1" x14ac:dyDescent="0.25">
      <c r="A30" s="186" t="s">
        <v>174</v>
      </c>
      <c r="B30" s="187"/>
      <c r="C30" s="392" t="s">
        <v>182</v>
      </c>
      <c r="D30" s="392" t="s">
        <v>182</v>
      </c>
      <c r="E30" s="392" t="s">
        <v>182</v>
      </c>
      <c r="F30" s="392" t="s">
        <v>182</v>
      </c>
      <c r="G30" s="392" t="s">
        <v>182</v>
      </c>
      <c r="H30" s="392" t="s">
        <v>182</v>
      </c>
      <c r="I30" s="392" t="s">
        <v>182</v>
      </c>
      <c r="J30" s="392" t="s">
        <v>182</v>
      </c>
      <c r="K30" s="392" t="s">
        <v>182</v>
      </c>
      <c r="L30" s="392" t="s">
        <v>182</v>
      </c>
      <c r="M30" s="392" t="s">
        <v>182</v>
      </c>
      <c r="N30" s="392" t="s">
        <v>182</v>
      </c>
      <c r="O30" s="392" t="s">
        <v>182</v>
      </c>
      <c r="P30" s="392" t="s">
        <v>182</v>
      </c>
      <c r="Q30" s="392" t="s">
        <v>182</v>
      </c>
      <c r="R30" s="392" t="s">
        <v>182</v>
      </c>
      <c r="S30" s="392" t="s">
        <v>182</v>
      </c>
      <c r="T30" s="392" t="s">
        <v>182</v>
      </c>
      <c r="U30" s="392" t="s">
        <v>182</v>
      </c>
      <c r="V30" s="392" t="s">
        <v>182</v>
      </c>
      <c r="W30" s="392" t="s">
        <v>182</v>
      </c>
      <c r="X30" s="392" t="s">
        <v>182</v>
      </c>
      <c r="Y30" s="392" t="s">
        <v>182</v>
      </c>
      <c r="Z30" s="197" t="s">
        <v>174</v>
      </c>
      <c r="AA30" s="224"/>
      <c r="AB30" s="186" t="s">
        <v>174</v>
      </c>
    </row>
    <row r="31" spans="1:28" ht="32.25" customHeight="1" x14ac:dyDescent="0.25">
      <c r="A31" s="186" t="s">
        <v>174</v>
      </c>
      <c r="B31" s="187"/>
      <c r="C31" s="392" t="s">
        <v>182</v>
      </c>
      <c r="D31" s="392" t="s">
        <v>182</v>
      </c>
      <c r="E31" s="392" t="s">
        <v>182</v>
      </c>
      <c r="F31" s="392" t="s">
        <v>182</v>
      </c>
      <c r="G31" s="392" t="s">
        <v>182</v>
      </c>
      <c r="H31" s="392" t="s">
        <v>182</v>
      </c>
      <c r="I31" s="392" t="s">
        <v>182</v>
      </c>
      <c r="J31" s="392" t="s">
        <v>182</v>
      </c>
      <c r="K31" s="392" t="s">
        <v>182</v>
      </c>
      <c r="L31" s="392" t="s">
        <v>182</v>
      </c>
      <c r="M31" s="392" t="s">
        <v>182</v>
      </c>
      <c r="N31" s="392" t="s">
        <v>182</v>
      </c>
      <c r="O31" s="392" t="s">
        <v>182</v>
      </c>
      <c r="P31" s="392" t="s">
        <v>182</v>
      </c>
      <c r="Q31" s="392" t="s">
        <v>182</v>
      </c>
      <c r="R31" s="392" t="s">
        <v>182</v>
      </c>
      <c r="S31" s="392" t="s">
        <v>182</v>
      </c>
      <c r="T31" s="392" t="s">
        <v>182</v>
      </c>
      <c r="U31" s="392" t="s">
        <v>182</v>
      </c>
      <c r="V31" s="392" t="s">
        <v>182</v>
      </c>
      <c r="W31" s="392" t="s">
        <v>182</v>
      </c>
      <c r="X31" s="392" t="s">
        <v>182</v>
      </c>
      <c r="Y31" s="392" t="s">
        <v>182</v>
      </c>
      <c r="Z31" s="186" t="s">
        <v>174</v>
      </c>
      <c r="AA31" s="224"/>
      <c r="AB31" s="186" t="s">
        <v>174</v>
      </c>
    </row>
    <row r="32" spans="1:28" ht="32.25" customHeight="1" x14ac:dyDescent="0.25">
      <c r="A32" s="186" t="s">
        <v>174</v>
      </c>
      <c r="B32" s="187"/>
      <c r="C32" s="392" t="s">
        <v>182</v>
      </c>
      <c r="D32" s="392" t="s">
        <v>182</v>
      </c>
      <c r="E32" s="392" t="s">
        <v>182</v>
      </c>
      <c r="F32" s="392" t="s">
        <v>182</v>
      </c>
      <c r="G32" s="392" t="s">
        <v>182</v>
      </c>
      <c r="H32" s="392" t="s">
        <v>182</v>
      </c>
      <c r="I32" s="392" t="s">
        <v>182</v>
      </c>
      <c r="J32" s="392" t="s">
        <v>182</v>
      </c>
      <c r="K32" s="392" t="s">
        <v>182</v>
      </c>
      <c r="L32" s="392" t="s">
        <v>182</v>
      </c>
      <c r="M32" s="392" t="s">
        <v>182</v>
      </c>
      <c r="N32" s="392" t="s">
        <v>182</v>
      </c>
      <c r="O32" s="392" t="s">
        <v>182</v>
      </c>
      <c r="P32" s="392" t="s">
        <v>182</v>
      </c>
      <c r="Q32" s="392" t="s">
        <v>182</v>
      </c>
      <c r="R32" s="392" t="s">
        <v>182</v>
      </c>
      <c r="S32" s="392" t="s">
        <v>182</v>
      </c>
      <c r="T32" s="392" t="s">
        <v>182</v>
      </c>
      <c r="U32" s="392" t="s">
        <v>182</v>
      </c>
      <c r="V32" s="392" t="s">
        <v>182</v>
      </c>
      <c r="W32" s="392" t="s">
        <v>182</v>
      </c>
      <c r="X32" s="392" t="s">
        <v>182</v>
      </c>
      <c r="Y32" s="392" t="s">
        <v>182</v>
      </c>
      <c r="Z32" s="186" t="s">
        <v>174</v>
      </c>
      <c r="AA32" s="224"/>
      <c r="AB32" s="186" t="s">
        <v>174</v>
      </c>
    </row>
    <row r="33" spans="1:28" ht="32.25" customHeight="1" x14ac:dyDescent="0.25">
      <c r="A33" s="186" t="s">
        <v>174</v>
      </c>
      <c r="B33" s="187"/>
      <c r="C33" s="392" t="s">
        <v>182</v>
      </c>
      <c r="D33" s="392" t="s">
        <v>182</v>
      </c>
      <c r="E33" s="392" t="s">
        <v>182</v>
      </c>
      <c r="F33" s="392" t="s">
        <v>182</v>
      </c>
      <c r="G33" s="392" t="s">
        <v>182</v>
      </c>
      <c r="H33" s="392" t="s">
        <v>182</v>
      </c>
      <c r="I33" s="392" t="s">
        <v>182</v>
      </c>
      <c r="J33" s="392" t="s">
        <v>182</v>
      </c>
      <c r="K33" s="392" t="s">
        <v>182</v>
      </c>
      <c r="L33" s="392" t="s">
        <v>182</v>
      </c>
      <c r="M33" s="392" t="s">
        <v>182</v>
      </c>
      <c r="N33" s="392" t="s">
        <v>182</v>
      </c>
      <c r="O33" s="392" t="s">
        <v>182</v>
      </c>
      <c r="P33" s="392" t="s">
        <v>182</v>
      </c>
      <c r="Q33" s="392" t="s">
        <v>182</v>
      </c>
      <c r="R33" s="392" t="s">
        <v>182</v>
      </c>
      <c r="S33" s="392" t="s">
        <v>182</v>
      </c>
      <c r="T33" s="392" t="s">
        <v>182</v>
      </c>
      <c r="U33" s="392" t="s">
        <v>182</v>
      </c>
      <c r="V33" s="392" t="s">
        <v>182</v>
      </c>
      <c r="W33" s="392" t="s">
        <v>182</v>
      </c>
      <c r="X33" s="392" t="s">
        <v>182</v>
      </c>
      <c r="Y33" s="392" t="s">
        <v>182</v>
      </c>
      <c r="Z33" s="186" t="s">
        <v>174</v>
      </c>
      <c r="AA33" s="224"/>
      <c r="AB33" s="186" t="s">
        <v>174</v>
      </c>
    </row>
    <row r="34" spans="1:28" ht="32.25" customHeight="1" x14ac:dyDescent="0.25">
      <c r="A34" s="186" t="s">
        <v>174</v>
      </c>
      <c r="B34" s="187"/>
      <c r="C34" s="392" t="s">
        <v>182</v>
      </c>
      <c r="D34" s="392" t="s">
        <v>182</v>
      </c>
      <c r="E34" s="392" t="s">
        <v>182</v>
      </c>
      <c r="F34" s="392" t="s">
        <v>182</v>
      </c>
      <c r="G34" s="392" t="s">
        <v>182</v>
      </c>
      <c r="H34" s="392" t="s">
        <v>182</v>
      </c>
      <c r="I34" s="392" t="s">
        <v>182</v>
      </c>
      <c r="J34" s="392" t="s">
        <v>182</v>
      </c>
      <c r="K34" s="392" t="s">
        <v>182</v>
      </c>
      <c r="L34" s="392" t="s">
        <v>182</v>
      </c>
      <c r="M34" s="392" t="s">
        <v>182</v>
      </c>
      <c r="N34" s="392" t="s">
        <v>182</v>
      </c>
      <c r="O34" s="392" t="s">
        <v>182</v>
      </c>
      <c r="P34" s="392" t="s">
        <v>182</v>
      </c>
      <c r="Q34" s="392" t="s">
        <v>182</v>
      </c>
      <c r="R34" s="392" t="s">
        <v>182</v>
      </c>
      <c r="S34" s="392" t="s">
        <v>182</v>
      </c>
      <c r="T34" s="392" t="s">
        <v>182</v>
      </c>
      <c r="U34" s="392" t="s">
        <v>182</v>
      </c>
      <c r="V34" s="392" t="s">
        <v>182</v>
      </c>
      <c r="W34" s="392" t="s">
        <v>182</v>
      </c>
      <c r="X34" s="392" t="s">
        <v>182</v>
      </c>
      <c r="Y34" s="392" t="s">
        <v>182</v>
      </c>
      <c r="Z34" s="186" t="s">
        <v>174</v>
      </c>
      <c r="AA34" s="224"/>
      <c r="AB34" s="186" t="s">
        <v>174</v>
      </c>
    </row>
    <row r="35" spans="1:28" ht="32.25" customHeight="1" x14ac:dyDescent="0.25">
      <c r="A35" s="186" t="s">
        <v>174</v>
      </c>
      <c r="B35" s="187"/>
      <c r="C35" s="392" t="s">
        <v>182</v>
      </c>
      <c r="D35" s="392" t="s">
        <v>182</v>
      </c>
      <c r="E35" s="392" t="s">
        <v>182</v>
      </c>
      <c r="F35" s="392" t="s">
        <v>182</v>
      </c>
      <c r="G35" s="392" t="s">
        <v>182</v>
      </c>
      <c r="H35" s="392" t="s">
        <v>182</v>
      </c>
      <c r="I35" s="392" t="s">
        <v>182</v>
      </c>
      <c r="J35" s="392" t="s">
        <v>182</v>
      </c>
      <c r="K35" s="392" t="s">
        <v>182</v>
      </c>
      <c r="L35" s="392" t="s">
        <v>182</v>
      </c>
      <c r="M35" s="392" t="s">
        <v>182</v>
      </c>
      <c r="N35" s="392" t="s">
        <v>182</v>
      </c>
      <c r="O35" s="392" t="s">
        <v>182</v>
      </c>
      <c r="P35" s="392" t="s">
        <v>182</v>
      </c>
      <c r="Q35" s="392" t="s">
        <v>182</v>
      </c>
      <c r="R35" s="392" t="s">
        <v>182</v>
      </c>
      <c r="S35" s="392" t="s">
        <v>182</v>
      </c>
      <c r="T35" s="392" t="s">
        <v>182</v>
      </c>
      <c r="U35" s="392" t="s">
        <v>182</v>
      </c>
      <c r="V35" s="392" t="s">
        <v>182</v>
      </c>
      <c r="W35" s="392" t="s">
        <v>182</v>
      </c>
      <c r="X35" s="392" t="s">
        <v>182</v>
      </c>
      <c r="Y35" s="392" t="s">
        <v>182</v>
      </c>
      <c r="Z35" s="186" t="s">
        <v>174</v>
      </c>
      <c r="AA35" s="224"/>
      <c r="AB35" s="186" t="s">
        <v>174</v>
      </c>
    </row>
    <row r="36" spans="1:28" ht="32.25" customHeight="1" x14ac:dyDescent="0.25">
      <c r="A36" s="186" t="s">
        <v>174</v>
      </c>
      <c r="B36" s="187"/>
      <c r="C36" s="392" t="s">
        <v>182</v>
      </c>
      <c r="D36" s="392" t="s">
        <v>182</v>
      </c>
      <c r="E36" s="392" t="s">
        <v>182</v>
      </c>
      <c r="F36" s="392" t="s">
        <v>182</v>
      </c>
      <c r="G36" s="392" t="s">
        <v>182</v>
      </c>
      <c r="H36" s="392" t="s">
        <v>182</v>
      </c>
      <c r="I36" s="392" t="s">
        <v>182</v>
      </c>
      <c r="J36" s="392" t="s">
        <v>182</v>
      </c>
      <c r="K36" s="392" t="s">
        <v>182</v>
      </c>
      <c r="L36" s="392" t="s">
        <v>182</v>
      </c>
      <c r="M36" s="392" t="s">
        <v>182</v>
      </c>
      <c r="N36" s="392" t="s">
        <v>182</v>
      </c>
      <c r="O36" s="392" t="s">
        <v>182</v>
      </c>
      <c r="P36" s="392" t="s">
        <v>182</v>
      </c>
      <c r="Q36" s="392" t="s">
        <v>182</v>
      </c>
      <c r="R36" s="392" t="s">
        <v>182</v>
      </c>
      <c r="S36" s="392" t="s">
        <v>182</v>
      </c>
      <c r="T36" s="392" t="s">
        <v>182</v>
      </c>
      <c r="U36" s="392" t="s">
        <v>182</v>
      </c>
      <c r="V36" s="392" t="s">
        <v>182</v>
      </c>
      <c r="W36" s="392" t="s">
        <v>182</v>
      </c>
      <c r="X36" s="392" t="s">
        <v>182</v>
      </c>
      <c r="Y36" s="392" t="s">
        <v>182</v>
      </c>
      <c r="Z36" s="186" t="s">
        <v>174</v>
      </c>
      <c r="AA36" s="224"/>
      <c r="AB36" s="186" t="s">
        <v>174</v>
      </c>
    </row>
    <row r="37" spans="1:28" ht="32.25" customHeight="1" x14ac:dyDescent="0.25">
      <c r="B37" s="187"/>
      <c r="C37" s="392" t="s">
        <v>182</v>
      </c>
      <c r="D37" s="392" t="s">
        <v>182</v>
      </c>
      <c r="E37" s="392" t="s">
        <v>182</v>
      </c>
      <c r="F37" s="392" t="s">
        <v>182</v>
      </c>
      <c r="G37" s="392" t="s">
        <v>182</v>
      </c>
      <c r="H37" s="392" t="s">
        <v>182</v>
      </c>
      <c r="I37" s="392" t="s">
        <v>182</v>
      </c>
      <c r="J37" s="392" t="s">
        <v>182</v>
      </c>
      <c r="K37" s="392" t="s">
        <v>182</v>
      </c>
      <c r="L37" s="392" t="s">
        <v>182</v>
      </c>
      <c r="M37" s="392" t="s">
        <v>182</v>
      </c>
      <c r="N37" s="392" t="s">
        <v>182</v>
      </c>
      <c r="O37" s="392" t="s">
        <v>182</v>
      </c>
      <c r="P37" s="392" t="s">
        <v>182</v>
      </c>
      <c r="Q37" s="392" t="s">
        <v>182</v>
      </c>
      <c r="R37" s="392" t="s">
        <v>182</v>
      </c>
      <c r="S37" s="392" t="s">
        <v>182</v>
      </c>
      <c r="T37" s="392" t="s">
        <v>182</v>
      </c>
      <c r="U37" s="392" t="s">
        <v>182</v>
      </c>
      <c r="V37" s="392" t="s">
        <v>182</v>
      </c>
      <c r="W37" s="392" t="s">
        <v>182</v>
      </c>
      <c r="X37" s="392" t="s">
        <v>182</v>
      </c>
      <c r="Y37" s="392" t="s">
        <v>182</v>
      </c>
      <c r="Z37" s="186" t="s">
        <v>174</v>
      </c>
      <c r="AA37" s="224"/>
    </row>
    <row r="38" spans="1:28" ht="32.25" customHeight="1" x14ac:dyDescent="0.25">
      <c r="A38" s="186" t="s">
        <v>174</v>
      </c>
      <c r="B38" s="187"/>
      <c r="C38" s="392" t="s">
        <v>182</v>
      </c>
      <c r="D38" s="392" t="s">
        <v>182</v>
      </c>
      <c r="E38" s="392" t="s">
        <v>182</v>
      </c>
      <c r="F38" s="392" t="s">
        <v>182</v>
      </c>
      <c r="G38" s="392" t="s">
        <v>182</v>
      </c>
      <c r="H38" s="392" t="s">
        <v>182</v>
      </c>
      <c r="I38" s="392" t="s">
        <v>182</v>
      </c>
      <c r="J38" s="392" t="s">
        <v>182</v>
      </c>
      <c r="K38" s="392" t="s">
        <v>182</v>
      </c>
      <c r="L38" s="392" t="s">
        <v>182</v>
      </c>
      <c r="M38" s="392" t="s">
        <v>182</v>
      </c>
      <c r="N38" s="392" t="s">
        <v>182</v>
      </c>
      <c r="O38" s="392" t="s">
        <v>182</v>
      </c>
      <c r="P38" s="392" t="s">
        <v>182</v>
      </c>
      <c r="Q38" s="392" t="s">
        <v>182</v>
      </c>
      <c r="R38" s="392" t="s">
        <v>182</v>
      </c>
      <c r="S38" s="392" t="s">
        <v>182</v>
      </c>
      <c r="T38" s="392" t="s">
        <v>182</v>
      </c>
      <c r="U38" s="392" t="s">
        <v>182</v>
      </c>
      <c r="V38" s="392" t="s">
        <v>182</v>
      </c>
      <c r="W38" s="392" t="s">
        <v>182</v>
      </c>
      <c r="X38" s="392" t="s">
        <v>182</v>
      </c>
      <c r="Y38" s="392" t="s">
        <v>182</v>
      </c>
      <c r="Z38" s="197" t="s">
        <v>174</v>
      </c>
      <c r="AA38" s="224"/>
      <c r="AB38" s="186" t="s">
        <v>174</v>
      </c>
    </row>
    <row r="39" spans="1:28" ht="32.25" customHeight="1" x14ac:dyDescent="0.25">
      <c r="B39" s="187"/>
      <c r="C39" s="392" t="s">
        <v>182</v>
      </c>
      <c r="D39" s="392" t="s">
        <v>182</v>
      </c>
      <c r="E39" s="392" t="s">
        <v>182</v>
      </c>
      <c r="F39" s="392" t="s">
        <v>182</v>
      </c>
      <c r="G39" s="392" t="s">
        <v>182</v>
      </c>
      <c r="H39" s="392" t="s">
        <v>182</v>
      </c>
      <c r="I39" s="392" t="s">
        <v>182</v>
      </c>
      <c r="J39" s="392" t="s">
        <v>182</v>
      </c>
      <c r="K39" s="392" t="s">
        <v>182</v>
      </c>
      <c r="L39" s="392" t="s">
        <v>182</v>
      </c>
      <c r="M39" s="392" t="s">
        <v>182</v>
      </c>
      <c r="N39" s="392" t="s">
        <v>182</v>
      </c>
      <c r="O39" s="392" t="s">
        <v>182</v>
      </c>
      <c r="P39" s="392" t="s">
        <v>182</v>
      </c>
      <c r="Q39" s="392" t="s">
        <v>182</v>
      </c>
      <c r="R39" s="392" t="s">
        <v>182</v>
      </c>
      <c r="S39" s="392" t="s">
        <v>182</v>
      </c>
      <c r="T39" s="392" t="s">
        <v>182</v>
      </c>
      <c r="U39" s="392" t="s">
        <v>182</v>
      </c>
      <c r="V39" s="392" t="s">
        <v>182</v>
      </c>
      <c r="W39" s="392" t="s">
        <v>182</v>
      </c>
      <c r="X39" s="392" t="s">
        <v>182</v>
      </c>
      <c r="Y39" s="392" t="s">
        <v>182</v>
      </c>
      <c r="Z39" s="197"/>
      <c r="AA39" s="224"/>
    </row>
    <row r="40" spans="1:28" ht="32.25" customHeight="1" x14ac:dyDescent="0.25">
      <c r="A40" s="186" t="s">
        <v>174</v>
      </c>
      <c r="B40" s="187"/>
      <c r="C40" s="392" t="s">
        <v>182</v>
      </c>
      <c r="D40" s="392" t="s">
        <v>182</v>
      </c>
      <c r="E40" s="392" t="s">
        <v>182</v>
      </c>
      <c r="F40" s="392" t="s">
        <v>182</v>
      </c>
      <c r="G40" s="392" t="s">
        <v>182</v>
      </c>
      <c r="H40" s="392" t="s">
        <v>182</v>
      </c>
      <c r="I40" s="392" t="s">
        <v>182</v>
      </c>
      <c r="J40" s="392" t="s">
        <v>182</v>
      </c>
      <c r="K40" s="392" t="s">
        <v>182</v>
      </c>
      <c r="L40" s="392" t="s">
        <v>182</v>
      </c>
      <c r="M40" s="392" t="s">
        <v>182</v>
      </c>
      <c r="N40" s="392" t="s">
        <v>182</v>
      </c>
      <c r="O40" s="392" t="s">
        <v>182</v>
      </c>
      <c r="P40" s="392" t="s">
        <v>182</v>
      </c>
      <c r="Q40" s="392" t="s">
        <v>182</v>
      </c>
      <c r="R40" s="392" t="s">
        <v>182</v>
      </c>
      <c r="S40" s="392" t="s">
        <v>182</v>
      </c>
      <c r="T40" s="392" t="s">
        <v>182</v>
      </c>
      <c r="U40" s="392" t="s">
        <v>182</v>
      </c>
      <c r="V40" s="392" t="s">
        <v>182</v>
      </c>
      <c r="W40" s="392" t="s">
        <v>182</v>
      </c>
      <c r="X40" s="392" t="s">
        <v>182</v>
      </c>
      <c r="Y40" s="392" t="s">
        <v>182</v>
      </c>
      <c r="Z40" s="186" t="s">
        <v>174</v>
      </c>
      <c r="AA40" s="224"/>
      <c r="AB40" s="186" t="s">
        <v>174</v>
      </c>
    </row>
    <row r="41" spans="1:28" ht="32.25" customHeight="1" x14ac:dyDescent="0.25">
      <c r="A41" s="186" t="s">
        <v>174</v>
      </c>
      <c r="B41" s="187"/>
      <c r="C41" s="392" t="s">
        <v>182</v>
      </c>
      <c r="D41" s="392" t="s">
        <v>182</v>
      </c>
      <c r="E41" s="392" t="s">
        <v>182</v>
      </c>
      <c r="F41" s="392" t="s">
        <v>182</v>
      </c>
      <c r="G41" s="392" t="s">
        <v>182</v>
      </c>
      <c r="H41" s="392" t="s">
        <v>182</v>
      </c>
      <c r="I41" s="392" t="s">
        <v>182</v>
      </c>
      <c r="J41" s="392" t="s">
        <v>182</v>
      </c>
      <c r="K41" s="392" t="s">
        <v>182</v>
      </c>
      <c r="L41" s="392" t="s">
        <v>182</v>
      </c>
      <c r="M41" s="392" t="s">
        <v>182</v>
      </c>
      <c r="N41" s="392" t="s">
        <v>182</v>
      </c>
      <c r="O41" s="392" t="s">
        <v>182</v>
      </c>
      <c r="P41" s="392" t="s">
        <v>182</v>
      </c>
      <c r="Q41" s="392" t="s">
        <v>182</v>
      </c>
      <c r="R41" s="392" t="s">
        <v>182</v>
      </c>
      <c r="S41" s="392" t="s">
        <v>182</v>
      </c>
      <c r="T41" s="392" t="s">
        <v>182</v>
      </c>
      <c r="U41" s="392" t="s">
        <v>182</v>
      </c>
      <c r="V41" s="392" t="s">
        <v>182</v>
      </c>
      <c r="W41" s="392" t="s">
        <v>182</v>
      </c>
      <c r="X41" s="392" t="s">
        <v>182</v>
      </c>
      <c r="Y41" s="392" t="s">
        <v>182</v>
      </c>
      <c r="Z41" s="186" t="s">
        <v>174</v>
      </c>
      <c r="AA41" s="224"/>
      <c r="AB41" s="186" t="s">
        <v>174</v>
      </c>
    </row>
    <row r="42" spans="1:28" ht="32.25" customHeight="1" x14ac:dyDescent="0.25">
      <c r="B42" s="187"/>
      <c r="C42" s="392" t="s">
        <v>182</v>
      </c>
      <c r="D42" s="392" t="s">
        <v>182</v>
      </c>
      <c r="E42" s="392" t="s">
        <v>182</v>
      </c>
      <c r="F42" s="392" t="s">
        <v>182</v>
      </c>
      <c r="G42" s="392" t="s">
        <v>182</v>
      </c>
      <c r="H42" s="392" t="s">
        <v>182</v>
      </c>
      <c r="I42" s="392" t="s">
        <v>182</v>
      </c>
      <c r="J42" s="392" t="s">
        <v>182</v>
      </c>
      <c r="K42" s="392" t="s">
        <v>182</v>
      </c>
      <c r="L42" s="392" t="s">
        <v>182</v>
      </c>
      <c r="M42" s="392" t="s">
        <v>182</v>
      </c>
      <c r="N42" s="392" t="s">
        <v>182</v>
      </c>
      <c r="O42" s="392" t="s">
        <v>182</v>
      </c>
      <c r="P42" s="392" t="s">
        <v>182</v>
      </c>
      <c r="Q42" s="392" t="s">
        <v>182</v>
      </c>
      <c r="R42" s="392" t="s">
        <v>182</v>
      </c>
      <c r="S42" s="392" t="s">
        <v>182</v>
      </c>
      <c r="T42" s="392" t="s">
        <v>182</v>
      </c>
      <c r="U42" s="392" t="s">
        <v>182</v>
      </c>
      <c r="V42" s="392" t="s">
        <v>182</v>
      </c>
      <c r="W42" s="392" t="s">
        <v>182</v>
      </c>
      <c r="X42" s="392" t="s">
        <v>182</v>
      </c>
      <c r="Y42" s="392" t="s">
        <v>182</v>
      </c>
      <c r="AA42" s="224"/>
    </row>
    <row r="43" spans="1:28" ht="32.25" customHeight="1" x14ac:dyDescent="0.25">
      <c r="A43" s="186" t="s">
        <v>174</v>
      </c>
      <c r="B43" s="187"/>
      <c r="C43" s="392" t="s">
        <v>182</v>
      </c>
      <c r="D43" s="392" t="s">
        <v>182</v>
      </c>
      <c r="E43" s="392" t="s">
        <v>182</v>
      </c>
      <c r="F43" s="392" t="s">
        <v>182</v>
      </c>
      <c r="G43" s="392" t="s">
        <v>182</v>
      </c>
      <c r="H43" s="392" t="s">
        <v>182</v>
      </c>
      <c r="I43" s="392" t="s">
        <v>182</v>
      </c>
      <c r="J43" s="392" t="s">
        <v>182</v>
      </c>
      <c r="K43" s="392" t="s">
        <v>182</v>
      </c>
      <c r="L43" s="392" t="s">
        <v>182</v>
      </c>
      <c r="M43" s="392" t="s">
        <v>182</v>
      </c>
      <c r="N43" s="392" t="s">
        <v>182</v>
      </c>
      <c r="O43" s="392" t="s">
        <v>182</v>
      </c>
      <c r="P43" s="392" t="s">
        <v>182</v>
      </c>
      <c r="Q43" s="392" t="s">
        <v>182</v>
      </c>
      <c r="R43" s="392" t="s">
        <v>182</v>
      </c>
      <c r="S43" s="392" t="s">
        <v>182</v>
      </c>
      <c r="T43" s="392" t="s">
        <v>182</v>
      </c>
      <c r="U43" s="392" t="s">
        <v>182</v>
      </c>
      <c r="V43" s="392" t="s">
        <v>182</v>
      </c>
      <c r="W43" s="392" t="s">
        <v>182</v>
      </c>
      <c r="X43" s="392" t="s">
        <v>182</v>
      </c>
      <c r="Y43" s="392" t="s">
        <v>182</v>
      </c>
      <c r="Z43" s="197" t="s">
        <v>174</v>
      </c>
      <c r="AA43" s="224"/>
      <c r="AB43" s="186" t="s">
        <v>174</v>
      </c>
    </row>
    <row r="44" spans="1:28" ht="32.25" customHeight="1" x14ac:dyDescent="0.25">
      <c r="B44" s="187"/>
      <c r="C44" s="392" t="s">
        <v>182</v>
      </c>
      <c r="D44" s="392" t="s">
        <v>182</v>
      </c>
      <c r="E44" s="392" t="s">
        <v>182</v>
      </c>
      <c r="F44" s="392" t="s">
        <v>182</v>
      </c>
      <c r="G44" s="392" t="s">
        <v>182</v>
      </c>
      <c r="H44" s="392" t="s">
        <v>182</v>
      </c>
      <c r="I44" s="392" t="s">
        <v>182</v>
      </c>
      <c r="J44" s="392" t="s">
        <v>182</v>
      </c>
      <c r="K44" s="392" t="s">
        <v>182</v>
      </c>
      <c r="L44" s="392" t="s">
        <v>182</v>
      </c>
      <c r="M44" s="392" t="s">
        <v>182</v>
      </c>
      <c r="N44" s="392" t="s">
        <v>182</v>
      </c>
      <c r="O44" s="392" t="s">
        <v>182</v>
      </c>
      <c r="P44" s="392" t="s">
        <v>182</v>
      </c>
      <c r="Q44" s="392" t="s">
        <v>182</v>
      </c>
      <c r="R44" s="392" t="s">
        <v>182</v>
      </c>
      <c r="S44" s="392" t="s">
        <v>182</v>
      </c>
      <c r="T44" s="392" t="s">
        <v>182</v>
      </c>
      <c r="U44" s="392" t="s">
        <v>182</v>
      </c>
      <c r="V44" s="392" t="s">
        <v>182</v>
      </c>
      <c r="W44" s="392" t="s">
        <v>182</v>
      </c>
      <c r="X44" s="392" t="s">
        <v>182</v>
      </c>
      <c r="Y44" s="392" t="s">
        <v>182</v>
      </c>
    </row>
    <row r="45" spans="1:28" ht="32.25" customHeight="1" x14ac:dyDescent="0.25">
      <c r="B45" s="187"/>
      <c r="C45" s="392" t="s">
        <v>182</v>
      </c>
      <c r="D45" s="392" t="s">
        <v>182</v>
      </c>
      <c r="E45" s="392" t="s">
        <v>182</v>
      </c>
      <c r="F45" s="392" t="s">
        <v>182</v>
      </c>
      <c r="G45" s="392" t="s">
        <v>182</v>
      </c>
      <c r="H45" s="392" t="s">
        <v>182</v>
      </c>
      <c r="I45" s="392" t="s">
        <v>182</v>
      </c>
      <c r="J45" s="392" t="s">
        <v>182</v>
      </c>
      <c r="K45" s="392" t="s">
        <v>182</v>
      </c>
      <c r="L45" s="392" t="s">
        <v>182</v>
      </c>
      <c r="M45" s="392" t="s">
        <v>182</v>
      </c>
      <c r="N45" s="392" t="s">
        <v>182</v>
      </c>
      <c r="O45" s="392" t="s">
        <v>182</v>
      </c>
      <c r="P45" s="392" t="s">
        <v>182</v>
      </c>
      <c r="Q45" s="392" t="s">
        <v>182</v>
      </c>
      <c r="R45" s="392" t="s">
        <v>182</v>
      </c>
      <c r="S45" s="392" t="s">
        <v>182</v>
      </c>
      <c r="T45" s="392" t="s">
        <v>182</v>
      </c>
      <c r="U45" s="392" t="s">
        <v>182</v>
      </c>
      <c r="V45" s="392" t="s">
        <v>182</v>
      </c>
      <c r="W45" s="392" t="s">
        <v>182</v>
      </c>
      <c r="X45" s="392" t="s">
        <v>182</v>
      </c>
      <c r="Y45" s="392" t="s">
        <v>182</v>
      </c>
    </row>
    <row r="46" spans="1:28" ht="32.25" customHeight="1" x14ac:dyDescent="0.25">
      <c r="B46" s="187"/>
      <c r="C46" s="392" t="s">
        <v>182</v>
      </c>
      <c r="D46" s="392" t="s">
        <v>182</v>
      </c>
      <c r="E46" s="392" t="s">
        <v>182</v>
      </c>
      <c r="F46" s="392" t="s">
        <v>182</v>
      </c>
      <c r="G46" s="392" t="s">
        <v>182</v>
      </c>
      <c r="H46" s="392" t="s">
        <v>182</v>
      </c>
      <c r="I46" s="392" t="s">
        <v>182</v>
      </c>
      <c r="J46" s="392" t="s">
        <v>182</v>
      </c>
      <c r="K46" s="392" t="s">
        <v>182</v>
      </c>
      <c r="L46" s="392" t="s">
        <v>182</v>
      </c>
      <c r="M46" s="392" t="s">
        <v>182</v>
      </c>
      <c r="N46" s="392" t="s">
        <v>182</v>
      </c>
      <c r="O46" s="392" t="s">
        <v>182</v>
      </c>
      <c r="P46" s="392" t="s">
        <v>182</v>
      </c>
      <c r="Q46" s="392" t="s">
        <v>182</v>
      </c>
      <c r="R46" s="392" t="s">
        <v>182</v>
      </c>
      <c r="S46" s="392" t="s">
        <v>182</v>
      </c>
      <c r="T46" s="392" t="s">
        <v>182</v>
      </c>
      <c r="U46" s="392" t="s">
        <v>182</v>
      </c>
      <c r="V46" s="392" t="s">
        <v>182</v>
      </c>
      <c r="W46" s="392" t="s">
        <v>182</v>
      </c>
      <c r="X46" s="392" t="s">
        <v>182</v>
      </c>
      <c r="Y46" s="392" t="s">
        <v>182</v>
      </c>
    </row>
    <row r="47" spans="1:28" ht="32.25" customHeight="1" x14ac:dyDescent="0.25">
      <c r="B47" s="187"/>
      <c r="C47" s="392" t="s">
        <v>182</v>
      </c>
      <c r="D47" s="392" t="s">
        <v>182</v>
      </c>
      <c r="E47" s="392" t="s">
        <v>182</v>
      </c>
      <c r="F47" s="392" t="s">
        <v>182</v>
      </c>
      <c r="G47" s="392" t="s">
        <v>182</v>
      </c>
      <c r="H47" s="392" t="s">
        <v>182</v>
      </c>
      <c r="I47" s="392" t="s">
        <v>182</v>
      </c>
      <c r="J47" s="392" t="s">
        <v>182</v>
      </c>
      <c r="K47" s="392" t="s">
        <v>182</v>
      </c>
      <c r="L47" s="392" t="s">
        <v>182</v>
      </c>
      <c r="M47" s="392" t="s">
        <v>182</v>
      </c>
      <c r="N47" s="392" t="s">
        <v>182</v>
      </c>
      <c r="O47" s="392" t="s">
        <v>182</v>
      </c>
      <c r="P47" s="392" t="s">
        <v>182</v>
      </c>
      <c r="Q47" s="392" t="s">
        <v>182</v>
      </c>
      <c r="R47" s="392" t="s">
        <v>182</v>
      </c>
      <c r="S47" s="392" t="s">
        <v>182</v>
      </c>
      <c r="T47" s="392" t="s">
        <v>182</v>
      </c>
      <c r="U47" s="392" t="s">
        <v>182</v>
      </c>
      <c r="V47" s="392" t="s">
        <v>182</v>
      </c>
      <c r="W47" s="392" t="s">
        <v>182</v>
      </c>
      <c r="X47" s="392" t="s">
        <v>182</v>
      </c>
      <c r="Y47" s="392" t="s">
        <v>182</v>
      </c>
    </row>
    <row r="48" spans="1:28" ht="32.25" customHeight="1" x14ac:dyDescent="0.25">
      <c r="B48" s="187"/>
      <c r="C48" s="392" t="s">
        <v>182</v>
      </c>
      <c r="D48" s="392" t="s">
        <v>182</v>
      </c>
      <c r="E48" s="392" t="s">
        <v>182</v>
      </c>
      <c r="F48" s="392" t="s">
        <v>182</v>
      </c>
      <c r="G48" s="392" t="s">
        <v>182</v>
      </c>
      <c r="H48" s="392" t="s">
        <v>182</v>
      </c>
      <c r="I48" s="392" t="s">
        <v>182</v>
      </c>
      <c r="J48" s="392" t="s">
        <v>182</v>
      </c>
      <c r="K48" s="392" t="s">
        <v>182</v>
      </c>
      <c r="L48" s="392" t="s">
        <v>182</v>
      </c>
      <c r="M48" s="392" t="s">
        <v>182</v>
      </c>
      <c r="N48" s="392" t="s">
        <v>182</v>
      </c>
      <c r="O48" s="392" t="s">
        <v>182</v>
      </c>
      <c r="P48" s="392" t="s">
        <v>182</v>
      </c>
      <c r="Q48" s="392" t="s">
        <v>182</v>
      </c>
      <c r="R48" s="392" t="s">
        <v>182</v>
      </c>
      <c r="S48" s="392" t="s">
        <v>182</v>
      </c>
      <c r="T48" s="392" t="s">
        <v>182</v>
      </c>
      <c r="U48" s="392" t="s">
        <v>182</v>
      </c>
      <c r="V48" s="392" t="s">
        <v>182</v>
      </c>
      <c r="W48" s="392" t="s">
        <v>182</v>
      </c>
      <c r="X48" s="392" t="s">
        <v>182</v>
      </c>
      <c r="Y48" s="392" t="s">
        <v>182</v>
      </c>
    </row>
    <row r="49" spans="2:25" ht="32.25" customHeight="1" x14ac:dyDescent="0.25">
      <c r="B49" s="187"/>
      <c r="C49" s="392" t="s">
        <v>182</v>
      </c>
      <c r="D49" s="392" t="s">
        <v>182</v>
      </c>
      <c r="E49" s="392" t="s">
        <v>182</v>
      </c>
      <c r="F49" s="392" t="s">
        <v>182</v>
      </c>
      <c r="G49" s="392" t="s">
        <v>182</v>
      </c>
      <c r="H49" s="392" t="s">
        <v>182</v>
      </c>
      <c r="I49" s="392" t="s">
        <v>182</v>
      </c>
      <c r="J49" s="392" t="s">
        <v>182</v>
      </c>
      <c r="K49" s="392" t="s">
        <v>182</v>
      </c>
      <c r="L49" s="392" t="s">
        <v>182</v>
      </c>
      <c r="M49" s="392" t="s">
        <v>182</v>
      </c>
      <c r="N49" s="392" t="s">
        <v>182</v>
      </c>
      <c r="O49" s="392" t="s">
        <v>182</v>
      </c>
      <c r="P49" s="392" t="s">
        <v>182</v>
      </c>
      <c r="Q49" s="392" t="s">
        <v>182</v>
      </c>
      <c r="R49" s="392" t="s">
        <v>182</v>
      </c>
      <c r="S49" s="392" t="s">
        <v>182</v>
      </c>
      <c r="T49" s="392" t="s">
        <v>182</v>
      </c>
      <c r="U49" s="392" t="s">
        <v>182</v>
      </c>
      <c r="V49" s="392" t="s">
        <v>182</v>
      </c>
      <c r="W49" s="392" t="s">
        <v>182</v>
      </c>
      <c r="X49" s="392" t="s">
        <v>182</v>
      </c>
      <c r="Y49" s="392" t="s">
        <v>182</v>
      </c>
    </row>
    <row r="50" spans="2:25" ht="32.25" customHeight="1" x14ac:dyDescent="0.25">
      <c r="C50" s="392" t="e">
        <f ca="1">+AVERAGE(C19:C47)</f>
        <v>#REF!</v>
      </c>
      <c r="D50" s="392" t="e">
        <f ca="1">+AVERAGE(D19:D47)</f>
        <v>#REF!</v>
      </c>
      <c r="E50" s="392" t="s">
        <v>182</v>
      </c>
      <c r="F50" s="392" t="e">
        <f ca="1">+AVERAGE(F19:F47)</f>
        <v>#REF!</v>
      </c>
      <c r="G50" s="392" t="e">
        <f>+AVERAGE(G19:G47)</f>
        <v>#REF!</v>
      </c>
      <c r="H50" s="392" t="e">
        <f>+AVERAGE(H19:H47)</f>
        <v>#REF!</v>
      </c>
      <c r="I50" s="392" t="e">
        <f>+AVERAGE(I19:I47)</f>
        <v>#REF!</v>
      </c>
      <c r="J50" s="392" t="e">
        <f>+AVERAGE(J19:J47)</f>
        <v>#REF!</v>
      </c>
      <c r="K50" s="392" t="s">
        <v>182</v>
      </c>
      <c r="L50" s="392" t="s">
        <v>182</v>
      </c>
      <c r="M50" s="392" t="e">
        <f>+AVERAGE(M19:M47)</f>
        <v>#REF!</v>
      </c>
      <c r="N50" s="392" t="s">
        <v>182</v>
      </c>
      <c r="O50" s="392" t="e">
        <f t="shared" ref="O50:T50" si="3">+AVERAGE(O19:O47)</f>
        <v>#REF!</v>
      </c>
      <c r="P50" s="392" t="e">
        <f t="shared" si="3"/>
        <v>#REF!</v>
      </c>
      <c r="Q50" s="392" t="e">
        <f t="shared" si="3"/>
        <v>#REF!</v>
      </c>
      <c r="R50" s="392" t="e">
        <f t="shared" si="3"/>
        <v>#REF!</v>
      </c>
      <c r="S50" s="392" t="e">
        <f t="shared" si="3"/>
        <v>#REF!</v>
      </c>
      <c r="T50" s="392" t="e">
        <f t="shared" si="3"/>
        <v>#REF!</v>
      </c>
      <c r="U50" s="392" t="s">
        <v>182</v>
      </c>
      <c r="V50" s="392" t="s">
        <v>182</v>
      </c>
      <c r="W50" s="392" t="e">
        <f>+AVERAGE(W19:W47)</f>
        <v>#REF!</v>
      </c>
      <c r="X50" s="392" t="e">
        <f>+AVERAGE(X19:X47)</f>
        <v>#REF!</v>
      </c>
      <c r="Y50" s="392">
        <f>+AVERAGE(Y19:Y47)</f>
        <v>0.82320000000000004</v>
      </c>
    </row>
    <row r="53" spans="2:25" ht="32.25" customHeight="1" thickBot="1" x14ac:dyDescent="0.3"/>
    <row r="54" spans="2:25" ht="32.25" customHeight="1" thickBot="1" x14ac:dyDescent="0.3">
      <c r="C54" s="312" t="s">
        <v>182</v>
      </c>
    </row>
    <row r="56" spans="2:25" ht="32.25" customHeight="1" x14ac:dyDescent="0.25">
      <c r="C56" s="313" t="s">
        <v>182</v>
      </c>
    </row>
    <row r="57" spans="2:25" ht="32.25" customHeight="1" thickBot="1" x14ac:dyDescent="0.3"/>
    <row r="58" spans="2:25" ht="32.25" customHeight="1" thickBot="1" x14ac:dyDescent="0.3">
      <c r="C58" s="318" t="s">
        <v>182</v>
      </c>
    </row>
    <row r="59" spans="2:25" ht="32.25" customHeight="1" thickBot="1" x14ac:dyDescent="0.3"/>
    <row r="60" spans="2:25" ht="32.25" customHeight="1" thickBot="1" x14ac:dyDescent="0.3">
      <c r="C60" s="319" t="s">
        <v>182</v>
      </c>
    </row>
  </sheetData>
  <conditionalFormatting sqref="A19:B49">
    <cfRule type="cellIs" dxfId="2114" priority="305" operator="equal">
      <formula>"."</formula>
    </cfRule>
  </conditionalFormatting>
  <conditionalFormatting sqref="A54:B54 D54:XFD54 A58:B58 D58:XFD58 A59:XFD59 A60:B60 D60:XFD60 A61:XFD1048576">
    <cfRule type="cellIs" dxfId="2113" priority="661" operator="equal">
      <formula>"."</formula>
    </cfRule>
  </conditionalFormatting>
  <conditionalFormatting sqref="A1:XFD2">
    <cfRule type="cellIs" dxfId="2112" priority="664" operator="equal">
      <formula>"."</formula>
    </cfRule>
  </conditionalFormatting>
  <conditionalFormatting sqref="A16:XFD18">
    <cfRule type="cellIs" dxfId="2111" priority="641" operator="equal">
      <formula>"."</formula>
    </cfRule>
  </conditionalFormatting>
  <conditionalFormatting sqref="A50:XFD50">
    <cfRule type="cellIs" dxfId="2110" priority="659" operator="equal">
      <formula>"."</formula>
    </cfRule>
  </conditionalFormatting>
  <conditionalFormatting sqref="A55:XFD57">
    <cfRule type="cellIs" dxfId="2109" priority="657" operator="equal">
      <formula>"."</formula>
    </cfRule>
  </conditionalFormatting>
  <conditionalFormatting sqref="C56 C19:T20 C20:Y50">
    <cfRule type="cellIs" dxfId="2108" priority="656" operator="between">
      <formula>$AA$1</formula>
      <formula>$AB$1</formula>
    </cfRule>
  </conditionalFormatting>
  <conditionalFormatting sqref="C56 E19 M19:N19">
    <cfRule type="cellIs" dxfId="2107" priority="658" operator="between">
      <formula>$AA$1</formula>
      <formula>$AB$1</formula>
    </cfRule>
  </conditionalFormatting>
  <conditionalFormatting sqref="C56">
    <cfRule type="cellIs" dxfId="2106" priority="655" operator="equal">
      <formula>"."</formula>
    </cfRule>
  </conditionalFormatting>
  <conditionalFormatting sqref="C15:K15 M15:Q15 S15:U15 W15:Y15">
    <cfRule type="cellIs" dxfId="2105" priority="660" operator="lessThan">
      <formula>0.8</formula>
    </cfRule>
  </conditionalFormatting>
  <conditionalFormatting sqref="C19:T19 C20:Y49 A51:W51 Y51:XFD51 A52:XFD53">
    <cfRule type="cellIs" dxfId="2104" priority="662" operator="equal">
      <formula>"."</formula>
    </cfRule>
  </conditionalFormatting>
  <conditionalFormatting sqref="C19:T19 C20:Y49 D50:E50 K50:L50 N50 R50 U50:V50 L15">
    <cfRule type="cellIs" dxfId="2103" priority="663" operator="between">
      <formula>$AA$1</formula>
      <formula>$AB$1</formula>
    </cfRule>
  </conditionalFormatting>
  <conditionalFormatting sqref="C19:T19 C20:Y49 D50:E50 N50">
    <cfRule type="cellIs" dxfId="2102" priority="648" operator="equal">
      <formula>"."</formula>
    </cfRule>
  </conditionalFormatting>
  <conditionalFormatting sqref="C19:T19 C20:Y49 E50 N50 K50:L50">
    <cfRule type="cellIs" dxfId="2101" priority="637" operator="equal">
      <formula>"."</formula>
    </cfRule>
  </conditionalFormatting>
  <conditionalFormatting sqref="C19:T19 C20:Y49 E50 N50 U50">
    <cfRule type="cellIs" dxfId="2100" priority="619" operator="equal">
      <formula>"."</formula>
    </cfRule>
    <cfRule type="cellIs" dxfId="2099" priority="620" operator="between">
      <formula>$AA$1</formula>
      <formula>$AB$1</formula>
    </cfRule>
    <cfRule type="cellIs" dxfId="2098" priority="621" operator="equal">
      <formula>"."</formula>
    </cfRule>
    <cfRule type="cellIs" dxfId="2097" priority="622" operator="between">
      <formula>$AA$1</formula>
      <formula>$AB$1</formula>
    </cfRule>
  </conditionalFormatting>
  <conditionalFormatting sqref="C19:T19 C20:Y49 E50 N50 U50:V50">
    <cfRule type="cellIs" dxfId="2096" priority="623" operator="equal">
      <formula>"."</formula>
    </cfRule>
  </conditionalFormatting>
  <conditionalFormatting sqref="C19:T19 C20:Y49 E50 N50">
    <cfRule type="cellIs" dxfId="2095" priority="572" operator="between">
      <formula>$AA$1</formula>
      <formula>$AB$1</formula>
    </cfRule>
    <cfRule type="cellIs" dxfId="2094" priority="573" operator="equal">
      <formula>"."</formula>
    </cfRule>
    <cfRule type="cellIs" dxfId="2093" priority="579" operator="between">
      <formula>$AA$1</formula>
      <formula>$AB$1</formula>
    </cfRule>
    <cfRule type="cellIs" dxfId="2092" priority="580" operator="equal">
      <formula>"."</formula>
    </cfRule>
    <cfRule type="cellIs" dxfId="2091" priority="581" operator="between">
      <formula>$AA$1</formula>
      <formula>$AB$1</formula>
    </cfRule>
    <cfRule type="cellIs" dxfId="2090" priority="582" operator="equal">
      <formula>"."</formula>
    </cfRule>
    <cfRule type="cellIs" dxfId="2089" priority="583" operator="between">
      <formula>$AA$1</formula>
      <formula>$AB$1</formula>
    </cfRule>
    <cfRule type="cellIs" dxfId="2088" priority="584" operator="equal">
      <formula>"."</formula>
    </cfRule>
    <cfRule type="cellIs" dxfId="2087" priority="585" operator="between">
      <formula>$AA$1</formula>
      <formula>$AB$1</formula>
    </cfRule>
    <cfRule type="cellIs" dxfId="2086" priority="586" operator="equal">
      <formula>"."</formula>
    </cfRule>
    <cfRule type="cellIs" dxfId="2085" priority="587" operator="between">
      <formula>$AA$1</formula>
      <formula>$AB$1</formula>
    </cfRule>
    <cfRule type="cellIs" dxfId="2084" priority="588" operator="equal">
      <formula>"."</formula>
    </cfRule>
    <cfRule type="cellIs" dxfId="2083" priority="589" operator="between">
      <formula>$AA$1</formula>
      <formula>$AB$1</formula>
    </cfRule>
    <cfRule type="cellIs" dxfId="2082" priority="590" operator="equal">
      <formula>"."</formula>
    </cfRule>
    <cfRule type="cellIs" dxfId="2081" priority="592" operator="between">
      <formula>$AA$1</formula>
      <formula>$AB$1</formula>
    </cfRule>
    <cfRule type="cellIs" dxfId="2080" priority="593" operator="equal">
      <formula>"."</formula>
    </cfRule>
    <cfRule type="cellIs" dxfId="2079" priority="594" operator="between">
      <formula>$AA$1</formula>
      <formula>$AB$1</formula>
    </cfRule>
    <cfRule type="cellIs" dxfId="2078" priority="595" operator="equal">
      <formula>"."</formula>
    </cfRule>
    <cfRule type="cellIs" dxfId="2077" priority="596" operator="between">
      <formula>$AA$1</formula>
      <formula>$AB$1</formula>
    </cfRule>
    <cfRule type="cellIs" dxfId="2076" priority="597" operator="equal">
      <formula>"."</formula>
    </cfRule>
    <cfRule type="cellIs" dxfId="2075" priority="598" operator="between">
      <formula>$AA$1</formula>
      <formula>$AB$1</formula>
    </cfRule>
    <cfRule type="cellIs" dxfId="2074" priority="599" operator="equal">
      <formula>"."</formula>
    </cfRule>
    <cfRule type="cellIs" dxfId="2073" priority="600" operator="between">
      <formula>$AA$1</formula>
      <formula>$AB$1</formula>
    </cfRule>
    <cfRule type="cellIs" dxfId="2072" priority="601" operator="equal">
      <formula>"."</formula>
    </cfRule>
    <cfRule type="cellIs" dxfId="2071" priority="602" operator="between">
      <formula>$AA$1</formula>
      <formula>$AB$1</formula>
    </cfRule>
    <cfRule type="cellIs" dxfId="2070" priority="603" operator="equal">
      <formula>"."</formula>
    </cfRule>
    <cfRule type="cellIs" dxfId="2069" priority="604" operator="between">
      <formula>$AA$1</formula>
      <formula>$AB$1</formula>
    </cfRule>
    <cfRule type="cellIs" dxfId="2068" priority="605" operator="equal">
      <formula>"."</formula>
    </cfRule>
    <cfRule type="cellIs" dxfId="2067" priority="606" operator="between">
      <formula>$AA$1</formula>
      <formula>$AB$1</formula>
    </cfRule>
    <cfRule type="cellIs" dxfId="2066" priority="607" operator="equal">
      <formula>"."</formula>
    </cfRule>
    <cfRule type="cellIs" dxfId="2065" priority="608" operator="between">
      <formula>$AA$1</formula>
      <formula>$AB$1</formula>
    </cfRule>
    <cfRule type="cellIs" dxfId="2064" priority="609" operator="equal">
      <formula>"."</formula>
    </cfRule>
    <cfRule type="cellIs" dxfId="2063" priority="610" operator="between">
      <formula>$AA$1</formula>
      <formula>$AB$1</formula>
    </cfRule>
    <cfRule type="cellIs" dxfId="2062" priority="611" operator="equal">
      <formula>"."</formula>
    </cfRule>
    <cfRule type="cellIs" dxfId="2061" priority="612" operator="between">
      <formula>$AA$1</formula>
      <formula>$AB$1</formula>
    </cfRule>
    <cfRule type="cellIs" dxfId="2060" priority="613" operator="equal">
      <formula>"."</formula>
    </cfRule>
    <cfRule type="cellIs" dxfId="2059" priority="614" operator="between">
      <formula>$AA$1</formula>
      <formula>$AB$1</formula>
    </cfRule>
    <cfRule type="cellIs" dxfId="2058" priority="615" operator="equal">
      <formula>"."</formula>
    </cfRule>
    <cfRule type="cellIs" dxfId="2057" priority="616" operator="between">
      <formula>$AA$1</formula>
      <formula>$AB$1</formula>
    </cfRule>
    <cfRule type="cellIs" dxfId="2056" priority="617" operator="equal">
      <formula>"."</formula>
    </cfRule>
    <cfRule type="cellIs" dxfId="2055" priority="618" operator="between">
      <formula>$AA$1</formula>
      <formula>$AB$1</formula>
    </cfRule>
    <cfRule type="cellIs" dxfId="2054" priority="624" operator="between">
      <formula>$AA$1</formula>
      <formula>$AB$1</formula>
    </cfRule>
    <cfRule type="cellIs" dxfId="2053" priority="625" operator="equal">
      <formula>"."</formula>
    </cfRule>
    <cfRule type="cellIs" dxfId="2052" priority="626" operator="between">
      <formula>$AA$1</formula>
      <formula>$AB$1</formula>
    </cfRule>
    <cfRule type="cellIs" dxfId="2051" priority="627" operator="equal">
      <formula>"."</formula>
    </cfRule>
    <cfRule type="cellIs" dxfId="2050" priority="628" operator="between">
      <formula>$AA$1</formula>
      <formula>$AB$1</formula>
    </cfRule>
    <cfRule type="cellIs" dxfId="2049" priority="629" operator="equal">
      <formula>"."</formula>
    </cfRule>
    <cfRule type="cellIs" dxfId="2048" priority="630" operator="between">
      <formula>$AA$1</formula>
      <formula>$AB$1</formula>
    </cfRule>
    <cfRule type="cellIs" dxfId="2047" priority="631" operator="equal">
      <formula>"."</formula>
    </cfRule>
    <cfRule type="cellIs" dxfId="2046" priority="632" operator="between">
      <formula>$AA$1</formula>
      <formula>$AB$1</formula>
    </cfRule>
    <cfRule type="cellIs" dxfId="2045" priority="633" operator="equal">
      <formula>"."</formula>
    </cfRule>
    <cfRule type="cellIs" dxfId="2044" priority="634" operator="between">
      <formula>$AA$1</formula>
      <formula>$AB$1</formula>
    </cfRule>
    <cfRule type="cellIs" dxfId="2043" priority="635" operator="equal">
      <formula>"."</formula>
    </cfRule>
    <cfRule type="cellIs" dxfId="2042" priority="636" operator="between">
      <formula>$AA$1</formula>
      <formula>$AB$1</formula>
    </cfRule>
    <cfRule type="cellIs" dxfId="2041" priority="638" operator="between">
      <formula>$AA$1</formula>
      <formula>$AB$1</formula>
    </cfRule>
    <cfRule type="cellIs" dxfId="2040" priority="639" operator="equal">
      <formula>"."</formula>
    </cfRule>
    <cfRule type="cellIs" dxfId="2039" priority="640" operator="between">
      <formula>$AA$1</formula>
      <formula>$AB$1</formula>
    </cfRule>
  </conditionalFormatting>
  <conditionalFormatting sqref="C19:X19">
    <cfRule type="cellIs" dxfId="2038" priority="562" operator="equal">
      <formula>"."</formula>
    </cfRule>
    <cfRule type="cellIs" dxfId="2037" priority="563" operator="between">
      <formula>$AA$1</formula>
      <formula>$AB$1</formula>
    </cfRule>
  </conditionalFormatting>
  <conditionalFormatting sqref="C3:Y3">
    <cfRule type="cellIs" dxfId="2036" priority="651" operator="lessThan">
      <formula>0.8</formula>
    </cfRule>
  </conditionalFormatting>
  <conditionalFormatting sqref="C4:Y14">
    <cfRule type="cellIs" dxfId="2035" priority="1" operator="equal">
      <formula>"."</formula>
    </cfRule>
    <cfRule type="cellIs" dxfId="2034" priority="2" operator="between">
      <formula>$AA$1</formula>
      <formula>$AB$1</formula>
    </cfRule>
    <cfRule type="cellIs" dxfId="2033" priority="3" operator="equal">
      <formula>"."</formula>
    </cfRule>
    <cfRule type="cellIs" dxfId="2032" priority="4" operator="between">
      <formula>$AA$1</formula>
      <formula>$AB$1</formula>
    </cfRule>
    <cfRule type="cellIs" dxfId="2031" priority="5" operator="equal">
      <formula>"."</formula>
    </cfRule>
    <cfRule type="cellIs" dxfId="2030" priority="7" operator="between">
      <formula>$AA$1</formula>
      <formula>$AB$1</formula>
    </cfRule>
    <cfRule type="cellIs" dxfId="2029" priority="8" operator="equal">
      <formula>"."</formula>
    </cfRule>
    <cfRule type="cellIs" dxfId="2028" priority="9" operator="between">
      <formula>$AA$1</formula>
      <formula>$AB$1</formula>
    </cfRule>
    <cfRule type="cellIs" dxfId="2027" priority="10" operator="equal">
      <formula>"."</formula>
    </cfRule>
    <cfRule type="cellIs" dxfId="2026" priority="11" operator="between">
      <formula>$AA$1</formula>
      <formula>$AB$1</formula>
    </cfRule>
    <cfRule type="cellIs" dxfId="2025" priority="12" operator="equal">
      <formula>"."</formula>
    </cfRule>
    <cfRule type="cellIs" dxfId="2024" priority="13" operator="between">
      <formula>$AA$1</formula>
      <formula>$AB$1</formula>
    </cfRule>
    <cfRule type="cellIs" dxfId="2023" priority="14" operator="equal">
      <formula>"."</formula>
    </cfRule>
    <cfRule type="cellIs" dxfId="2022" priority="15" operator="between">
      <formula>$AA$1</formula>
      <formula>$AB$1</formula>
    </cfRule>
    <cfRule type="cellIs" dxfId="2021" priority="16" operator="equal">
      <formula>"."</formula>
    </cfRule>
    <cfRule type="cellIs" dxfId="2020" priority="17" operator="between">
      <formula>$AA$1</formula>
      <formula>$AB$1</formula>
    </cfRule>
    <cfRule type="cellIs" dxfId="2019" priority="18" operator="equal">
      <formula>"."</formula>
    </cfRule>
    <cfRule type="cellIs" dxfId="2018" priority="19" operator="between">
      <formula>$AA$1</formula>
      <formula>$AB$1</formula>
    </cfRule>
    <cfRule type="cellIs" dxfId="2017" priority="20" operator="equal">
      <formula>"."</formula>
    </cfRule>
    <cfRule type="cellIs" dxfId="2016" priority="21" operator="between">
      <formula>$AA$1</formula>
      <formula>$AB$1</formula>
    </cfRule>
    <cfRule type="cellIs" dxfId="2015" priority="22" operator="equal">
      <formula>"."</formula>
    </cfRule>
    <cfRule type="cellIs" dxfId="2014" priority="23" operator="between">
      <formula>$AA$1</formula>
      <formula>$AB$1</formula>
    </cfRule>
    <cfRule type="cellIs" dxfId="2013" priority="24" operator="equal">
      <formula>"."</formula>
    </cfRule>
    <cfRule type="cellIs" dxfId="2012" priority="25" operator="between">
      <formula>$AA$1</formula>
      <formula>$AB$1</formula>
    </cfRule>
    <cfRule type="cellIs" dxfId="2011" priority="26" operator="equal">
      <formula>"."</formula>
    </cfRule>
    <cfRule type="cellIs" dxfId="2010" priority="27" operator="between">
      <formula>$AA$1</formula>
      <formula>$AB$1</formula>
    </cfRule>
    <cfRule type="cellIs" dxfId="2009" priority="28" operator="equal">
      <formula>"."</formula>
    </cfRule>
    <cfRule type="cellIs" dxfId="2008" priority="29" operator="between">
      <formula>$AA$1</formula>
      <formula>$AB$1</formula>
    </cfRule>
    <cfRule type="cellIs" dxfId="2007" priority="30" operator="equal">
      <formula>"."</formula>
    </cfRule>
    <cfRule type="cellIs" dxfId="2006" priority="31" operator="between">
      <formula>$AA$1</formula>
      <formula>$AB$1</formula>
    </cfRule>
    <cfRule type="cellIs" dxfId="2005" priority="32" operator="equal">
      <formula>"."</formula>
    </cfRule>
    <cfRule type="cellIs" dxfId="2004" priority="33" operator="between">
      <formula>$AA$1</formula>
      <formula>$AB$1</formula>
    </cfRule>
    <cfRule type="cellIs" dxfId="2003" priority="34" operator="equal">
      <formula>"."</formula>
    </cfRule>
    <cfRule type="cellIs" dxfId="2002" priority="35" operator="between">
      <formula>$AA$1</formula>
      <formula>$AB$1</formula>
    </cfRule>
    <cfRule type="cellIs" dxfId="2001" priority="36" operator="equal">
      <formula>"."</formula>
    </cfRule>
    <cfRule type="cellIs" dxfId="2000" priority="37" operator="between">
      <formula>$AA$1</formula>
      <formula>$AB$1</formula>
    </cfRule>
    <cfRule type="cellIs" dxfId="1999" priority="38" operator="equal">
      <formula>"."</formula>
    </cfRule>
    <cfRule type="cellIs" dxfId="1998" priority="39" operator="between">
      <formula>$AA$1</formula>
      <formula>$AB$1</formula>
    </cfRule>
    <cfRule type="cellIs" dxfId="1997" priority="40" operator="equal">
      <formula>"."</formula>
    </cfRule>
    <cfRule type="cellIs" dxfId="1996" priority="41" operator="between">
      <formula>$AA$1</formula>
      <formula>$AB$1</formula>
    </cfRule>
    <cfRule type="cellIs" dxfId="1995" priority="42" operator="equal">
      <formula>"."</formula>
    </cfRule>
    <cfRule type="cellIs" dxfId="1994" priority="43" operator="between">
      <formula>$AA$1</formula>
      <formula>$AB$1</formula>
    </cfRule>
    <cfRule type="cellIs" dxfId="1993" priority="44" operator="equal">
      <formula>"."</formula>
    </cfRule>
    <cfRule type="cellIs" dxfId="1992" priority="45" operator="between">
      <formula>$AA$1</formula>
      <formula>$AB$1</formula>
    </cfRule>
    <cfRule type="cellIs" dxfId="1991" priority="46" operator="equal">
      <formula>"."</formula>
    </cfRule>
    <cfRule type="cellIs" dxfId="1990" priority="47" operator="between">
      <formula>$AA$1</formula>
      <formula>$AB$1</formula>
    </cfRule>
    <cfRule type="cellIs" dxfId="1989" priority="48" operator="equal">
      <formula>"."</formula>
    </cfRule>
    <cfRule type="cellIs" dxfId="1988" priority="49" operator="between">
      <formula>$AA$1</formula>
      <formula>$AB$1</formula>
    </cfRule>
    <cfRule type="cellIs" dxfId="1987" priority="50" operator="equal">
      <formula>"."</formula>
    </cfRule>
    <cfRule type="cellIs" dxfId="1986" priority="51" operator="between">
      <formula>$AA$1</formula>
      <formula>$AB$1</formula>
    </cfRule>
    <cfRule type="cellIs" dxfId="1985" priority="52" operator="equal">
      <formula>"."</formula>
    </cfRule>
    <cfRule type="cellIs" dxfId="1984" priority="53" operator="between">
      <formula>$AA$1</formula>
      <formula>$AB$1</formula>
    </cfRule>
    <cfRule type="cellIs" dxfId="1983" priority="54" operator="equal">
      <formula>"."</formula>
    </cfRule>
    <cfRule type="cellIs" dxfId="1982" priority="55" operator="between">
      <formula>$AA$1</formula>
      <formula>$AB$1</formula>
    </cfRule>
    <cfRule type="cellIs" dxfId="1981" priority="56" operator="equal">
      <formula>"."</formula>
    </cfRule>
    <cfRule type="cellIs" dxfId="1980" priority="57" operator="between">
      <formula>$AA$1</formula>
      <formula>$AB$1</formula>
    </cfRule>
    <cfRule type="cellIs" dxfId="1979" priority="58" operator="equal">
      <formula>"."</formula>
    </cfRule>
    <cfRule type="cellIs" dxfId="1978" priority="59" operator="between">
      <formula>$AA$1</formula>
      <formula>$AB$1</formula>
    </cfRule>
    <cfRule type="cellIs" dxfId="1977" priority="60" operator="equal">
      <formula>"."</formula>
    </cfRule>
    <cfRule type="cellIs" dxfId="1976" priority="61" operator="between">
      <formula>$AA$1</formula>
      <formula>$AB$1</formula>
    </cfRule>
    <cfRule type="cellIs" dxfId="1975" priority="62" operator="equal">
      <formula>"."</formula>
    </cfRule>
    <cfRule type="cellIs" dxfId="1974" priority="63" operator="between">
      <formula>$AA$1</formula>
      <formula>$AB$1</formula>
    </cfRule>
    <cfRule type="cellIs" dxfId="1973" priority="64" operator="equal">
      <formula>"."</formula>
    </cfRule>
    <cfRule type="cellIs" dxfId="1972" priority="65" operator="between">
      <formula>$AA$1</formula>
      <formula>$AB$1</formula>
    </cfRule>
    <cfRule type="cellIs" dxfId="1971" priority="66" operator="equal">
      <formula>"."</formula>
    </cfRule>
    <cfRule type="cellIs" dxfId="1970" priority="67" operator="between">
      <formula>$AA$1</formula>
      <formula>$AB$1</formula>
    </cfRule>
    <cfRule type="cellIs" dxfId="1969" priority="68" operator="equal">
      <formula>"."</formula>
    </cfRule>
    <cfRule type="cellIs" dxfId="1968" priority="69" operator="between">
      <formula>$AA$1</formula>
      <formula>$AB$1</formula>
    </cfRule>
    <cfRule type="cellIs" dxfId="1967" priority="71" operator="equal">
      <formula>"."</formula>
    </cfRule>
    <cfRule type="cellIs" dxfId="1966" priority="72" operator="between">
      <formula>$AA$1</formula>
      <formula>$AB$1</formula>
    </cfRule>
  </conditionalFormatting>
  <conditionalFormatting sqref="C20:Y49 E50 N50 C19:T19">
    <cfRule type="cellIs" dxfId="1965" priority="571" operator="equal">
      <formula>"."</formula>
    </cfRule>
  </conditionalFormatting>
  <conditionalFormatting sqref="C20:Y49 E50 N50">
    <cfRule type="cellIs" dxfId="1964" priority="569" operator="equal">
      <formula>"."</formula>
    </cfRule>
    <cfRule type="cellIs" dxfId="1963" priority="570" operator="between">
      <formula>$AA$1</formula>
      <formula>$AB$1</formula>
    </cfRule>
  </conditionalFormatting>
  <conditionalFormatting sqref="E19">
    <cfRule type="cellIs" dxfId="1962" priority="75" operator="equal">
      <formula>"."</formula>
    </cfRule>
  </conditionalFormatting>
  <conditionalFormatting sqref="N19">
    <cfRule type="cellIs" dxfId="1961" priority="73" operator="equal">
      <formula>"."</formula>
    </cfRule>
  </conditionalFormatting>
  <conditionalFormatting sqref="R15 L15">
    <cfRule type="cellIs" dxfId="1960" priority="653" operator="equal">
      <formula>"."</formula>
    </cfRule>
  </conditionalFormatting>
  <conditionalFormatting sqref="R15">
    <cfRule type="cellIs" dxfId="1959" priority="652" operator="between">
      <formula>$AA$1</formula>
      <formula>$AB$1</formula>
    </cfRule>
    <cfRule type="cellIs" dxfId="1958" priority="654" operator="between">
      <formula>$AA$1</formula>
      <formula>$AB$1</formula>
    </cfRule>
  </conditionalFormatting>
  <conditionalFormatting sqref="U19:X19">
    <cfRule type="cellIs" dxfId="1957" priority="492" operator="equal">
      <formula>"."</formula>
    </cfRule>
    <cfRule type="cellIs" dxfId="1956" priority="493" operator="between">
      <formula>$AA$1</formula>
      <formula>$AB$1</formula>
    </cfRule>
    <cfRule type="cellIs" dxfId="1955" priority="494" operator="equal">
      <formula>"."</formula>
    </cfRule>
    <cfRule type="cellIs" dxfId="1954" priority="498" operator="equal">
      <formula>"."</formula>
    </cfRule>
    <cfRule type="cellIs" dxfId="1953" priority="499" operator="between">
      <formula>$AA$1</formula>
      <formula>$AB$1</formula>
    </cfRule>
    <cfRule type="cellIs" dxfId="1952" priority="500" operator="equal">
      <formula>"."</formula>
    </cfRule>
    <cfRule type="cellIs" dxfId="1951" priority="501" operator="between">
      <formula>$AA$1</formula>
      <formula>$AB$1</formula>
    </cfRule>
    <cfRule type="cellIs" dxfId="1950" priority="502" operator="equal">
      <formula>"."</formula>
    </cfRule>
    <cfRule type="cellIs" dxfId="1949" priority="503" operator="between">
      <formula>$AA$1</formula>
      <formula>$AB$1</formula>
    </cfRule>
    <cfRule type="cellIs" dxfId="1948" priority="504" operator="equal">
      <formula>"."</formula>
    </cfRule>
    <cfRule type="cellIs" dxfId="1947" priority="505" operator="between">
      <formula>$AA$1</formula>
      <formula>$AB$1</formula>
    </cfRule>
    <cfRule type="cellIs" dxfId="1946" priority="506" operator="equal">
      <formula>"."</formula>
    </cfRule>
    <cfRule type="cellIs" dxfId="1945" priority="507" operator="between">
      <formula>$AA$1</formula>
      <formula>$AB$1</formula>
    </cfRule>
    <cfRule type="cellIs" dxfId="1944" priority="508" operator="equal">
      <formula>"."</formula>
    </cfRule>
    <cfRule type="cellIs" dxfId="1943" priority="509" operator="between">
      <formula>$AA$1</formula>
      <formula>$AB$1</formula>
    </cfRule>
    <cfRule type="cellIs" dxfId="1942" priority="510" operator="equal">
      <formula>"."</formula>
    </cfRule>
    <cfRule type="cellIs" dxfId="1941" priority="511" operator="between">
      <formula>$AA$1</formula>
      <formula>$AB$1</formula>
    </cfRule>
    <cfRule type="cellIs" dxfId="1940" priority="512" operator="equal">
      <formula>"."</formula>
    </cfRule>
    <cfRule type="cellIs" dxfId="1939" priority="513" operator="between">
      <formula>$AA$1</formula>
      <formula>$AB$1</formula>
    </cfRule>
    <cfRule type="cellIs" dxfId="1938" priority="514" operator="equal">
      <formula>"."</formula>
    </cfRule>
    <cfRule type="cellIs" dxfId="1937" priority="515" operator="between">
      <formula>$AA$1</formula>
      <formula>$AB$1</formula>
    </cfRule>
    <cfRule type="cellIs" dxfId="1936" priority="516" operator="equal">
      <formula>"."</formula>
    </cfRule>
    <cfRule type="cellIs" dxfId="1935" priority="517" operator="between">
      <formula>$AA$1</formula>
      <formula>$AB$1</formula>
    </cfRule>
    <cfRule type="cellIs" dxfId="1934" priority="518" operator="equal">
      <formula>"."</formula>
    </cfRule>
    <cfRule type="cellIs" dxfId="1933" priority="519" operator="between">
      <formula>$AA$1</formula>
      <formula>$AB$1</formula>
    </cfRule>
    <cfRule type="cellIs" dxfId="1932" priority="520" operator="equal">
      <formula>"."</formula>
    </cfRule>
    <cfRule type="cellIs" dxfId="1931" priority="521" operator="between">
      <formula>$AA$1</formula>
      <formula>$AB$1</formula>
    </cfRule>
    <cfRule type="cellIs" dxfId="1930" priority="522" operator="equal">
      <formula>"."</formula>
    </cfRule>
    <cfRule type="cellIs" dxfId="1929" priority="523" operator="between">
      <formula>$AA$1</formula>
      <formula>$AB$1</formula>
    </cfRule>
    <cfRule type="cellIs" dxfId="1928" priority="524" operator="equal">
      <formula>"."</formula>
    </cfRule>
    <cfRule type="cellIs" dxfId="1927" priority="525" operator="between">
      <formula>$AA$1</formula>
      <formula>$AB$1</formula>
    </cfRule>
    <cfRule type="cellIs" dxfId="1926" priority="526" operator="equal">
      <formula>"."</formula>
    </cfRule>
    <cfRule type="cellIs" dxfId="1925" priority="527" operator="between">
      <formula>$AA$1</formula>
      <formula>$AB$1</formula>
    </cfRule>
    <cfRule type="cellIs" dxfId="1924" priority="528" operator="equal">
      <formula>"."</formula>
    </cfRule>
    <cfRule type="cellIs" dxfId="1923" priority="529" operator="between">
      <formula>$AA$1</formula>
      <formula>$AB$1</formula>
    </cfRule>
    <cfRule type="cellIs" dxfId="1922" priority="530" operator="equal">
      <formula>"."</formula>
    </cfRule>
    <cfRule type="cellIs" dxfId="1921" priority="531" operator="between">
      <formula>$AA$1</formula>
      <formula>$AB$1</formula>
    </cfRule>
    <cfRule type="cellIs" dxfId="1920" priority="532" operator="equal">
      <formula>"."</formula>
    </cfRule>
    <cfRule type="cellIs" dxfId="1919" priority="533" operator="between">
      <formula>$AA$1</formula>
      <formula>$AB$1</formula>
    </cfRule>
    <cfRule type="cellIs" dxfId="1918" priority="534" operator="equal">
      <formula>"."</formula>
    </cfRule>
    <cfRule type="cellIs" dxfId="1917" priority="535" operator="between">
      <formula>$AA$1</formula>
      <formula>$AB$1</formula>
    </cfRule>
    <cfRule type="cellIs" dxfId="1916" priority="536" operator="equal">
      <formula>"."</formula>
    </cfRule>
    <cfRule type="cellIs" dxfId="1915" priority="537" operator="between">
      <formula>$AA$1</formula>
      <formula>$AB$1</formula>
    </cfRule>
    <cfRule type="cellIs" dxfId="1914" priority="538" operator="equal">
      <formula>"."</formula>
    </cfRule>
    <cfRule type="cellIs" dxfId="1913" priority="539" operator="between">
      <formula>$AA$1</formula>
      <formula>$AB$1</formula>
    </cfRule>
    <cfRule type="cellIs" dxfId="1912" priority="540" operator="equal">
      <formula>"."</formula>
    </cfRule>
    <cfRule type="cellIs" dxfId="1911" priority="541" operator="between">
      <formula>$AA$1</formula>
      <formula>$AB$1</formula>
    </cfRule>
    <cfRule type="cellIs" dxfId="1910" priority="542" operator="equal">
      <formula>"."</formula>
    </cfRule>
    <cfRule type="cellIs" dxfId="1909" priority="543" operator="between">
      <formula>$AA$1</formula>
      <formula>$AB$1</formula>
    </cfRule>
    <cfRule type="cellIs" dxfId="1908" priority="544" operator="equal">
      <formula>"."</formula>
    </cfRule>
    <cfRule type="cellIs" dxfId="1907" priority="545" operator="between">
      <formula>$AA$1</formula>
      <formula>$AB$1</formula>
    </cfRule>
    <cfRule type="cellIs" dxfId="1906" priority="546" operator="equal">
      <formula>"."</formula>
    </cfRule>
    <cfRule type="cellIs" dxfId="1905" priority="547" operator="between">
      <formula>$AA$1</formula>
      <formula>$AB$1</formula>
    </cfRule>
    <cfRule type="cellIs" dxfId="1904" priority="548" operator="equal">
      <formula>"."</formula>
    </cfRule>
    <cfRule type="cellIs" dxfId="1903" priority="549" operator="between">
      <formula>$AA$1</formula>
      <formula>$AB$1</formula>
    </cfRule>
    <cfRule type="cellIs" dxfId="1902" priority="550" operator="equal">
      <formula>"."</formula>
    </cfRule>
    <cfRule type="cellIs" dxfId="1901" priority="551" operator="between">
      <formula>$AA$1</formula>
      <formula>$AB$1</formula>
    </cfRule>
    <cfRule type="cellIs" dxfId="1900" priority="552" operator="equal">
      <formula>"."</formula>
    </cfRule>
    <cfRule type="cellIs" dxfId="1899" priority="553" operator="between">
      <formula>$AA$1</formula>
      <formula>$AB$1</formula>
    </cfRule>
    <cfRule type="cellIs" dxfId="1898" priority="554" operator="equal">
      <formula>"."</formula>
    </cfRule>
    <cfRule type="cellIs" dxfId="1897" priority="555" operator="between">
      <formula>$AA$1</formula>
      <formula>$AB$1</formula>
    </cfRule>
    <cfRule type="cellIs" dxfId="1896" priority="556" operator="equal">
      <formula>"."</formula>
    </cfRule>
    <cfRule type="cellIs" dxfId="1895" priority="557" operator="between">
      <formula>$AA$1</formula>
      <formula>$AB$1</formula>
    </cfRule>
    <cfRule type="cellIs" dxfId="1894" priority="558" operator="equal">
      <formula>"."</formula>
    </cfRule>
    <cfRule type="cellIs" dxfId="1893" priority="559" operator="between">
      <formula>$AA$1</formula>
      <formula>$AB$1</formula>
    </cfRule>
    <cfRule type="cellIs" dxfId="1892" priority="560" operator="equal">
      <formula>"."</formula>
    </cfRule>
    <cfRule type="cellIs" dxfId="1891" priority="561" operator="between">
      <formula>$AA$1</formula>
      <formula>$AB$1</formula>
    </cfRule>
  </conditionalFormatting>
  <conditionalFormatting sqref="U19:Y19">
    <cfRule type="cellIs" dxfId="1890" priority="147" operator="equal">
      <formula>"."</formula>
    </cfRule>
    <cfRule type="cellIs" dxfId="1889" priority="148" operator="between">
      <formula>$AA$1</formula>
      <formula>$AB$1</formula>
    </cfRule>
  </conditionalFormatting>
  <conditionalFormatting sqref="V15">
    <cfRule type="cellIs" dxfId="1888" priority="487" operator="between">
      <formula>$AA$1</formula>
      <formula>$AB$1</formula>
    </cfRule>
    <cfRule type="cellIs" dxfId="1887" priority="488" operator="equal">
      <formula>"."</formula>
    </cfRule>
    <cfRule type="cellIs" dxfId="1886" priority="489" operator="between">
      <formula>$AA$1</formula>
      <formula>$AB$1</formula>
    </cfRule>
  </conditionalFormatting>
  <conditionalFormatting sqref="V19">
    <cfRule type="cellIs" dxfId="1885" priority="495" operator="between">
      <formula>$AA$1</formula>
      <formula>$AB$1</formula>
    </cfRule>
    <cfRule type="cellIs" dxfId="1884" priority="496" operator="equal">
      <formula>"."</formula>
    </cfRule>
    <cfRule type="cellIs" dxfId="1883" priority="497" operator="between">
      <formula>$AA$1</formula>
      <formula>$AB$1</formula>
    </cfRule>
  </conditionalFormatting>
  <conditionalFormatting sqref="Y19">
    <cfRule type="cellIs" dxfId="1882" priority="77" operator="equal">
      <formula>"."</formula>
    </cfRule>
    <cfRule type="cellIs" dxfId="1881" priority="78" operator="between">
      <formula>$AA$1</formula>
      <formula>$AB$1</formula>
    </cfRule>
    <cfRule type="cellIs" dxfId="1880" priority="79" operator="equal">
      <formula>"."</formula>
    </cfRule>
    <cfRule type="cellIs" dxfId="1879" priority="80" operator="between">
      <formula>$AA$1</formula>
      <formula>$AB$1</formula>
    </cfRule>
    <cfRule type="cellIs" dxfId="1878" priority="81" operator="equal">
      <formula>"."</formula>
    </cfRule>
    <cfRule type="cellIs" dxfId="1877" priority="82" operator="between">
      <formula>$AA$1</formula>
      <formula>$AB$1</formula>
    </cfRule>
    <cfRule type="cellIs" dxfId="1876" priority="83" operator="equal">
      <formula>"."</formula>
    </cfRule>
    <cfRule type="cellIs" dxfId="1875" priority="84" operator="between">
      <formula>$AA$1</formula>
      <formula>$AB$1</formula>
    </cfRule>
    <cfRule type="cellIs" dxfId="1874" priority="85" operator="equal">
      <formula>"."</formula>
    </cfRule>
    <cfRule type="cellIs" dxfId="1873" priority="86" operator="between">
      <formula>$AA$1</formula>
      <formula>$AB$1</formula>
    </cfRule>
    <cfRule type="cellIs" dxfId="1872" priority="87" operator="equal">
      <formula>"."</formula>
    </cfRule>
    <cfRule type="cellIs" dxfId="1871" priority="88" operator="between">
      <formula>$AA$1</formula>
      <formula>$AB$1</formula>
    </cfRule>
    <cfRule type="cellIs" dxfId="1870" priority="89" operator="equal">
      <formula>"."</formula>
    </cfRule>
    <cfRule type="cellIs" dxfId="1869" priority="90" operator="between">
      <formula>$AA$1</formula>
      <formula>$AB$1</formula>
    </cfRule>
    <cfRule type="cellIs" dxfId="1868" priority="91" operator="equal">
      <formula>"."</formula>
    </cfRule>
    <cfRule type="cellIs" dxfId="1867" priority="92" operator="between">
      <formula>$AA$1</formula>
      <formula>$AB$1</formula>
    </cfRule>
    <cfRule type="cellIs" dxfId="1866" priority="93" operator="equal">
      <formula>"."</formula>
    </cfRule>
    <cfRule type="cellIs" dxfId="1865" priority="94" operator="between">
      <formula>$AA$1</formula>
      <formula>$AB$1</formula>
    </cfRule>
    <cfRule type="cellIs" dxfId="1864" priority="95" operator="equal">
      <formula>"."</formula>
    </cfRule>
    <cfRule type="cellIs" dxfId="1863" priority="96" operator="between">
      <formula>$AA$1</formula>
      <formula>$AB$1</formula>
    </cfRule>
    <cfRule type="cellIs" dxfId="1862" priority="97" operator="equal">
      <formula>"."</formula>
    </cfRule>
    <cfRule type="cellIs" dxfId="1861" priority="98" operator="between">
      <formula>$AA$1</formula>
      <formula>$AB$1</formula>
    </cfRule>
    <cfRule type="cellIs" dxfId="1860" priority="99" operator="equal">
      <formula>"."</formula>
    </cfRule>
    <cfRule type="cellIs" dxfId="1859" priority="100" operator="between">
      <formula>$AA$1</formula>
      <formula>$AB$1</formula>
    </cfRule>
    <cfRule type="cellIs" dxfId="1858" priority="101" operator="equal">
      <formula>"."</formula>
    </cfRule>
    <cfRule type="cellIs" dxfId="1857" priority="102" operator="between">
      <formula>$AA$1</formula>
      <formula>$AB$1</formula>
    </cfRule>
    <cfRule type="cellIs" dxfId="1856" priority="103" operator="equal">
      <formula>"."</formula>
    </cfRule>
    <cfRule type="cellIs" dxfId="1855" priority="104" operator="between">
      <formula>$AA$1</formula>
      <formula>$AB$1</formula>
    </cfRule>
    <cfRule type="cellIs" dxfId="1854" priority="105" operator="equal">
      <formula>"."</formula>
    </cfRule>
    <cfRule type="cellIs" dxfId="1853" priority="106" operator="between">
      <formula>$AA$1</formula>
      <formula>$AB$1</formula>
    </cfRule>
    <cfRule type="cellIs" dxfId="1852" priority="107" operator="equal">
      <formula>"."</formula>
    </cfRule>
    <cfRule type="cellIs" dxfId="1851" priority="108" operator="between">
      <formula>$AA$1</formula>
      <formula>$AB$1</formula>
    </cfRule>
    <cfRule type="cellIs" dxfId="1850" priority="109" operator="equal">
      <formula>"."</formula>
    </cfRule>
    <cfRule type="cellIs" dxfId="1849" priority="110" operator="between">
      <formula>$AA$1</formula>
      <formula>$AB$1</formula>
    </cfRule>
    <cfRule type="cellIs" dxfId="1848" priority="111" operator="equal">
      <formula>"."</formula>
    </cfRule>
    <cfRule type="cellIs" dxfId="1847" priority="112" operator="between">
      <formula>$AA$1</formula>
      <formula>$AB$1</formula>
    </cfRule>
    <cfRule type="cellIs" dxfId="1846" priority="113" operator="equal">
      <formula>"."</formula>
    </cfRule>
    <cfRule type="cellIs" dxfId="1845" priority="114" operator="between">
      <formula>$AA$1</formula>
      <formula>$AB$1</formula>
    </cfRule>
    <cfRule type="cellIs" dxfId="1844" priority="115" operator="equal">
      <formula>"."</formula>
    </cfRule>
    <cfRule type="cellIs" dxfId="1843" priority="116" operator="between">
      <formula>$AA$1</formula>
      <formula>$AB$1</formula>
    </cfRule>
    <cfRule type="cellIs" dxfId="1842" priority="117" operator="equal">
      <formula>"."</formula>
    </cfRule>
    <cfRule type="cellIs" dxfId="1841" priority="118" operator="between">
      <formula>$AA$1</formula>
      <formula>$AB$1</formula>
    </cfRule>
    <cfRule type="cellIs" dxfId="1840" priority="119" operator="equal">
      <formula>"."</formula>
    </cfRule>
    <cfRule type="cellIs" dxfId="1839" priority="120" operator="between">
      <formula>$AA$1</formula>
      <formula>$AB$1</formula>
    </cfRule>
    <cfRule type="cellIs" dxfId="1838" priority="121" operator="equal">
      <formula>"."</formula>
    </cfRule>
    <cfRule type="cellIs" dxfId="1837" priority="122" operator="between">
      <formula>$AA$1</formula>
      <formula>$AB$1</formula>
    </cfRule>
    <cfRule type="cellIs" dxfId="1836" priority="123" operator="equal">
      <formula>"."</formula>
    </cfRule>
    <cfRule type="cellIs" dxfId="1835" priority="124" operator="between">
      <formula>$AA$1</formula>
      <formula>$AB$1</formula>
    </cfRule>
    <cfRule type="cellIs" dxfId="1834" priority="125" operator="equal">
      <formula>"."</formula>
    </cfRule>
    <cfRule type="cellIs" dxfId="1833" priority="126" operator="between">
      <formula>$AA$1</formula>
      <formula>$AB$1</formula>
    </cfRule>
    <cfRule type="cellIs" dxfId="1832" priority="127" operator="equal">
      <formula>"."</formula>
    </cfRule>
    <cfRule type="cellIs" dxfId="1831" priority="128" operator="between">
      <formula>$AA$1</formula>
      <formula>$AB$1</formula>
    </cfRule>
    <cfRule type="cellIs" dxfId="1830" priority="129" operator="equal">
      <formula>"."</formula>
    </cfRule>
    <cfRule type="cellIs" dxfId="1829" priority="130" operator="between">
      <formula>$AA$1</formula>
      <formula>$AB$1</formula>
    </cfRule>
    <cfRule type="cellIs" dxfId="1828" priority="131" operator="equal">
      <formula>"."</formula>
    </cfRule>
    <cfRule type="cellIs" dxfId="1827" priority="132" operator="between">
      <formula>$AA$1</formula>
      <formula>$AB$1</formula>
    </cfRule>
    <cfRule type="cellIs" dxfId="1826" priority="133" operator="equal">
      <formula>"."</formula>
    </cfRule>
    <cfRule type="cellIs" dxfId="1825" priority="134" operator="between">
      <formula>$AA$1</formula>
      <formula>$AB$1</formula>
    </cfRule>
    <cfRule type="cellIs" dxfId="1824" priority="135" operator="equal">
      <formula>"."</formula>
    </cfRule>
    <cfRule type="cellIs" dxfId="1823" priority="136" operator="between">
      <formula>$AA$1</formula>
      <formula>$AB$1</formula>
    </cfRule>
    <cfRule type="cellIs" dxfId="1822" priority="137" operator="equal">
      <formula>"."</formula>
    </cfRule>
    <cfRule type="cellIs" dxfId="1821" priority="138" operator="between">
      <formula>$AA$1</formula>
      <formula>$AB$1</formula>
    </cfRule>
    <cfRule type="cellIs" dxfId="1820" priority="139" operator="equal">
      <formula>"."</formula>
    </cfRule>
    <cfRule type="cellIs" dxfId="1819" priority="140" operator="between">
      <formula>$AA$1</formula>
      <formula>$AB$1</formula>
    </cfRule>
    <cfRule type="cellIs" dxfId="1818" priority="141" operator="equal">
      <formula>"."</formula>
    </cfRule>
    <cfRule type="cellIs" dxfId="1817" priority="142" operator="between">
      <formula>$AA$1</formula>
      <formula>$AB$1</formula>
    </cfRule>
    <cfRule type="cellIs" dxfId="1816" priority="143" operator="equal">
      <formula>"."</formula>
    </cfRule>
    <cfRule type="cellIs" dxfId="1815" priority="144" operator="between">
      <formula>$AA$1</formula>
      <formula>$AB$1</formula>
    </cfRule>
    <cfRule type="cellIs" dxfId="1814" priority="145" operator="equal">
      <formula>"."</formula>
    </cfRule>
    <cfRule type="cellIs" dxfId="1813" priority="146" operator="between">
      <formula>$AA$1</formula>
      <formula>$AB$1</formula>
    </cfRule>
  </conditionalFormatting>
  <conditionalFormatting sqref="Y19:Y49">
    <cfRule type="cellIs" dxfId="1812" priority="150" operator="between">
      <formula>$AA$1</formula>
      <formula>$AB$1</formula>
    </cfRule>
  </conditionalFormatting>
  <conditionalFormatting sqref="Y20:Y49">
    <cfRule type="cellIs" dxfId="1811" priority="566" operator="equal">
      <formula>"."</formula>
    </cfRule>
    <cfRule type="cellIs" dxfId="1810" priority="567" operator="between">
      <formula>$AA$1</formula>
      <formula>$AB$1</formula>
    </cfRule>
  </conditionalFormatting>
  <conditionalFormatting sqref="Y19:XFD49">
    <cfRule type="cellIs" dxfId="1809" priority="149" operator="equal">
      <formula>"."</formula>
    </cfRule>
  </conditionalFormatting>
  <printOptions horizontalCentered="1" verticalCentered="1"/>
  <pageMargins left="0" right="0" top="0" bottom="0" header="0" footer="0"/>
  <pageSetup paperSize="9" scale="3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zoomScale="85" zoomScaleNormal="85" zoomScaleSheetLayoutView="85" workbookViewId="0">
      <selection activeCell="F16" sqref="F16"/>
    </sheetView>
  </sheetViews>
  <sheetFormatPr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2.85546875" style="403" customWidth="1"/>
    <col min="7" max="7" width="5.85546875" style="403" customWidth="1"/>
    <col min="8" max="8" width="11.28515625" style="403" customWidth="1"/>
    <col min="9" max="9" width="5.140625" style="403" customWidth="1"/>
    <col min="10" max="10" width="11.5703125" style="403" customWidth="1"/>
    <col min="11" max="11" width="5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5.42578125" style="403" customWidth="1"/>
    <col min="17" max="17" width="13.28515625" style="403" customWidth="1"/>
    <col min="18" max="18" width="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2:22" ht="27.75" customHeight="1" x14ac:dyDescent="0.25">
      <c r="B1" s="404" t="s">
        <v>21</v>
      </c>
      <c r="S1" s="558" t="s">
        <v>469</v>
      </c>
      <c r="T1" s="558"/>
    </row>
    <row r="2" spans="2:22" ht="27.75" customHeight="1" x14ac:dyDescent="0.25">
      <c r="B2" s="403"/>
      <c r="C2" s="403"/>
      <c r="D2" s="403"/>
    </row>
    <row r="3" spans="2:22" s="406" customFormat="1" ht="36" customHeight="1" x14ac:dyDescent="0.25">
      <c r="B3" s="559" t="s">
        <v>417</v>
      </c>
      <c r="C3" s="562" t="s">
        <v>415</v>
      </c>
      <c r="D3" s="407"/>
      <c r="E3" s="565" t="s">
        <v>351</v>
      </c>
      <c r="F3" s="568" t="s">
        <v>416</v>
      </c>
      <c r="G3" s="403"/>
      <c r="H3" s="571" t="s">
        <v>408</v>
      </c>
      <c r="I3" s="571"/>
      <c r="J3" s="571"/>
      <c r="K3" s="571"/>
      <c r="L3" s="571"/>
      <c r="M3" s="571"/>
      <c r="O3" s="572" t="s">
        <v>411</v>
      </c>
      <c r="P3" s="573"/>
      <c r="Q3" s="573"/>
      <c r="R3" s="573"/>
      <c r="S3" s="573"/>
      <c r="T3" s="574"/>
      <c r="U3" s="408"/>
    </row>
    <row r="4" spans="2:22" s="406" customFormat="1" ht="36" customHeight="1" x14ac:dyDescent="0.25">
      <c r="B4" s="560"/>
      <c r="C4" s="563"/>
      <c r="D4" s="407"/>
      <c r="E4" s="566"/>
      <c r="F4" s="569"/>
      <c r="G4" s="403"/>
      <c r="H4" s="552" t="s">
        <v>413</v>
      </c>
      <c r="I4" s="553"/>
      <c r="J4" s="552" t="s">
        <v>414</v>
      </c>
      <c r="K4" s="553"/>
      <c r="L4" s="556" t="s">
        <v>412</v>
      </c>
      <c r="M4" s="557"/>
      <c r="O4" s="552" t="s">
        <v>413</v>
      </c>
      <c r="P4" s="553"/>
      <c r="Q4" s="552" t="s">
        <v>414</v>
      </c>
      <c r="R4" s="553"/>
      <c r="S4" s="556" t="s">
        <v>412</v>
      </c>
      <c r="T4" s="557"/>
      <c r="U4" s="408"/>
    </row>
    <row r="5" spans="2:22" s="406" customFormat="1" ht="57" customHeight="1" x14ac:dyDescent="0.25">
      <c r="B5" s="561"/>
      <c r="C5" s="564"/>
      <c r="D5" s="407"/>
      <c r="E5" s="567"/>
      <c r="F5" s="570"/>
      <c r="G5" s="403"/>
      <c r="H5" s="554"/>
      <c r="I5" s="555"/>
      <c r="J5" s="554"/>
      <c r="K5" s="555"/>
      <c r="L5" s="456" t="s">
        <v>409</v>
      </c>
      <c r="M5" s="457" t="s">
        <v>410</v>
      </c>
      <c r="O5" s="554"/>
      <c r="P5" s="555"/>
      <c r="Q5" s="554"/>
      <c r="R5" s="555"/>
      <c r="S5" s="456" t="s">
        <v>409</v>
      </c>
      <c r="T5" s="457" t="s">
        <v>410</v>
      </c>
      <c r="U5" s="408"/>
    </row>
    <row r="6" spans="2:22" ht="27.75" customHeight="1" x14ac:dyDescent="0.25">
      <c r="B6" s="415">
        <v>-46.1875</v>
      </c>
      <c r="C6" s="416">
        <v>450</v>
      </c>
      <c r="D6" s="411"/>
      <c r="E6" s="430" t="s">
        <v>428</v>
      </c>
      <c r="F6" s="419">
        <v>496.1875</v>
      </c>
      <c r="H6" s="412">
        <v>749</v>
      </c>
      <c r="I6" s="436">
        <f t="shared" ref="I6:I16" si="0">+IFERROR(H6/F6,"")</f>
        <v>1.5095100138556494</v>
      </c>
      <c r="J6" s="413">
        <v>661</v>
      </c>
      <c r="K6" s="436">
        <f t="shared" ref="K6:K16" si="1">+IFERROR(J6/F6,"")</f>
        <v>1.3321577024814208</v>
      </c>
      <c r="L6" s="419">
        <f>+H6-F6</f>
        <v>252.8125</v>
      </c>
      <c r="M6" s="421">
        <f>+J6-F6</f>
        <v>164.8125</v>
      </c>
      <c r="O6" s="412"/>
      <c r="P6" s="436">
        <f>+IFERROR(O6/F6,"")</f>
        <v>0</v>
      </c>
      <c r="Q6" s="412"/>
      <c r="R6" s="436">
        <f>+IFERROR(Q6/F6,"")</f>
        <v>0</v>
      </c>
      <c r="S6" s="419"/>
      <c r="T6" s="419"/>
      <c r="V6" s="414">
        <f t="shared" ref="V6" si="2">+F6+B6</f>
        <v>450</v>
      </c>
    </row>
    <row r="7" spans="2:22" ht="27.75" customHeight="1" x14ac:dyDescent="0.25">
      <c r="B7" s="415">
        <v>-171.875</v>
      </c>
      <c r="C7" s="416">
        <v>480</v>
      </c>
      <c r="E7" s="430" t="s">
        <v>431</v>
      </c>
      <c r="F7" s="419">
        <v>651.875</v>
      </c>
      <c r="H7" s="412">
        <v>843</v>
      </c>
      <c r="I7" s="436">
        <f t="shared" si="0"/>
        <v>1.2931927133269414</v>
      </c>
      <c r="J7" s="413">
        <v>652</v>
      </c>
      <c r="K7" s="436">
        <f t="shared" si="1"/>
        <v>1.0001917545541708</v>
      </c>
      <c r="L7" s="419">
        <f t="shared" ref="L7:L16" si="3">+H7-F7</f>
        <v>191.125</v>
      </c>
      <c r="M7" s="421">
        <f t="shared" ref="M7:M16" si="4">+J7-F7</f>
        <v>0.125</v>
      </c>
      <c r="O7" s="412">
        <v>843</v>
      </c>
      <c r="P7" s="436">
        <f t="shared" ref="P7:P15" si="5">+IFERROR(O7/F7,"")</f>
        <v>1.2931927133269414</v>
      </c>
      <c r="Q7" s="412">
        <v>821</v>
      </c>
      <c r="R7" s="436">
        <f t="shared" ref="R7:R15" si="6">+IFERROR(Q7/F7,"")</f>
        <v>1.259443911792905</v>
      </c>
      <c r="S7" s="419">
        <f t="shared" ref="S7:S10" si="7">+O7-F7</f>
        <v>191.125</v>
      </c>
      <c r="T7" s="419">
        <f t="shared" ref="T7:T14" si="8">+Q7-F7</f>
        <v>169.125</v>
      </c>
    </row>
    <row r="8" spans="2:22" ht="27.75" customHeight="1" x14ac:dyDescent="0.25">
      <c r="B8" s="415">
        <v>34.9375</v>
      </c>
      <c r="C8" s="416">
        <v>780</v>
      </c>
      <c r="E8" s="430" t="s">
        <v>436</v>
      </c>
      <c r="F8" s="419">
        <v>745.0625</v>
      </c>
      <c r="H8" s="412">
        <v>4642</v>
      </c>
      <c r="I8" s="436">
        <f t="shared" si="0"/>
        <v>6.2303498028688864</v>
      </c>
      <c r="J8" s="413">
        <v>530</v>
      </c>
      <c r="K8" s="436">
        <f t="shared" si="1"/>
        <v>0.71134971898330679</v>
      </c>
      <c r="L8" s="419">
        <f t="shared" si="3"/>
        <v>3896.9375</v>
      </c>
      <c r="M8" s="421">
        <f t="shared" si="4"/>
        <v>-215.0625</v>
      </c>
      <c r="O8" s="412">
        <v>6022</v>
      </c>
      <c r="P8" s="436">
        <f t="shared" si="5"/>
        <v>8.0825434107876859</v>
      </c>
      <c r="Q8" s="412">
        <v>4260</v>
      </c>
      <c r="R8" s="436">
        <f t="shared" si="6"/>
        <v>5.7176411374884655</v>
      </c>
      <c r="S8" s="419">
        <f t="shared" si="7"/>
        <v>5276.9375</v>
      </c>
      <c r="T8" s="419">
        <f t="shared" si="8"/>
        <v>3514.9375</v>
      </c>
    </row>
    <row r="9" spans="2:22" ht="27.75" customHeight="1" x14ac:dyDescent="0.25">
      <c r="B9" s="415">
        <v>92.75</v>
      </c>
      <c r="C9" s="416">
        <v>975</v>
      </c>
      <c r="E9" s="430" t="s">
        <v>433</v>
      </c>
      <c r="F9" s="419">
        <v>882.25</v>
      </c>
      <c r="H9" s="412">
        <v>5984</v>
      </c>
      <c r="I9" s="436">
        <f t="shared" si="0"/>
        <v>6.7826579767639554</v>
      </c>
      <c r="J9" s="413">
        <v>4722</v>
      </c>
      <c r="K9" s="436">
        <f t="shared" si="1"/>
        <v>5.3522244261830547</v>
      </c>
      <c r="L9" s="419">
        <f t="shared" si="3"/>
        <v>5101.75</v>
      </c>
      <c r="M9" s="421">
        <f t="shared" si="4"/>
        <v>3839.75</v>
      </c>
      <c r="O9" s="412">
        <v>5984</v>
      </c>
      <c r="P9" s="436">
        <f t="shared" si="5"/>
        <v>6.7826579767639554</v>
      </c>
      <c r="Q9" s="412">
        <v>5547</v>
      </c>
      <c r="R9" s="436">
        <f t="shared" si="6"/>
        <v>6.2873335222442615</v>
      </c>
      <c r="S9" s="419">
        <f t="shared" si="7"/>
        <v>5101.75</v>
      </c>
      <c r="T9" s="419">
        <f t="shared" si="8"/>
        <v>4664.75</v>
      </c>
    </row>
    <row r="10" spans="2:22" ht="27.75" customHeight="1" x14ac:dyDescent="0.25">
      <c r="B10" s="415">
        <v>-173.5</v>
      </c>
      <c r="C10" s="416">
        <v>1150</v>
      </c>
      <c r="E10" s="430" t="s">
        <v>444</v>
      </c>
      <c r="F10" s="419">
        <v>1323.5</v>
      </c>
      <c r="H10" s="412">
        <v>2883</v>
      </c>
      <c r="I10" s="436">
        <f t="shared" si="0"/>
        <v>2.1783150736683039</v>
      </c>
      <c r="J10" s="413">
        <v>361</v>
      </c>
      <c r="K10" s="436">
        <f t="shared" si="1"/>
        <v>0.27276161692482054</v>
      </c>
      <c r="L10" s="419">
        <f t="shared" si="3"/>
        <v>1559.5</v>
      </c>
      <c r="M10" s="421">
        <f t="shared" si="4"/>
        <v>-962.5</v>
      </c>
      <c r="O10" s="412">
        <v>4133</v>
      </c>
      <c r="P10" s="436">
        <f t="shared" si="5"/>
        <v>3.1227805062334717</v>
      </c>
      <c r="Q10" s="412">
        <v>297</v>
      </c>
      <c r="R10" s="436">
        <f t="shared" si="6"/>
        <v>0.22440498677748394</v>
      </c>
      <c r="S10" s="419">
        <f t="shared" si="7"/>
        <v>2809.5</v>
      </c>
      <c r="T10" s="419">
        <f t="shared" si="8"/>
        <v>-1026.5</v>
      </c>
    </row>
    <row r="11" spans="2:22" ht="27.75" customHeight="1" x14ac:dyDescent="0.25">
      <c r="B11" s="415">
        <v>182</v>
      </c>
      <c r="C11" s="416">
        <v>1080</v>
      </c>
      <c r="E11" s="430" t="s">
        <v>456</v>
      </c>
      <c r="F11" s="419">
        <v>898</v>
      </c>
      <c r="H11" s="412">
        <v>2522</v>
      </c>
      <c r="I11" s="436">
        <f t="shared" si="0"/>
        <v>2.8084632516703785</v>
      </c>
      <c r="J11" s="413">
        <v>300</v>
      </c>
      <c r="K11" s="436">
        <f t="shared" si="1"/>
        <v>0.33407572383073497</v>
      </c>
      <c r="L11" s="419">
        <f t="shared" si="3"/>
        <v>1624</v>
      </c>
      <c r="M11" s="421">
        <f t="shared" si="4"/>
        <v>-598</v>
      </c>
      <c r="O11" s="412"/>
      <c r="P11" s="436">
        <f t="shared" si="5"/>
        <v>0</v>
      </c>
      <c r="Q11" s="412"/>
      <c r="R11" s="436">
        <f t="shared" si="6"/>
        <v>0</v>
      </c>
      <c r="S11" s="419"/>
      <c r="T11" s="419"/>
    </row>
    <row r="12" spans="2:22" ht="27.75" customHeight="1" x14ac:dyDescent="0.25">
      <c r="B12" s="415">
        <v>-12.125</v>
      </c>
      <c r="C12" s="416"/>
      <c r="E12" s="430" t="s">
        <v>457</v>
      </c>
      <c r="F12" s="419">
        <v>477.125</v>
      </c>
      <c r="H12" s="412">
        <v>398</v>
      </c>
      <c r="I12" s="436">
        <f t="shared" si="0"/>
        <v>0.83416295520041917</v>
      </c>
      <c r="J12" s="413">
        <v>120</v>
      </c>
      <c r="K12" s="436">
        <f t="shared" si="1"/>
        <v>0.25150641865339274</v>
      </c>
      <c r="L12" s="419">
        <f t="shared" si="3"/>
        <v>-79.125</v>
      </c>
      <c r="M12" s="421">
        <f t="shared" si="4"/>
        <v>-357.125</v>
      </c>
      <c r="O12" s="412"/>
      <c r="P12" s="436"/>
      <c r="Q12" s="412"/>
      <c r="R12" s="436"/>
      <c r="S12" s="419"/>
      <c r="T12" s="419"/>
    </row>
    <row r="13" spans="2:22" ht="27.75" customHeight="1" x14ac:dyDescent="0.25">
      <c r="B13" s="415">
        <v>-25.5</v>
      </c>
      <c r="C13" s="416">
        <v>1275</v>
      </c>
      <c r="E13" s="430" t="s">
        <v>440</v>
      </c>
      <c r="F13" s="419">
        <v>1300.5</v>
      </c>
      <c r="H13" s="412">
        <v>8130</v>
      </c>
      <c r="I13" s="436">
        <f t="shared" si="0"/>
        <v>6.2514417531718571</v>
      </c>
      <c r="J13" s="413">
        <v>3232</v>
      </c>
      <c r="K13" s="436">
        <f t="shared" si="1"/>
        <v>2.4851980007689352</v>
      </c>
      <c r="L13" s="419">
        <f t="shared" si="3"/>
        <v>6829.5</v>
      </c>
      <c r="M13" s="421">
        <f t="shared" si="4"/>
        <v>1931.5</v>
      </c>
      <c r="O13" s="412">
        <v>8430</v>
      </c>
      <c r="P13" s="436">
        <f t="shared" si="5"/>
        <v>6.4821222606689739</v>
      </c>
      <c r="Q13" s="412">
        <v>758</v>
      </c>
      <c r="R13" s="436">
        <f t="shared" si="6"/>
        <v>0.58285274894271433</v>
      </c>
      <c r="S13" s="419">
        <f>+O13-F13</f>
        <v>7129.5</v>
      </c>
      <c r="T13" s="419">
        <f t="shared" si="8"/>
        <v>-542.5</v>
      </c>
    </row>
    <row r="14" spans="2:22" ht="27.75" customHeight="1" x14ac:dyDescent="0.25">
      <c r="B14" s="415">
        <v>-35.5</v>
      </c>
      <c r="C14" s="416">
        <v>650</v>
      </c>
      <c r="E14" s="413" t="s">
        <v>442</v>
      </c>
      <c r="F14" s="419">
        <v>685.5</v>
      </c>
      <c r="H14" s="412">
        <v>5151</v>
      </c>
      <c r="I14" s="436">
        <f t="shared" si="0"/>
        <v>7.5142231947483591</v>
      </c>
      <c r="J14" s="413">
        <v>3999</v>
      </c>
      <c r="K14" s="436">
        <f t="shared" si="1"/>
        <v>5.8336980306345732</v>
      </c>
      <c r="L14" s="419">
        <f t="shared" si="3"/>
        <v>4465.5</v>
      </c>
      <c r="M14" s="421">
        <f t="shared" si="4"/>
        <v>3313.5</v>
      </c>
      <c r="O14" s="412">
        <v>5151</v>
      </c>
      <c r="P14" s="436">
        <f t="shared" si="5"/>
        <v>7.5142231947483591</v>
      </c>
      <c r="Q14" s="412">
        <v>3149</v>
      </c>
      <c r="R14" s="436">
        <f t="shared" si="6"/>
        <v>4.5937272064186727</v>
      </c>
      <c r="S14" s="419">
        <f t="shared" ref="S14" si="9">+O14-F14</f>
        <v>4465.5</v>
      </c>
      <c r="T14" s="419">
        <f t="shared" si="8"/>
        <v>2463.5</v>
      </c>
    </row>
    <row r="15" spans="2:22" ht="27.75" customHeight="1" x14ac:dyDescent="0.25">
      <c r="B15" s="415">
        <v>-250</v>
      </c>
      <c r="C15" s="416">
        <v>150</v>
      </c>
      <c r="E15" s="412" t="s">
        <v>459</v>
      </c>
      <c r="F15" s="419">
        <v>400</v>
      </c>
      <c r="H15" s="412">
        <v>157</v>
      </c>
      <c r="I15" s="436">
        <f t="shared" si="0"/>
        <v>0.39250000000000002</v>
      </c>
      <c r="J15" s="413"/>
      <c r="K15" s="436">
        <f t="shared" si="1"/>
        <v>0</v>
      </c>
      <c r="L15" s="419">
        <f t="shared" si="3"/>
        <v>-243</v>
      </c>
      <c r="M15" s="421"/>
      <c r="O15" s="412"/>
      <c r="P15" s="436">
        <f t="shared" si="5"/>
        <v>0</v>
      </c>
      <c r="Q15" s="412"/>
      <c r="R15" s="436">
        <f t="shared" si="6"/>
        <v>0</v>
      </c>
      <c r="S15" s="419"/>
      <c r="T15" s="419"/>
    </row>
    <row r="16" spans="2:22" ht="27.75" customHeight="1" x14ac:dyDescent="0.25">
      <c r="B16" s="415">
        <v>0</v>
      </c>
      <c r="C16" s="416"/>
      <c r="E16" s="412" t="s">
        <v>458</v>
      </c>
      <c r="F16" s="419">
        <v>0</v>
      </c>
      <c r="H16" s="412">
        <v>1209</v>
      </c>
      <c r="I16" s="436" t="str">
        <f t="shared" si="0"/>
        <v/>
      </c>
      <c r="J16" s="413"/>
      <c r="K16" s="436" t="str">
        <f t="shared" si="1"/>
        <v/>
      </c>
      <c r="L16" s="419">
        <f t="shared" si="3"/>
        <v>1209</v>
      </c>
      <c r="M16" s="421">
        <f t="shared" si="4"/>
        <v>0</v>
      </c>
      <c r="O16" s="412"/>
      <c r="P16" s="436"/>
      <c r="Q16" s="412"/>
      <c r="R16" s="436"/>
      <c r="S16" s="419"/>
      <c r="T16" s="419"/>
    </row>
    <row r="17" spans="1:22" ht="27.75" customHeight="1" x14ac:dyDescent="0.25">
      <c r="B17" s="415"/>
      <c r="C17" s="416"/>
      <c r="E17" s="413"/>
      <c r="F17" s="419"/>
      <c r="H17" s="412"/>
      <c r="I17" s="436"/>
      <c r="J17" s="413"/>
      <c r="K17" s="436"/>
      <c r="L17" s="419"/>
      <c r="M17" s="421"/>
      <c r="O17" s="412"/>
      <c r="P17" s="436"/>
      <c r="Q17" s="412"/>
      <c r="R17" s="436"/>
      <c r="S17" s="419"/>
      <c r="T17" s="419"/>
    </row>
    <row r="18" spans="1:22" s="405" customFormat="1" ht="27.75" customHeight="1" x14ac:dyDescent="0.25">
      <c r="A18" s="403"/>
      <c r="B18" s="417"/>
      <c r="C18" s="418"/>
      <c r="D18" s="404"/>
      <c r="E18" s="403"/>
      <c r="F18" s="420"/>
      <c r="G18" s="403"/>
      <c r="H18" s="403"/>
      <c r="I18" s="403"/>
      <c r="J18" s="414"/>
      <c r="K18" s="414"/>
      <c r="L18" s="420"/>
      <c r="M18" s="420"/>
      <c r="N18" s="403"/>
      <c r="O18" s="403"/>
      <c r="P18" s="403"/>
      <c r="Q18" s="403"/>
      <c r="R18" s="403"/>
      <c r="S18" s="422"/>
      <c r="T18" s="420"/>
      <c r="V18" s="403"/>
    </row>
    <row r="19" spans="1:22" s="405" customFormat="1" ht="27.75" customHeight="1" x14ac:dyDescent="0.25">
      <c r="A19" s="403"/>
      <c r="B19" s="417">
        <f>+SUM(B6:B17)</f>
        <v>-405</v>
      </c>
      <c r="C19" s="417">
        <f>+SUM(C6:C17)</f>
        <v>6990</v>
      </c>
      <c r="D19" s="411">
        <f>+SUM(D6:D17)</f>
        <v>0</v>
      </c>
      <c r="E19" s="412" t="s">
        <v>13</v>
      </c>
      <c r="F19" s="419">
        <f>+SUM(F6:F17)</f>
        <v>7860</v>
      </c>
      <c r="G19" s="403"/>
      <c r="H19" s="419">
        <f>+SUM(H6:H17)</f>
        <v>32668</v>
      </c>
      <c r="I19" s="403"/>
      <c r="J19" s="419">
        <f>+SUM(J6:J17)</f>
        <v>14577</v>
      </c>
      <c r="K19" s="420"/>
      <c r="L19" s="418"/>
      <c r="M19" s="418"/>
      <c r="N19" s="404"/>
      <c r="O19" s="419">
        <f>+SUM(O6:O17)</f>
        <v>30563</v>
      </c>
      <c r="P19" s="403"/>
      <c r="Q19" s="419">
        <f>+SUM(Q6:Q17)</f>
        <v>14832</v>
      </c>
      <c r="R19" s="420"/>
      <c r="S19" s="418"/>
      <c r="T19" s="418"/>
      <c r="V19" s="403"/>
    </row>
    <row r="20" spans="1:22" s="405" customFormat="1" ht="27.75" customHeight="1" x14ac:dyDescent="0.25">
      <c r="A20" s="403"/>
      <c r="B20" s="404"/>
      <c r="C20" s="404"/>
      <c r="D20" s="404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31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31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31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s="405" customFormat="1" ht="27.75" customHeight="1" x14ac:dyDescent="0.25">
      <c r="A29" s="403"/>
      <c r="B29" s="404"/>
      <c r="C29" s="404"/>
      <c r="D29" s="404"/>
      <c r="E29" s="446"/>
      <c r="F29" s="403"/>
      <c r="G29" s="403"/>
      <c r="H29" s="403"/>
      <c r="I29" s="403"/>
      <c r="J29" s="403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V29" s="403"/>
    </row>
    <row r="30" spans="1:22" s="405" customFormat="1" ht="27.75" customHeight="1" x14ac:dyDescent="0.25">
      <c r="A30" s="403"/>
      <c r="B30" s="404"/>
      <c r="C30" s="404"/>
      <c r="D30" s="404"/>
      <c r="E30" s="446"/>
      <c r="F30" s="403"/>
      <c r="G30" s="403"/>
      <c r="H30" s="403"/>
      <c r="I30" s="403"/>
      <c r="J30" s="403"/>
      <c r="K30" s="403"/>
      <c r="L30" s="403"/>
      <c r="M30" s="403"/>
      <c r="N30" s="403"/>
      <c r="O30" s="403"/>
      <c r="P30" s="403"/>
      <c r="Q30" s="403"/>
      <c r="R30" s="403"/>
      <c r="S30" s="403"/>
      <c r="T30" s="403"/>
      <c r="V30" s="403"/>
    </row>
    <row r="31" spans="1:22" s="405" customFormat="1" ht="27.75" customHeight="1" x14ac:dyDescent="0.25">
      <c r="A31" s="403"/>
      <c r="B31" s="404"/>
      <c r="C31" s="404"/>
      <c r="D31" s="404"/>
      <c r="F31" s="403"/>
      <c r="G31" s="403"/>
      <c r="H31" s="403"/>
      <c r="I31" s="403"/>
      <c r="J31" s="403"/>
      <c r="K31" s="403"/>
      <c r="L31" s="403"/>
      <c r="M31" s="403"/>
      <c r="N31" s="403"/>
      <c r="O31" s="403"/>
      <c r="P31" s="403"/>
      <c r="Q31" s="403"/>
      <c r="R31" s="403"/>
      <c r="S31" s="403"/>
      <c r="T31" s="403"/>
      <c r="V31" s="403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1808" priority="10" operator="equal">
      <formula>0</formula>
    </cfRule>
  </conditionalFormatting>
  <conditionalFormatting sqref="B6:B17">
    <cfRule type="cellIs" dxfId="1807" priority="3" operator="greaterThan">
      <formula>0</formula>
    </cfRule>
  </conditionalFormatting>
  <conditionalFormatting sqref="E1:E1048576">
    <cfRule type="duplicateValues" dxfId="1806" priority="1"/>
  </conditionalFormatting>
  <conditionalFormatting sqref="H2:I3 A4:H4">
    <cfRule type="cellIs" dxfId="1805" priority="4" operator="equal">
      <formula>0</formula>
    </cfRule>
  </conditionalFormatting>
  <conditionalFormatting sqref="J1:K2 J18:XFD20 J24:XFD1048576">
    <cfRule type="cellIs" dxfId="1804" priority="6" operator="equal">
      <formula>0</formula>
    </cfRule>
  </conditionalFormatting>
  <conditionalFormatting sqref="L6:M17 S6:S17 T6:T18 J18:M18">
    <cfRule type="cellIs" dxfId="1803" priority="7" operator="lessThan">
      <formula>0</formula>
    </cfRule>
  </conditionalFormatting>
  <conditionalFormatting sqref="L5:N5">
    <cfRule type="cellIs" dxfId="1802" priority="8" operator="equal">
      <formula>0</formula>
    </cfRule>
  </conditionalFormatting>
  <conditionalFormatting sqref="L1:S1">
    <cfRule type="cellIs" dxfId="1801" priority="9" operator="equal">
      <formula>0</formula>
    </cfRule>
  </conditionalFormatting>
  <conditionalFormatting sqref="O19:R19">
    <cfRule type="cellIs" dxfId="1800" priority="2" operator="equal">
      <formula>0</formula>
    </cfRule>
  </conditionalFormatting>
  <conditionalFormatting sqref="S5:T5">
    <cfRule type="cellIs" dxfId="1799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zoomScale="85" zoomScaleNormal="85" zoomScaleSheetLayoutView="85" workbookViewId="0">
      <selection activeCell="F16" sqref="F16"/>
    </sheetView>
  </sheetViews>
  <sheetFormatPr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2.85546875" style="403" customWidth="1"/>
    <col min="7" max="7" width="5.85546875" style="403" customWidth="1"/>
    <col min="8" max="8" width="11.28515625" style="403" customWidth="1"/>
    <col min="9" max="9" width="5.140625" style="403" customWidth="1"/>
    <col min="10" max="10" width="11.5703125" style="403" customWidth="1"/>
    <col min="11" max="11" width="5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5.42578125" style="403" customWidth="1"/>
    <col min="17" max="17" width="13.28515625" style="403" customWidth="1"/>
    <col min="18" max="18" width="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2:22" ht="27.75" customHeight="1" x14ac:dyDescent="0.25">
      <c r="B1" s="404" t="s">
        <v>21</v>
      </c>
      <c r="S1" s="558" t="s">
        <v>470</v>
      </c>
      <c r="T1" s="558"/>
    </row>
    <row r="2" spans="2:22" ht="27.75" customHeight="1" x14ac:dyDescent="0.25">
      <c r="B2" s="403"/>
      <c r="C2" s="403"/>
      <c r="D2" s="403"/>
    </row>
    <row r="3" spans="2:22" s="406" customFormat="1" ht="36" customHeight="1" x14ac:dyDescent="0.25">
      <c r="B3" s="559" t="s">
        <v>417</v>
      </c>
      <c r="C3" s="562" t="s">
        <v>415</v>
      </c>
      <c r="D3" s="407"/>
      <c r="E3" s="565" t="s">
        <v>351</v>
      </c>
      <c r="F3" s="568" t="s">
        <v>416</v>
      </c>
      <c r="G3" s="403"/>
      <c r="H3" s="571" t="s">
        <v>408</v>
      </c>
      <c r="I3" s="571"/>
      <c r="J3" s="571"/>
      <c r="K3" s="571"/>
      <c r="L3" s="571"/>
      <c r="M3" s="571"/>
      <c r="O3" s="572" t="s">
        <v>411</v>
      </c>
      <c r="P3" s="573"/>
      <c r="Q3" s="573"/>
      <c r="R3" s="573"/>
      <c r="S3" s="573"/>
      <c r="T3" s="574"/>
      <c r="U3" s="408"/>
    </row>
    <row r="4" spans="2:22" s="406" customFormat="1" ht="36" customHeight="1" x14ac:dyDescent="0.25">
      <c r="B4" s="560"/>
      <c r="C4" s="563"/>
      <c r="D4" s="407"/>
      <c r="E4" s="566"/>
      <c r="F4" s="569"/>
      <c r="G4" s="403"/>
      <c r="H4" s="552" t="s">
        <v>413</v>
      </c>
      <c r="I4" s="553"/>
      <c r="J4" s="552" t="s">
        <v>414</v>
      </c>
      <c r="K4" s="553"/>
      <c r="L4" s="556" t="s">
        <v>412</v>
      </c>
      <c r="M4" s="557"/>
      <c r="O4" s="552" t="s">
        <v>413</v>
      </c>
      <c r="P4" s="553"/>
      <c r="Q4" s="552" t="s">
        <v>414</v>
      </c>
      <c r="R4" s="553"/>
      <c r="S4" s="556" t="s">
        <v>412</v>
      </c>
      <c r="T4" s="557"/>
      <c r="U4" s="408"/>
    </row>
    <row r="5" spans="2:22" s="406" customFormat="1" ht="57" customHeight="1" x14ac:dyDescent="0.25">
      <c r="B5" s="561"/>
      <c r="C5" s="564"/>
      <c r="D5" s="407"/>
      <c r="E5" s="567"/>
      <c r="F5" s="570"/>
      <c r="G5" s="403"/>
      <c r="H5" s="554"/>
      <c r="I5" s="555"/>
      <c r="J5" s="554"/>
      <c r="K5" s="555"/>
      <c r="L5" s="460" t="s">
        <v>409</v>
      </c>
      <c r="M5" s="461" t="s">
        <v>410</v>
      </c>
      <c r="O5" s="554"/>
      <c r="P5" s="555"/>
      <c r="Q5" s="554"/>
      <c r="R5" s="555"/>
      <c r="S5" s="460" t="s">
        <v>409</v>
      </c>
      <c r="T5" s="461" t="s">
        <v>410</v>
      </c>
      <c r="U5" s="408"/>
    </row>
    <row r="6" spans="2:22" ht="27.75" customHeight="1" x14ac:dyDescent="0.25">
      <c r="B6" s="415">
        <v>0</v>
      </c>
      <c r="C6" s="416">
        <v>284</v>
      </c>
      <c r="D6" s="411"/>
      <c r="E6" s="430" t="s">
        <v>428</v>
      </c>
      <c r="F6" s="416">
        <v>284</v>
      </c>
      <c r="H6" s="412">
        <v>299</v>
      </c>
      <c r="I6" s="436">
        <f t="shared" ref="I6:I18" si="0">+IFERROR(H6/F6,"")</f>
        <v>1.0528169014084507</v>
      </c>
      <c r="J6" s="413">
        <f>211+75</f>
        <v>286</v>
      </c>
      <c r="K6" s="436">
        <f t="shared" ref="K6:K16" si="1">+IFERROR(J6/F6,"")</f>
        <v>1.0070422535211268</v>
      </c>
      <c r="L6" s="419">
        <f>+H6-F6</f>
        <v>15</v>
      </c>
      <c r="M6" s="421">
        <f>+J6-F6</f>
        <v>2</v>
      </c>
      <c r="O6" s="412"/>
      <c r="P6" s="436">
        <f>+IFERROR(O6/F6,"")</f>
        <v>0</v>
      </c>
      <c r="Q6" s="412"/>
      <c r="R6" s="436">
        <f>+IFERROR(Q6/F6,"")</f>
        <v>0</v>
      </c>
      <c r="S6" s="419"/>
      <c r="T6" s="419"/>
      <c r="V6" s="414">
        <f t="shared" ref="V6" si="2">+F6+B6</f>
        <v>284</v>
      </c>
    </row>
    <row r="7" spans="2:22" ht="27.75" customHeight="1" x14ac:dyDescent="0.25">
      <c r="B7" s="415">
        <v>0</v>
      </c>
      <c r="C7" s="416">
        <v>344</v>
      </c>
      <c r="E7" s="430" t="s">
        <v>431</v>
      </c>
      <c r="F7" s="416">
        <v>344</v>
      </c>
      <c r="H7" s="412">
        <v>363</v>
      </c>
      <c r="I7" s="436">
        <f t="shared" si="0"/>
        <v>1.055232558139535</v>
      </c>
      <c r="J7" s="413">
        <v>253</v>
      </c>
      <c r="K7" s="436">
        <f t="shared" si="1"/>
        <v>0.73546511627906974</v>
      </c>
      <c r="L7" s="419">
        <f t="shared" ref="L7:L17" si="3">+H7-F7</f>
        <v>19</v>
      </c>
      <c r="M7" s="421">
        <f t="shared" ref="M7:M18" si="4">+J7-F7</f>
        <v>-91</v>
      </c>
      <c r="O7" s="412">
        <v>363</v>
      </c>
      <c r="P7" s="436">
        <f t="shared" ref="P7:P15" si="5">+IFERROR(O7/F7,"")</f>
        <v>1.055232558139535</v>
      </c>
      <c r="Q7" s="412">
        <v>341</v>
      </c>
      <c r="R7" s="436">
        <f t="shared" ref="R7:R15" si="6">+IFERROR(Q7/F7,"")</f>
        <v>0.99127906976744184</v>
      </c>
      <c r="S7" s="419">
        <f t="shared" ref="S7:S10" si="7">+O7-F7</f>
        <v>19</v>
      </c>
      <c r="T7" s="419">
        <f t="shared" ref="T7:T17" si="8">+Q7-F7</f>
        <v>-3</v>
      </c>
    </row>
    <row r="8" spans="2:22" ht="27.75" customHeight="1" x14ac:dyDescent="0.25">
      <c r="B8" s="415">
        <v>-168.625</v>
      </c>
      <c r="C8" s="416">
        <v>720</v>
      </c>
      <c r="E8" s="430" t="s">
        <v>436</v>
      </c>
      <c r="F8" s="416">
        <v>888.625</v>
      </c>
      <c r="H8" s="412">
        <v>4942</v>
      </c>
      <c r="I8" s="436">
        <f t="shared" si="0"/>
        <v>5.5614010409340269</v>
      </c>
      <c r="J8" s="413">
        <v>650</v>
      </c>
      <c r="K8" s="436">
        <f t="shared" si="1"/>
        <v>0.73146715431143616</v>
      </c>
      <c r="L8" s="419">
        <f t="shared" si="3"/>
        <v>4053.375</v>
      </c>
      <c r="M8" s="421">
        <f t="shared" si="4"/>
        <v>-238.625</v>
      </c>
      <c r="O8" s="412">
        <v>5242</v>
      </c>
      <c r="P8" s="436">
        <f t="shared" si="5"/>
        <v>5.8990012660008437</v>
      </c>
      <c r="Q8" s="412">
        <v>3960</v>
      </c>
      <c r="R8" s="436">
        <f t="shared" si="6"/>
        <v>4.4563229708819803</v>
      </c>
      <c r="S8" s="419">
        <f t="shared" si="7"/>
        <v>4353.375</v>
      </c>
      <c r="T8" s="419">
        <f t="shared" si="8"/>
        <v>3071.375</v>
      </c>
    </row>
    <row r="9" spans="2:22" ht="27.75" customHeight="1" x14ac:dyDescent="0.25">
      <c r="B9" s="415">
        <v>27.875</v>
      </c>
      <c r="C9" s="416">
        <v>975</v>
      </c>
      <c r="E9" s="430" t="s">
        <v>433</v>
      </c>
      <c r="F9" s="416">
        <v>947.125</v>
      </c>
      <c r="H9" s="412">
        <v>5009</v>
      </c>
      <c r="I9" s="436">
        <f t="shared" si="0"/>
        <v>5.2886366635871713</v>
      </c>
      <c r="J9" s="413">
        <v>4397</v>
      </c>
      <c r="K9" s="436">
        <f t="shared" si="1"/>
        <v>4.64247063481589</v>
      </c>
      <c r="L9" s="419">
        <f t="shared" si="3"/>
        <v>4061.875</v>
      </c>
      <c r="M9" s="421">
        <f t="shared" si="4"/>
        <v>3449.875</v>
      </c>
      <c r="O9" s="412">
        <v>5009</v>
      </c>
      <c r="P9" s="436">
        <f t="shared" si="5"/>
        <v>5.2886366635871713</v>
      </c>
      <c r="Q9" s="412">
        <v>4987</v>
      </c>
      <c r="R9" s="436">
        <f t="shared" si="6"/>
        <v>5.2654084730104262</v>
      </c>
      <c r="S9" s="419">
        <f t="shared" si="7"/>
        <v>4061.875</v>
      </c>
      <c r="T9" s="419">
        <f t="shared" si="8"/>
        <v>4039.875</v>
      </c>
    </row>
    <row r="10" spans="2:22" ht="27.75" customHeight="1" x14ac:dyDescent="0.25">
      <c r="B10" s="415">
        <v>0</v>
      </c>
      <c r="C10" s="416">
        <v>1405</v>
      </c>
      <c r="E10" s="430" t="s">
        <v>444</v>
      </c>
      <c r="F10" s="416">
        <v>1405</v>
      </c>
      <c r="H10" s="412">
        <v>2983</v>
      </c>
      <c r="I10" s="436">
        <f t="shared" si="0"/>
        <v>2.1231316725978648</v>
      </c>
      <c r="J10" s="413">
        <v>261</v>
      </c>
      <c r="K10" s="436">
        <f t="shared" si="1"/>
        <v>0.18576512455516014</v>
      </c>
      <c r="L10" s="419">
        <f t="shared" si="3"/>
        <v>1578</v>
      </c>
      <c r="M10" s="421">
        <f t="shared" si="4"/>
        <v>-1144</v>
      </c>
      <c r="O10" s="412">
        <v>3283</v>
      </c>
      <c r="P10" s="436">
        <f t="shared" si="5"/>
        <v>2.3366548042704625</v>
      </c>
      <c r="Q10" s="412">
        <v>247</v>
      </c>
      <c r="R10" s="436">
        <f t="shared" si="6"/>
        <v>0.17580071174377224</v>
      </c>
      <c r="S10" s="419">
        <f t="shared" si="7"/>
        <v>1878</v>
      </c>
      <c r="T10" s="419">
        <f t="shared" si="8"/>
        <v>-1158</v>
      </c>
    </row>
    <row r="11" spans="2:22" ht="27.75" customHeight="1" x14ac:dyDescent="0.25">
      <c r="B11" s="415">
        <v>0</v>
      </c>
      <c r="C11" s="416">
        <v>660</v>
      </c>
      <c r="E11" s="430" t="s">
        <v>456</v>
      </c>
      <c r="F11" s="416">
        <v>660</v>
      </c>
      <c r="H11" s="412">
        <v>2042</v>
      </c>
      <c r="I11" s="436">
        <f t="shared" si="0"/>
        <v>3.0939393939393938</v>
      </c>
      <c r="J11" s="413">
        <v>300</v>
      </c>
      <c r="K11" s="436">
        <f t="shared" si="1"/>
        <v>0.45454545454545453</v>
      </c>
      <c r="L11" s="419">
        <f>+H11-F11</f>
        <v>1382</v>
      </c>
      <c r="M11" s="421">
        <f>+J11-F11</f>
        <v>-360</v>
      </c>
      <c r="O11" s="412"/>
      <c r="P11" s="436">
        <f t="shared" si="5"/>
        <v>0</v>
      </c>
      <c r="Q11" s="412"/>
      <c r="R11" s="436">
        <f t="shared" si="6"/>
        <v>0</v>
      </c>
      <c r="S11" s="419"/>
      <c r="T11" s="419"/>
    </row>
    <row r="12" spans="2:22" ht="27.75" customHeight="1" x14ac:dyDescent="0.25">
      <c r="B12" s="415">
        <v>0</v>
      </c>
      <c r="C12" s="416"/>
      <c r="E12" s="430" t="s">
        <v>457</v>
      </c>
      <c r="F12" s="416">
        <v>263</v>
      </c>
      <c r="H12" s="412">
        <v>271</v>
      </c>
      <c r="I12" s="436">
        <f t="shared" si="0"/>
        <v>1.0304182509505704</v>
      </c>
      <c r="J12" s="413">
        <v>175</v>
      </c>
      <c r="K12" s="436">
        <f t="shared" si="1"/>
        <v>0.66539923954372626</v>
      </c>
      <c r="L12" s="419">
        <f t="shared" si="3"/>
        <v>8</v>
      </c>
      <c r="M12" s="421">
        <f t="shared" si="4"/>
        <v>-88</v>
      </c>
      <c r="O12" s="412"/>
      <c r="P12" s="436"/>
      <c r="Q12" s="412"/>
      <c r="R12" s="436"/>
      <c r="S12" s="419"/>
      <c r="T12" s="419"/>
    </row>
    <row r="13" spans="2:22" ht="27.75" customHeight="1" x14ac:dyDescent="0.25">
      <c r="B13" s="415">
        <v>68.699999999999818</v>
      </c>
      <c r="C13" s="416">
        <v>1050</v>
      </c>
      <c r="E13" s="430" t="s">
        <v>440</v>
      </c>
      <c r="F13" s="416">
        <v>981.30000000000018</v>
      </c>
      <c r="H13" s="412">
        <v>8055</v>
      </c>
      <c r="I13" s="436">
        <f t="shared" si="0"/>
        <v>8.2084989299908262</v>
      </c>
      <c r="J13" s="413">
        <v>2932</v>
      </c>
      <c r="K13" s="436">
        <f t="shared" si="1"/>
        <v>2.9878732293895847</v>
      </c>
      <c r="L13" s="419">
        <f t="shared" si="3"/>
        <v>7073.7</v>
      </c>
      <c r="M13" s="421">
        <f t="shared" si="4"/>
        <v>1950.6999999999998</v>
      </c>
      <c r="O13" s="412">
        <v>7905</v>
      </c>
      <c r="P13" s="436">
        <f t="shared" si="5"/>
        <v>8.0556404769183718</v>
      </c>
      <c r="Q13" s="412">
        <v>683</v>
      </c>
      <c r="R13" s="436">
        <f t="shared" si="6"/>
        <v>0.69601548965657789</v>
      </c>
      <c r="S13" s="419">
        <f>+O13-F13</f>
        <v>6923.7</v>
      </c>
      <c r="T13" s="419">
        <f t="shared" si="8"/>
        <v>-298.30000000000018</v>
      </c>
    </row>
    <row r="14" spans="2:22" ht="27.75" customHeight="1" x14ac:dyDescent="0.25">
      <c r="B14" s="415">
        <v>74.75</v>
      </c>
      <c r="C14" s="416">
        <v>700</v>
      </c>
      <c r="E14" s="413" t="s">
        <v>442</v>
      </c>
      <c r="F14" s="416">
        <v>625.25</v>
      </c>
      <c r="H14" s="412">
        <v>6001</v>
      </c>
      <c r="I14" s="436">
        <f t="shared" si="0"/>
        <v>9.5977608956417431</v>
      </c>
      <c r="J14" s="413">
        <v>4399</v>
      </c>
      <c r="K14" s="436">
        <f t="shared" si="1"/>
        <v>7.0355857656937228</v>
      </c>
      <c r="L14" s="419">
        <f t="shared" si="3"/>
        <v>5375.75</v>
      </c>
      <c r="M14" s="421">
        <f t="shared" si="4"/>
        <v>3773.75</v>
      </c>
      <c r="O14" s="412">
        <v>4501</v>
      </c>
      <c r="P14" s="436">
        <f t="shared" si="5"/>
        <v>7.1987205117952815</v>
      </c>
      <c r="Q14" s="412">
        <v>3549</v>
      </c>
      <c r="R14" s="436">
        <f t="shared" si="6"/>
        <v>5.6761295481807279</v>
      </c>
      <c r="S14" s="419">
        <f t="shared" ref="S14" si="9">+O14-F14</f>
        <v>3875.75</v>
      </c>
      <c r="T14" s="419">
        <f t="shared" si="8"/>
        <v>2923.75</v>
      </c>
    </row>
    <row r="15" spans="2:22" ht="27.75" customHeight="1" x14ac:dyDescent="0.25">
      <c r="B15" s="415">
        <v>0</v>
      </c>
      <c r="C15" s="416">
        <v>0</v>
      </c>
      <c r="E15" s="412" t="s">
        <v>459</v>
      </c>
      <c r="F15" s="416">
        <v>0</v>
      </c>
      <c r="H15" s="412"/>
      <c r="I15" s="436" t="str">
        <f t="shared" si="0"/>
        <v/>
      </c>
      <c r="J15" s="413"/>
      <c r="K15" s="436" t="str">
        <f t="shared" si="1"/>
        <v/>
      </c>
      <c r="L15" s="419">
        <f t="shared" si="3"/>
        <v>0</v>
      </c>
      <c r="M15" s="421"/>
      <c r="O15" s="412"/>
      <c r="P15" s="436" t="str">
        <f t="shared" si="5"/>
        <v/>
      </c>
      <c r="Q15" s="412"/>
      <c r="R15" s="436" t="str">
        <f t="shared" si="6"/>
        <v/>
      </c>
      <c r="S15" s="419"/>
      <c r="T15" s="419"/>
    </row>
    <row r="16" spans="2:22" ht="27.75" customHeight="1" x14ac:dyDescent="0.25">
      <c r="B16" s="415">
        <v>0</v>
      </c>
      <c r="C16" s="416"/>
      <c r="E16" s="412" t="s">
        <v>458</v>
      </c>
      <c r="F16" s="416">
        <v>0</v>
      </c>
      <c r="H16" s="412">
        <v>1299</v>
      </c>
      <c r="I16" s="436" t="str">
        <f t="shared" si="0"/>
        <v/>
      </c>
      <c r="J16" s="413"/>
      <c r="K16" s="436" t="str">
        <f t="shared" si="1"/>
        <v/>
      </c>
      <c r="L16" s="419">
        <f t="shared" si="3"/>
        <v>1299</v>
      </c>
      <c r="M16" s="421">
        <f t="shared" si="4"/>
        <v>0</v>
      </c>
      <c r="O16" s="412"/>
      <c r="P16" s="436"/>
      <c r="Q16" s="412"/>
      <c r="R16" s="436"/>
      <c r="S16" s="419"/>
      <c r="T16" s="419"/>
    </row>
    <row r="17" spans="1:22" ht="27.75" customHeight="1" x14ac:dyDescent="0.25">
      <c r="B17" s="415">
        <v>0</v>
      </c>
      <c r="C17" s="416"/>
      <c r="E17" s="412" t="s">
        <v>472</v>
      </c>
      <c r="F17" s="416">
        <v>0</v>
      </c>
      <c r="H17" s="412">
        <v>2021</v>
      </c>
      <c r="I17" s="436" t="str">
        <f t="shared" si="0"/>
        <v/>
      </c>
      <c r="J17" s="413"/>
      <c r="K17" s="436"/>
      <c r="L17" s="419">
        <f t="shared" si="3"/>
        <v>2021</v>
      </c>
      <c r="M17" s="421">
        <f t="shared" si="4"/>
        <v>0</v>
      </c>
      <c r="O17" s="412">
        <v>2021</v>
      </c>
      <c r="P17" s="436"/>
      <c r="Q17" s="412"/>
      <c r="R17" s="436"/>
      <c r="S17" s="419"/>
      <c r="T17" s="419">
        <f t="shared" si="8"/>
        <v>0</v>
      </c>
    </row>
    <row r="18" spans="1:22" ht="27.75" customHeight="1" x14ac:dyDescent="0.25">
      <c r="B18" s="415">
        <v>0</v>
      </c>
      <c r="C18" s="416"/>
      <c r="E18" s="413" t="s">
        <v>474</v>
      </c>
      <c r="F18" s="416">
        <v>0</v>
      </c>
      <c r="H18" s="412"/>
      <c r="I18" s="436" t="str">
        <f t="shared" si="0"/>
        <v/>
      </c>
      <c r="J18" s="413"/>
      <c r="K18" s="436"/>
      <c r="L18" s="419"/>
      <c r="M18" s="421">
        <f t="shared" si="4"/>
        <v>0</v>
      </c>
      <c r="O18" s="412"/>
      <c r="P18" s="436"/>
      <c r="Q18" s="412"/>
      <c r="R18" s="436"/>
      <c r="S18" s="419"/>
      <c r="T18" s="419"/>
    </row>
    <row r="19" spans="1:22" s="405" customFormat="1" ht="27.75" customHeight="1" x14ac:dyDescent="0.25">
      <c r="A19" s="403"/>
      <c r="B19" s="417"/>
      <c r="C19" s="418"/>
      <c r="D19" s="404"/>
      <c r="E19" s="403"/>
      <c r="F19" s="420"/>
      <c r="G19" s="403"/>
      <c r="H19" s="403"/>
      <c r="I19" s="403"/>
      <c r="J19" s="414"/>
      <c r="K19" s="414"/>
      <c r="L19" s="420"/>
      <c r="M19" s="420"/>
      <c r="N19" s="403"/>
      <c r="O19" s="403"/>
      <c r="P19" s="403"/>
      <c r="Q19" s="403"/>
      <c r="R19" s="403"/>
      <c r="S19" s="422"/>
      <c r="T19" s="420"/>
      <c r="V19" s="403"/>
    </row>
    <row r="20" spans="1:22" s="405" customFormat="1" ht="27.75" customHeight="1" x14ac:dyDescent="0.25">
      <c r="A20" s="403"/>
      <c r="B20" s="417">
        <f>+SUM(B6:B18)</f>
        <v>2.6999999999998181</v>
      </c>
      <c r="C20" s="417">
        <f>+SUM(C6:C18)</f>
        <v>6138</v>
      </c>
      <c r="D20" s="411">
        <f>+SUM(D6:D18)</f>
        <v>0</v>
      </c>
      <c r="E20" s="412" t="s">
        <v>13</v>
      </c>
      <c r="F20" s="419">
        <f>+SUM(F6:F18)</f>
        <v>6398.3</v>
      </c>
      <c r="G20" s="403"/>
      <c r="H20" s="419">
        <f>+SUM(H6:H18)</f>
        <v>33285</v>
      </c>
      <c r="I20" s="403"/>
      <c r="J20" s="419">
        <f>+SUM(J6:J18)</f>
        <v>13653</v>
      </c>
      <c r="K20" s="420"/>
      <c r="L20" s="418"/>
      <c r="M20" s="418"/>
      <c r="N20" s="404"/>
      <c r="O20" s="419">
        <f>+SUM(O6:O18)</f>
        <v>28324</v>
      </c>
      <c r="P20" s="403"/>
      <c r="Q20" s="419">
        <f>+SUM(Q6:Q18)</f>
        <v>13767</v>
      </c>
      <c r="R20" s="420"/>
      <c r="S20" s="418"/>
      <c r="T20" s="418"/>
      <c r="V20" s="403"/>
    </row>
    <row r="21" spans="1:22" s="405" customFormat="1" ht="27.75" customHeight="1" x14ac:dyDescent="0.25">
      <c r="A21" s="403"/>
      <c r="B21" s="404"/>
      <c r="C21" s="404"/>
      <c r="D21" s="404"/>
      <c r="F21" s="403"/>
      <c r="G21" s="403"/>
      <c r="H21" s="403"/>
      <c r="I21" s="403"/>
      <c r="J21" s="403"/>
      <c r="K21" s="403"/>
      <c r="L21" s="431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31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31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31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s="405" customFormat="1" ht="27.75" customHeight="1" x14ac:dyDescent="0.25">
      <c r="A29" s="403"/>
      <c r="B29" s="404"/>
      <c r="C29" s="404"/>
      <c r="D29" s="404"/>
      <c r="E29" s="446"/>
      <c r="F29" s="403"/>
      <c r="G29" s="403"/>
      <c r="H29" s="403"/>
      <c r="I29" s="403"/>
      <c r="J29" s="403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V29" s="403"/>
    </row>
    <row r="30" spans="1:22" s="405" customFormat="1" ht="27.75" customHeight="1" x14ac:dyDescent="0.25">
      <c r="A30" s="403"/>
      <c r="B30" s="404"/>
      <c r="C30" s="404"/>
      <c r="D30" s="404"/>
      <c r="E30" s="446"/>
      <c r="F30" s="403"/>
      <c r="G30" s="403"/>
      <c r="H30" s="403"/>
      <c r="I30" s="403"/>
      <c r="J30" s="403"/>
      <c r="K30" s="403"/>
      <c r="L30" s="403"/>
      <c r="M30" s="403"/>
      <c r="N30" s="403"/>
      <c r="O30" s="403"/>
      <c r="P30" s="403"/>
      <c r="Q30" s="403"/>
      <c r="R30" s="403"/>
      <c r="S30" s="403"/>
      <c r="T30" s="403"/>
      <c r="V30" s="403"/>
    </row>
    <row r="31" spans="1:22" s="405" customFormat="1" ht="27.75" customHeight="1" x14ac:dyDescent="0.25">
      <c r="A31" s="403"/>
      <c r="B31" s="404"/>
      <c r="C31" s="404"/>
      <c r="D31" s="404"/>
      <c r="E31" s="446"/>
      <c r="F31" s="403"/>
      <c r="G31" s="403"/>
      <c r="H31" s="403"/>
      <c r="I31" s="403"/>
      <c r="J31" s="403"/>
      <c r="K31" s="403"/>
      <c r="L31" s="403"/>
      <c r="M31" s="403"/>
      <c r="N31" s="403"/>
      <c r="O31" s="403"/>
      <c r="P31" s="403"/>
      <c r="Q31" s="403"/>
      <c r="R31" s="403"/>
      <c r="S31" s="403"/>
      <c r="T31" s="403"/>
      <c r="V31" s="403"/>
    </row>
    <row r="32" spans="1:22" s="405" customFormat="1" ht="27.75" customHeight="1" x14ac:dyDescent="0.25">
      <c r="A32" s="403"/>
      <c r="B32" s="404"/>
      <c r="C32" s="404"/>
      <c r="D32" s="404"/>
      <c r="F32" s="403"/>
      <c r="G32" s="403"/>
      <c r="H32" s="403"/>
      <c r="I32" s="403"/>
      <c r="J32" s="403"/>
      <c r="K32" s="403"/>
      <c r="L32" s="403"/>
      <c r="M32" s="403"/>
      <c r="N32" s="403"/>
      <c r="O32" s="403"/>
      <c r="P32" s="403"/>
      <c r="Q32" s="403"/>
      <c r="R32" s="403"/>
      <c r="S32" s="403"/>
      <c r="T32" s="403"/>
      <c r="V32" s="403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1798" priority="10" operator="equal">
      <formula>0</formula>
    </cfRule>
  </conditionalFormatting>
  <conditionalFormatting sqref="B6:B18">
    <cfRule type="cellIs" dxfId="1797" priority="3" operator="greaterThan">
      <formula>0</formula>
    </cfRule>
  </conditionalFormatting>
  <conditionalFormatting sqref="E1:E1048576">
    <cfRule type="duplicateValues" dxfId="1796" priority="1"/>
  </conditionalFormatting>
  <conditionalFormatting sqref="H2:I3 A4:H4">
    <cfRule type="cellIs" dxfId="1795" priority="4" operator="equal">
      <formula>0</formula>
    </cfRule>
  </conditionalFormatting>
  <conditionalFormatting sqref="J1:K2 J19:XFD21 J25:XFD1048576">
    <cfRule type="cellIs" dxfId="1794" priority="6" operator="equal">
      <formula>0</formula>
    </cfRule>
  </conditionalFormatting>
  <conditionalFormatting sqref="S6:S18 J19:M19 L6:M18 T6:T19">
    <cfRule type="cellIs" dxfId="1793" priority="7" operator="lessThan">
      <formula>0</formula>
    </cfRule>
  </conditionalFormatting>
  <conditionalFormatting sqref="L5:N5">
    <cfRule type="cellIs" dxfId="1792" priority="8" operator="equal">
      <formula>0</formula>
    </cfRule>
  </conditionalFormatting>
  <conditionalFormatting sqref="L1:S1">
    <cfRule type="cellIs" dxfId="1791" priority="9" operator="equal">
      <formula>0</formula>
    </cfRule>
  </conditionalFormatting>
  <conditionalFormatting sqref="O20:R20">
    <cfRule type="cellIs" dxfId="1790" priority="2" operator="equal">
      <formula>0</formula>
    </cfRule>
  </conditionalFormatting>
  <conditionalFormatting sqref="S5:T5">
    <cfRule type="cellIs" dxfId="1789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zoomScale="85" zoomScaleNormal="85" zoomScaleSheetLayoutView="85" workbookViewId="0">
      <selection activeCell="E10" sqref="E10"/>
    </sheetView>
  </sheetViews>
  <sheetFormatPr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2.85546875" style="403" customWidth="1"/>
    <col min="7" max="7" width="5.85546875" style="403" customWidth="1"/>
    <col min="8" max="8" width="11.28515625" style="403" customWidth="1"/>
    <col min="9" max="9" width="5.140625" style="403" customWidth="1"/>
    <col min="10" max="10" width="11.5703125" style="403" customWidth="1"/>
    <col min="11" max="11" width="5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5.42578125" style="403" customWidth="1"/>
    <col min="17" max="17" width="13.28515625" style="403" customWidth="1"/>
    <col min="18" max="18" width="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1:22" ht="27.75" customHeight="1" x14ac:dyDescent="0.25">
      <c r="B1" s="404" t="s">
        <v>21</v>
      </c>
      <c r="S1" s="558" t="s">
        <v>479</v>
      </c>
      <c r="T1" s="558"/>
    </row>
    <row r="2" spans="1:22" ht="27.75" customHeight="1" x14ac:dyDescent="0.25">
      <c r="B2" s="403"/>
      <c r="C2" s="403"/>
      <c r="D2" s="403"/>
    </row>
    <row r="3" spans="1:22" s="406" customFormat="1" ht="36" customHeight="1" x14ac:dyDescent="0.25">
      <c r="B3" s="559" t="s">
        <v>417</v>
      </c>
      <c r="C3" s="562" t="s">
        <v>415</v>
      </c>
      <c r="D3" s="407"/>
      <c r="E3" s="565" t="s">
        <v>351</v>
      </c>
      <c r="F3" s="568" t="s">
        <v>416</v>
      </c>
      <c r="G3" s="403"/>
      <c r="H3" s="571" t="s">
        <v>408</v>
      </c>
      <c r="I3" s="571"/>
      <c r="J3" s="571"/>
      <c r="K3" s="571"/>
      <c r="L3" s="571"/>
      <c r="M3" s="571"/>
      <c r="O3" s="572" t="s">
        <v>411</v>
      </c>
      <c r="P3" s="573"/>
      <c r="Q3" s="573"/>
      <c r="R3" s="573"/>
      <c r="S3" s="573"/>
      <c r="T3" s="574"/>
      <c r="U3" s="408"/>
    </row>
    <row r="4" spans="1:22" s="406" customFormat="1" ht="36" customHeight="1" x14ac:dyDescent="0.25">
      <c r="B4" s="560"/>
      <c r="C4" s="563"/>
      <c r="D4" s="407"/>
      <c r="E4" s="566"/>
      <c r="F4" s="569"/>
      <c r="G4" s="403"/>
      <c r="H4" s="552" t="s">
        <v>413</v>
      </c>
      <c r="I4" s="553"/>
      <c r="J4" s="552" t="s">
        <v>414</v>
      </c>
      <c r="K4" s="553"/>
      <c r="L4" s="556" t="s">
        <v>412</v>
      </c>
      <c r="M4" s="557"/>
      <c r="O4" s="552" t="s">
        <v>413</v>
      </c>
      <c r="P4" s="553"/>
      <c r="Q4" s="552" t="s">
        <v>414</v>
      </c>
      <c r="R4" s="553"/>
      <c r="S4" s="556" t="s">
        <v>412</v>
      </c>
      <c r="T4" s="557"/>
      <c r="U4" s="408"/>
    </row>
    <row r="5" spans="1:22" s="406" customFormat="1" ht="57" customHeight="1" x14ac:dyDescent="0.25">
      <c r="B5" s="561"/>
      <c r="C5" s="564"/>
      <c r="D5" s="407"/>
      <c r="E5" s="567"/>
      <c r="F5" s="570"/>
      <c r="G5" s="403"/>
      <c r="H5" s="554"/>
      <c r="I5" s="555"/>
      <c r="J5" s="554"/>
      <c r="K5" s="555"/>
      <c r="L5" s="463" t="s">
        <v>409</v>
      </c>
      <c r="M5" s="464" t="s">
        <v>410</v>
      </c>
      <c r="O5" s="554"/>
      <c r="P5" s="555"/>
      <c r="Q5" s="554"/>
      <c r="R5" s="555"/>
      <c r="S5" s="463" t="s">
        <v>409</v>
      </c>
      <c r="T5" s="464" t="s">
        <v>410</v>
      </c>
      <c r="U5" s="408"/>
    </row>
    <row r="6" spans="1:22" ht="27.75" customHeight="1" x14ac:dyDescent="0.25">
      <c r="B6" s="415">
        <v>87.5</v>
      </c>
      <c r="C6" s="416">
        <v>1080</v>
      </c>
      <c r="E6" s="430" t="s">
        <v>436</v>
      </c>
      <c r="F6" s="416">
        <v>992.5</v>
      </c>
      <c r="H6" s="412">
        <v>5182</v>
      </c>
      <c r="I6" s="436">
        <f t="shared" ref="I6:I14" si="0">+IFERROR(H6/F6,"")</f>
        <v>5.2211586901763223</v>
      </c>
      <c r="J6" s="413">
        <v>1070</v>
      </c>
      <c r="K6" s="436">
        <f t="shared" ref="K6:K13" si="1">+IFERROR(J6/F6,"")</f>
        <v>1.0780856423173804</v>
      </c>
      <c r="L6" s="419">
        <f t="shared" ref="L6:L14" si="2">+H6-F6</f>
        <v>4189.5</v>
      </c>
      <c r="M6" s="421">
        <f t="shared" ref="M6:M14" si="3">+J6-F6</f>
        <v>77.5</v>
      </c>
      <c r="O6" s="412">
        <v>4522</v>
      </c>
      <c r="P6" s="436">
        <f t="shared" ref="P6:P13" si="4">+IFERROR(O6/F6,"")</f>
        <v>4.5561712846347611</v>
      </c>
      <c r="Q6" s="412">
        <v>3240</v>
      </c>
      <c r="R6" s="436">
        <f t="shared" ref="R6:R13" si="5">+IFERROR(Q6/F6,"")</f>
        <v>3.2644836272040303</v>
      </c>
      <c r="S6" s="419">
        <f t="shared" ref="S6:S8" si="6">+O6-F6</f>
        <v>3529.5</v>
      </c>
      <c r="T6" s="419">
        <f t="shared" ref="T6:T13" si="7">+Q6-F6</f>
        <v>2247.5</v>
      </c>
    </row>
    <row r="7" spans="1:22" ht="27.75" customHeight="1" x14ac:dyDescent="0.25">
      <c r="B7" s="415">
        <v>5</v>
      </c>
      <c r="C7" s="416">
        <v>525</v>
      </c>
      <c r="E7" s="430" t="s">
        <v>433</v>
      </c>
      <c r="F7" s="416">
        <v>520</v>
      </c>
      <c r="H7" s="412">
        <v>4034</v>
      </c>
      <c r="I7" s="436">
        <f t="shared" si="0"/>
        <v>7.7576923076923077</v>
      </c>
      <c r="J7" s="413">
        <v>3862</v>
      </c>
      <c r="K7" s="436">
        <f t="shared" si="1"/>
        <v>7.4269230769230772</v>
      </c>
      <c r="L7" s="419">
        <f t="shared" si="2"/>
        <v>3514</v>
      </c>
      <c r="M7" s="421">
        <f t="shared" si="3"/>
        <v>3342</v>
      </c>
      <c r="O7" s="412">
        <v>4034</v>
      </c>
      <c r="P7" s="436">
        <f t="shared" si="4"/>
        <v>7.7576923076923077</v>
      </c>
      <c r="Q7" s="412">
        <v>4012</v>
      </c>
      <c r="R7" s="436">
        <f t="shared" si="5"/>
        <v>7.7153846153846155</v>
      </c>
      <c r="S7" s="419">
        <f t="shared" si="6"/>
        <v>3514</v>
      </c>
      <c r="T7" s="419">
        <f t="shared" si="7"/>
        <v>3492</v>
      </c>
    </row>
    <row r="8" spans="1:22" ht="27.75" customHeight="1" x14ac:dyDescent="0.25">
      <c r="B8" s="415">
        <v>-403</v>
      </c>
      <c r="C8" s="416">
        <v>1159</v>
      </c>
      <c r="E8" s="430" t="s">
        <v>444</v>
      </c>
      <c r="F8" s="416">
        <v>1562</v>
      </c>
      <c r="H8" s="412">
        <v>2678</v>
      </c>
      <c r="I8" s="436">
        <f t="shared" si="0"/>
        <v>1.7144686299615877</v>
      </c>
      <c r="J8" s="413">
        <v>56</v>
      </c>
      <c r="K8" s="436">
        <f t="shared" si="1"/>
        <v>3.5851472471190783E-2</v>
      </c>
      <c r="L8" s="419">
        <f t="shared" si="2"/>
        <v>1116</v>
      </c>
      <c r="M8" s="421">
        <f t="shared" si="3"/>
        <v>-1506</v>
      </c>
      <c r="O8" s="412">
        <v>3228</v>
      </c>
      <c r="P8" s="436">
        <f t="shared" si="4"/>
        <v>2.0665813060179259</v>
      </c>
      <c r="Q8" s="412">
        <v>592</v>
      </c>
      <c r="R8" s="436">
        <f t="shared" si="5"/>
        <v>0.37900128040973113</v>
      </c>
      <c r="S8" s="419">
        <f t="shared" si="6"/>
        <v>1666</v>
      </c>
      <c r="T8" s="419">
        <f t="shared" si="7"/>
        <v>-970</v>
      </c>
    </row>
    <row r="9" spans="1:22" ht="27.75" customHeight="1" x14ac:dyDescent="0.25">
      <c r="B9" s="415">
        <v>-36</v>
      </c>
      <c r="C9" s="416">
        <v>720</v>
      </c>
      <c r="E9" s="430" t="s">
        <v>456</v>
      </c>
      <c r="F9" s="416">
        <v>756</v>
      </c>
      <c r="H9" s="412">
        <v>2278</v>
      </c>
      <c r="I9" s="436">
        <f t="shared" si="0"/>
        <v>3.013227513227513</v>
      </c>
      <c r="J9" s="413">
        <v>480</v>
      </c>
      <c r="K9" s="436">
        <f t="shared" si="1"/>
        <v>0.63492063492063489</v>
      </c>
      <c r="L9" s="419">
        <f>+H9-F9</f>
        <v>1522</v>
      </c>
      <c r="M9" s="421">
        <f>+J9-F9</f>
        <v>-276</v>
      </c>
      <c r="O9" s="412"/>
      <c r="P9" s="436">
        <f t="shared" si="4"/>
        <v>0</v>
      </c>
      <c r="Q9" s="412"/>
      <c r="R9" s="436">
        <f t="shared" si="5"/>
        <v>0</v>
      </c>
      <c r="S9" s="419"/>
      <c r="T9" s="419"/>
    </row>
    <row r="10" spans="1:22" ht="27.75" customHeight="1" x14ac:dyDescent="0.25">
      <c r="B10" s="415">
        <v>-57.5</v>
      </c>
      <c r="C10" s="416">
        <v>984</v>
      </c>
      <c r="E10" s="430" t="s">
        <v>440</v>
      </c>
      <c r="F10" s="416">
        <v>1041.5</v>
      </c>
      <c r="H10" s="412">
        <v>8130</v>
      </c>
      <c r="I10" s="436">
        <f t="shared" si="0"/>
        <v>7.8060489678348537</v>
      </c>
      <c r="J10" s="413">
        <v>2782</v>
      </c>
      <c r="K10" s="436">
        <f t="shared" si="1"/>
        <v>2.6711473835813728</v>
      </c>
      <c r="L10" s="419">
        <f t="shared" si="2"/>
        <v>7088.5</v>
      </c>
      <c r="M10" s="421">
        <f t="shared" si="3"/>
        <v>1740.5</v>
      </c>
      <c r="O10" s="412">
        <v>9330</v>
      </c>
      <c r="P10" s="436">
        <f t="shared" si="4"/>
        <v>8.9582333173307731</v>
      </c>
      <c r="Q10" s="412">
        <v>908</v>
      </c>
      <c r="R10" s="436">
        <f t="shared" si="5"/>
        <v>0.87181949111857893</v>
      </c>
      <c r="S10" s="419">
        <f>+O10-F10</f>
        <v>8288.5</v>
      </c>
      <c r="T10" s="419">
        <f t="shared" si="7"/>
        <v>-133.5</v>
      </c>
    </row>
    <row r="11" spans="1:22" ht="27.75" customHeight="1" x14ac:dyDescent="0.25">
      <c r="B11" s="415">
        <v>49.75</v>
      </c>
      <c r="C11" s="416">
        <v>700</v>
      </c>
      <c r="E11" s="413" t="s">
        <v>442</v>
      </c>
      <c r="F11" s="416">
        <v>650.25</v>
      </c>
      <c r="H11" s="412">
        <v>6301</v>
      </c>
      <c r="I11" s="436">
        <f t="shared" si="0"/>
        <v>9.6901191849288733</v>
      </c>
      <c r="J11" s="413">
        <v>4199</v>
      </c>
      <c r="K11" s="436">
        <f t="shared" si="1"/>
        <v>6.4575163398692812</v>
      </c>
      <c r="L11" s="419">
        <f t="shared" si="2"/>
        <v>5650.75</v>
      </c>
      <c r="M11" s="421">
        <f t="shared" si="3"/>
        <v>3548.75</v>
      </c>
      <c r="O11" s="412">
        <v>3801</v>
      </c>
      <c r="P11" s="436">
        <f t="shared" si="4"/>
        <v>5.8454440599769315</v>
      </c>
      <c r="Q11" s="412">
        <v>2849</v>
      </c>
      <c r="R11" s="436">
        <f t="shared" si="5"/>
        <v>4.3813917723952329</v>
      </c>
      <c r="S11" s="419">
        <f t="shared" ref="S11:S13" si="8">+O11-F11</f>
        <v>3150.75</v>
      </c>
      <c r="T11" s="419">
        <f t="shared" si="7"/>
        <v>2198.75</v>
      </c>
    </row>
    <row r="12" spans="1:22" ht="27.75" customHeight="1" x14ac:dyDescent="0.25">
      <c r="B12" s="415">
        <v>548</v>
      </c>
      <c r="C12" s="416"/>
      <c r="E12" s="412" t="s">
        <v>458</v>
      </c>
      <c r="F12" s="416">
        <v>400</v>
      </c>
      <c r="H12" s="412">
        <v>2192</v>
      </c>
      <c r="I12" s="436">
        <f t="shared" si="0"/>
        <v>5.48</v>
      </c>
      <c r="J12" s="413"/>
      <c r="K12" s="436">
        <f t="shared" si="1"/>
        <v>0</v>
      </c>
      <c r="L12" s="419">
        <f t="shared" si="2"/>
        <v>1792</v>
      </c>
      <c r="M12" s="421"/>
      <c r="O12" s="412"/>
      <c r="P12" s="436">
        <f t="shared" si="4"/>
        <v>0</v>
      </c>
      <c r="Q12" s="412"/>
      <c r="R12" s="436">
        <f t="shared" si="5"/>
        <v>0</v>
      </c>
      <c r="S12" s="419"/>
      <c r="T12" s="419"/>
    </row>
    <row r="13" spans="1:22" ht="27.75" customHeight="1" x14ac:dyDescent="0.25">
      <c r="B13" s="415">
        <v>0</v>
      </c>
      <c r="C13" s="416"/>
      <c r="E13" s="412" t="s">
        <v>472</v>
      </c>
      <c r="F13" s="416">
        <v>600</v>
      </c>
      <c r="H13" s="412">
        <v>2571</v>
      </c>
      <c r="I13" s="436">
        <f t="shared" si="0"/>
        <v>4.2850000000000001</v>
      </c>
      <c r="J13" s="413">
        <v>450</v>
      </c>
      <c r="K13" s="436">
        <f t="shared" si="1"/>
        <v>0.75</v>
      </c>
      <c r="L13" s="419">
        <f t="shared" si="2"/>
        <v>1971</v>
      </c>
      <c r="M13" s="421">
        <f t="shared" si="3"/>
        <v>-150</v>
      </c>
      <c r="O13" s="412">
        <v>3821</v>
      </c>
      <c r="P13" s="436">
        <f t="shared" si="4"/>
        <v>6.3683333333333332</v>
      </c>
      <c r="Q13" s="412">
        <v>850</v>
      </c>
      <c r="R13" s="436">
        <f t="shared" si="5"/>
        <v>1.4166666666666667</v>
      </c>
      <c r="S13" s="419">
        <f t="shared" si="8"/>
        <v>3221</v>
      </c>
      <c r="T13" s="419">
        <f t="shared" si="7"/>
        <v>250</v>
      </c>
    </row>
    <row r="14" spans="1:22" ht="27.75" customHeight="1" x14ac:dyDescent="0.25">
      <c r="B14" s="415">
        <v>-100</v>
      </c>
      <c r="C14" s="416"/>
      <c r="E14" s="413" t="s">
        <v>474</v>
      </c>
      <c r="F14" s="416">
        <v>150</v>
      </c>
      <c r="H14" s="412">
        <v>504</v>
      </c>
      <c r="I14" s="436">
        <f t="shared" si="0"/>
        <v>3.36</v>
      </c>
      <c r="J14" s="413"/>
      <c r="K14" s="436"/>
      <c r="L14" s="419">
        <f t="shared" si="2"/>
        <v>354</v>
      </c>
      <c r="M14" s="421">
        <f t="shared" si="3"/>
        <v>-150</v>
      </c>
      <c r="O14" s="412"/>
      <c r="P14" s="436"/>
      <c r="Q14" s="412"/>
      <c r="R14" s="436"/>
      <c r="S14" s="419"/>
      <c r="T14" s="419"/>
    </row>
    <row r="15" spans="1:22" s="405" customFormat="1" ht="27.75" customHeight="1" x14ac:dyDescent="0.25">
      <c r="A15" s="403"/>
      <c r="B15" s="417"/>
      <c r="C15" s="418"/>
      <c r="D15" s="404"/>
      <c r="E15" s="403"/>
      <c r="F15" s="420"/>
      <c r="G15" s="403"/>
      <c r="H15" s="403"/>
      <c r="I15" s="403"/>
      <c r="J15" s="414"/>
      <c r="K15" s="414"/>
      <c r="L15" s="420"/>
      <c r="M15" s="420"/>
      <c r="N15" s="403"/>
      <c r="O15" s="403"/>
      <c r="P15" s="403"/>
      <c r="Q15" s="403"/>
      <c r="R15" s="403"/>
      <c r="S15" s="422"/>
      <c r="T15" s="420"/>
      <c r="V15" s="403"/>
    </row>
    <row r="16" spans="1:22" s="405" customFormat="1" ht="27.75" customHeight="1" x14ac:dyDescent="0.25">
      <c r="A16" s="403"/>
      <c r="B16" s="417">
        <f>+SUM(B6:B14)</f>
        <v>93.75</v>
      </c>
      <c r="C16" s="417">
        <f>+SUM(C6:C14)</f>
        <v>5168</v>
      </c>
      <c r="D16" s="411">
        <f>+SUM(D6:D14)</f>
        <v>0</v>
      </c>
      <c r="E16" s="412" t="s">
        <v>13</v>
      </c>
      <c r="F16" s="419">
        <f>+SUM(F6:F14)</f>
        <v>6672.25</v>
      </c>
      <c r="G16" s="403"/>
      <c r="H16" s="419">
        <f>+SUM(H6:H14)</f>
        <v>33870</v>
      </c>
      <c r="I16" s="403"/>
      <c r="J16" s="419">
        <f>+SUM(J6:J14)</f>
        <v>12899</v>
      </c>
      <c r="K16" s="420"/>
      <c r="L16" s="418"/>
      <c r="M16" s="418"/>
      <c r="N16" s="404"/>
      <c r="O16" s="419">
        <f>+SUM(O6:O14)</f>
        <v>28736</v>
      </c>
      <c r="P16" s="403"/>
      <c r="Q16" s="419">
        <f>+SUM(Q6:Q14)</f>
        <v>12451</v>
      </c>
      <c r="R16" s="420"/>
      <c r="S16" s="418"/>
      <c r="T16" s="418"/>
      <c r="V16" s="403"/>
    </row>
    <row r="17" spans="1:22" s="405" customFormat="1" ht="27.75" customHeight="1" x14ac:dyDescent="0.25">
      <c r="A17" s="403"/>
      <c r="B17" s="404"/>
      <c r="C17" s="404"/>
      <c r="D17" s="404"/>
      <c r="F17" s="403"/>
      <c r="G17" s="403"/>
      <c r="H17" s="403"/>
      <c r="I17" s="403"/>
      <c r="J17" s="403"/>
      <c r="K17" s="403"/>
      <c r="L17" s="431"/>
      <c r="M17" s="403"/>
      <c r="N17" s="403"/>
      <c r="O17" s="403"/>
      <c r="P17" s="403"/>
      <c r="Q17" s="403"/>
      <c r="R17" s="403"/>
      <c r="S17" s="403"/>
      <c r="T17" s="403"/>
      <c r="V17" s="403"/>
    </row>
    <row r="18" spans="1:22" s="405" customFormat="1" ht="27.75" customHeight="1" x14ac:dyDescent="0.25">
      <c r="A18" s="403"/>
      <c r="B18" s="404"/>
      <c r="C18" s="404"/>
      <c r="D18" s="404"/>
      <c r="E18" s="446"/>
      <c r="F18" s="403"/>
      <c r="G18" s="403"/>
      <c r="H18" s="403"/>
      <c r="I18" s="403"/>
      <c r="J18" s="403"/>
      <c r="K18" s="403"/>
      <c r="L18" s="431"/>
      <c r="M18" s="403"/>
      <c r="N18" s="403"/>
      <c r="O18" s="403"/>
      <c r="P18" s="403"/>
      <c r="Q18" s="403"/>
      <c r="R18" s="403"/>
      <c r="S18" s="403"/>
      <c r="T18" s="403"/>
      <c r="V18" s="403"/>
    </row>
    <row r="19" spans="1:22" s="405" customFormat="1" ht="27.75" customHeight="1" x14ac:dyDescent="0.25">
      <c r="A19" s="403"/>
      <c r="B19" s="404"/>
      <c r="C19" s="404"/>
      <c r="D19" s="404"/>
      <c r="E19" s="446"/>
      <c r="F19" s="403"/>
      <c r="G19" s="403"/>
      <c r="H19" s="403"/>
      <c r="I19" s="403"/>
      <c r="J19" s="403"/>
      <c r="K19" s="403"/>
      <c r="L19" s="431"/>
      <c r="M19" s="403"/>
      <c r="N19" s="403"/>
      <c r="O19" s="403"/>
      <c r="P19" s="403"/>
      <c r="Q19" s="403"/>
      <c r="R19" s="403"/>
      <c r="S19" s="403"/>
      <c r="T19" s="403"/>
      <c r="V19" s="403"/>
    </row>
    <row r="20" spans="1:22" s="405" customFormat="1" ht="27.75" customHeight="1" x14ac:dyDescent="0.25">
      <c r="A20" s="403"/>
      <c r="B20" s="404"/>
      <c r="C20" s="404"/>
      <c r="D20" s="404"/>
      <c r="E20" s="446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1788" priority="10" operator="equal">
      <formula>0</formula>
    </cfRule>
  </conditionalFormatting>
  <conditionalFormatting sqref="B6:B14">
    <cfRule type="cellIs" dxfId="1787" priority="3" operator="greaterThan">
      <formula>0</formula>
    </cfRule>
  </conditionalFormatting>
  <conditionalFormatting sqref="E1:E1048576">
    <cfRule type="duplicateValues" dxfId="1786" priority="1"/>
  </conditionalFormatting>
  <conditionalFormatting sqref="H2:I3 A4:H4">
    <cfRule type="cellIs" dxfId="1785" priority="4" operator="equal">
      <formula>0</formula>
    </cfRule>
  </conditionalFormatting>
  <conditionalFormatting sqref="J1:K2 J15:XFD17 J21:XFD1048576">
    <cfRule type="cellIs" dxfId="1784" priority="6" operator="equal">
      <formula>0</formula>
    </cfRule>
  </conditionalFormatting>
  <conditionalFormatting sqref="J15:M15 L6:M14 T12:T15 S6:T11 S12:S14">
    <cfRule type="cellIs" dxfId="1783" priority="7" operator="lessThan">
      <formula>0</formula>
    </cfRule>
  </conditionalFormatting>
  <conditionalFormatting sqref="L5:N5">
    <cfRule type="cellIs" dxfId="1782" priority="8" operator="equal">
      <formula>0</formula>
    </cfRule>
  </conditionalFormatting>
  <conditionalFormatting sqref="L1:S1">
    <cfRule type="cellIs" dxfId="1781" priority="9" operator="equal">
      <formula>0</formula>
    </cfRule>
  </conditionalFormatting>
  <conditionalFormatting sqref="O16:R16">
    <cfRule type="cellIs" dxfId="1780" priority="2" operator="equal">
      <formula>0</formula>
    </cfRule>
  </conditionalFormatting>
  <conditionalFormatting sqref="S5:T5">
    <cfRule type="cellIs" dxfId="1779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topLeftCell="A2" zoomScale="85" zoomScaleNormal="85" zoomScaleSheetLayoutView="85" workbookViewId="0">
      <selection activeCell="S18" sqref="S18"/>
    </sheetView>
  </sheetViews>
  <sheetFormatPr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1.85546875" style="403" customWidth="1"/>
    <col min="7" max="7" width="5.85546875" style="403" customWidth="1"/>
    <col min="8" max="8" width="11.28515625" style="403" customWidth="1"/>
    <col min="9" max="9" width="7.85546875" style="403" customWidth="1"/>
    <col min="10" max="10" width="11.5703125" style="403" customWidth="1"/>
    <col min="11" max="11" width="7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7.140625" style="403" customWidth="1"/>
    <col min="17" max="17" width="13.28515625" style="403" customWidth="1"/>
    <col min="18" max="18" width="6.570312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2:21" ht="27.75" customHeight="1" x14ac:dyDescent="0.25">
      <c r="B1" s="404" t="s">
        <v>21</v>
      </c>
      <c r="S1" s="558" t="s">
        <v>484</v>
      </c>
      <c r="T1" s="558"/>
    </row>
    <row r="2" spans="2:21" ht="27.75" customHeight="1" x14ac:dyDescent="0.25">
      <c r="B2" s="403"/>
      <c r="C2" s="403"/>
      <c r="D2" s="403"/>
    </row>
    <row r="3" spans="2:21" s="406" customFormat="1" ht="36" customHeight="1" x14ac:dyDescent="0.25">
      <c r="B3" s="559" t="s">
        <v>417</v>
      </c>
      <c r="C3" s="562" t="s">
        <v>415</v>
      </c>
      <c r="D3" s="407"/>
      <c r="E3" s="565" t="s">
        <v>351</v>
      </c>
      <c r="F3" s="568" t="s">
        <v>416</v>
      </c>
      <c r="G3" s="403"/>
      <c r="H3" s="571" t="s">
        <v>408</v>
      </c>
      <c r="I3" s="571"/>
      <c r="J3" s="571"/>
      <c r="K3" s="571"/>
      <c r="L3" s="571"/>
      <c r="M3" s="571"/>
      <c r="O3" s="572" t="s">
        <v>411</v>
      </c>
      <c r="P3" s="573"/>
      <c r="Q3" s="573"/>
      <c r="R3" s="573"/>
      <c r="S3" s="573"/>
      <c r="T3" s="574"/>
      <c r="U3" s="408"/>
    </row>
    <row r="4" spans="2:21" s="406" customFormat="1" ht="36" customHeight="1" x14ac:dyDescent="0.25">
      <c r="B4" s="560"/>
      <c r="C4" s="563"/>
      <c r="D4" s="407"/>
      <c r="E4" s="566"/>
      <c r="F4" s="569"/>
      <c r="G4" s="403"/>
      <c r="H4" s="552" t="s">
        <v>413</v>
      </c>
      <c r="I4" s="553"/>
      <c r="J4" s="552" t="s">
        <v>414</v>
      </c>
      <c r="K4" s="553"/>
      <c r="L4" s="556" t="s">
        <v>412</v>
      </c>
      <c r="M4" s="557"/>
      <c r="O4" s="552" t="s">
        <v>413</v>
      </c>
      <c r="P4" s="553"/>
      <c r="Q4" s="552" t="s">
        <v>414</v>
      </c>
      <c r="R4" s="553"/>
      <c r="S4" s="556" t="s">
        <v>412</v>
      </c>
      <c r="T4" s="557"/>
      <c r="U4" s="408"/>
    </row>
    <row r="5" spans="2:21" s="406" customFormat="1" ht="57" customHeight="1" x14ac:dyDescent="0.25">
      <c r="B5" s="561"/>
      <c r="C5" s="564"/>
      <c r="D5" s="407"/>
      <c r="E5" s="567"/>
      <c r="F5" s="570"/>
      <c r="G5" s="403"/>
      <c r="H5" s="554"/>
      <c r="I5" s="555"/>
      <c r="J5" s="554"/>
      <c r="K5" s="555"/>
      <c r="L5" s="470" t="s">
        <v>409</v>
      </c>
      <c r="M5" s="471" t="s">
        <v>410</v>
      </c>
      <c r="O5" s="554"/>
      <c r="P5" s="555"/>
      <c r="Q5" s="554"/>
      <c r="R5" s="555"/>
      <c r="S5" s="470" t="s">
        <v>409</v>
      </c>
      <c r="T5" s="471" t="s">
        <v>410</v>
      </c>
      <c r="U5" s="408"/>
    </row>
    <row r="6" spans="2:21" ht="27.75" customHeight="1" x14ac:dyDescent="0.25">
      <c r="B6" s="415">
        <v>52.6875</v>
      </c>
      <c r="C6" s="416">
        <v>840</v>
      </c>
      <c r="E6" s="430" t="s">
        <v>436</v>
      </c>
      <c r="F6" s="416">
        <v>787.3125</v>
      </c>
      <c r="H6" s="412">
        <v>4665</v>
      </c>
      <c r="I6" s="436">
        <v>5.9252202905453677</v>
      </c>
      <c r="J6" s="413">
        <v>1249</v>
      </c>
      <c r="K6" s="436">
        <v>1.5864094625704532</v>
      </c>
      <c r="L6" s="419">
        <v>3877.6875</v>
      </c>
      <c r="M6" s="421">
        <v>461.6875</v>
      </c>
      <c r="O6" s="412">
        <v>4665</v>
      </c>
      <c r="P6" s="436">
        <v>5.9252202905453677</v>
      </c>
      <c r="Q6" s="412">
        <v>1559</v>
      </c>
      <c r="R6" s="436">
        <v>1.9801540049218067</v>
      </c>
      <c r="S6" s="419">
        <v>3877.6875</v>
      </c>
      <c r="T6" s="419">
        <v>771.6875</v>
      </c>
    </row>
    <row r="7" spans="2:21" ht="27.75" customHeight="1" x14ac:dyDescent="0.25">
      <c r="B7" s="415">
        <v>37.5</v>
      </c>
      <c r="C7" s="416">
        <v>375</v>
      </c>
      <c r="E7" s="430" t="s">
        <v>433</v>
      </c>
      <c r="F7" s="416">
        <v>337.5</v>
      </c>
      <c r="H7" s="412">
        <v>1334</v>
      </c>
      <c r="I7" s="436">
        <v>3.9525925925925924</v>
      </c>
      <c r="J7" s="413">
        <v>1312</v>
      </c>
      <c r="K7" s="436">
        <v>3.8874074074074074</v>
      </c>
      <c r="L7" s="419">
        <v>996.5</v>
      </c>
      <c r="M7" s="421">
        <v>974.5</v>
      </c>
      <c r="O7" s="412">
        <v>1334</v>
      </c>
      <c r="P7" s="436">
        <v>3.9525925925925924</v>
      </c>
      <c r="Q7" s="412">
        <v>1312</v>
      </c>
      <c r="R7" s="436">
        <v>3.8874074074074074</v>
      </c>
      <c r="S7" s="419">
        <v>996.5</v>
      </c>
      <c r="T7" s="419">
        <v>974.5</v>
      </c>
    </row>
    <row r="8" spans="2:21" ht="27.75" customHeight="1" x14ac:dyDescent="0.25">
      <c r="B8" s="415">
        <v>-389</v>
      </c>
      <c r="C8" s="416">
        <v>1150</v>
      </c>
      <c r="E8" s="430" t="s">
        <v>444</v>
      </c>
      <c r="F8" s="416">
        <v>1539</v>
      </c>
      <c r="H8" s="412">
        <v>3769</v>
      </c>
      <c r="I8" s="436">
        <v>2.4489928525016245</v>
      </c>
      <c r="J8" s="413">
        <v>47</v>
      </c>
      <c r="K8" s="436">
        <v>3.0539311241065625E-2</v>
      </c>
      <c r="L8" s="419">
        <v>2230</v>
      </c>
      <c r="M8" s="421">
        <v>-1492</v>
      </c>
      <c r="O8" s="412">
        <v>3769</v>
      </c>
      <c r="P8" s="436">
        <v>2.4489928525016245</v>
      </c>
      <c r="Q8" s="412">
        <v>1183</v>
      </c>
      <c r="R8" s="436">
        <v>0.76868096166341782</v>
      </c>
      <c r="S8" s="419">
        <v>2230</v>
      </c>
      <c r="T8" s="419">
        <v>-356</v>
      </c>
    </row>
    <row r="9" spans="2:21" ht="27.75" customHeight="1" x14ac:dyDescent="0.25">
      <c r="B9" s="415">
        <v>3</v>
      </c>
      <c r="C9" s="416">
        <v>353</v>
      </c>
      <c r="E9" s="430" t="s">
        <v>456</v>
      </c>
      <c r="F9" s="416">
        <v>350</v>
      </c>
      <c r="H9" s="412">
        <v>355</v>
      </c>
      <c r="I9" s="436">
        <v>1.0142857142857142</v>
      </c>
      <c r="J9" s="413">
        <v>252</v>
      </c>
      <c r="K9" s="436">
        <v>0.72</v>
      </c>
      <c r="L9" s="419">
        <v>5</v>
      </c>
      <c r="M9" s="421">
        <v>-98</v>
      </c>
      <c r="O9" s="412"/>
      <c r="P9" s="436">
        <v>0</v>
      </c>
      <c r="Q9" s="412"/>
      <c r="R9" s="436">
        <v>0</v>
      </c>
      <c r="S9" s="419"/>
      <c r="T9" s="419"/>
    </row>
    <row r="10" spans="2:21" ht="27.75" customHeight="1" x14ac:dyDescent="0.25">
      <c r="B10" s="415">
        <v>62.5</v>
      </c>
      <c r="C10" s="416">
        <v>825</v>
      </c>
      <c r="E10" s="430" t="s">
        <v>440</v>
      </c>
      <c r="F10" s="416">
        <v>762.5</v>
      </c>
      <c r="H10" s="412">
        <v>8495</v>
      </c>
      <c r="I10" s="436">
        <v>11.140983606557377</v>
      </c>
      <c r="J10" s="413">
        <v>3597</v>
      </c>
      <c r="K10" s="436">
        <v>4.7173770491803282</v>
      </c>
      <c r="L10" s="419">
        <v>7732.5</v>
      </c>
      <c r="M10" s="421">
        <v>2834.5</v>
      </c>
      <c r="O10" s="412">
        <v>9920</v>
      </c>
      <c r="P10" s="436">
        <v>13.00983606557377</v>
      </c>
      <c r="Q10" s="412">
        <v>1348</v>
      </c>
      <c r="R10" s="436">
        <v>1.7678688524590165</v>
      </c>
      <c r="S10" s="419">
        <v>9157.5</v>
      </c>
      <c r="T10" s="419">
        <v>585.5</v>
      </c>
    </row>
    <row r="11" spans="2:21" ht="27.75" customHeight="1" x14ac:dyDescent="0.25">
      <c r="B11" s="415">
        <v>3.125</v>
      </c>
      <c r="C11" s="416">
        <v>450</v>
      </c>
      <c r="E11" s="413" t="s">
        <v>442</v>
      </c>
      <c r="F11" s="416">
        <v>446.875</v>
      </c>
      <c r="H11" s="412">
        <v>7451</v>
      </c>
      <c r="I11" s="436">
        <v>16.673566433566435</v>
      </c>
      <c r="J11" s="413">
        <v>4299</v>
      </c>
      <c r="K11" s="436">
        <v>9.6201398601398598</v>
      </c>
      <c r="L11" s="419">
        <v>7004.125</v>
      </c>
      <c r="M11" s="421">
        <v>3852.125</v>
      </c>
      <c r="O11" s="412">
        <v>6801</v>
      </c>
      <c r="P11" s="436">
        <v>15.219020979020979</v>
      </c>
      <c r="Q11" s="412">
        <v>1899</v>
      </c>
      <c r="R11" s="436">
        <v>4.2495104895104898</v>
      </c>
      <c r="S11" s="419">
        <v>6354.125</v>
      </c>
      <c r="T11" s="419">
        <v>1452.125</v>
      </c>
    </row>
    <row r="12" spans="2:21" ht="27.75" customHeight="1" x14ac:dyDescent="0.25">
      <c r="B12" s="415">
        <v>0</v>
      </c>
      <c r="C12" s="416"/>
      <c r="E12" s="412" t="s">
        <v>458</v>
      </c>
      <c r="F12" s="416">
        <v>0</v>
      </c>
      <c r="H12" s="412">
        <v>641</v>
      </c>
      <c r="I12" s="436" t="s">
        <v>429</v>
      </c>
      <c r="J12" s="413"/>
      <c r="K12" s="436" t="s">
        <v>429</v>
      </c>
      <c r="L12" s="419">
        <v>641</v>
      </c>
      <c r="M12" s="421"/>
      <c r="O12" s="412"/>
      <c r="P12" s="436" t="s">
        <v>429</v>
      </c>
      <c r="Q12" s="412"/>
      <c r="R12" s="436" t="s">
        <v>429</v>
      </c>
      <c r="S12" s="419"/>
      <c r="T12" s="419"/>
    </row>
    <row r="13" spans="2:21" ht="27.75" customHeight="1" x14ac:dyDescent="0.25">
      <c r="B13" s="415">
        <v>150</v>
      </c>
      <c r="C13" s="416"/>
      <c r="E13" s="412" t="s">
        <v>472</v>
      </c>
      <c r="F13" s="416">
        <v>700</v>
      </c>
      <c r="H13" s="412">
        <v>2569</v>
      </c>
      <c r="I13" s="436">
        <v>3.67</v>
      </c>
      <c r="J13" s="413">
        <v>698</v>
      </c>
      <c r="K13" s="436">
        <v>0.99714285714285711</v>
      </c>
      <c r="L13" s="419">
        <v>1869</v>
      </c>
      <c r="M13" s="421">
        <v>-2</v>
      </c>
      <c r="O13" s="412">
        <v>4519</v>
      </c>
      <c r="P13" s="436">
        <v>6.4557142857142855</v>
      </c>
      <c r="Q13" s="412">
        <v>1448</v>
      </c>
      <c r="R13" s="436">
        <v>2.0685714285714285</v>
      </c>
      <c r="S13" s="419">
        <v>3819</v>
      </c>
      <c r="T13" s="419">
        <v>748</v>
      </c>
    </row>
    <row r="14" spans="2:21" ht="27.75" customHeight="1" x14ac:dyDescent="0.25">
      <c r="B14" s="415">
        <v>0</v>
      </c>
      <c r="C14" s="416"/>
      <c r="E14" s="413" t="s">
        <v>474</v>
      </c>
      <c r="F14" s="416">
        <v>290</v>
      </c>
      <c r="H14" s="412">
        <v>933</v>
      </c>
      <c r="I14" s="436">
        <v>3.2172413793103449</v>
      </c>
      <c r="J14" s="413"/>
      <c r="K14" s="436">
        <v>0</v>
      </c>
      <c r="L14" s="419">
        <v>643</v>
      </c>
      <c r="M14" s="421">
        <v>-290</v>
      </c>
      <c r="O14" s="412">
        <v>109</v>
      </c>
      <c r="P14" s="436">
        <v>0.37586206896551722</v>
      </c>
      <c r="Q14" s="412"/>
      <c r="R14" s="436">
        <v>0</v>
      </c>
      <c r="S14" s="419"/>
      <c r="T14" s="419"/>
    </row>
    <row r="15" spans="2:21" ht="27.75" customHeight="1" x14ac:dyDescent="0.25">
      <c r="B15" s="415">
        <v>0</v>
      </c>
      <c r="C15" s="416"/>
      <c r="E15" s="413" t="s">
        <v>485</v>
      </c>
      <c r="F15" s="416">
        <v>0</v>
      </c>
      <c r="H15" s="412">
        <v>262</v>
      </c>
      <c r="I15" s="436" t="s">
        <v>429</v>
      </c>
      <c r="J15" s="413"/>
      <c r="K15" s="436" t="s">
        <v>429</v>
      </c>
      <c r="L15" s="419">
        <v>262</v>
      </c>
      <c r="M15" s="421">
        <v>0</v>
      </c>
      <c r="O15" s="412"/>
      <c r="P15" s="436" t="s">
        <v>429</v>
      </c>
      <c r="Q15" s="412"/>
      <c r="R15" s="436" t="s">
        <v>429</v>
      </c>
      <c r="S15" s="419">
        <v>0</v>
      </c>
      <c r="T15" s="419">
        <v>0</v>
      </c>
    </row>
    <row r="16" spans="2:21" ht="27.75" customHeight="1" x14ac:dyDescent="0.25">
      <c r="B16" s="415">
        <v>0</v>
      </c>
      <c r="C16" s="416"/>
      <c r="E16" s="413" t="s">
        <v>486</v>
      </c>
      <c r="F16" s="416">
        <v>0</v>
      </c>
      <c r="H16" s="412">
        <v>512</v>
      </c>
      <c r="I16" s="436" t="s">
        <v>429</v>
      </c>
      <c r="J16" s="413"/>
      <c r="K16" s="436" t="s">
        <v>429</v>
      </c>
      <c r="L16" s="419">
        <v>512</v>
      </c>
      <c r="M16" s="421">
        <v>0</v>
      </c>
      <c r="O16" s="412"/>
      <c r="P16" s="436" t="s">
        <v>429</v>
      </c>
      <c r="Q16" s="412"/>
      <c r="R16" s="436" t="s">
        <v>429</v>
      </c>
      <c r="S16" s="419">
        <v>0</v>
      </c>
      <c r="T16" s="419">
        <v>0</v>
      </c>
    </row>
    <row r="17" spans="1:22" s="405" customFormat="1" ht="27.75" customHeight="1" x14ac:dyDescent="0.25">
      <c r="A17" s="403"/>
      <c r="B17" s="417"/>
      <c r="C17" s="418"/>
      <c r="D17" s="404"/>
      <c r="E17" s="403"/>
      <c r="F17" s="420"/>
      <c r="G17" s="403"/>
      <c r="H17" s="403"/>
      <c r="I17" s="403"/>
      <c r="J17" s="414"/>
      <c r="K17" s="414"/>
      <c r="L17" s="420"/>
      <c r="M17" s="420"/>
      <c r="N17" s="403"/>
      <c r="O17" s="403"/>
      <c r="P17" s="403"/>
      <c r="Q17" s="403"/>
      <c r="R17" s="403"/>
      <c r="S17" s="422"/>
      <c r="T17" s="420"/>
      <c r="V17" s="403"/>
    </row>
    <row r="18" spans="1:22" s="405" customFormat="1" ht="27.75" customHeight="1" x14ac:dyDescent="0.25">
      <c r="A18" s="403"/>
      <c r="B18" s="417">
        <f>+SUM(B6:B16)</f>
        <v>-80.1875</v>
      </c>
      <c r="C18" s="417">
        <f>+SUM(C6:C14)</f>
        <v>3993</v>
      </c>
      <c r="D18" s="411">
        <f>+SUM(D6:D14)</f>
        <v>0</v>
      </c>
      <c r="E18" s="412" t="s">
        <v>13</v>
      </c>
      <c r="F18" s="419">
        <f>+SUM(F6:F16)</f>
        <v>5213.1875</v>
      </c>
      <c r="G18" s="403"/>
      <c r="H18" s="419">
        <f>+SUM(H6:H16)</f>
        <v>30986</v>
      </c>
      <c r="I18" s="403"/>
      <c r="J18" s="419">
        <f>+SUM(J6:J16)</f>
        <v>11454</v>
      </c>
      <c r="K18" s="420"/>
      <c r="L18" s="418"/>
      <c r="M18" s="418"/>
      <c r="N18" s="404"/>
      <c r="O18" s="419">
        <f>+SUM(O6:O16)</f>
        <v>31117</v>
      </c>
      <c r="P18" s="403"/>
      <c r="Q18" s="419">
        <f>+SUM(Q6:Q16)</f>
        <v>8749</v>
      </c>
      <c r="R18" s="420"/>
      <c r="S18" s="418"/>
      <c r="T18" s="418"/>
      <c r="V18" s="403"/>
    </row>
    <row r="19" spans="1:22" s="405" customFormat="1" ht="27.75" customHeight="1" x14ac:dyDescent="0.25">
      <c r="A19" s="403"/>
      <c r="B19" s="404"/>
      <c r="C19" s="404"/>
      <c r="D19" s="404"/>
      <c r="F19" s="403"/>
      <c r="G19" s="403"/>
      <c r="H19" s="403"/>
      <c r="I19" s="403"/>
      <c r="J19" s="403"/>
      <c r="K19" s="403"/>
      <c r="L19" s="431"/>
      <c r="M19" s="403"/>
      <c r="N19" s="403"/>
      <c r="O19" s="403"/>
      <c r="P19" s="403"/>
      <c r="Q19" s="403"/>
      <c r="R19" s="403"/>
      <c r="S19" s="403"/>
      <c r="T19" s="403"/>
      <c r="V19" s="403"/>
    </row>
    <row r="20" spans="1:22" s="405" customFormat="1" ht="27.75" customHeight="1" x14ac:dyDescent="0.25">
      <c r="A20" s="403"/>
      <c r="B20" s="404"/>
      <c r="C20" s="404"/>
      <c r="D20" s="404"/>
      <c r="E20" s="446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31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31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s="405" customFormat="1" ht="27.75" customHeight="1" x14ac:dyDescent="0.25">
      <c r="A29" s="403"/>
      <c r="B29" s="404"/>
      <c r="C29" s="404"/>
      <c r="D29" s="404"/>
      <c r="E29" s="446"/>
      <c r="F29" s="403"/>
      <c r="G29" s="403"/>
      <c r="H29" s="403"/>
      <c r="I29" s="403"/>
      <c r="J29" s="403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V29" s="403"/>
    </row>
    <row r="30" spans="1:22" s="405" customFormat="1" ht="27.75" customHeight="1" x14ac:dyDescent="0.25">
      <c r="A30" s="403"/>
      <c r="B30" s="404"/>
      <c r="C30" s="404"/>
      <c r="D30" s="404"/>
      <c r="E30" s="446"/>
      <c r="F30" s="403"/>
      <c r="G30" s="403"/>
      <c r="H30" s="403"/>
      <c r="I30" s="403"/>
      <c r="J30" s="403"/>
      <c r="K30" s="403"/>
      <c r="L30" s="403"/>
      <c r="M30" s="403"/>
      <c r="N30" s="403"/>
      <c r="O30" s="403"/>
      <c r="P30" s="403"/>
      <c r="Q30" s="403"/>
      <c r="R30" s="403"/>
      <c r="S30" s="403"/>
      <c r="T30" s="403"/>
      <c r="V30" s="403"/>
    </row>
    <row r="31" spans="1:22" ht="27.75" customHeight="1" x14ac:dyDescent="0.25">
      <c r="E31" s="446"/>
    </row>
    <row r="32" spans="1:22" ht="27.75" customHeight="1" x14ac:dyDescent="0.25">
      <c r="E32" s="446"/>
    </row>
    <row r="33" spans="5:5" ht="27.75" customHeight="1" x14ac:dyDescent="0.25">
      <c r="E33" s="446"/>
    </row>
    <row r="34" spans="5:5" ht="27.75" customHeight="1" x14ac:dyDescent="0.25">
      <c r="E34" s="446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1778" priority="10" operator="equal">
      <formula>0</formula>
    </cfRule>
  </conditionalFormatting>
  <conditionalFormatting sqref="B6:B16">
    <cfRule type="cellIs" dxfId="1777" priority="3" operator="greaterThan">
      <formula>0</formula>
    </cfRule>
  </conditionalFormatting>
  <conditionalFormatting sqref="E1:E1048576">
    <cfRule type="duplicateValues" dxfId="1776" priority="1"/>
  </conditionalFormatting>
  <conditionalFormatting sqref="H2:I3 A4:H4">
    <cfRule type="cellIs" dxfId="1775" priority="4" operator="equal">
      <formula>0</formula>
    </cfRule>
  </conditionalFormatting>
  <conditionalFormatting sqref="J1:K2 J17:XFD19 J23:XFD1048576">
    <cfRule type="cellIs" dxfId="1774" priority="6" operator="equal">
      <formula>0</formula>
    </cfRule>
  </conditionalFormatting>
  <conditionalFormatting sqref="J17:M17 L6:M16 T17 S6:T16">
    <cfRule type="cellIs" dxfId="1773" priority="7" operator="lessThan">
      <formula>0</formula>
    </cfRule>
  </conditionalFormatting>
  <conditionalFormatting sqref="L5:N5">
    <cfRule type="cellIs" dxfId="1772" priority="8" operator="equal">
      <formula>0</formula>
    </cfRule>
  </conditionalFormatting>
  <conditionalFormatting sqref="L1:S1">
    <cfRule type="cellIs" dxfId="1771" priority="9" operator="equal">
      <formula>0</formula>
    </cfRule>
  </conditionalFormatting>
  <conditionalFormatting sqref="O18:R18">
    <cfRule type="cellIs" dxfId="1770" priority="2" operator="equal">
      <formula>0</formula>
    </cfRule>
  </conditionalFormatting>
  <conditionalFormatting sqref="S5:T5">
    <cfRule type="cellIs" dxfId="1769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zoomScale="85" zoomScaleNormal="85" zoomScaleSheetLayoutView="85" workbookViewId="0">
      <selection activeCell="J11" sqref="J11"/>
    </sheetView>
  </sheetViews>
  <sheetFormatPr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1.85546875" style="403" customWidth="1"/>
    <col min="7" max="7" width="5.85546875" style="403" customWidth="1"/>
    <col min="8" max="8" width="11.28515625" style="403" customWidth="1"/>
    <col min="9" max="9" width="7.85546875" style="403" customWidth="1"/>
    <col min="10" max="10" width="11.5703125" style="403" customWidth="1"/>
    <col min="11" max="11" width="7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7.140625" style="403" customWidth="1"/>
    <col min="17" max="17" width="13.28515625" style="403" customWidth="1"/>
    <col min="18" max="18" width="6.570312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1:22" ht="27.75" customHeight="1" x14ac:dyDescent="0.25">
      <c r="B1" s="404" t="s">
        <v>21</v>
      </c>
      <c r="S1" s="558" t="s">
        <v>490</v>
      </c>
      <c r="T1" s="558"/>
    </row>
    <row r="2" spans="1:22" ht="27.75" customHeight="1" x14ac:dyDescent="0.25">
      <c r="B2" s="403"/>
      <c r="C2" s="403"/>
      <c r="D2" s="403"/>
    </row>
    <row r="3" spans="1:22" s="406" customFormat="1" ht="36" customHeight="1" x14ac:dyDescent="0.25">
      <c r="B3" s="559" t="s">
        <v>417</v>
      </c>
      <c r="C3" s="562" t="s">
        <v>415</v>
      </c>
      <c r="D3" s="407"/>
      <c r="E3" s="565" t="s">
        <v>351</v>
      </c>
      <c r="F3" s="568" t="s">
        <v>416</v>
      </c>
      <c r="G3" s="403"/>
      <c r="H3" s="571" t="s">
        <v>408</v>
      </c>
      <c r="I3" s="571"/>
      <c r="J3" s="571"/>
      <c r="K3" s="571"/>
      <c r="L3" s="571"/>
      <c r="M3" s="571"/>
      <c r="O3" s="572" t="s">
        <v>411</v>
      </c>
      <c r="P3" s="573"/>
      <c r="Q3" s="573"/>
      <c r="R3" s="573"/>
      <c r="S3" s="573"/>
      <c r="T3" s="574"/>
      <c r="U3" s="408"/>
    </row>
    <row r="4" spans="1:22" s="406" customFormat="1" ht="36" customHeight="1" x14ac:dyDescent="0.25">
      <c r="B4" s="560"/>
      <c r="C4" s="563"/>
      <c r="D4" s="407"/>
      <c r="E4" s="566"/>
      <c r="F4" s="569"/>
      <c r="G4" s="403"/>
      <c r="H4" s="552" t="s">
        <v>413</v>
      </c>
      <c r="I4" s="553"/>
      <c r="J4" s="552" t="s">
        <v>414</v>
      </c>
      <c r="K4" s="553"/>
      <c r="L4" s="556" t="s">
        <v>412</v>
      </c>
      <c r="M4" s="557"/>
      <c r="O4" s="552" t="s">
        <v>413</v>
      </c>
      <c r="P4" s="553"/>
      <c r="Q4" s="552" t="s">
        <v>414</v>
      </c>
      <c r="R4" s="553"/>
      <c r="S4" s="556" t="s">
        <v>412</v>
      </c>
      <c r="T4" s="557"/>
      <c r="U4" s="408"/>
    </row>
    <row r="5" spans="1:22" s="406" customFormat="1" ht="57" customHeight="1" x14ac:dyDescent="0.25">
      <c r="B5" s="561"/>
      <c r="C5" s="564"/>
      <c r="D5" s="407"/>
      <c r="E5" s="567"/>
      <c r="F5" s="570"/>
      <c r="G5" s="403"/>
      <c r="H5" s="554"/>
      <c r="I5" s="555"/>
      <c r="J5" s="554"/>
      <c r="K5" s="555"/>
      <c r="L5" s="473" t="s">
        <v>409</v>
      </c>
      <c r="M5" s="474" t="s">
        <v>410</v>
      </c>
      <c r="O5" s="554"/>
      <c r="P5" s="555"/>
      <c r="Q5" s="554"/>
      <c r="R5" s="555"/>
      <c r="S5" s="473" t="s">
        <v>409</v>
      </c>
      <c r="T5" s="474" t="s">
        <v>410</v>
      </c>
      <c r="U5" s="408"/>
    </row>
    <row r="6" spans="1:22" ht="27.75" customHeight="1" x14ac:dyDescent="0.25">
      <c r="B6" s="415">
        <v>39.25</v>
      </c>
      <c r="C6" s="416">
        <v>840</v>
      </c>
      <c r="E6" s="430" t="s">
        <v>436</v>
      </c>
      <c r="F6" s="416">
        <v>800.75</v>
      </c>
      <c r="H6" s="412">
        <v>3825</v>
      </c>
      <c r="I6" s="436">
        <v>4.7767717764595687</v>
      </c>
      <c r="J6" s="413">
        <v>1369</v>
      </c>
      <c r="K6" s="436">
        <v>1.7096472057446144</v>
      </c>
      <c r="L6" s="419">
        <v>3024.25</v>
      </c>
      <c r="M6" s="421">
        <v>568.25</v>
      </c>
      <c r="O6" s="412">
        <v>3825</v>
      </c>
      <c r="P6" s="436">
        <v>4.7767717764595687</v>
      </c>
      <c r="Q6" s="412">
        <v>1314</v>
      </c>
      <c r="R6" s="436">
        <v>1.640961598501405</v>
      </c>
      <c r="S6" s="419">
        <v>3024.25</v>
      </c>
      <c r="T6" s="419">
        <v>513.25</v>
      </c>
    </row>
    <row r="7" spans="1:22" ht="27.75" customHeight="1" x14ac:dyDescent="0.25">
      <c r="B7" s="415">
        <v>6</v>
      </c>
      <c r="C7" s="416">
        <v>375</v>
      </c>
      <c r="E7" s="430" t="s">
        <v>433</v>
      </c>
      <c r="F7" s="416">
        <v>369</v>
      </c>
      <c r="H7" s="412">
        <v>959</v>
      </c>
      <c r="I7" s="436">
        <v>2.5989159891598916</v>
      </c>
      <c r="J7" s="413">
        <v>937</v>
      </c>
      <c r="K7" s="436">
        <v>2.5392953929539295</v>
      </c>
      <c r="L7" s="419">
        <v>590</v>
      </c>
      <c r="M7" s="421">
        <v>568</v>
      </c>
      <c r="O7" s="412">
        <v>959</v>
      </c>
      <c r="P7" s="436">
        <v>2.5989159891598916</v>
      </c>
      <c r="Q7" s="412">
        <v>937</v>
      </c>
      <c r="R7" s="436">
        <v>2.5392953929539295</v>
      </c>
      <c r="S7" s="419">
        <v>590</v>
      </c>
      <c r="T7" s="419">
        <v>568</v>
      </c>
    </row>
    <row r="8" spans="1:22" ht="27.75" customHeight="1" x14ac:dyDescent="0.25">
      <c r="B8" s="415">
        <v>-181</v>
      </c>
      <c r="C8" s="416">
        <v>1300</v>
      </c>
      <c r="E8" s="430" t="s">
        <v>444</v>
      </c>
      <c r="F8" s="416">
        <v>1481</v>
      </c>
      <c r="H8" s="412">
        <v>4269</v>
      </c>
      <c r="I8" s="436">
        <v>2.8825118163403105</v>
      </c>
      <c r="J8" s="413"/>
      <c r="K8" s="436">
        <v>0</v>
      </c>
      <c r="L8" s="419">
        <v>2788</v>
      </c>
      <c r="M8" s="421">
        <v>-1481</v>
      </c>
      <c r="O8" s="412">
        <v>3669</v>
      </c>
      <c r="P8" s="436">
        <v>2.4773801485482783</v>
      </c>
      <c r="Q8" s="412">
        <v>1033</v>
      </c>
      <c r="R8" s="436">
        <v>0.69750168804861579</v>
      </c>
      <c r="S8" s="419">
        <v>2188</v>
      </c>
      <c r="T8" s="419">
        <v>-448</v>
      </c>
    </row>
    <row r="9" spans="1:22" ht="27.75" customHeight="1" x14ac:dyDescent="0.25">
      <c r="B9" s="415">
        <v>0</v>
      </c>
      <c r="C9" s="416">
        <v>240</v>
      </c>
      <c r="E9" s="430" t="s">
        <v>489</v>
      </c>
      <c r="F9" s="416">
        <v>240</v>
      </c>
      <c r="H9" s="412">
        <v>500</v>
      </c>
      <c r="I9" s="436">
        <v>2.0833333333333335</v>
      </c>
      <c r="J9" s="413"/>
      <c r="K9" s="436">
        <v>0</v>
      </c>
      <c r="L9" s="419">
        <v>260</v>
      </c>
      <c r="M9" s="421">
        <v>-240</v>
      </c>
      <c r="O9" s="412">
        <v>680</v>
      </c>
      <c r="P9" s="436">
        <v>2.8333333333333335</v>
      </c>
      <c r="Q9" s="412"/>
      <c r="R9" s="436">
        <v>0</v>
      </c>
      <c r="S9" s="419">
        <v>440</v>
      </c>
      <c r="T9" s="419">
        <v>-240</v>
      </c>
    </row>
    <row r="10" spans="1:22" ht="27.75" customHeight="1" x14ac:dyDescent="0.25">
      <c r="B10" s="415">
        <v>57.5</v>
      </c>
      <c r="C10" s="416">
        <v>1126</v>
      </c>
      <c r="E10" s="430" t="s">
        <v>440</v>
      </c>
      <c r="F10" s="416">
        <v>1068.5</v>
      </c>
      <c r="H10" s="412">
        <v>8795</v>
      </c>
      <c r="I10" s="436">
        <v>8.2311651848385594</v>
      </c>
      <c r="J10" s="413">
        <v>3522</v>
      </c>
      <c r="K10" s="436">
        <v>3.296209639681797</v>
      </c>
      <c r="L10" s="419">
        <v>7726.5</v>
      </c>
      <c r="M10" s="421">
        <v>2453.5</v>
      </c>
      <c r="O10" s="412">
        <v>11270</v>
      </c>
      <c r="P10" s="436">
        <v>10.547496490407113</v>
      </c>
      <c r="Q10" s="412">
        <v>1573</v>
      </c>
      <c r="R10" s="436">
        <v>1.4721572297613477</v>
      </c>
      <c r="S10" s="419">
        <v>10201.5</v>
      </c>
      <c r="T10" s="419">
        <v>504.5</v>
      </c>
    </row>
    <row r="11" spans="1:22" ht="27.75" customHeight="1" x14ac:dyDescent="0.25">
      <c r="B11" s="415">
        <v>60.5</v>
      </c>
      <c r="C11" s="416">
        <v>550</v>
      </c>
      <c r="E11" s="413" t="s">
        <v>442</v>
      </c>
      <c r="F11" s="416">
        <v>489.5</v>
      </c>
      <c r="H11" s="412">
        <v>8351</v>
      </c>
      <c r="I11" s="436">
        <v>17.060265577119509</v>
      </c>
      <c r="J11" s="413">
        <v>4299</v>
      </c>
      <c r="K11" s="436">
        <v>8.7824310520939726</v>
      </c>
      <c r="L11" s="419">
        <v>7861.5</v>
      </c>
      <c r="M11" s="421">
        <v>3809.5</v>
      </c>
      <c r="O11" s="412">
        <v>8251</v>
      </c>
      <c r="P11" s="436">
        <v>16.855975485188967</v>
      </c>
      <c r="Q11" s="412">
        <v>1449</v>
      </c>
      <c r="R11" s="436">
        <v>2.9601634320735446</v>
      </c>
      <c r="S11" s="419">
        <v>7761.5</v>
      </c>
      <c r="T11" s="419">
        <v>959.5</v>
      </c>
    </row>
    <row r="12" spans="1:22" ht="27.75" customHeight="1" x14ac:dyDescent="0.25">
      <c r="B12" s="415">
        <v>31.5</v>
      </c>
      <c r="C12" s="416"/>
      <c r="E12" s="412" t="s">
        <v>472</v>
      </c>
      <c r="F12" s="416">
        <v>1268.5</v>
      </c>
      <c r="H12" s="412">
        <v>4019</v>
      </c>
      <c r="I12" s="436">
        <v>3.1683090264091445</v>
      </c>
      <c r="J12" s="413">
        <v>698</v>
      </c>
      <c r="K12" s="436">
        <v>0.55025620811982656</v>
      </c>
      <c r="L12" s="419">
        <v>2750.5</v>
      </c>
      <c r="M12" s="421">
        <v>-570.5</v>
      </c>
      <c r="O12" s="412">
        <v>4419</v>
      </c>
      <c r="P12" s="436">
        <v>3.4836420969649193</v>
      </c>
      <c r="Q12" s="412">
        <v>1648</v>
      </c>
      <c r="R12" s="436">
        <v>1.2991722506897911</v>
      </c>
      <c r="S12" s="419">
        <v>3150.5</v>
      </c>
      <c r="T12" s="419">
        <v>379.5</v>
      </c>
    </row>
    <row r="13" spans="1:22" ht="27.75" customHeight="1" x14ac:dyDescent="0.25">
      <c r="B13" s="415">
        <v>32</v>
      </c>
      <c r="C13" s="416"/>
      <c r="E13" s="413" t="s">
        <v>474</v>
      </c>
      <c r="F13" s="416">
        <v>300</v>
      </c>
      <c r="H13" s="412">
        <v>1183</v>
      </c>
      <c r="I13" s="436">
        <v>3.9433333333333334</v>
      </c>
      <c r="J13" s="413"/>
      <c r="K13" s="436">
        <v>0</v>
      </c>
      <c r="L13" s="419">
        <v>883</v>
      </c>
      <c r="M13" s="421">
        <v>-300</v>
      </c>
      <c r="O13" s="412"/>
      <c r="P13" s="436">
        <v>0</v>
      </c>
      <c r="Q13" s="412"/>
      <c r="R13" s="436">
        <v>0</v>
      </c>
      <c r="S13" s="419"/>
      <c r="T13" s="419"/>
    </row>
    <row r="14" spans="1:22" ht="27.75" customHeight="1" x14ac:dyDescent="0.25">
      <c r="B14" s="415">
        <v>0</v>
      </c>
      <c r="C14" s="416"/>
      <c r="E14" s="413" t="s">
        <v>485</v>
      </c>
      <c r="F14" s="416">
        <v>0</v>
      </c>
      <c r="H14" s="412">
        <v>712</v>
      </c>
      <c r="I14" s="436" t="s">
        <v>429</v>
      </c>
      <c r="J14" s="413"/>
      <c r="K14" s="436" t="s">
        <v>429</v>
      </c>
      <c r="L14" s="419">
        <v>712</v>
      </c>
      <c r="M14" s="421">
        <v>0</v>
      </c>
      <c r="O14" s="412">
        <v>512</v>
      </c>
      <c r="P14" s="436" t="s">
        <v>429</v>
      </c>
      <c r="Q14" s="412"/>
      <c r="R14" s="436" t="s">
        <v>429</v>
      </c>
      <c r="S14" s="419">
        <v>512</v>
      </c>
      <c r="T14" s="419">
        <v>0</v>
      </c>
    </row>
    <row r="15" spans="1:22" ht="27.75" customHeight="1" x14ac:dyDescent="0.25">
      <c r="B15" s="415">
        <v>0</v>
      </c>
      <c r="C15" s="416"/>
      <c r="E15" s="413"/>
      <c r="F15" s="416">
        <v>0</v>
      </c>
      <c r="H15" s="412"/>
      <c r="I15" s="436" t="s">
        <v>429</v>
      </c>
      <c r="J15" s="413"/>
      <c r="K15" s="436" t="s">
        <v>429</v>
      </c>
      <c r="L15" s="419">
        <v>0</v>
      </c>
      <c r="M15" s="421">
        <v>0</v>
      </c>
      <c r="O15" s="412"/>
      <c r="P15" s="436" t="s">
        <v>429</v>
      </c>
      <c r="Q15" s="412"/>
      <c r="R15" s="436" t="s">
        <v>429</v>
      </c>
      <c r="S15" s="419">
        <v>0</v>
      </c>
      <c r="T15" s="419">
        <v>0</v>
      </c>
    </row>
    <row r="16" spans="1:22" s="405" customFormat="1" ht="27.75" customHeight="1" x14ac:dyDescent="0.25">
      <c r="A16" s="403"/>
      <c r="B16" s="417"/>
      <c r="C16" s="418"/>
      <c r="D16" s="404"/>
      <c r="E16" s="403"/>
      <c r="F16" s="420"/>
      <c r="G16" s="403"/>
      <c r="H16" s="403"/>
      <c r="I16" s="403"/>
      <c r="J16" s="414"/>
      <c r="K16" s="414"/>
      <c r="L16" s="420"/>
      <c r="M16" s="420"/>
      <c r="N16" s="403"/>
      <c r="O16" s="403"/>
      <c r="P16" s="403"/>
      <c r="Q16" s="403"/>
      <c r="R16" s="403"/>
      <c r="S16" s="422"/>
      <c r="T16" s="420"/>
      <c r="V16" s="403"/>
    </row>
    <row r="17" spans="1:22" s="405" customFormat="1" ht="27.75" customHeight="1" x14ac:dyDescent="0.25">
      <c r="A17" s="403"/>
      <c r="B17" s="417">
        <f>+SUM(B6:B15)</f>
        <v>45.75</v>
      </c>
      <c r="C17" s="417">
        <f>+SUM(C6:C13)</f>
        <v>4431</v>
      </c>
      <c r="D17" s="411">
        <f>+SUM(D6:D13)</f>
        <v>0</v>
      </c>
      <c r="E17" s="412" t="s">
        <v>13</v>
      </c>
      <c r="F17" s="419">
        <f>+SUM(F6:F15)</f>
        <v>6017.25</v>
      </c>
      <c r="G17" s="403"/>
      <c r="H17" s="419">
        <f>+SUM(H6:H15)</f>
        <v>32613</v>
      </c>
      <c r="I17" s="403"/>
      <c r="J17" s="419">
        <f>+SUM(J6:J15)</f>
        <v>10825</v>
      </c>
      <c r="K17" s="420"/>
      <c r="L17" s="418"/>
      <c r="M17" s="418"/>
      <c r="N17" s="404"/>
      <c r="O17" s="419">
        <f>+SUM(O6:O15)</f>
        <v>33585</v>
      </c>
      <c r="P17" s="403"/>
      <c r="Q17" s="419">
        <f>+SUM(Q6:Q15)</f>
        <v>7954</v>
      </c>
      <c r="R17" s="420"/>
      <c r="S17" s="418"/>
      <c r="T17" s="418"/>
      <c r="V17" s="403"/>
    </row>
    <row r="18" spans="1:22" s="405" customFormat="1" ht="27.75" customHeight="1" x14ac:dyDescent="0.25">
      <c r="A18" s="403"/>
      <c r="B18" s="404"/>
      <c r="C18" s="404"/>
      <c r="D18" s="404"/>
      <c r="F18" s="403"/>
      <c r="G18" s="403"/>
      <c r="H18" s="403"/>
      <c r="I18" s="403"/>
      <c r="J18" s="403"/>
      <c r="K18" s="403"/>
      <c r="L18" s="431"/>
      <c r="M18" s="403"/>
      <c r="N18" s="403"/>
      <c r="O18" s="403"/>
      <c r="P18" s="403"/>
      <c r="Q18" s="403"/>
      <c r="R18" s="403"/>
      <c r="S18" s="403"/>
      <c r="T18" s="403"/>
      <c r="V18" s="403"/>
    </row>
    <row r="19" spans="1:22" s="405" customFormat="1" ht="27.75" customHeight="1" x14ac:dyDescent="0.25">
      <c r="A19" s="403"/>
      <c r="B19" s="404"/>
      <c r="C19" s="404"/>
      <c r="D19" s="404"/>
      <c r="E19" s="446"/>
      <c r="F19" s="403"/>
      <c r="G19" s="403"/>
      <c r="H19" s="403"/>
      <c r="I19" s="403"/>
      <c r="J19" s="403"/>
      <c r="K19" s="403"/>
      <c r="L19" s="431"/>
      <c r="M19" s="403"/>
      <c r="N19" s="403"/>
      <c r="O19" s="403"/>
      <c r="P19" s="403"/>
      <c r="Q19" s="403"/>
      <c r="R19" s="403"/>
      <c r="S19" s="403"/>
      <c r="T19" s="403"/>
      <c r="V19" s="403"/>
    </row>
    <row r="20" spans="1:22" s="405" customFormat="1" ht="27.75" customHeight="1" x14ac:dyDescent="0.25">
      <c r="A20" s="403"/>
      <c r="B20" s="404"/>
      <c r="C20" s="404"/>
      <c r="D20" s="404"/>
      <c r="E20" s="446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31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s="405" customFormat="1" ht="27.75" customHeight="1" x14ac:dyDescent="0.25">
      <c r="A29" s="403"/>
      <c r="B29" s="404"/>
      <c r="C29" s="404"/>
      <c r="D29" s="404"/>
      <c r="E29" s="446"/>
      <c r="F29" s="403"/>
      <c r="G29" s="403"/>
      <c r="H29" s="403"/>
      <c r="I29" s="403"/>
      <c r="J29" s="403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V29" s="403"/>
    </row>
    <row r="30" spans="1:22" ht="27.75" customHeight="1" x14ac:dyDescent="0.25">
      <c r="E30" s="446"/>
    </row>
    <row r="31" spans="1:22" ht="27.75" customHeight="1" x14ac:dyDescent="0.25">
      <c r="E31" s="446"/>
    </row>
    <row r="32" spans="1:22" ht="27.75" customHeight="1" x14ac:dyDescent="0.25">
      <c r="E32" s="446"/>
    </row>
    <row r="33" spans="5:5" ht="27.75" customHeight="1" x14ac:dyDescent="0.25">
      <c r="E33" s="446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1768" priority="10" operator="equal">
      <formula>0</formula>
    </cfRule>
  </conditionalFormatting>
  <conditionalFormatting sqref="B6:B15">
    <cfRule type="cellIs" dxfId="1767" priority="3" operator="greaterThan">
      <formula>0</formula>
    </cfRule>
  </conditionalFormatting>
  <conditionalFormatting sqref="E1:E1048576">
    <cfRule type="duplicateValues" dxfId="1766" priority="1"/>
  </conditionalFormatting>
  <conditionalFormatting sqref="H2:I3 A4:H4">
    <cfRule type="cellIs" dxfId="1765" priority="4" operator="equal">
      <formula>0</formula>
    </cfRule>
  </conditionalFormatting>
  <conditionalFormatting sqref="J1:K2 J16:XFD18 J22:XFD1048576">
    <cfRule type="cellIs" dxfId="1764" priority="6" operator="equal">
      <formula>0</formula>
    </cfRule>
  </conditionalFormatting>
  <conditionalFormatting sqref="J16:M16 S6:T15 T16 L6:M15">
    <cfRule type="cellIs" dxfId="1763" priority="7" operator="lessThan">
      <formula>0</formula>
    </cfRule>
  </conditionalFormatting>
  <conditionalFormatting sqref="L5:N5">
    <cfRule type="cellIs" dxfId="1762" priority="8" operator="equal">
      <formula>0</formula>
    </cfRule>
  </conditionalFormatting>
  <conditionalFormatting sqref="L1:S1">
    <cfRule type="cellIs" dxfId="1761" priority="9" operator="equal">
      <formula>0</formula>
    </cfRule>
  </conditionalFormatting>
  <conditionalFormatting sqref="O17:R17">
    <cfRule type="cellIs" dxfId="1760" priority="2" operator="equal">
      <formula>0</formula>
    </cfRule>
  </conditionalFormatting>
  <conditionalFormatting sqref="S5:T5">
    <cfRule type="cellIs" dxfId="1759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zoomScale="85" zoomScaleNormal="85" zoomScaleSheetLayoutView="85" workbookViewId="0">
      <selection activeCell="G12" sqref="G12"/>
    </sheetView>
  </sheetViews>
  <sheetFormatPr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1.85546875" style="403" customWidth="1"/>
    <col min="7" max="7" width="5.85546875" style="403" customWidth="1"/>
    <col min="8" max="8" width="11.28515625" style="403" customWidth="1"/>
    <col min="9" max="9" width="7.85546875" style="403" customWidth="1"/>
    <col min="10" max="10" width="11.5703125" style="403" customWidth="1"/>
    <col min="11" max="11" width="7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7.140625" style="403" customWidth="1"/>
    <col min="17" max="17" width="13.28515625" style="403" customWidth="1"/>
    <col min="18" max="18" width="6.570312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1:22" ht="27.75" customHeight="1" x14ac:dyDescent="0.25">
      <c r="B1" s="404" t="s">
        <v>21</v>
      </c>
      <c r="S1" s="558" t="s">
        <v>491</v>
      </c>
      <c r="T1" s="558"/>
    </row>
    <row r="2" spans="1:22" ht="27.75" customHeight="1" x14ac:dyDescent="0.25">
      <c r="B2" s="403"/>
      <c r="C2" s="403"/>
      <c r="D2" s="403"/>
    </row>
    <row r="3" spans="1:22" s="406" customFormat="1" ht="36" customHeight="1" x14ac:dyDescent="0.25">
      <c r="B3" s="559" t="s">
        <v>417</v>
      </c>
      <c r="C3" s="562" t="s">
        <v>415</v>
      </c>
      <c r="D3" s="407"/>
      <c r="E3" s="565" t="s">
        <v>351</v>
      </c>
      <c r="F3" s="568" t="s">
        <v>416</v>
      </c>
      <c r="G3" s="403"/>
      <c r="H3" s="571" t="s">
        <v>408</v>
      </c>
      <c r="I3" s="571"/>
      <c r="J3" s="571"/>
      <c r="K3" s="571"/>
      <c r="L3" s="571"/>
      <c r="M3" s="571"/>
      <c r="O3" s="572" t="s">
        <v>411</v>
      </c>
      <c r="P3" s="573"/>
      <c r="Q3" s="573"/>
      <c r="R3" s="573"/>
      <c r="S3" s="573"/>
      <c r="T3" s="574"/>
      <c r="U3" s="408"/>
    </row>
    <row r="4" spans="1:22" s="406" customFormat="1" ht="36" customHeight="1" x14ac:dyDescent="0.25">
      <c r="B4" s="560"/>
      <c r="C4" s="563"/>
      <c r="D4" s="407"/>
      <c r="E4" s="566"/>
      <c r="F4" s="569"/>
      <c r="G4" s="403"/>
      <c r="H4" s="552" t="s">
        <v>413</v>
      </c>
      <c r="I4" s="553"/>
      <c r="J4" s="552" t="s">
        <v>414</v>
      </c>
      <c r="K4" s="553"/>
      <c r="L4" s="556" t="s">
        <v>412</v>
      </c>
      <c r="M4" s="557"/>
      <c r="O4" s="552" t="s">
        <v>413</v>
      </c>
      <c r="P4" s="553"/>
      <c r="Q4" s="552" t="s">
        <v>414</v>
      </c>
      <c r="R4" s="553"/>
      <c r="S4" s="556" t="s">
        <v>412</v>
      </c>
      <c r="T4" s="557"/>
      <c r="U4" s="408"/>
    </row>
    <row r="5" spans="1:22" s="406" customFormat="1" ht="57" customHeight="1" x14ac:dyDescent="0.25">
      <c r="B5" s="561"/>
      <c r="C5" s="564"/>
      <c r="D5" s="407"/>
      <c r="E5" s="567"/>
      <c r="F5" s="570"/>
      <c r="G5" s="403"/>
      <c r="H5" s="554"/>
      <c r="I5" s="555"/>
      <c r="J5" s="554"/>
      <c r="K5" s="555"/>
      <c r="L5" s="476" t="s">
        <v>409</v>
      </c>
      <c r="M5" s="477" t="s">
        <v>410</v>
      </c>
      <c r="O5" s="554"/>
      <c r="P5" s="555"/>
      <c r="Q5" s="554"/>
      <c r="R5" s="555"/>
      <c r="S5" s="476" t="s">
        <v>409</v>
      </c>
      <c r="T5" s="477" t="s">
        <v>410</v>
      </c>
      <c r="U5" s="408"/>
    </row>
    <row r="6" spans="1:22" ht="27.75" customHeight="1" x14ac:dyDescent="0.25">
      <c r="B6" s="415">
        <v>0.6687499999998181</v>
      </c>
      <c r="C6" s="416">
        <v>835</v>
      </c>
      <c r="E6" s="430" t="s">
        <v>436</v>
      </c>
      <c r="F6" s="416">
        <v>834.33125000000018</v>
      </c>
      <c r="H6" s="412">
        <v>2985</v>
      </c>
      <c r="I6" s="436">
        <v>3.5777156854666528</v>
      </c>
      <c r="J6" s="413">
        <v>1290</v>
      </c>
      <c r="K6" s="436">
        <v>1.5461484871865938</v>
      </c>
      <c r="L6" s="419">
        <v>2150.6687499999998</v>
      </c>
      <c r="M6" s="421">
        <v>455.66874999999982</v>
      </c>
      <c r="O6" s="412">
        <v>2985</v>
      </c>
      <c r="P6" s="436">
        <v>3.5777156854666528</v>
      </c>
      <c r="Q6" s="412">
        <v>474</v>
      </c>
      <c r="R6" s="436">
        <v>0.56811967668716701</v>
      </c>
      <c r="S6" s="419">
        <v>2150.6687499999998</v>
      </c>
      <c r="T6" s="419">
        <v>-360.33125000000018</v>
      </c>
    </row>
    <row r="7" spans="1:22" ht="27.75" customHeight="1" x14ac:dyDescent="0.25">
      <c r="B7" s="415">
        <v>165</v>
      </c>
      <c r="C7" s="416">
        <v>565</v>
      </c>
      <c r="E7" s="430" t="s">
        <v>433</v>
      </c>
      <c r="F7" s="416">
        <v>400</v>
      </c>
      <c r="H7" s="412">
        <v>584</v>
      </c>
      <c r="I7" s="436">
        <v>1.46</v>
      </c>
      <c r="J7" s="413">
        <v>562</v>
      </c>
      <c r="K7" s="436">
        <v>1.405</v>
      </c>
      <c r="L7" s="419">
        <v>184</v>
      </c>
      <c r="M7" s="421">
        <v>162</v>
      </c>
      <c r="O7" s="412">
        <v>584</v>
      </c>
      <c r="P7" s="436">
        <v>1.46</v>
      </c>
      <c r="Q7" s="412">
        <v>562</v>
      </c>
      <c r="R7" s="436">
        <v>1.405</v>
      </c>
      <c r="S7" s="419">
        <v>184</v>
      </c>
      <c r="T7" s="419">
        <v>162</v>
      </c>
    </row>
    <row r="8" spans="1:22" ht="27.75" customHeight="1" x14ac:dyDescent="0.25">
      <c r="B8" s="415">
        <v>-500.15000000000009</v>
      </c>
      <c r="C8" s="416">
        <v>1000</v>
      </c>
      <c r="E8" s="430" t="s">
        <v>444</v>
      </c>
      <c r="F8" s="416">
        <v>1500.15</v>
      </c>
      <c r="H8" s="412">
        <v>3969</v>
      </c>
      <c r="I8" s="436">
        <v>2.645735426457354</v>
      </c>
      <c r="J8" s="413"/>
      <c r="K8" s="436">
        <v>0</v>
      </c>
      <c r="L8" s="419">
        <v>2468.85</v>
      </c>
      <c r="M8" s="421">
        <v>-1500.15</v>
      </c>
      <c r="O8" s="412">
        <v>3369</v>
      </c>
      <c r="P8" s="436">
        <v>2.2457754224577542</v>
      </c>
      <c r="Q8" s="412">
        <v>783</v>
      </c>
      <c r="R8" s="436">
        <v>0.52194780521947803</v>
      </c>
      <c r="S8" s="419">
        <v>1868.85</v>
      </c>
      <c r="T8" s="419">
        <v>-717.15000000000009</v>
      </c>
    </row>
    <row r="9" spans="1:22" ht="27.75" customHeight="1" x14ac:dyDescent="0.25">
      <c r="B9" s="415">
        <v>10</v>
      </c>
      <c r="C9" s="416">
        <v>360</v>
      </c>
      <c r="E9" s="430" t="s">
        <v>489</v>
      </c>
      <c r="F9" s="416">
        <v>350</v>
      </c>
      <c r="H9" s="412">
        <v>620</v>
      </c>
      <c r="I9" s="436">
        <v>1.7714285714285714</v>
      </c>
      <c r="J9" s="413">
        <v>120</v>
      </c>
      <c r="K9" s="436">
        <v>0.34285714285714286</v>
      </c>
      <c r="L9" s="419">
        <v>270</v>
      </c>
      <c r="M9" s="421">
        <v>-230</v>
      </c>
      <c r="O9" s="412">
        <v>920</v>
      </c>
      <c r="P9" s="436">
        <v>2.6285714285714286</v>
      </c>
      <c r="Q9" s="412">
        <v>240</v>
      </c>
      <c r="R9" s="436">
        <v>0.68571428571428572</v>
      </c>
      <c r="S9" s="419">
        <v>570</v>
      </c>
      <c r="T9" s="419">
        <v>-110</v>
      </c>
    </row>
    <row r="10" spans="1:22" ht="27.75" customHeight="1" x14ac:dyDescent="0.25">
      <c r="B10" s="415">
        <v>58.297499999999673</v>
      </c>
      <c r="C10" s="416">
        <v>1275</v>
      </c>
      <c r="E10" s="430" t="s">
        <v>440</v>
      </c>
      <c r="F10" s="416">
        <v>1216.7025000000003</v>
      </c>
      <c r="H10" s="412">
        <v>9095</v>
      </c>
      <c r="I10" s="436">
        <v>7.4751223080416107</v>
      </c>
      <c r="J10" s="413">
        <v>3147</v>
      </c>
      <c r="K10" s="436">
        <v>2.5864991647506264</v>
      </c>
      <c r="L10" s="419">
        <v>7878.2974999999997</v>
      </c>
      <c r="M10" s="421">
        <v>1930.2974999999997</v>
      </c>
      <c r="O10" s="412">
        <v>10970</v>
      </c>
      <c r="P10" s="436">
        <v>9.0161728113487047</v>
      </c>
      <c r="Q10" s="412">
        <v>1798</v>
      </c>
      <c r="R10" s="436">
        <v>1.4777646959712827</v>
      </c>
      <c r="S10" s="419">
        <v>9753.2975000000006</v>
      </c>
      <c r="T10" s="419">
        <v>581.29749999999967</v>
      </c>
    </row>
    <row r="11" spans="1:22" ht="27.75" customHeight="1" x14ac:dyDescent="0.25">
      <c r="B11" s="415">
        <v>49.875</v>
      </c>
      <c r="C11" s="416">
        <v>700</v>
      </c>
      <c r="E11" s="413" t="s">
        <v>442</v>
      </c>
      <c r="F11" s="416">
        <v>650.125</v>
      </c>
      <c r="H11" s="412">
        <v>8501</v>
      </c>
      <c r="I11" s="436">
        <v>13.075946933282061</v>
      </c>
      <c r="J11" s="413">
        <v>4249</v>
      </c>
      <c r="K11" s="436">
        <v>6.5356662180349936</v>
      </c>
      <c r="L11" s="419">
        <v>7850.875</v>
      </c>
      <c r="M11" s="421">
        <v>3598.875</v>
      </c>
      <c r="O11" s="412">
        <v>8301</v>
      </c>
      <c r="P11" s="436">
        <v>12.76831378581042</v>
      </c>
      <c r="Q11" s="412">
        <v>1449</v>
      </c>
      <c r="R11" s="436">
        <v>2.2288021534320324</v>
      </c>
      <c r="S11" s="419">
        <v>7650.875</v>
      </c>
      <c r="T11" s="419">
        <v>798.875</v>
      </c>
    </row>
    <row r="12" spans="1:22" ht="27.75" customHeight="1" x14ac:dyDescent="0.25">
      <c r="B12" s="415">
        <v>160.20000000000005</v>
      </c>
      <c r="C12" s="416"/>
      <c r="E12" s="412" t="s">
        <v>472</v>
      </c>
      <c r="F12" s="416">
        <v>939.8</v>
      </c>
      <c r="H12" s="412">
        <v>4619</v>
      </c>
      <c r="I12" s="436">
        <v>4.9148755054266866</v>
      </c>
      <c r="J12" s="413">
        <v>248</v>
      </c>
      <c r="K12" s="436">
        <v>0.26388593317727177</v>
      </c>
      <c r="L12" s="419">
        <v>3679.2</v>
      </c>
      <c r="M12" s="421">
        <v>-691.8</v>
      </c>
      <c r="O12" s="412">
        <v>4219</v>
      </c>
      <c r="P12" s="436">
        <v>4.4892530325601196</v>
      </c>
      <c r="Q12" s="412">
        <v>848</v>
      </c>
      <c r="R12" s="436">
        <v>0.90231964247712282</v>
      </c>
      <c r="S12" s="419">
        <v>3279.2</v>
      </c>
      <c r="T12" s="419">
        <v>-91.799999999999955</v>
      </c>
    </row>
    <row r="13" spans="1:22" ht="27.75" customHeight="1" x14ac:dyDescent="0.25">
      <c r="B13" s="415">
        <v>0</v>
      </c>
      <c r="C13" s="416"/>
      <c r="E13" s="413" t="s">
        <v>474</v>
      </c>
      <c r="F13" s="416">
        <v>188</v>
      </c>
      <c r="H13" s="412">
        <v>1571</v>
      </c>
      <c r="I13" s="436">
        <v>8.3563829787234045</v>
      </c>
      <c r="J13" s="413"/>
      <c r="K13" s="436">
        <v>0</v>
      </c>
      <c r="L13" s="419">
        <v>1383</v>
      </c>
      <c r="M13" s="421">
        <v>-188</v>
      </c>
      <c r="O13" s="412"/>
      <c r="P13" s="436">
        <v>0</v>
      </c>
      <c r="Q13" s="412"/>
      <c r="R13" s="436">
        <v>0</v>
      </c>
      <c r="S13" s="419"/>
      <c r="T13" s="419"/>
    </row>
    <row r="14" spans="1:22" ht="27.75" customHeight="1" x14ac:dyDescent="0.25">
      <c r="B14" s="415">
        <v>0</v>
      </c>
      <c r="C14" s="416"/>
      <c r="E14" s="413" t="s">
        <v>485</v>
      </c>
      <c r="F14" s="416">
        <v>0</v>
      </c>
      <c r="H14" s="412">
        <v>962</v>
      </c>
      <c r="I14" s="436" t="s">
        <v>429</v>
      </c>
      <c r="J14" s="413"/>
      <c r="K14" s="436" t="s">
        <v>429</v>
      </c>
      <c r="L14" s="419">
        <v>962</v>
      </c>
      <c r="M14" s="421">
        <v>0</v>
      </c>
      <c r="O14" s="412">
        <v>512</v>
      </c>
      <c r="P14" s="436" t="s">
        <v>429</v>
      </c>
      <c r="Q14" s="412"/>
      <c r="R14" s="436" t="s">
        <v>429</v>
      </c>
      <c r="S14" s="419">
        <v>512</v>
      </c>
      <c r="T14" s="419">
        <v>0</v>
      </c>
    </row>
    <row r="15" spans="1:22" ht="27.75" customHeight="1" x14ac:dyDescent="0.25">
      <c r="B15" s="415">
        <v>0</v>
      </c>
      <c r="C15" s="416"/>
      <c r="E15" s="413"/>
      <c r="F15" s="416">
        <v>0</v>
      </c>
      <c r="H15" s="412"/>
      <c r="I15" s="436" t="s">
        <v>429</v>
      </c>
      <c r="J15" s="413"/>
      <c r="K15" s="436" t="s">
        <v>429</v>
      </c>
      <c r="L15" s="419">
        <v>0</v>
      </c>
      <c r="M15" s="421">
        <v>0</v>
      </c>
      <c r="O15" s="412"/>
      <c r="P15" s="436" t="s">
        <v>429</v>
      </c>
      <c r="Q15" s="412"/>
      <c r="R15" s="436" t="s">
        <v>429</v>
      </c>
      <c r="S15" s="419">
        <v>0</v>
      </c>
      <c r="T15" s="419">
        <v>0</v>
      </c>
    </row>
    <row r="16" spans="1:22" s="405" customFormat="1" ht="27.75" customHeight="1" x14ac:dyDescent="0.25">
      <c r="A16" s="403"/>
      <c r="B16" s="417"/>
      <c r="C16" s="418"/>
      <c r="D16" s="404"/>
      <c r="E16" s="403"/>
      <c r="F16" s="420"/>
      <c r="G16" s="403"/>
      <c r="H16" s="403"/>
      <c r="I16" s="403"/>
      <c r="J16" s="414"/>
      <c r="K16" s="414"/>
      <c r="L16" s="420"/>
      <c r="M16" s="420"/>
      <c r="N16" s="403"/>
      <c r="O16" s="403"/>
      <c r="P16" s="403"/>
      <c r="Q16" s="403"/>
      <c r="R16" s="403"/>
      <c r="S16" s="422"/>
      <c r="T16" s="420"/>
      <c r="V16" s="403"/>
    </row>
    <row r="17" spans="1:22" s="405" customFormat="1" ht="27.75" customHeight="1" x14ac:dyDescent="0.25">
      <c r="A17" s="403"/>
      <c r="B17" s="417">
        <f>+SUM(B6:B15)</f>
        <v>-56.108750000000555</v>
      </c>
      <c r="C17" s="417">
        <f>+SUM(C6:C13)</f>
        <v>4735</v>
      </c>
      <c r="D17" s="411">
        <f>+SUM(D6:D13)</f>
        <v>0</v>
      </c>
      <c r="E17" s="412" t="s">
        <v>13</v>
      </c>
      <c r="F17" s="419">
        <f>+SUM(F6:F15)</f>
        <v>6079.1087500000003</v>
      </c>
      <c r="G17" s="403"/>
      <c r="H17" s="419">
        <f>+SUM(H6:H15)</f>
        <v>32906</v>
      </c>
      <c r="I17" s="403"/>
      <c r="J17" s="419">
        <f>+SUM(J6:J15)</f>
        <v>9616</v>
      </c>
      <c r="K17" s="420"/>
      <c r="L17" s="418"/>
      <c r="M17" s="418"/>
      <c r="N17" s="404"/>
      <c r="O17" s="419">
        <f>+SUM(O6:O15)</f>
        <v>31860</v>
      </c>
      <c r="P17" s="403"/>
      <c r="Q17" s="419">
        <f>+SUM(Q6:Q15)</f>
        <v>6154</v>
      </c>
      <c r="R17" s="420"/>
      <c r="S17" s="418"/>
      <c r="T17" s="418"/>
      <c r="V17" s="403"/>
    </row>
    <row r="18" spans="1:22" s="405" customFormat="1" ht="27.75" customHeight="1" x14ac:dyDescent="0.25">
      <c r="A18" s="403"/>
      <c r="B18" s="404"/>
      <c r="C18" s="404"/>
      <c r="D18" s="404"/>
      <c r="F18" s="403"/>
      <c r="G18" s="403"/>
      <c r="H18" s="403"/>
      <c r="I18" s="403"/>
      <c r="J18" s="403"/>
      <c r="K18" s="403"/>
      <c r="L18" s="431"/>
      <c r="M18" s="403"/>
      <c r="N18" s="403"/>
      <c r="O18" s="403"/>
      <c r="P18" s="403"/>
      <c r="Q18" s="403"/>
      <c r="R18" s="403"/>
      <c r="S18" s="403"/>
      <c r="T18" s="403"/>
      <c r="V18" s="403"/>
    </row>
    <row r="19" spans="1:22" s="405" customFormat="1" ht="27.75" customHeight="1" x14ac:dyDescent="0.25">
      <c r="A19" s="403"/>
      <c r="B19" s="404"/>
      <c r="C19" s="404"/>
      <c r="D19" s="404"/>
      <c r="E19" s="446"/>
      <c r="F19" s="403"/>
      <c r="G19" s="403"/>
      <c r="H19" s="403"/>
      <c r="I19" s="403"/>
      <c r="J19" s="403"/>
      <c r="K19" s="403"/>
      <c r="L19" s="431"/>
      <c r="M19" s="403"/>
      <c r="N19" s="403"/>
      <c r="O19" s="403"/>
      <c r="P19" s="403"/>
      <c r="Q19" s="403"/>
      <c r="R19" s="403"/>
      <c r="S19" s="403"/>
      <c r="T19" s="403"/>
      <c r="V19" s="403"/>
    </row>
    <row r="20" spans="1:22" s="405" customFormat="1" ht="27.75" customHeight="1" x14ac:dyDescent="0.25">
      <c r="A20" s="403"/>
      <c r="B20" s="404"/>
      <c r="C20" s="404"/>
      <c r="D20" s="404"/>
      <c r="E20" s="446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31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s="405" customFormat="1" ht="27.75" customHeight="1" x14ac:dyDescent="0.25">
      <c r="A29" s="403"/>
      <c r="B29" s="404"/>
      <c r="C29" s="404"/>
      <c r="D29" s="404"/>
      <c r="E29" s="446"/>
      <c r="F29" s="403"/>
      <c r="G29" s="403"/>
      <c r="H29" s="403"/>
      <c r="I29" s="403"/>
      <c r="J29" s="403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V29" s="403"/>
    </row>
    <row r="30" spans="1:22" ht="27.75" customHeight="1" x14ac:dyDescent="0.25">
      <c r="E30" s="446"/>
    </row>
    <row r="31" spans="1:22" ht="27.75" customHeight="1" x14ac:dyDescent="0.25">
      <c r="E31" s="446"/>
    </row>
    <row r="32" spans="1:22" ht="27.75" customHeight="1" x14ac:dyDescent="0.25">
      <c r="E32" s="446"/>
    </row>
    <row r="33" spans="5:5" ht="27.75" customHeight="1" x14ac:dyDescent="0.25">
      <c r="E33" s="446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1758" priority="10" operator="equal">
      <formula>0</formula>
    </cfRule>
  </conditionalFormatting>
  <conditionalFormatting sqref="B6:B15">
    <cfRule type="cellIs" dxfId="1757" priority="3" operator="greaterThan">
      <formula>0</formula>
    </cfRule>
  </conditionalFormatting>
  <conditionalFormatting sqref="E1:E1048576">
    <cfRule type="duplicateValues" dxfId="1756" priority="1"/>
  </conditionalFormatting>
  <conditionalFormatting sqref="H2:I3 A4:H4">
    <cfRule type="cellIs" dxfId="1755" priority="4" operator="equal">
      <formula>0</formula>
    </cfRule>
  </conditionalFormatting>
  <conditionalFormatting sqref="J1:K2 J16:XFD18 J22:XFD1048576">
    <cfRule type="cellIs" dxfId="1754" priority="6" operator="equal">
      <formula>0</formula>
    </cfRule>
  </conditionalFormatting>
  <conditionalFormatting sqref="J16:M16 S6:T15 T16 L6:M15">
    <cfRule type="cellIs" dxfId="1753" priority="7" operator="lessThan">
      <formula>0</formula>
    </cfRule>
  </conditionalFormatting>
  <conditionalFormatting sqref="L5:N5">
    <cfRule type="cellIs" dxfId="1752" priority="8" operator="equal">
      <formula>0</formula>
    </cfRule>
  </conditionalFormatting>
  <conditionalFormatting sqref="L1:S1">
    <cfRule type="cellIs" dxfId="1751" priority="9" operator="equal">
      <formula>0</formula>
    </cfRule>
  </conditionalFormatting>
  <conditionalFormatting sqref="O17:R17">
    <cfRule type="cellIs" dxfId="1750" priority="2" operator="equal">
      <formula>0</formula>
    </cfRule>
  </conditionalFormatting>
  <conditionalFormatting sqref="S5:T5">
    <cfRule type="cellIs" dxfId="1749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M197"/>
  <sheetViews>
    <sheetView topLeftCell="A52" zoomScale="18" zoomScaleNormal="18" zoomScaleSheetLayoutView="18" workbookViewId="0">
      <selection activeCell="Y68" sqref="Y68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5" width="27.42578125" style="155" hidden="1" customWidth="1"/>
    <col min="36" max="36" width="27.42578125" style="155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hidden="1" customWidth="1"/>
    <col min="46" max="46" width="37.7109375" style="91" hidden="1" customWidth="1"/>
    <col min="47" max="47" width="30.5703125" style="393" hidden="1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hidden="1" customWidth="1"/>
    <col min="53" max="60" width="20.42578125" style="91" hidden="1" customWidth="1"/>
    <col min="61" max="62" width="9.140625" style="91" hidden="1" customWidth="1"/>
    <col min="63" max="63" width="39.28515625" style="91" hidden="1" customWidth="1"/>
    <col min="64" max="64" width="35.28515625" style="91" hidden="1" customWidth="1"/>
    <col min="65" max="65" width="4" style="91" hidden="1" customWidth="1"/>
    <col min="66" max="99" width="9.140625" style="91" customWidth="1"/>
    <col min="100" max="16384" width="11.42578125" style="91"/>
  </cols>
  <sheetData>
    <row r="1" spans="2:65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65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0.77993733242626773</v>
      </c>
      <c r="AH2" s="535"/>
      <c r="AK2" s="183">
        <f>+SUBTOTAL(9,AK6:AK119)</f>
        <v>374835</v>
      </c>
      <c r="AL2" s="183">
        <f>+SUBTOTAL(9,AL6:AL119)</f>
        <v>292347.81000000006</v>
      </c>
      <c r="AW2" s="91">
        <v>0.59793648334624327</v>
      </c>
    </row>
    <row r="3" spans="2:65" ht="94.5" customHeight="1" x14ac:dyDescent="0.9">
      <c r="B3" s="363">
        <f>+AM4</f>
        <v>8.25</v>
      </c>
      <c r="C3" s="233"/>
      <c r="D3" s="233"/>
      <c r="E3" s="233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233"/>
      <c r="AD3" s="96"/>
      <c r="AE3" s="96"/>
      <c r="AF3" s="96"/>
      <c r="AG3" s="535"/>
      <c r="AH3" s="535"/>
      <c r="AK3" s="183"/>
      <c r="AL3" s="183"/>
      <c r="AT3" s="91">
        <v>8.75</v>
      </c>
    </row>
    <row r="4" spans="2:65" s="141" customFormat="1" ht="79.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+SUMIF($L$6:$L$102,AB3,$AB$6:$AB$102)</f>
        <v>7533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01-05-2026</v>
      </c>
      <c r="AH4" s="539"/>
      <c r="AI4" s="362">
        <f>+SUM(AI6:AI107)</f>
        <v>6247.25</v>
      </c>
      <c r="AJ4" s="362"/>
      <c r="AK4" s="98"/>
      <c r="AL4" s="98"/>
      <c r="AM4" s="363">
        <v>8.25</v>
      </c>
      <c r="AT4" s="396">
        <f>+SUBTOTAL(9,AT6:AT103)</f>
        <v>168.625</v>
      </c>
      <c r="AU4" s="243"/>
      <c r="AW4" s="364">
        <v>46014</v>
      </c>
      <c r="AZ4" s="91"/>
    </row>
    <row r="5" spans="2:65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5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77" t="s">
        <v>433</v>
      </c>
      <c r="H6" s="106"/>
      <c r="I6" s="106"/>
      <c r="J6" s="107" t="s">
        <v>20</v>
      </c>
      <c r="K6" s="108" t="s">
        <v>23</v>
      </c>
      <c r="L6" s="100" t="s">
        <v>21</v>
      </c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135" t="str">
        <f>IF(AT7="","",SUM(M6:W6)-(-(AT7-SUM(M6:W6))/$AT$3)*SUM($M$2:$W$2))</f>
        <v/>
      </c>
      <c r="Y6" s="438"/>
      <c r="Z6" s="400">
        <v>17.5</v>
      </c>
      <c r="AA6" s="540">
        <f>+X8</f>
        <v>0.5</v>
      </c>
      <c r="AB6" s="135">
        <f t="shared" ref="AB6:AB67" si="0">+SUM(L6:W6)</f>
        <v>0</v>
      </c>
      <c r="AC6" s="136">
        <f>+AD6+AB6</f>
        <v>7276</v>
      </c>
      <c r="AD6" s="136">
        <v>7276</v>
      </c>
      <c r="AE6" s="438"/>
      <c r="AF6" s="438"/>
      <c r="AG6" s="109"/>
      <c r="AH6" s="110"/>
      <c r="AI6" s="157"/>
      <c r="AJ6" s="161">
        <f t="shared" ref="AJ6:AJ93" si="1">TRUNC(AI6)+(AI6-TRUNC(AI6))*60/100</f>
        <v>0</v>
      </c>
      <c r="AK6" s="167">
        <f t="shared" ref="AK6:AK93" si="2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5" s="98" customFormat="1" ht="62.25" customHeight="1" x14ac:dyDescent="1.35">
      <c r="B7" s="132">
        <v>1</v>
      </c>
      <c r="C7" s="371">
        <f>+B7</f>
        <v>1</v>
      </c>
      <c r="D7" s="372" t="s">
        <v>432</v>
      </c>
      <c r="E7" s="111"/>
      <c r="F7" s="111" t="s">
        <v>35</v>
      </c>
      <c r="G7" s="578" t="str">
        <f>+G6</f>
        <v>2843-709-800</v>
      </c>
      <c r="H7" s="450">
        <v>7300</v>
      </c>
      <c r="I7" s="111" t="s">
        <v>251</v>
      </c>
      <c r="J7" s="113">
        <v>50</v>
      </c>
      <c r="K7" s="130">
        <v>58</v>
      </c>
      <c r="L7" s="101" t="s">
        <v>17</v>
      </c>
      <c r="M7" s="214">
        <v>58</v>
      </c>
      <c r="N7" s="214">
        <v>58</v>
      </c>
      <c r="O7" s="214">
        <v>58</v>
      </c>
      <c r="P7" s="214">
        <v>58</v>
      </c>
      <c r="Q7" s="214">
        <v>58</v>
      </c>
      <c r="R7" s="214">
        <v>58</v>
      </c>
      <c r="S7" s="214">
        <v>58</v>
      </c>
      <c r="T7" s="214">
        <v>58</v>
      </c>
      <c r="U7" s="214">
        <v>15</v>
      </c>
      <c r="V7" s="214"/>
      <c r="W7" s="424"/>
      <c r="X7" s="123">
        <f>+IF(H8="s",0,IF(AB7=0,0,IF(COUNTA(M7:W7)=AN9+0.75,SUMIF($C:$C,B7,$AB:$AB)/AN9,SUMIF($C:$C,B7,$AB:$AB)/(COUNTA(M7:W7)))))</f>
        <v>58.060606060606062</v>
      </c>
      <c r="Y7" s="439"/>
      <c r="Z7" s="400"/>
      <c r="AA7" s="541"/>
      <c r="AB7" s="134">
        <f t="shared" si="0"/>
        <v>479</v>
      </c>
      <c r="AC7" s="137">
        <f>+AB7+AD7</f>
        <v>7024</v>
      </c>
      <c r="AD7" s="137">
        <v>6545</v>
      </c>
      <c r="AE7" s="439">
        <v>0</v>
      </c>
      <c r="AF7" s="439">
        <f>+AE7+Y7</f>
        <v>0</v>
      </c>
      <c r="AG7" s="140">
        <f>+AC6-AC7</f>
        <v>252</v>
      </c>
      <c r="AH7" s="131">
        <f>+IF(((AB8+(AB9/2))*60)=0,"",(J7*AB7)/((AB8+(AB9/2))*60))</f>
        <v>2.015993265993266</v>
      </c>
      <c r="AI7" s="161">
        <f>+AB8+AB9/2</f>
        <v>198</v>
      </c>
      <c r="AJ7" s="161">
        <f t="shared" si="1"/>
        <v>198</v>
      </c>
      <c r="AK7" s="167">
        <f t="shared" si="2"/>
        <v>11880</v>
      </c>
      <c r="AL7" s="167">
        <f>+AB7*J7</f>
        <v>23950</v>
      </c>
      <c r="AM7" s="230">
        <f>+AB7-(AI7*K7/K9)</f>
        <v>266.33333333333337</v>
      </c>
      <c r="AN7" s="339"/>
      <c r="AO7" s="340"/>
      <c r="AP7" s="167"/>
      <c r="AQ7" s="167"/>
      <c r="AR7" s="167"/>
      <c r="AS7" s="167"/>
      <c r="AT7" s="433" t="str">
        <f t="shared" ref="AT7" si="3">IF(AU7=0,"",AW7-(($AT$3*K7)+($AT$3*K7)*AU7)+AB6)</f>
        <v/>
      </c>
      <c r="AU7" s="393"/>
      <c r="AW7" s="356">
        <v>731</v>
      </c>
      <c r="AY7" s="356">
        <f>+AW7-AG7</f>
        <v>479</v>
      </c>
      <c r="AZ7" s="581"/>
      <c r="BA7" s="581"/>
      <c r="BB7" s="581"/>
      <c r="BC7" s="581"/>
      <c r="BD7" s="581"/>
      <c r="BE7" s="581"/>
      <c r="BF7" s="581"/>
      <c r="BG7" s="581"/>
      <c r="BH7" s="581"/>
      <c r="BI7" s="581"/>
      <c r="BK7" s="453">
        <f>+AC6-H7</f>
        <v>-24</v>
      </c>
      <c r="BL7" s="452" t="e">
        <f>+I7-AD6</f>
        <v>#VALUE!</v>
      </c>
      <c r="BM7" s="452">
        <f t="shared" ref="BM7" si="4">+J7-AE6</f>
        <v>50</v>
      </c>
    </row>
    <row r="8" spans="2:65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78" t="str">
        <f>+G6</f>
        <v>2843-709-800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37</v>
      </c>
      <c r="N8" s="215">
        <v>35</v>
      </c>
      <c r="O8" s="215">
        <v>33</v>
      </c>
      <c r="P8" s="215">
        <v>26</v>
      </c>
      <c r="Q8" s="215">
        <v>20</v>
      </c>
      <c r="R8" s="215">
        <v>12</v>
      </c>
      <c r="S8" s="215">
        <v>12</v>
      </c>
      <c r="T8" s="215">
        <v>12</v>
      </c>
      <c r="U8" s="215">
        <v>11</v>
      </c>
      <c r="V8" s="426"/>
      <c r="W8" s="426"/>
      <c r="X8" s="160">
        <f>+IF(H8="l",IF(COUNTA(M7:W7)=AN9+0.75,AB7-K7*AN9,AB7-(K7*COUNTA(M7:W7))),IF(H8="s",0,IF(COUNTA(M7:W7)=AN9+0.75,SUMIF($C:$C,B7,$AB:$AB)-K7*AN9,SUMIF($C:$C,B7,$AB:$AB)-K7*COUNTA(M7:W7))))</f>
        <v>0.5</v>
      </c>
      <c r="Y8" s="440"/>
      <c r="Z8" s="400"/>
      <c r="AA8" s="541"/>
      <c r="AB8" s="443">
        <f>+SUM(M8:W8)-U8*0.75</f>
        <v>189.75</v>
      </c>
      <c r="AC8" s="341"/>
      <c r="AD8" s="341"/>
      <c r="AE8" s="440"/>
      <c r="AF8" s="440"/>
      <c r="AG8" s="115"/>
      <c r="AH8" s="116"/>
      <c r="AI8" s="157"/>
      <c r="AJ8" s="161">
        <f t="shared" si="1"/>
        <v>0</v>
      </c>
      <c r="AK8" s="167">
        <f t="shared" si="2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189.75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5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79" t="str">
        <f>+G6</f>
        <v>2843-709-800</v>
      </c>
      <c r="H9" s="117"/>
      <c r="I9" s="397"/>
      <c r="J9" s="165">
        <f>+IF(K9="","",IF(K7=0,"",(K7*J7)/(K9*60)))</f>
        <v>0.89506172839506171</v>
      </c>
      <c r="K9" s="118">
        <v>54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18.128413793103448</v>
      </c>
      <c r="AA9" s="169">
        <v>18.128413793103448</v>
      </c>
      <c r="AB9" s="444">
        <f t="shared" ref="AB9" si="5">+SUM(M9:W9)-U9*0.75</f>
        <v>16.5</v>
      </c>
      <c r="AC9" s="139"/>
      <c r="AD9" s="139"/>
      <c r="AE9" s="441"/>
      <c r="AF9" s="441"/>
      <c r="AG9" s="119">
        <f>+IFERROR(AG7/(K7*$AT$3),"")</f>
        <v>0.49655172413793103</v>
      </c>
      <c r="AH9" s="162"/>
      <c r="AI9" s="161"/>
      <c r="AJ9" s="161">
        <f t="shared" si="1"/>
        <v>0</v>
      </c>
      <c r="AK9" s="167">
        <f t="shared" si="2"/>
        <v>0</v>
      </c>
      <c r="AL9" s="167"/>
      <c r="AM9" s="230"/>
      <c r="AN9" s="342">
        <f>+$AM$4</f>
        <v>8.25</v>
      </c>
      <c r="AO9" s="340">
        <f>+IF(AN9=7.75,SUM(M9:S9)+T9*0.75,IF(AN9=8,SUM(M9:T9),IF(AN9=7.25,SUM(M9:S9)+T9*0.25,IF(AN9=8.25,SUM(M9:T9)+U9*0.25,IF(AN9=8.75,SUM(M9:T9)+U9*0.75,0)))))</f>
        <v>16.5</v>
      </c>
      <c r="AP9" s="167">
        <f>+AO9-AB9</f>
        <v>0</v>
      </c>
      <c r="AQ9" s="167"/>
      <c r="AR9" s="167"/>
      <c r="AS9" s="167"/>
      <c r="AT9" s="435"/>
      <c r="AU9" s="393"/>
      <c r="AW9" s="356">
        <v>1.4403940886699507</v>
      </c>
      <c r="AY9" s="356"/>
    </row>
    <row r="10" spans="2:65" s="98" customFormat="1" ht="62.25" customHeight="1" thickTop="1" x14ac:dyDescent="0.9">
      <c r="B10" s="97">
        <f>+B11</f>
        <v>1</v>
      </c>
      <c r="C10" s="370"/>
      <c r="D10" s="106"/>
      <c r="E10" s="106"/>
      <c r="F10" s="106"/>
      <c r="G10" s="577" t="s">
        <v>444</v>
      </c>
      <c r="H10" s="106"/>
      <c r="I10" s="106"/>
      <c r="J10" s="107" t="s">
        <v>20</v>
      </c>
      <c r="K10" s="108" t="s">
        <v>23</v>
      </c>
      <c r="L10" s="100" t="s">
        <v>21</v>
      </c>
      <c r="M10" s="423">
        <v>50</v>
      </c>
      <c r="N10" s="423">
        <v>50</v>
      </c>
      <c r="O10" s="423">
        <v>50</v>
      </c>
      <c r="P10" s="423">
        <v>50</v>
      </c>
      <c r="Q10" s="423">
        <v>50</v>
      </c>
      <c r="R10" s="423">
        <v>50</v>
      </c>
      <c r="S10" s="423"/>
      <c r="T10" s="423"/>
      <c r="U10" s="423"/>
      <c r="V10" s="423"/>
      <c r="W10" s="423"/>
      <c r="X10" s="135">
        <f t="shared" ref="X10" si="6">IF(AT11="","",SUM(M10:W10)-(-(AT11-SUM(M10:W10))/$AT$3)*SUM($M$2:$W$2))</f>
        <v>300</v>
      </c>
      <c r="Y10" s="438"/>
      <c r="Z10" s="400">
        <v>0</v>
      </c>
      <c r="AA10" s="540">
        <f>+X12</f>
        <v>0</v>
      </c>
      <c r="AB10" s="135">
        <f t="shared" si="0"/>
        <v>300</v>
      </c>
      <c r="AC10" s="136">
        <f>+AD10+AB10</f>
        <v>701</v>
      </c>
      <c r="AD10" s="136">
        <v>401</v>
      </c>
      <c r="AE10" s="438"/>
      <c r="AF10" s="438"/>
      <c r="AG10" s="109"/>
      <c r="AH10" s="110"/>
      <c r="AI10" s="157"/>
      <c r="AJ10" s="161">
        <f t="shared" si="1"/>
        <v>0</v>
      </c>
      <c r="AK10" s="167">
        <f t="shared" si="2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5" s="98" customFormat="1" ht="62.25" customHeight="1" x14ac:dyDescent="1.35">
      <c r="B11" s="132">
        <v>1</v>
      </c>
      <c r="C11" s="371">
        <f>+B11</f>
        <v>1</v>
      </c>
      <c r="D11" s="372" t="s">
        <v>443</v>
      </c>
      <c r="E11" s="111"/>
      <c r="F11" s="111" t="s">
        <v>35</v>
      </c>
      <c r="G11" s="578" t="str">
        <f>+G10</f>
        <v>2917-496-712</v>
      </c>
      <c r="H11" s="450">
        <v>6000</v>
      </c>
      <c r="I11" s="111" t="s">
        <v>33</v>
      </c>
      <c r="J11" s="113">
        <v>38.380000000000003</v>
      </c>
      <c r="K11" s="130">
        <v>60</v>
      </c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424"/>
      <c r="X11" s="123">
        <f t="shared" ref="X11" si="7">+IF(H12="s",0,IF(AB11=0,0,IF(COUNTA(M11:W11)=AN13+0.75,SUMIF($C:$C,B11,$AB:$AB)/AN13,SUMIF($C:$C,B11,$AB:$AB)/(COUNTA(M11:W11)))))</f>
        <v>0</v>
      </c>
      <c r="Y11" s="439"/>
      <c r="Z11" s="400"/>
      <c r="AA11" s="541"/>
      <c r="AB11" s="134">
        <f t="shared" si="0"/>
        <v>0</v>
      </c>
      <c r="AC11" s="137">
        <f>+AB11+AD11</f>
        <v>0</v>
      </c>
      <c r="AD11" s="137">
        <v>0</v>
      </c>
      <c r="AE11" s="439">
        <v>0</v>
      </c>
      <c r="AF11" s="439">
        <f>+AE11+Y11</f>
        <v>0</v>
      </c>
      <c r="AG11" s="140">
        <f>+AC10-AC11</f>
        <v>701</v>
      </c>
      <c r="AH11" s="131">
        <f>+IF(((AB12+(AB13/2))*60)=0,"",(J11*AB11)/((AB12+(AB13/2))*60))</f>
        <v>0</v>
      </c>
      <c r="AI11" s="161">
        <f>+AB12+AB13/2</f>
        <v>233</v>
      </c>
      <c r="AJ11" s="161">
        <f t="shared" si="1"/>
        <v>233</v>
      </c>
      <c r="AK11" s="167">
        <f t="shared" si="2"/>
        <v>13980</v>
      </c>
      <c r="AL11" s="167">
        <f>+AB11*J11</f>
        <v>0</v>
      </c>
      <c r="AM11" s="230">
        <f>+AB11-(AI11*K11/K13)</f>
        <v>-285.30612244897958</v>
      </c>
      <c r="AN11" s="339"/>
      <c r="AO11" s="340"/>
      <c r="AP11" s="167"/>
      <c r="AQ11" s="167"/>
      <c r="AR11" s="167"/>
      <c r="AS11" s="167"/>
      <c r="AT11" s="433">
        <f>-400+AB10</f>
        <v>-100</v>
      </c>
      <c r="AU11" s="393">
        <v>1.5</v>
      </c>
      <c r="AW11" s="356">
        <v>401</v>
      </c>
      <c r="AY11" s="356">
        <f>+AW11-AG11</f>
        <v>-300</v>
      </c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  <c r="BK11" s="137">
        <f>+AC10-H11</f>
        <v>-5299</v>
      </c>
      <c r="BL11" s="452" t="e">
        <f>+I11-AD10</f>
        <v>#VALUE!</v>
      </c>
      <c r="BM11" s="452">
        <f t="shared" ref="BM11" si="8">+J11-AE10</f>
        <v>38.380000000000003</v>
      </c>
    </row>
    <row r="12" spans="2:65" s="98" customFormat="1" ht="62.25" customHeight="1" x14ac:dyDescent="0.9">
      <c r="B12" s="125">
        <f>+B11</f>
        <v>1</v>
      </c>
      <c r="C12" s="373"/>
      <c r="D12" s="184"/>
      <c r="E12" s="111">
        <f>+B11</f>
        <v>1</v>
      </c>
      <c r="F12" s="374"/>
      <c r="G12" s="578" t="str">
        <f>+G10</f>
        <v>2917-496-712</v>
      </c>
      <c r="H12" s="376" t="s">
        <v>400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14</v>
      </c>
      <c r="N12" s="215">
        <v>16</v>
      </c>
      <c r="O12" s="215">
        <v>18</v>
      </c>
      <c r="P12" s="215">
        <v>25</v>
      </c>
      <c r="Q12" s="215">
        <v>31</v>
      </c>
      <c r="R12" s="215">
        <v>38</v>
      </c>
      <c r="S12" s="215">
        <v>38</v>
      </c>
      <c r="T12" s="215">
        <v>38</v>
      </c>
      <c r="U12" s="215">
        <v>39</v>
      </c>
      <c r="V12" s="426"/>
      <c r="W12" s="426"/>
      <c r="X12" s="160">
        <f t="shared" ref="X12" si="9">+IF(H12="l",IF(COUNTA(M11:W11)=AN13+0.75,AB11-K11*AN13,AB11-(K11*COUNTA(M11:W11))),IF(H12="s",0,IF(COUNTA(M11:W11)=AN13+0.75,SUMIF($C:$C,B11,$AB:$AB)-K11*AN13,SUMIF($C:$C,B11,$AB:$AB)-K11*COUNTA(M11:W11))))</f>
        <v>0</v>
      </c>
      <c r="Y12" s="440"/>
      <c r="Z12" s="400"/>
      <c r="AA12" s="541"/>
      <c r="AB12" s="443">
        <f t="shared" ref="AB12" si="10">+SUM(M12:W12)-U12*0.75</f>
        <v>227.75</v>
      </c>
      <c r="AC12" s="341"/>
      <c r="AD12" s="341"/>
      <c r="AE12" s="440"/>
      <c r="AF12" s="440"/>
      <c r="AG12" s="115"/>
      <c r="AH12" s="116"/>
      <c r="AI12" s="157"/>
      <c r="AJ12" s="161">
        <f t="shared" si="1"/>
        <v>0</v>
      </c>
      <c r="AK12" s="167">
        <f t="shared" si="2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227.75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5" s="98" customFormat="1" ht="62.25" customHeight="1" thickBot="1" x14ac:dyDescent="0.95">
      <c r="B13" s="126">
        <f>+B11</f>
        <v>1</v>
      </c>
      <c r="C13" s="375"/>
      <c r="D13" s="174" t="s">
        <v>77</v>
      </c>
      <c r="E13" s="175">
        <f>+E12+100</f>
        <v>101</v>
      </c>
      <c r="F13" s="175"/>
      <c r="G13" s="579" t="str">
        <f>+G10</f>
        <v>2917-496-712</v>
      </c>
      <c r="H13" s="117"/>
      <c r="I13" s="397"/>
      <c r="J13" s="165">
        <v>0.91625000000000001</v>
      </c>
      <c r="K13" s="118">
        <v>49</v>
      </c>
      <c r="L13" s="104" t="s">
        <v>19</v>
      </c>
      <c r="M13" s="427"/>
      <c r="N13" s="427"/>
      <c r="O13" s="427"/>
      <c r="P13" s="427">
        <v>2</v>
      </c>
      <c r="Q13" s="427">
        <v>2</v>
      </c>
      <c r="R13" s="427">
        <v>2</v>
      </c>
      <c r="S13" s="427">
        <v>2</v>
      </c>
      <c r="T13" s="427">
        <v>2</v>
      </c>
      <c r="U13" s="427">
        <v>2</v>
      </c>
      <c r="V13" s="428"/>
      <c r="W13" s="428"/>
      <c r="X13" s="173"/>
      <c r="Y13" s="441"/>
      <c r="Z13" s="401"/>
      <c r="AA13" s="169"/>
      <c r="AB13" s="444">
        <f t="shared" ref="AB13:AB73" si="11">+SUM(M13:W13)-U13*0.75</f>
        <v>10.5</v>
      </c>
      <c r="AC13" s="139"/>
      <c r="AD13" s="139"/>
      <c r="AE13" s="441"/>
      <c r="AF13" s="441"/>
      <c r="AG13" s="119">
        <f>+IFERROR(AG11/(K11*$AT$3),"")</f>
        <v>1.3352380952380953</v>
      </c>
      <c r="AH13" s="162"/>
      <c r="AI13" s="161"/>
      <c r="AJ13" s="161">
        <f t="shared" si="1"/>
        <v>0</v>
      </c>
      <c r="AK13" s="167">
        <f t="shared" si="2"/>
        <v>0</v>
      </c>
      <c r="AL13" s="167"/>
      <c r="AM13" s="230"/>
      <c r="AN13" s="342">
        <f>+$AM$4</f>
        <v>8.25</v>
      </c>
      <c r="AO13" s="340">
        <f>+IF(AN13=7.75,SUM(M13:S13)+T13*0.75,IF(AN13=8,SUM(M13:T13),IF(AN13=7.25,SUM(M13:S13)+T13*0.25,IF(AN13=8.25,SUM(M13:T13)+U13*0.25,IF(AN13=8.75,SUM(M13:T13)+U13*0.75,0)))))</f>
        <v>10.5</v>
      </c>
      <c r="AP13" s="167">
        <f>+AO13-AB13</f>
        <v>0</v>
      </c>
      <c r="AQ13" s="167"/>
      <c r="AR13" s="167"/>
      <c r="AS13" s="167"/>
      <c r="AT13" s="435"/>
      <c r="AU13" s="393"/>
      <c r="AW13" s="356">
        <v>0.91657142857142859</v>
      </c>
      <c r="AY13" s="356"/>
    </row>
    <row r="14" spans="2:65" s="98" customFormat="1" ht="62.25" customHeight="1" thickTop="1" x14ac:dyDescent="0.9">
      <c r="B14" s="97">
        <f>+B15</f>
        <v>2</v>
      </c>
      <c r="C14" s="370"/>
      <c r="D14" s="106"/>
      <c r="E14" s="106"/>
      <c r="F14" s="106"/>
      <c r="G14" s="577" t="s">
        <v>437</v>
      </c>
      <c r="H14" s="106"/>
      <c r="I14" s="106"/>
      <c r="J14" s="107" t="s">
        <v>20</v>
      </c>
      <c r="K14" s="108" t="s">
        <v>23</v>
      </c>
      <c r="L14" s="100" t="s">
        <v>21</v>
      </c>
      <c r="M14" s="423"/>
      <c r="N14" s="423"/>
      <c r="O14" s="423"/>
      <c r="P14" s="423"/>
      <c r="Q14" s="423"/>
      <c r="R14" s="423"/>
      <c r="S14" s="423"/>
      <c r="T14" s="423"/>
      <c r="U14" s="423"/>
      <c r="V14" s="423"/>
      <c r="W14" s="423"/>
      <c r="X14" s="135" t="str">
        <f t="shared" ref="X14" si="12">IF(AT15="","",SUM(M14:W14)-(-(AT15-SUM(M14:W14))/$AT$3)*SUM($M$2:$W$2))</f>
        <v/>
      </c>
      <c r="Y14" s="438"/>
      <c r="Z14" s="400">
        <v>0.75</v>
      </c>
      <c r="AA14" s="540">
        <f>+X16</f>
        <v>-67.75</v>
      </c>
      <c r="AB14" s="135">
        <f t="shared" si="0"/>
        <v>0</v>
      </c>
      <c r="AC14" s="136">
        <f>+AD14+AB14</f>
        <v>6622</v>
      </c>
      <c r="AD14" s="136">
        <v>6622</v>
      </c>
      <c r="AE14" s="438"/>
      <c r="AF14" s="438"/>
      <c r="AG14" s="109"/>
      <c r="AH14" s="110"/>
      <c r="AI14" s="157"/>
      <c r="AJ14" s="161">
        <f t="shared" si="1"/>
        <v>0</v>
      </c>
      <c r="AK14" s="167">
        <f t="shared" si="2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5" s="98" customFormat="1" ht="62.25" customHeight="1" x14ac:dyDescent="1.35">
      <c r="B15" s="132">
        <v>2</v>
      </c>
      <c r="C15" s="371">
        <f>+B15</f>
        <v>2</v>
      </c>
      <c r="D15" s="372" t="s">
        <v>438</v>
      </c>
      <c r="E15" s="111"/>
      <c r="F15" s="111" t="s">
        <v>35</v>
      </c>
      <c r="G15" s="578" t="str">
        <f>+G14</f>
        <v>7696-837-802</v>
      </c>
      <c r="H15" s="450">
        <v>6622</v>
      </c>
      <c r="I15" s="111" t="s">
        <v>252</v>
      </c>
      <c r="J15" s="113">
        <v>29.06</v>
      </c>
      <c r="K15" s="130">
        <v>75</v>
      </c>
      <c r="L15" s="101" t="s">
        <v>17</v>
      </c>
      <c r="M15" s="214">
        <v>75</v>
      </c>
      <c r="N15" s="214">
        <v>75</v>
      </c>
      <c r="O15" s="214">
        <v>75</v>
      </c>
      <c r="P15" s="214">
        <v>58</v>
      </c>
      <c r="Q15" s="214">
        <v>75</v>
      </c>
      <c r="R15" s="214">
        <v>65</v>
      </c>
      <c r="S15" s="214">
        <v>68</v>
      </c>
      <c r="T15" s="214">
        <v>60</v>
      </c>
      <c r="U15" s="214">
        <v>0</v>
      </c>
      <c r="V15" s="214"/>
      <c r="W15" s="424"/>
      <c r="X15" s="123">
        <f t="shared" ref="X15" si="13">+IF(H16="s",0,IF(AB15=0,0,IF(COUNTA(M15:W15)=AN17+0.75,SUMIF($C:$C,B15,$AB:$AB)/AN17,SUMIF($C:$C,B15,$AB:$AB)/(COUNTA(M15:W15)))))</f>
        <v>66.787878787878782</v>
      </c>
      <c r="Y15" s="439"/>
      <c r="Z15" s="400"/>
      <c r="AA15" s="541"/>
      <c r="AB15" s="134">
        <f t="shared" si="0"/>
        <v>551</v>
      </c>
      <c r="AC15" s="137">
        <f>+AB15+AD15</f>
        <v>6136</v>
      </c>
      <c r="AD15" s="137">
        <v>5585</v>
      </c>
      <c r="AE15" s="439">
        <v>0</v>
      </c>
      <c r="AF15" s="439">
        <f>+AE15+Y15</f>
        <v>0</v>
      </c>
      <c r="AG15" s="140">
        <f>+AC14-AC15</f>
        <v>486</v>
      </c>
      <c r="AH15" s="131">
        <f>+IF(((AB16+(AB17/2))*60)=0,"",(J15*AB15)/((AB16+(AB17/2))*60))</f>
        <v>0.78896575511209655</v>
      </c>
      <c r="AI15" s="161">
        <f>+AB16+AB17/2</f>
        <v>338.25</v>
      </c>
      <c r="AJ15" s="161">
        <f t="shared" si="1"/>
        <v>338.15</v>
      </c>
      <c r="AK15" s="167">
        <f t="shared" si="2"/>
        <v>20295</v>
      </c>
      <c r="AL15" s="167">
        <f>+AB15*J15</f>
        <v>16012.06</v>
      </c>
      <c r="AM15" s="230">
        <f>+AB15-(AI15*K15/K17)</f>
        <v>-67.75</v>
      </c>
      <c r="AN15" s="339"/>
      <c r="AO15" s="340"/>
      <c r="AP15" s="167"/>
      <c r="AQ15" s="167"/>
      <c r="AR15" s="167"/>
      <c r="AS15" s="167"/>
      <c r="AT15" s="433" t="str">
        <f t="shared" ref="AT15" si="14">IF(AU15=0,"",AW15-(($AT$3*K15)+($AT$3*K15)*AU15)+AB14)</f>
        <v/>
      </c>
      <c r="AU15" s="393"/>
      <c r="AW15" s="356">
        <v>1037</v>
      </c>
      <c r="AY15" s="356">
        <f>+AW15-AG15</f>
        <v>551</v>
      </c>
      <c r="AZ15" s="581"/>
      <c r="BA15" s="581"/>
      <c r="BB15" s="581"/>
      <c r="BC15" s="581"/>
      <c r="BD15" s="581"/>
      <c r="BE15" s="581"/>
      <c r="BF15" s="581"/>
      <c r="BG15" s="581"/>
      <c r="BH15" s="581"/>
      <c r="BI15" s="581"/>
      <c r="BK15" s="137">
        <f>+AC14-H15</f>
        <v>0</v>
      </c>
    </row>
    <row r="16" spans="2:65" s="98" customFormat="1" ht="62.25" customHeight="1" x14ac:dyDescent="0.9">
      <c r="B16" s="125">
        <f>+B15</f>
        <v>2</v>
      </c>
      <c r="C16" s="373"/>
      <c r="D16" s="184"/>
      <c r="E16" s="111"/>
      <c r="F16" s="374"/>
      <c r="G16" s="578" t="str">
        <f>+G14</f>
        <v>7696-837-802</v>
      </c>
      <c r="H16" s="376"/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215">
        <v>40</v>
      </c>
      <c r="N16" s="215">
        <v>40</v>
      </c>
      <c r="O16" s="215">
        <v>40</v>
      </c>
      <c r="P16" s="215">
        <v>40</v>
      </c>
      <c r="Q16" s="215">
        <v>40</v>
      </c>
      <c r="R16" s="215">
        <v>40</v>
      </c>
      <c r="S16" s="215">
        <v>40</v>
      </c>
      <c r="T16" s="215">
        <v>40</v>
      </c>
      <c r="U16" s="215">
        <v>40</v>
      </c>
      <c r="V16" s="215"/>
      <c r="W16" s="426"/>
      <c r="X16" s="160">
        <f t="shared" ref="X16" si="15">+IF(H16="l",IF(COUNTA(M15:W15)=AN17+0.75,AB15-K15*AN17,AB15-(K15*COUNTA(M15:W15))),IF(H16="s",0,IF(COUNTA(M15:W15)=AN17+0.75,SUMIF($C:$C,B15,$AB:$AB)-K15*AN17,SUMIF($C:$C,B15,$AB:$AB)-K15*COUNTA(M15:W15))))</f>
        <v>-67.75</v>
      </c>
      <c r="Y16" s="440"/>
      <c r="Z16" s="400"/>
      <c r="AA16" s="541"/>
      <c r="AB16" s="443">
        <f t="shared" ref="AB16" si="16">+SUM(M16:W16)-U16*0.75</f>
        <v>330</v>
      </c>
      <c r="AC16" s="341"/>
      <c r="AD16" s="341"/>
      <c r="AE16" s="440"/>
      <c r="AF16" s="440"/>
      <c r="AG16" s="115"/>
      <c r="AH16" s="116"/>
      <c r="AI16" s="157"/>
      <c r="AJ16" s="161">
        <f t="shared" si="1"/>
        <v>0</v>
      </c>
      <c r="AK16" s="167">
        <f t="shared" si="2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330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63" s="98" customFormat="1" ht="62.25" customHeight="1" thickBot="1" x14ac:dyDescent="0.95">
      <c r="B17" s="126">
        <f>+B15</f>
        <v>2</v>
      </c>
      <c r="C17" s="375"/>
      <c r="D17" s="174" t="s">
        <v>404</v>
      </c>
      <c r="E17" s="175"/>
      <c r="F17" s="175"/>
      <c r="G17" s="579" t="str">
        <f>+G14</f>
        <v>7696-837-802</v>
      </c>
      <c r="H17" s="117"/>
      <c r="I17" s="397"/>
      <c r="J17" s="165">
        <f>+IF(K17="","",IF(K15=0,"",(K15*J15)/(K17*60)))</f>
        <v>0.88597560975609757</v>
      </c>
      <c r="K17" s="429">
        <v>41</v>
      </c>
      <c r="L17" s="104" t="s">
        <v>19</v>
      </c>
      <c r="M17" s="427">
        <v>2</v>
      </c>
      <c r="N17" s="427">
        <v>2</v>
      </c>
      <c r="O17" s="427">
        <v>2</v>
      </c>
      <c r="P17" s="427">
        <v>2</v>
      </c>
      <c r="Q17" s="427">
        <v>2</v>
      </c>
      <c r="R17" s="427">
        <v>2</v>
      </c>
      <c r="S17" s="427">
        <v>2</v>
      </c>
      <c r="T17" s="427">
        <v>2</v>
      </c>
      <c r="U17" s="427">
        <v>2</v>
      </c>
      <c r="V17" s="427"/>
      <c r="W17" s="428"/>
      <c r="X17" s="173"/>
      <c r="Y17" s="441"/>
      <c r="Z17" s="401">
        <v>31.206233766233765</v>
      </c>
      <c r="AA17" s="448">
        <v>31.206233766233765</v>
      </c>
      <c r="AB17" s="444">
        <f t="shared" si="11"/>
        <v>16.5</v>
      </c>
      <c r="AC17" s="139"/>
      <c r="AD17" s="139"/>
      <c r="AE17" s="441"/>
      <c r="AF17" s="441"/>
      <c r="AG17" s="119">
        <f>+IFERROR(AG15/(K15*$AT$3),"")</f>
        <v>0.74057142857142855</v>
      </c>
      <c r="AH17" s="162"/>
      <c r="AI17" s="161"/>
      <c r="AJ17" s="161">
        <f t="shared" si="1"/>
        <v>0</v>
      </c>
      <c r="AK17" s="167">
        <f t="shared" si="2"/>
        <v>0</v>
      </c>
      <c r="AL17" s="167"/>
      <c r="AM17" s="230"/>
      <c r="AN17" s="342">
        <f>+$AM$4</f>
        <v>8.25</v>
      </c>
      <c r="AO17" s="340">
        <f>+IF(AN17=7.75,SUM(M17:S17)+T17*0.75,IF(AN17=8,SUM(M17:T17),IF(AN17=7.25,SUM(M17:S17)+T17*0.25,IF(AN17=8.25,SUM(M17:T17)+U17*0.25,IF(AN17=8.75,SUM(M17:T17)+U17*0.75,0)))))</f>
        <v>16.5</v>
      </c>
      <c r="AP17" s="167">
        <f>+AO17-AB17</f>
        <v>0</v>
      </c>
      <c r="AQ17" s="167"/>
      <c r="AR17" s="167"/>
      <c r="AS17" s="167"/>
      <c r="AT17" s="435"/>
      <c r="AU17" s="393"/>
      <c r="AW17" s="356">
        <v>1.5801904761904761</v>
      </c>
      <c r="AY17" s="356"/>
    </row>
    <row r="18" spans="2:63" s="98" customFormat="1" ht="62.25" customHeight="1" thickTop="1" x14ac:dyDescent="0.9">
      <c r="B18" s="97">
        <f>+B19</f>
        <v>2</v>
      </c>
      <c r="C18" s="370"/>
      <c r="D18" s="106"/>
      <c r="E18" s="106"/>
      <c r="F18" s="106"/>
      <c r="G18" s="577" t="s">
        <v>440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>
        <v>75</v>
      </c>
      <c r="O18" s="423"/>
      <c r="P18" s="423">
        <v>75</v>
      </c>
      <c r="Q18" s="423"/>
      <c r="R18" s="423">
        <v>75</v>
      </c>
      <c r="S18" s="423"/>
      <c r="T18" s="423"/>
      <c r="U18" s="423"/>
      <c r="V18" s="423"/>
      <c r="W18" s="423"/>
      <c r="X18" s="135">
        <f t="shared" ref="X18" si="17">IF(AT19="","",SUM(M18:W18)-(-(AT19-SUM(M18:W18))/$AT$3)*SUM($M$2:$W$2))</f>
        <v>225</v>
      </c>
      <c r="Y18" s="438"/>
      <c r="Z18" s="400">
        <v>0</v>
      </c>
      <c r="AA18" s="540">
        <f>+X20</f>
        <v>0</v>
      </c>
      <c r="AB18" s="135">
        <f t="shared" si="0"/>
        <v>225</v>
      </c>
      <c r="AC18" s="136">
        <f>+AD18+AB18</f>
        <v>225</v>
      </c>
      <c r="AD18" s="136">
        <v>0</v>
      </c>
      <c r="AE18" s="438"/>
      <c r="AF18" s="438"/>
      <c r="AG18" s="109"/>
      <c r="AH18" s="110"/>
      <c r="AI18" s="157"/>
      <c r="AJ18" s="161">
        <f t="shared" si="1"/>
        <v>0</v>
      </c>
      <c r="AK18" s="167">
        <f t="shared" si="2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63" s="98" customFormat="1" ht="62.25" customHeight="1" x14ac:dyDescent="1.35">
      <c r="B19" s="132">
        <v>2</v>
      </c>
      <c r="C19" s="371">
        <f>+B19</f>
        <v>2</v>
      </c>
      <c r="D19" s="372" t="s">
        <v>439</v>
      </c>
      <c r="E19" s="111"/>
      <c r="F19" s="111" t="s">
        <v>35</v>
      </c>
      <c r="G19" s="578" t="str">
        <f>+G18</f>
        <v>7740-876-052</v>
      </c>
      <c r="H19" s="450">
        <v>7000</v>
      </c>
      <c r="I19" s="111" t="s">
        <v>33</v>
      </c>
      <c r="J19" s="113">
        <v>55.78</v>
      </c>
      <c r="K19" s="130">
        <v>52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424"/>
      <c r="X19" s="123">
        <f t="shared" ref="X19" si="18">+IF(H20="s",0,IF(AB19=0,0,IF(COUNTA(M19:W19)=AN21+0.75,SUMIF($C:$C,B19,$AB:$AB)/AN21,SUMIF($C:$C,B19,$AB:$AB)/(COUNTA(M19:W19)))))</f>
        <v>0</v>
      </c>
      <c r="Y19" s="439"/>
      <c r="Z19" s="400"/>
      <c r="AA19" s="541"/>
      <c r="AB19" s="134">
        <f t="shared" si="0"/>
        <v>0</v>
      </c>
      <c r="AC19" s="137">
        <f>+AB19+AD19</f>
        <v>0</v>
      </c>
      <c r="AD19" s="137">
        <v>0</v>
      </c>
      <c r="AE19" s="439">
        <v>0</v>
      </c>
      <c r="AF19" s="439">
        <f>+AE19+Y19</f>
        <v>0</v>
      </c>
      <c r="AG19" s="140">
        <f>+AC18-AC19</f>
        <v>225</v>
      </c>
      <c r="AH19" s="131" t="str">
        <f>+IF(((AB20+(AB21/2))*60)=0,"",(J19*AB19)/((AB20+(AB21/2))*60))</f>
        <v/>
      </c>
      <c r="AI19" s="161">
        <f>+AB20+AB21/2</f>
        <v>0</v>
      </c>
      <c r="AJ19" s="161">
        <f t="shared" si="1"/>
        <v>0</v>
      </c>
      <c r="AK19" s="167">
        <f t="shared" si="2"/>
        <v>0</v>
      </c>
      <c r="AL19" s="167">
        <f>+AB19*J19</f>
        <v>0</v>
      </c>
      <c r="AM19" s="230" t="e">
        <f>+AB19-(AI19*K19/K21)</f>
        <v>#DIV/0!</v>
      </c>
      <c r="AN19" s="339"/>
      <c r="AO19" s="340"/>
      <c r="AP19" s="167"/>
      <c r="AQ19" s="167"/>
      <c r="AR19" s="167"/>
      <c r="AS19" s="167"/>
      <c r="AT19" s="433">
        <f>-300+AB18</f>
        <v>-75</v>
      </c>
      <c r="AU19" s="393">
        <v>1.5</v>
      </c>
      <c r="AW19" s="356">
        <v>0</v>
      </c>
      <c r="AY19" s="356">
        <f>+AW19-AG19</f>
        <v>-225</v>
      </c>
      <c r="AZ19" s="581"/>
      <c r="BA19" s="581"/>
      <c r="BB19" s="581"/>
      <c r="BC19" s="581"/>
      <c r="BD19" s="581"/>
      <c r="BE19" s="581"/>
      <c r="BF19" s="581"/>
      <c r="BG19" s="581"/>
      <c r="BH19" s="581"/>
      <c r="BI19" s="581"/>
      <c r="BK19" s="137">
        <f>+AC18-H19</f>
        <v>-6775</v>
      </c>
    </row>
    <row r="20" spans="2:63" s="98" customFormat="1" ht="62.25" customHeight="1" x14ac:dyDescent="0.9">
      <c r="B20" s="125">
        <f>+B19</f>
        <v>2</v>
      </c>
      <c r="C20" s="373"/>
      <c r="D20" s="184"/>
      <c r="E20" s="111"/>
      <c r="F20" s="374"/>
      <c r="G20" s="578" t="str">
        <f>+G18</f>
        <v>7740-876-052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426"/>
      <c r="X20" s="160">
        <f t="shared" ref="X20" si="19">+IF(H20="l",IF(COUNTA(M19:W19)=AN21+0.75,AB19-K19*AN21,AB19-(K19*COUNTA(M19:W19))),IF(H20="s",0,IF(COUNTA(M19:W19)=AN21+0.75,SUMIF($C:$C,B19,$AB:$AB)-K19*AN21,SUMIF($C:$C,B19,$AB:$AB)-K19*COUNTA(M19:W19))))</f>
        <v>0</v>
      </c>
      <c r="Y20" s="440"/>
      <c r="Z20" s="400"/>
      <c r="AA20" s="541"/>
      <c r="AB20" s="443">
        <f t="shared" ref="AB20" si="20">+SUM(M20:W20)-U20*0.75</f>
        <v>0</v>
      </c>
      <c r="AC20" s="341"/>
      <c r="AD20" s="341"/>
      <c r="AE20" s="440"/>
      <c r="AF20" s="440"/>
      <c r="AG20" s="115"/>
      <c r="AH20" s="116"/>
      <c r="AI20" s="157"/>
      <c r="AJ20" s="161">
        <f t="shared" si="1"/>
        <v>0</v>
      </c>
      <c r="AK20" s="167">
        <f t="shared" si="2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63" s="98" customFormat="1" ht="62.25" customHeight="1" thickBot="1" x14ac:dyDescent="0.95">
      <c r="B21" s="126">
        <f>+B19</f>
        <v>2</v>
      </c>
      <c r="C21" s="375"/>
      <c r="D21" s="174" t="s">
        <v>404</v>
      </c>
      <c r="E21" s="175"/>
      <c r="F21" s="175"/>
      <c r="G21" s="579" t="str">
        <f>+G18</f>
        <v>7740-876-052</v>
      </c>
      <c r="H21" s="117"/>
      <c r="I21" s="397"/>
      <c r="J21" s="165" t="str">
        <f>+IF(K21="","",IF(K19=0,"",(K19*J19)/(K21*60)))</f>
        <v/>
      </c>
      <c r="K21" s="429"/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8"/>
      <c r="X21" s="173"/>
      <c r="Y21" s="441"/>
      <c r="Z21" s="401"/>
      <c r="AA21" s="448"/>
      <c r="AB21" s="444">
        <f t="shared" si="11"/>
        <v>0</v>
      </c>
      <c r="AC21" s="139"/>
      <c r="AD21" s="139"/>
      <c r="AE21" s="441"/>
      <c r="AF21" s="441"/>
      <c r="AG21" s="119">
        <f>+IFERROR(AG19/(K19*$AT$3),"")</f>
        <v>0.49450549450549453</v>
      </c>
      <c r="AH21" s="162"/>
      <c r="AI21" s="161"/>
      <c r="AJ21" s="161">
        <f t="shared" si="1"/>
        <v>0</v>
      </c>
      <c r="AK21" s="167">
        <f t="shared" si="2"/>
        <v>0</v>
      </c>
      <c r="AL21" s="167"/>
      <c r="AM21" s="230"/>
      <c r="AN21" s="342">
        <f>+$AM$4</f>
        <v>8.25</v>
      </c>
      <c r="AO21" s="340">
        <f>+IF(AN21=7.75,SUM(M21:S21)+T21*0.75,IF(AN21=8,SUM(M21:T21),IF(AN21=7.25,SUM(M21:S21)+T21*0.25,IF(AN21=8.25,SUM(M21:T21)+U21*0.25,IF(AN21=8.75,SUM(M21:T21)+U21*0.75,0)))))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0</v>
      </c>
      <c r="AY21" s="356"/>
    </row>
    <row r="22" spans="2:63" s="98" customFormat="1" ht="62.25" customHeight="1" thickTop="1" x14ac:dyDescent="0.9">
      <c r="B22" s="97">
        <f>+B23</f>
        <v>3</v>
      </c>
      <c r="C22" s="370"/>
      <c r="D22" s="106"/>
      <c r="E22" s="106"/>
      <c r="F22" s="106"/>
      <c r="G22" s="577" t="s">
        <v>440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50</v>
      </c>
      <c r="N22" s="423">
        <v>50</v>
      </c>
      <c r="O22" s="423">
        <v>50</v>
      </c>
      <c r="P22" s="423">
        <v>50</v>
      </c>
      <c r="Q22" s="423">
        <v>50</v>
      </c>
      <c r="R22" s="423">
        <v>50</v>
      </c>
      <c r="S22" s="423">
        <v>100</v>
      </c>
      <c r="T22" s="423">
        <v>50</v>
      </c>
      <c r="U22" s="423"/>
      <c r="V22" s="423"/>
      <c r="W22" s="423"/>
      <c r="X22" s="135">
        <f t="shared" ref="X22" si="21">IF(AT23="","",SUM(M22:W22)-(-(AT23-SUM(M22:W22))/$AT$3)*SUM($M$2:$W$2))</f>
        <v>450</v>
      </c>
      <c r="Y22" s="438"/>
      <c r="Z22" s="400">
        <v>0</v>
      </c>
      <c r="AA22" s="540">
        <f>+X24</f>
        <v>-22</v>
      </c>
      <c r="AB22" s="135">
        <f t="shared" si="0"/>
        <v>450</v>
      </c>
      <c r="AC22" s="136">
        <f>+AD22+AB22</f>
        <v>4680</v>
      </c>
      <c r="AD22" s="136">
        <v>4230</v>
      </c>
      <c r="AE22" s="438"/>
      <c r="AF22" s="438"/>
      <c r="AG22" s="109"/>
      <c r="AH22" s="110"/>
      <c r="AI22" s="157"/>
      <c r="AJ22" s="161">
        <f t="shared" si="1"/>
        <v>0</v>
      </c>
      <c r="AK22" s="167">
        <f t="shared" si="2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63" s="98" customFormat="1" ht="62.25" customHeight="1" x14ac:dyDescent="1.35">
      <c r="B23" s="132">
        <v>3</v>
      </c>
      <c r="C23" s="371">
        <v>3</v>
      </c>
      <c r="D23" s="372" t="s">
        <v>439</v>
      </c>
      <c r="E23" s="111"/>
      <c r="F23" s="111" t="s">
        <v>35</v>
      </c>
      <c r="G23" s="578" t="str">
        <f>+G22</f>
        <v>7740-876-052</v>
      </c>
      <c r="H23" s="450">
        <v>12000</v>
      </c>
      <c r="I23" s="111" t="s">
        <v>33</v>
      </c>
      <c r="J23" s="113">
        <v>55.78</v>
      </c>
      <c r="K23" s="130">
        <v>52</v>
      </c>
      <c r="L23" s="101" t="s">
        <v>17</v>
      </c>
      <c r="M23" s="214">
        <v>40</v>
      </c>
      <c r="N23" s="214">
        <v>42</v>
      </c>
      <c r="O23" s="214">
        <v>52</v>
      </c>
      <c r="P23" s="214">
        <v>52</v>
      </c>
      <c r="Q23" s="214">
        <v>52</v>
      </c>
      <c r="R23" s="214">
        <v>52</v>
      </c>
      <c r="S23" s="214">
        <v>52</v>
      </c>
      <c r="T23" s="214">
        <v>52</v>
      </c>
      <c r="U23" s="214">
        <v>13</v>
      </c>
      <c r="V23" s="214"/>
      <c r="W23" s="424"/>
      <c r="X23" s="123">
        <f t="shared" ref="X23" si="22">+IF(H24="s",0,IF(AB23=0,0,IF(COUNTA(M23:W23)=AN25+0.75,SUMIF($C:$C,B23,$AB:$AB)/AN25,SUMIF($C:$C,B23,$AB:$AB)/(COUNTA(M23:W23)))))</f>
        <v>49.333333333333336</v>
      </c>
      <c r="Y23" s="439"/>
      <c r="Z23" s="400"/>
      <c r="AA23" s="541"/>
      <c r="AB23" s="134">
        <f t="shared" si="0"/>
        <v>407</v>
      </c>
      <c r="AC23" s="137">
        <f>+AB23+AD23</f>
        <v>3563</v>
      </c>
      <c r="AD23" s="137">
        <v>3156</v>
      </c>
      <c r="AE23" s="439"/>
      <c r="AF23" s="439">
        <f>+AE23+Y23</f>
        <v>0</v>
      </c>
      <c r="AG23" s="140">
        <f>+AC22-AC23</f>
        <v>1117</v>
      </c>
      <c r="AH23" s="131">
        <f>+IF(((AB24+(AB25/2))*60)=0,"",(J23*AB23)/((AB24+(AB25/2))*60))</f>
        <v>0.84932510288065843</v>
      </c>
      <c r="AI23" s="161">
        <f>+AB24+AB25/2</f>
        <v>445.5</v>
      </c>
      <c r="AJ23" s="161">
        <f t="shared" si="1"/>
        <v>445.3</v>
      </c>
      <c r="AK23" s="167">
        <f t="shared" si="2"/>
        <v>26730</v>
      </c>
      <c r="AL23" s="167">
        <f>+AB23*J23</f>
        <v>22702.46</v>
      </c>
      <c r="AM23" s="230">
        <f>+AB23-(AI23*K23/K25)</f>
        <v>-6.6785714285714448</v>
      </c>
      <c r="AN23" s="339"/>
      <c r="AO23" s="340"/>
      <c r="AP23" s="167"/>
      <c r="AQ23" s="167"/>
      <c r="AR23" s="167"/>
      <c r="AS23" s="167"/>
      <c r="AT23" s="433">
        <f t="shared" ref="AT23" si="23">IF(AU23=0,"",AW23-(($AT$3*K23)+($AT$3*K23)*AU23)+AB22)</f>
        <v>68</v>
      </c>
      <c r="AU23" s="393">
        <v>2.2000000000000002</v>
      </c>
      <c r="AW23" s="356">
        <v>1074</v>
      </c>
      <c r="AY23" s="356">
        <f t="shared" ref="AY23" si="24">+AW23-AG23</f>
        <v>-43</v>
      </c>
      <c r="AZ23" s="581"/>
      <c r="BA23" s="581"/>
      <c r="BB23" s="581"/>
      <c r="BC23" s="581"/>
      <c r="BD23" s="581"/>
      <c r="BE23" s="581"/>
      <c r="BF23" s="581"/>
      <c r="BG23" s="581"/>
      <c r="BH23" s="581"/>
      <c r="BI23" s="581"/>
      <c r="BK23" s="137">
        <f>+AC22-H23</f>
        <v>-7320</v>
      </c>
    </row>
    <row r="24" spans="2:63" s="98" customFormat="1" ht="62.25" customHeight="1" x14ac:dyDescent="0.9">
      <c r="B24" s="125">
        <f>+B23</f>
        <v>3</v>
      </c>
      <c r="C24" s="373"/>
      <c r="D24" s="184"/>
      <c r="E24" s="111">
        <f>+B23</f>
        <v>3</v>
      </c>
      <c r="F24" s="374"/>
      <c r="G24" s="578" t="str">
        <f>+G22</f>
        <v>7740-876-052</v>
      </c>
      <c r="H24" s="376"/>
      <c r="I24" s="113">
        <f>+IFERROR(IF(K25=0,0,IF((LOOKUP(2,1/(M24:W24&lt;&gt;""),M24:W24)-K25)&lt;0,0,IF(K25=0,"",LOOKUP(2,1/(M24:W24&lt;&gt;""),M24:W24)-K25))),0)</f>
        <v>0</v>
      </c>
      <c r="J24" s="113">
        <v>2</v>
      </c>
      <c r="K24" s="114" t="s">
        <v>22</v>
      </c>
      <c r="L24" s="102" t="s">
        <v>18</v>
      </c>
      <c r="M24" s="215">
        <v>53</v>
      </c>
      <c r="N24" s="215">
        <v>53</v>
      </c>
      <c r="O24" s="215">
        <v>53</v>
      </c>
      <c r="P24" s="215">
        <v>53</v>
      </c>
      <c r="Q24" s="215">
        <v>53</v>
      </c>
      <c r="R24" s="215">
        <v>53</v>
      </c>
      <c r="S24" s="215">
        <v>53</v>
      </c>
      <c r="T24" s="215">
        <v>53</v>
      </c>
      <c r="U24" s="215">
        <v>53</v>
      </c>
      <c r="V24" s="426"/>
      <c r="W24" s="426"/>
      <c r="X24" s="160">
        <f t="shared" ref="X24" si="25">+IF(H24="l",IF(COUNTA(M23:W23)=AN25+0.75,AB23-K23*AN25,AB23-(K23*COUNTA(M23:W23))),IF(H24="s",0,IF(COUNTA(M23:W23)=AN25+0.75,SUMIF($C:$C,B23,$AB:$AB)-K23*AN25,SUMIF($C:$C,B23,$AB:$AB)-K23*COUNTA(M23:W23))))</f>
        <v>-22</v>
      </c>
      <c r="Y24" s="440"/>
      <c r="Z24" s="400"/>
      <c r="AA24" s="541"/>
      <c r="AB24" s="443">
        <f t="shared" ref="AB24" si="26">+SUM(M24:W24)-U24*0.75</f>
        <v>437.25</v>
      </c>
      <c r="AC24" s="341"/>
      <c r="AD24" s="341"/>
      <c r="AE24" s="440"/>
      <c r="AF24" s="440"/>
      <c r="AG24" s="115"/>
      <c r="AH24" s="116"/>
      <c r="AI24" s="157"/>
      <c r="AJ24" s="161">
        <f t="shared" si="1"/>
        <v>0</v>
      </c>
      <c r="AK24" s="167">
        <f t="shared" si="2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437.25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63" s="98" customFormat="1" ht="62.25" customHeight="1" thickBot="1" x14ac:dyDescent="0.95">
      <c r="B25" s="126">
        <f>+B23</f>
        <v>3</v>
      </c>
      <c r="C25" s="375"/>
      <c r="D25" s="174" t="s">
        <v>423</v>
      </c>
      <c r="E25" s="175">
        <f>+E24+100</f>
        <v>103</v>
      </c>
      <c r="F25" s="175"/>
      <c r="G25" s="579" t="str">
        <f>+G22</f>
        <v>7740-876-052</v>
      </c>
      <c r="H25" s="117"/>
      <c r="I25" s="397"/>
      <c r="J25" s="165">
        <f>+IF(K25="","",IF(K23=0,"",(K23*J23)/(K25*60)))</f>
        <v>0.86326190476190479</v>
      </c>
      <c r="K25" s="118">
        <v>56</v>
      </c>
      <c r="L25" s="104" t="s">
        <v>19</v>
      </c>
      <c r="M25" s="427">
        <v>2</v>
      </c>
      <c r="N25" s="427">
        <v>2</v>
      </c>
      <c r="O25" s="427">
        <v>2</v>
      </c>
      <c r="P25" s="427">
        <v>2</v>
      </c>
      <c r="Q25" s="427">
        <v>2</v>
      </c>
      <c r="R25" s="427">
        <v>2</v>
      </c>
      <c r="S25" s="427">
        <v>2</v>
      </c>
      <c r="T25" s="427">
        <v>2</v>
      </c>
      <c r="U25" s="427">
        <v>2</v>
      </c>
      <c r="V25" s="428"/>
      <c r="W25" s="428"/>
      <c r="X25" s="173"/>
      <c r="Y25" s="441"/>
      <c r="Z25" s="401">
        <v>37.057412587412585</v>
      </c>
      <c r="AA25" s="401">
        <v>37.057412587412585</v>
      </c>
      <c r="AB25" s="444">
        <f t="shared" si="11"/>
        <v>16.5</v>
      </c>
      <c r="AC25" s="139"/>
      <c r="AD25" s="139"/>
      <c r="AE25" s="441"/>
      <c r="AF25" s="441"/>
      <c r="AG25" s="119">
        <f>+IFERROR(AG23/(K23*$AT$3),"")</f>
        <v>2.4549450549450551</v>
      </c>
      <c r="AH25" s="162"/>
      <c r="AI25" s="161"/>
      <c r="AJ25" s="161">
        <f t="shared" si="1"/>
        <v>0</v>
      </c>
      <c r="AK25" s="167">
        <f t="shared" si="2"/>
        <v>0</v>
      </c>
      <c r="AL25" s="167"/>
      <c r="AM25" s="230"/>
      <c r="AN25" s="342">
        <f>+$AM$4</f>
        <v>8.25</v>
      </c>
      <c r="AO25" s="340">
        <f>+IF(AN25=7.75,SUM(M25:S25)+T25*0.75,IF(AN25=8,SUM(M25:T25),IF(AN25=7.25,SUM(M25:S25)+T25*0.25,IF(AN25=8.25,SUM(M25:T25)+U25*0.25,IF(AN25=8.75,SUM(M25:T25)+U25*0.75,0)))))</f>
        <v>16.5</v>
      </c>
      <c r="AP25" s="167">
        <f>+AO25-AB25</f>
        <v>0</v>
      </c>
      <c r="AQ25" s="167"/>
      <c r="AR25" s="167"/>
      <c r="AS25" s="167"/>
      <c r="AT25" s="435"/>
      <c r="AU25" s="393"/>
      <c r="AW25" s="356">
        <v>2.3604395604395605</v>
      </c>
      <c r="AY25" s="356"/>
    </row>
    <row r="26" spans="2:63" s="98" customFormat="1" ht="62.25" customHeight="1" thickTop="1" x14ac:dyDescent="0.9">
      <c r="B26" s="97">
        <f>+B27</f>
        <v>4</v>
      </c>
      <c r="C26" s="370"/>
      <c r="D26" s="106"/>
      <c r="E26" s="106"/>
      <c r="F26" s="106"/>
      <c r="G26" s="582" t="s">
        <v>431</v>
      </c>
      <c r="H26" s="106"/>
      <c r="I26" s="106"/>
      <c r="J26" s="107" t="s">
        <v>20</v>
      </c>
      <c r="K26" s="108" t="s">
        <v>23</v>
      </c>
      <c r="L26" s="100" t="s">
        <v>21</v>
      </c>
      <c r="M26" s="423">
        <v>120</v>
      </c>
      <c r="N26" s="423">
        <v>120</v>
      </c>
      <c r="O26" s="423">
        <v>120</v>
      </c>
      <c r="P26" s="423">
        <v>60</v>
      </c>
      <c r="Q26" s="423">
        <v>60</v>
      </c>
      <c r="R26" s="423">
        <v>120</v>
      </c>
      <c r="S26" s="423">
        <v>60</v>
      </c>
      <c r="T26" s="423"/>
      <c r="U26" s="423"/>
      <c r="V26" s="423"/>
      <c r="W26" s="423"/>
      <c r="X26" s="135">
        <f t="shared" ref="X26" si="27">IF(AT27="","",SUM(M26:W26)-(-(AT27-SUM(M26:W26))/$AT$3)*SUM($M$2:$W$2))</f>
        <v>660</v>
      </c>
      <c r="Y26" s="438"/>
      <c r="Z26" s="400">
        <v>-34.25</v>
      </c>
      <c r="AA26" s="540">
        <f>+X28</f>
        <v>-60.75</v>
      </c>
      <c r="AB26" s="135">
        <f t="shared" si="0"/>
        <v>660</v>
      </c>
      <c r="AC26" s="136">
        <f>+AD26+AB26</f>
        <v>8281</v>
      </c>
      <c r="AD26" s="136">
        <v>7621</v>
      </c>
      <c r="AE26" s="438"/>
      <c r="AF26" s="438"/>
      <c r="AG26" s="109"/>
      <c r="AH26" s="110"/>
      <c r="AI26" s="157"/>
      <c r="AJ26" s="161">
        <f t="shared" si="1"/>
        <v>0</v>
      </c>
      <c r="AK26" s="167">
        <f t="shared" si="2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63" s="98" customFormat="1" ht="62.25" customHeight="1" x14ac:dyDescent="0.9">
      <c r="B27" s="132">
        <v>4</v>
      </c>
      <c r="C27" s="371">
        <f>+B27</f>
        <v>4</v>
      </c>
      <c r="D27" s="372" t="s">
        <v>430</v>
      </c>
      <c r="E27" s="111"/>
      <c r="F27" s="111" t="s">
        <v>35</v>
      </c>
      <c r="G27" s="582" t="str">
        <f>+G26</f>
        <v xml:space="preserve">2878-556-700 </v>
      </c>
      <c r="H27" s="450">
        <v>9487</v>
      </c>
      <c r="I27" s="111" t="s">
        <v>251</v>
      </c>
      <c r="J27" s="113">
        <v>36.65</v>
      </c>
      <c r="K27" s="130">
        <v>75</v>
      </c>
      <c r="L27" s="101" t="s">
        <v>17</v>
      </c>
      <c r="M27" s="214">
        <v>67</v>
      </c>
      <c r="N27" s="214">
        <v>45</v>
      </c>
      <c r="O27" s="214">
        <v>90</v>
      </c>
      <c r="P27" s="214">
        <v>75</v>
      </c>
      <c r="Q27" s="214">
        <v>83</v>
      </c>
      <c r="R27" s="214">
        <v>40</v>
      </c>
      <c r="S27" s="214">
        <v>90</v>
      </c>
      <c r="T27" s="214">
        <v>60</v>
      </c>
      <c r="U27" s="214">
        <v>8</v>
      </c>
      <c r="V27" s="214"/>
      <c r="W27" s="424"/>
      <c r="X27" s="123">
        <f t="shared" ref="X27" si="28">+IF(H28="s",0,IF(AB27=0,0,IF(COUNTA(M27:W27)=AN29+0.75,SUMIF($C:$C,B27,$AB:$AB)/AN29,SUMIF($C:$C,B27,$AB:$AB)/(COUNTA(M27:W27)))))</f>
        <v>67.63636363636364</v>
      </c>
      <c r="Y27" s="439"/>
      <c r="Z27" s="400"/>
      <c r="AA27" s="541"/>
      <c r="AB27" s="134">
        <f t="shared" si="0"/>
        <v>558</v>
      </c>
      <c r="AC27" s="137">
        <f>+AB27+AD27</f>
        <v>7022</v>
      </c>
      <c r="AD27" s="137">
        <v>6464</v>
      </c>
      <c r="AE27" s="439">
        <v>0</v>
      </c>
      <c r="AF27" s="439">
        <f>+AE27+Y27</f>
        <v>0</v>
      </c>
      <c r="AG27" s="140">
        <f>+AC26-AC27</f>
        <v>1259</v>
      </c>
      <c r="AH27" s="131">
        <f>+IF(((AB28+(AB29/2))*60)=0,"",(J27*AB27)/((AB28+(AB29/2))*60))</f>
        <v>0.85184629803186507</v>
      </c>
      <c r="AI27" s="161">
        <f>+AB28+AB29/2</f>
        <v>400.125</v>
      </c>
      <c r="AJ27" s="161">
        <f t="shared" si="1"/>
        <v>400.07499999999999</v>
      </c>
      <c r="AK27" s="167">
        <f t="shared" si="2"/>
        <v>24007.5</v>
      </c>
      <c r="AL27" s="167">
        <f>+AB27*J27</f>
        <v>20450.7</v>
      </c>
      <c r="AM27" s="230">
        <f>+AB27-(AI27*K27/K29)</f>
        <v>-42.1875</v>
      </c>
      <c r="AN27" s="339"/>
      <c r="AO27" s="340"/>
      <c r="AP27" s="167"/>
      <c r="AQ27" s="167"/>
      <c r="AR27" s="167"/>
      <c r="AS27" s="167"/>
      <c r="AT27" s="433">
        <f t="shared" ref="AT27" si="29">IF(AU27=0,"",AW27-(($AT$3*K27)+($AT$3*K27)*AU27)+AB26)</f>
        <v>77.9375</v>
      </c>
      <c r="AU27" s="393">
        <v>1.65</v>
      </c>
      <c r="AW27" s="356">
        <v>1157</v>
      </c>
      <c r="AY27" s="356">
        <f t="shared" ref="AY27" si="30">+AW27-AG27</f>
        <v>-102</v>
      </c>
      <c r="BK27" s="137">
        <f>+AC26-H27</f>
        <v>-1206</v>
      </c>
    </row>
    <row r="28" spans="2:63" s="98" customFormat="1" ht="62.25" customHeight="1" x14ac:dyDescent="0.9">
      <c r="B28" s="125">
        <f>+B27</f>
        <v>4</v>
      </c>
      <c r="C28" s="373"/>
      <c r="D28" s="184"/>
      <c r="E28" s="111">
        <f>+B27</f>
        <v>4</v>
      </c>
      <c r="F28" s="374"/>
      <c r="G28" s="582" t="str">
        <f>+G27</f>
        <v xml:space="preserve">2878-556-700 </v>
      </c>
      <c r="H28" s="376" t="s">
        <v>400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48</v>
      </c>
      <c r="N28" s="425">
        <v>48</v>
      </c>
      <c r="O28" s="425">
        <v>48</v>
      </c>
      <c r="P28" s="425">
        <v>48</v>
      </c>
      <c r="Q28" s="425">
        <v>48</v>
      </c>
      <c r="R28" s="425">
        <v>48</v>
      </c>
      <c r="S28" s="425">
        <v>48</v>
      </c>
      <c r="T28" s="425">
        <v>48</v>
      </c>
      <c r="U28" s="425">
        <v>48</v>
      </c>
      <c r="V28" s="426"/>
      <c r="W28" s="426"/>
      <c r="X28" s="160">
        <f t="shared" ref="X28" si="31">+IF(H28="l",IF(COUNTA(M27:W27)=AN29+0.75,AB27-K27*AN29,AB27-(K27*COUNTA(M27:W27))),IF(H28="s",0,IF(COUNTA(M27:W27)=AN29+0.75,SUMIF($C:$C,B27,$AB:$AB)-K27*AN29,SUMIF($C:$C,B27,$AB:$AB)-K27*COUNTA(M27:W27))))</f>
        <v>-60.75</v>
      </c>
      <c r="Y28" s="440"/>
      <c r="Z28" s="400"/>
      <c r="AA28" s="541"/>
      <c r="AB28" s="443">
        <f t="shared" ref="AB28" si="32">+SUM(M28:W28)-U28*0.75</f>
        <v>396</v>
      </c>
      <c r="AC28" s="341"/>
      <c r="AD28" s="341"/>
      <c r="AE28" s="440"/>
      <c r="AF28" s="440"/>
      <c r="AG28" s="115"/>
      <c r="AH28" s="116"/>
      <c r="AI28" s="157"/>
      <c r="AJ28" s="161">
        <f t="shared" si="1"/>
        <v>0</v>
      </c>
      <c r="AK28" s="167">
        <f t="shared" si="2"/>
        <v>0</v>
      </c>
      <c r="AL28" s="167"/>
      <c r="AM28" s="167"/>
      <c r="AN28" s="339"/>
      <c r="AO28" s="340">
        <f>+IF(AN29=7.75,SUM(M28:S28)+T28*0.75,IF(AN29=8,SUM(M28:T28),IF(AN29=7.25,SUM(M28:S28)+T28*0.25,IF(AN29=8.25,SUM(M28:T28)+U28*0.25,IF(AN29=8.75,SUM(M28:T28)+U28*0.75,0)))))</f>
        <v>396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63" s="98" customFormat="1" ht="62.25" customHeight="1" thickBot="1" x14ac:dyDescent="0.95">
      <c r="B29" s="126">
        <f>+B27</f>
        <v>4</v>
      </c>
      <c r="C29" s="375"/>
      <c r="D29" s="174" t="s">
        <v>445</v>
      </c>
      <c r="E29" s="175">
        <f>+E28+100</f>
        <v>104</v>
      </c>
      <c r="F29" s="175"/>
      <c r="G29" s="582" t="str">
        <f>+G28</f>
        <v xml:space="preserve">2878-556-700 </v>
      </c>
      <c r="H29" s="117"/>
      <c r="I29" s="397"/>
      <c r="J29" s="165">
        <f>+IF(K29="","",IF(K27=0,"",(K27*J27)/(K29*60)))</f>
        <v>0.91625000000000001</v>
      </c>
      <c r="K29" s="118">
        <v>50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>
        <v>1</v>
      </c>
      <c r="V29" s="428"/>
      <c r="W29" s="428"/>
      <c r="X29" s="173"/>
      <c r="Y29" s="441"/>
      <c r="Z29" s="401">
        <v>29.116666666666667</v>
      </c>
      <c r="AA29" s="169">
        <v>29.116666666666667</v>
      </c>
      <c r="AB29" s="444">
        <f t="shared" si="11"/>
        <v>8.25</v>
      </c>
      <c r="AC29" s="139"/>
      <c r="AD29" s="139"/>
      <c r="AE29" s="441"/>
      <c r="AF29" s="441"/>
      <c r="AG29" s="119">
        <f>+IFERROR(AG27/(K27*$AT$3),"")</f>
        <v>1.9184761904761904</v>
      </c>
      <c r="AH29" s="162"/>
      <c r="AI29" s="161"/>
      <c r="AJ29" s="161">
        <f t="shared" si="1"/>
        <v>0</v>
      </c>
      <c r="AK29" s="167">
        <f t="shared" si="2"/>
        <v>0</v>
      </c>
      <c r="AL29" s="167"/>
      <c r="AM29" s="230"/>
      <c r="AN29" s="342">
        <f>+$AM$4</f>
        <v>8.25</v>
      </c>
      <c r="AO29" s="340">
        <f>+IF(AN29=7.75,SUM(N29:S29)+T29*0.75,IF(AN29=8,SUM(N29:T29),IF(AN29=7.25,SUM(N29:S29)+T29*0.25,IF(AN29=8.25,SUM(N29:T29)+U29*0.25,IF(AN29=8.75,SUM(N29:T29)+U29*0.75,0)))))</f>
        <v>7.25</v>
      </c>
      <c r="AP29" s="167">
        <f>+AO29-AB29</f>
        <v>-1</v>
      </c>
      <c r="AQ29" s="167"/>
      <c r="AR29" s="167"/>
      <c r="AS29" s="167"/>
      <c r="AT29" s="435"/>
      <c r="AU29" s="393"/>
      <c r="AW29" s="356">
        <v>1.763047619047619</v>
      </c>
      <c r="AY29" s="356"/>
    </row>
    <row r="30" spans="2:63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77" t="s">
        <v>433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150</v>
      </c>
      <c r="N30" s="423">
        <v>150</v>
      </c>
      <c r="O30" s="423">
        <v>150</v>
      </c>
      <c r="P30" s="423">
        <v>75</v>
      </c>
      <c r="Q30" s="423"/>
      <c r="R30" s="423"/>
      <c r="S30" s="423"/>
      <c r="T30" s="423"/>
      <c r="U30" s="423"/>
      <c r="V30" s="423"/>
      <c r="W30" s="423"/>
      <c r="X30" s="135">
        <f t="shared" ref="X30" si="33">IF(AT31="","",SUM(M30:W30)-(-(AT31-SUM(M30:W30))/$AT$3)*SUM($M$2:$W$2))</f>
        <v>525</v>
      </c>
      <c r="Y30" s="438"/>
      <c r="Z30" s="400">
        <v>52.5</v>
      </c>
      <c r="AA30" s="540">
        <f>+X32</f>
        <v>43.5</v>
      </c>
      <c r="AB30" s="135">
        <f t="shared" si="0"/>
        <v>525</v>
      </c>
      <c r="AC30" s="136">
        <f>+AD30+AB30</f>
        <v>8754</v>
      </c>
      <c r="AD30" s="136">
        <v>8229</v>
      </c>
      <c r="AE30" s="438"/>
      <c r="AF30" s="438"/>
      <c r="AG30" s="109"/>
      <c r="AH30" s="110"/>
      <c r="AI30" s="157"/>
      <c r="AJ30" s="161">
        <f t="shared" si="1"/>
        <v>0</v>
      </c>
      <c r="AK30" s="167">
        <f t="shared" si="2"/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63" s="98" customFormat="1" ht="62.25" customHeight="1" x14ac:dyDescent="0.9">
      <c r="B31" s="132">
        <v>5</v>
      </c>
      <c r="C31" s="371">
        <f>+B31</f>
        <v>5</v>
      </c>
      <c r="D31" s="372" t="s">
        <v>432</v>
      </c>
      <c r="E31" s="111"/>
      <c r="F31" s="111" t="s">
        <v>35</v>
      </c>
      <c r="G31" s="578" t="str">
        <f>+G30</f>
        <v>2843-709-800</v>
      </c>
      <c r="H31" s="450">
        <v>11700</v>
      </c>
      <c r="I31" s="111" t="s">
        <v>251</v>
      </c>
      <c r="J31" s="113">
        <v>50</v>
      </c>
      <c r="K31" s="130">
        <v>58</v>
      </c>
      <c r="L31" s="101" t="s">
        <v>17</v>
      </c>
      <c r="M31" s="214">
        <v>63</v>
      </c>
      <c r="N31" s="214">
        <v>63</v>
      </c>
      <c r="O31" s="214">
        <v>63</v>
      </c>
      <c r="P31" s="214">
        <v>63</v>
      </c>
      <c r="Q31" s="214">
        <v>63</v>
      </c>
      <c r="R31" s="214">
        <v>63</v>
      </c>
      <c r="S31" s="214">
        <v>63</v>
      </c>
      <c r="T31" s="214">
        <v>63</v>
      </c>
      <c r="U31" s="214">
        <v>18</v>
      </c>
      <c r="V31" s="214"/>
      <c r="W31" s="424"/>
      <c r="X31" s="123">
        <f t="shared" ref="X31" si="34">+IF(H32="s",0,IF(AB31=0,0,IF(COUNTA(M31:W31)=AN33+0.75,SUMIF($C:$C,B31,$AB:$AB)/AN33,SUMIF($C:$C,B31,$AB:$AB)/(COUNTA(M31:W31)))))</f>
        <v>63.272727272727273</v>
      </c>
      <c r="Y31" s="439"/>
      <c r="Z31" s="400"/>
      <c r="AA31" s="541"/>
      <c r="AB31" s="134">
        <f t="shared" si="0"/>
        <v>522</v>
      </c>
      <c r="AC31" s="137">
        <f>+AB31+AD31</f>
        <v>7042</v>
      </c>
      <c r="AD31" s="137">
        <v>6520</v>
      </c>
      <c r="AE31" s="439">
        <v>0</v>
      </c>
      <c r="AF31" s="439">
        <f>+AE31+Y31</f>
        <v>0</v>
      </c>
      <c r="AG31" s="140">
        <f>+AC30-AC31</f>
        <v>1712</v>
      </c>
      <c r="AH31" s="131">
        <f>+IF(((AB32+(AB33/2))*60)=0,"",(J31*AB31)/((AB32+(AB33/2))*60))</f>
        <v>0.9855564995751912</v>
      </c>
      <c r="AI31" s="161">
        <f>+AB32+AB33/2</f>
        <v>441.375</v>
      </c>
      <c r="AJ31" s="161">
        <f t="shared" si="1"/>
        <v>441.22500000000002</v>
      </c>
      <c r="AK31" s="167">
        <f t="shared" si="2"/>
        <v>26482.5</v>
      </c>
      <c r="AL31" s="167">
        <f>+AB31*J31</f>
        <v>26100</v>
      </c>
      <c r="AM31" s="230">
        <f>+AB31-(AI31*K31/K33)</f>
        <v>47.930555555555543</v>
      </c>
      <c r="AN31" s="339"/>
      <c r="AO31" s="340"/>
      <c r="AP31" s="167"/>
      <c r="AQ31" s="167"/>
      <c r="AR31" s="167"/>
      <c r="AS31" s="167"/>
      <c r="AT31" s="433">
        <f t="shared" ref="AT31" si="35">IF(AU31=0,"",AW31-(($AT$3*K31)+($AT$3*K31)*AU31)+AB30)</f>
        <v>77.125</v>
      </c>
      <c r="AU31" s="393">
        <v>3.25</v>
      </c>
      <c r="AW31" s="356">
        <v>1709</v>
      </c>
      <c r="AY31" s="356">
        <f t="shared" ref="AY31" si="36">+AW31-AG31</f>
        <v>-3</v>
      </c>
      <c r="BK31" s="137">
        <f>+AC30-H31</f>
        <v>-2946</v>
      </c>
    </row>
    <row r="32" spans="2:63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78" t="str">
        <f>+G30</f>
        <v>2843-709-800</v>
      </c>
      <c r="H32" s="376" t="s">
        <v>182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>
        <v>53</v>
      </c>
      <c r="N32" s="425">
        <v>53</v>
      </c>
      <c r="O32" s="425">
        <v>53</v>
      </c>
      <c r="P32" s="425">
        <v>53</v>
      </c>
      <c r="Q32" s="425">
        <v>53</v>
      </c>
      <c r="R32" s="425">
        <v>53</v>
      </c>
      <c r="S32" s="425">
        <v>53</v>
      </c>
      <c r="T32" s="425">
        <v>53</v>
      </c>
      <c r="U32" s="425">
        <v>53</v>
      </c>
      <c r="V32" s="426"/>
      <c r="W32" s="426"/>
      <c r="X32" s="160">
        <f t="shared" ref="X32" si="37">+IF(H32="l",IF(COUNTA(M31:W31)=AN33+0.75,AB31-K31*AN33,AB31-(K31*COUNTA(M31:W31))),IF(H32="s",0,IF(COUNTA(M31:W31)=AN33+0.75,SUMIF($C:$C,B31,$AB:$AB)-K31*AN33,SUMIF($C:$C,B31,$AB:$AB)-K31*COUNTA(M31:W31))))</f>
        <v>43.5</v>
      </c>
      <c r="Y32" s="440"/>
      <c r="Z32" s="400"/>
      <c r="AA32" s="541"/>
      <c r="AB32" s="443">
        <f t="shared" ref="AB32" si="38">+SUM(M32:W32)-U32*0.75</f>
        <v>437.25</v>
      </c>
      <c r="AC32" s="341"/>
      <c r="AD32" s="341"/>
      <c r="AE32" s="440"/>
      <c r="AF32" s="440"/>
      <c r="AG32" s="115"/>
      <c r="AH32" s="116"/>
      <c r="AI32" s="157"/>
      <c r="AJ32" s="161">
        <f t="shared" si="1"/>
        <v>0</v>
      </c>
      <c r="AK32" s="167">
        <f t="shared" si="2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437.25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3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79" t="str">
        <f>+G30</f>
        <v>2843-709-800</v>
      </c>
      <c r="H33" s="117"/>
      <c r="I33" s="397" t="s">
        <v>182</v>
      </c>
      <c r="J33" s="165">
        <f>+IF(K33="","",IF(K31=0,"",(K31*J31)/(K33*60)))</f>
        <v>0.89506172839506171</v>
      </c>
      <c r="K33" s="118">
        <v>54</v>
      </c>
      <c r="L33" s="104" t="s">
        <v>19</v>
      </c>
      <c r="M33" s="427">
        <v>1</v>
      </c>
      <c r="N33" s="427">
        <v>1</v>
      </c>
      <c r="O33" s="427">
        <v>1</v>
      </c>
      <c r="P33" s="427">
        <v>1</v>
      </c>
      <c r="Q33" s="427">
        <v>1</v>
      </c>
      <c r="R33" s="427">
        <v>1</v>
      </c>
      <c r="S33" s="427">
        <v>1</v>
      </c>
      <c r="T33" s="427">
        <v>1</v>
      </c>
      <c r="U33" s="427">
        <v>1</v>
      </c>
      <c r="V33" s="428"/>
      <c r="W33" s="428"/>
      <c r="X33" s="173"/>
      <c r="Y33" s="441"/>
      <c r="Z33" s="401">
        <v>36.370689655172413</v>
      </c>
      <c r="AA33" s="401">
        <v>36.370689655172413</v>
      </c>
      <c r="AB33" s="444">
        <f t="shared" si="11"/>
        <v>8.25</v>
      </c>
      <c r="AC33" s="139"/>
      <c r="AD33" s="139"/>
      <c r="AE33" s="441"/>
      <c r="AF33" s="441"/>
      <c r="AG33" s="119">
        <f>+IFERROR(AG31/(K31*$AT$3),"")</f>
        <v>3.3733990147783253</v>
      </c>
      <c r="AH33" s="162"/>
      <c r="AI33" s="161"/>
      <c r="AJ33" s="161">
        <f t="shared" si="1"/>
        <v>0</v>
      </c>
      <c r="AK33" s="167">
        <f t="shared" si="2"/>
        <v>0</v>
      </c>
      <c r="AL33" s="167"/>
      <c r="AM33" s="230"/>
      <c r="AN33" s="342">
        <f>+$AM$4</f>
        <v>8.25</v>
      </c>
      <c r="AO33" s="340">
        <f>+IF(AN33=7.75,SUM(M33:S33)+T33*0.75,IF(AN33=8,SUM(M33:T33),IF(AN33=7.25,SUM(M33:S33)+T33*0.25,IF(AN33=8.25,SUM(M33:T33)+U33*0.25,IF(AN33=8.75,SUM(M33:T33)+U33*0.75,0)))))</f>
        <v>8.25</v>
      </c>
      <c r="AP33" s="167">
        <f>+AO33-AB33</f>
        <v>0</v>
      </c>
      <c r="AQ33" s="167"/>
      <c r="AR33" s="167"/>
      <c r="AS33" s="167"/>
      <c r="AT33" s="435"/>
      <c r="AU33" s="393"/>
      <c r="AW33" s="356">
        <v>3.3674876847290642</v>
      </c>
      <c r="AY33" s="356"/>
    </row>
    <row r="34" spans="2:63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77" t="s">
        <v>418</v>
      </c>
      <c r="H34" s="106"/>
      <c r="I34" s="111"/>
      <c r="J34" s="107" t="s">
        <v>20</v>
      </c>
      <c r="K34" s="108">
        <v>0</v>
      </c>
      <c r="L34" s="100" t="s">
        <v>21</v>
      </c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23"/>
      <c r="X34" s="135" t="str">
        <f t="shared" ref="X34" si="39">IF(AT35="","",SUM(M34:W34)-(-(AT35-SUM(M34:W34))/$AT$3)*SUM($M$2:$W$2))</f>
        <v/>
      </c>
      <c r="Y34" s="438"/>
      <c r="Z34" s="400">
        <v>0</v>
      </c>
      <c r="AA34" s="540">
        <f>+X36</f>
        <v>0</v>
      </c>
      <c r="AB34" s="135">
        <f t="shared" si="0"/>
        <v>0</v>
      </c>
      <c r="AC34" s="136">
        <f>+AD34+AB34</f>
        <v>4501</v>
      </c>
      <c r="AD34" s="136">
        <v>4501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3" s="98" customFormat="1" ht="62.25" customHeight="1" x14ac:dyDescent="0.9">
      <c r="B35" s="132">
        <v>6</v>
      </c>
      <c r="C35" s="371">
        <f>+B35</f>
        <v>6</v>
      </c>
      <c r="D35" s="372" t="s">
        <v>419</v>
      </c>
      <c r="E35" s="111"/>
      <c r="F35" s="111" t="s">
        <v>35</v>
      </c>
      <c r="G35" s="578" t="str">
        <f t="shared" ref="G35:G41" si="40">+G34</f>
        <v>2396-593-600</v>
      </c>
      <c r="H35" s="111"/>
      <c r="I35" s="111" t="s">
        <v>33</v>
      </c>
      <c r="J35" s="113">
        <v>35.26</v>
      </c>
      <c r="K35" s="130">
        <v>60</v>
      </c>
      <c r="L35" s="101" t="s">
        <v>17</v>
      </c>
      <c r="M35" s="214"/>
      <c r="N35" s="214"/>
      <c r="O35" s="214"/>
      <c r="P35" s="214"/>
      <c r="Q35" s="214"/>
      <c r="R35" s="214"/>
      <c r="S35" s="214"/>
      <c r="T35" s="214"/>
      <c r="U35" s="214"/>
      <c r="V35" s="424"/>
      <c r="W35" s="424"/>
      <c r="X35" s="123">
        <f t="shared" ref="X35" si="41">+IF(H36="s",0,IF(AB35=0,0,IF(COUNTA(M35:W35)=AN37+0.75,SUMIF($C:$C,B35,$AB:$AB)/AN37,SUMIF($C:$C,B35,$AB:$AB)/(COUNTA(M35:W35)))))</f>
        <v>0</v>
      </c>
      <c r="Y35" s="439"/>
      <c r="Z35" s="400"/>
      <c r="AA35" s="541"/>
      <c r="AB35" s="134">
        <f t="shared" si="0"/>
        <v>0</v>
      </c>
      <c r="AC35" s="137">
        <f>+AB35+AD35</f>
        <v>4498</v>
      </c>
      <c r="AD35" s="137">
        <v>4498</v>
      </c>
      <c r="AE35" s="439">
        <v>1</v>
      </c>
      <c r="AF35" s="439">
        <f>+AE35+Y35</f>
        <v>1</v>
      </c>
      <c r="AG35" s="140">
        <f>+AC34-AC35</f>
        <v>3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 t="str">
        <f t="shared" ref="AT35" si="42">IF(AU35=0,"",AW35-(($AT$3*K35)+($AT$3*K35)*AU35)+AB34)</f>
        <v/>
      </c>
      <c r="AU35" s="393"/>
      <c r="AW35" s="356">
        <v>3</v>
      </c>
      <c r="AY35" s="356">
        <f t="shared" ref="AY35" si="43">+AW35-AG35</f>
        <v>0</v>
      </c>
      <c r="BK35" s="137"/>
    </row>
    <row r="36" spans="2:63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78" t="str">
        <f t="shared" si="40"/>
        <v>2396-593-600</v>
      </c>
      <c r="H36" s="376" t="s">
        <v>434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 t="shared" ref="X36" si="44">+IF(H36="l",IF(COUNTA(M35:W35)=AN37+0.75,AB35-K35*AN37,AB35-(K35*COUNTA(M35:W35))),IF(H36="s",0,IF(COUNTA(M35:W35)=AN37+0.75,SUMIF($C:$C,B35,$AB:$AB)-K35*AN37,SUMIF($C:$C,B35,$AB:$AB)-K35*COUNTA(M35:W35))))</f>
        <v>0</v>
      </c>
      <c r="Y36" s="440"/>
      <c r="Z36" s="400"/>
      <c r="AA36" s="541"/>
      <c r="AB36" s="443">
        <f t="shared" ref="AB36" si="45">+SUM(M36:W36)-U36*0.75</f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3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79" t="str">
        <f t="shared" si="40"/>
        <v>2396-593-600</v>
      </c>
      <c r="H37" s="117"/>
      <c r="I37" s="397"/>
      <c r="J37" s="165">
        <f>+IF(K37="","",IF(K35=0,"",(K35*J35)/(K37*60)))</f>
        <v>0.90410256410256407</v>
      </c>
      <c r="K37" s="118">
        <v>39</v>
      </c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55.783333333333339</v>
      </c>
      <c r="AA37" s="168">
        <f>+IF(COUNTA(M35:W35)=$AM$4+0.25,$AM$4-(AB35/K35),COUNTA(M35:W35)-(AB35/K35))+Z37</f>
        <v>55.783333333333339</v>
      </c>
      <c r="AB37" s="444">
        <f t="shared" si="11"/>
        <v>0</v>
      </c>
      <c r="AC37" s="139"/>
      <c r="AD37" s="139"/>
      <c r="AE37" s="441"/>
      <c r="AF37" s="441"/>
      <c r="AG37" s="119">
        <f>+IFERROR(AG35/(K35*$AT$3),"")</f>
        <v>5.7142857142857143E-3</v>
      </c>
      <c r="AH37" s="162"/>
      <c r="AI37" s="161"/>
      <c r="AJ37" s="161"/>
      <c r="AK37" s="167"/>
      <c r="AL37" s="167"/>
      <c r="AM37" s="230"/>
      <c r="AN37" s="342">
        <f>+$AM$4</f>
        <v>8.25</v>
      </c>
      <c r="AO37" s="340"/>
      <c r="AP37" s="167"/>
      <c r="AQ37" s="167"/>
      <c r="AR37" s="167"/>
      <c r="AS37" s="167"/>
      <c r="AT37" s="435"/>
      <c r="AU37" s="393"/>
      <c r="AW37" s="356">
        <v>5.7142857142857143E-3</v>
      </c>
      <c r="AY37" s="356"/>
    </row>
    <row r="38" spans="2:63" s="98" customFormat="1" ht="62.25" customHeight="1" thickTop="1" x14ac:dyDescent="0.9">
      <c r="B38" s="97">
        <f>+B39</f>
        <v>6</v>
      </c>
      <c r="C38" s="370"/>
      <c r="D38" s="106"/>
      <c r="E38" s="106"/>
      <c r="F38" s="106"/>
      <c r="G38" s="577" t="s">
        <v>444</v>
      </c>
      <c r="H38" s="106"/>
      <c r="I38" s="111"/>
      <c r="J38" s="107" t="s">
        <v>20</v>
      </c>
      <c r="K38" s="108">
        <v>0</v>
      </c>
      <c r="L38" s="100" t="s">
        <v>21</v>
      </c>
      <c r="M38" s="423">
        <v>50</v>
      </c>
      <c r="N38" s="423">
        <v>50</v>
      </c>
      <c r="O38" s="423">
        <v>50</v>
      </c>
      <c r="P38" s="423">
        <v>50</v>
      </c>
      <c r="Q38" s="423">
        <v>50</v>
      </c>
      <c r="R38" s="423">
        <v>50</v>
      </c>
      <c r="S38" s="423"/>
      <c r="T38" s="423">
        <v>100</v>
      </c>
      <c r="U38" s="423"/>
      <c r="V38" s="423"/>
      <c r="W38" s="423"/>
      <c r="X38" s="135">
        <f t="shared" ref="X38" si="46">IF(AT39="","",SUM(M38:W38)-(-(AT39-SUM(M38:W38))/$AT$3)*SUM($M$2:$W$2))</f>
        <v>400</v>
      </c>
      <c r="Y38" s="438"/>
      <c r="Z38" s="400">
        <v>-75.5</v>
      </c>
      <c r="AA38" s="540">
        <f>+X40</f>
        <v>-65.5</v>
      </c>
      <c r="AB38" s="135">
        <f t="shared" si="0"/>
        <v>400</v>
      </c>
      <c r="AC38" s="136">
        <f>+AD38+AB38</f>
        <v>3351</v>
      </c>
      <c r="AD38" s="136">
        <v>2951</v>
      </c>
      <c r="AE38" s="438"/>
      <c r="AF38" s="438"/>
      <c r="AG38" s="109"/>
      <c r="AH38" s="110"/>
      <c r="AI38" s="157"/>
      <c r="AJ38" s="161"/>
      <c r="AK38" s="167"/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3" s="98" customFormat="1" ht="62.25" customHeight="1" x14ac:dyDescent="0.9">
      <c r="B39" s="132">
        <v>6</v>
      </c>
      <c r="C39" s="371">
        <f>+B39</f>
        <v>6</v>
      </c>
      <c r="D39" s="372" t="s">
        <v>443</v>
      </c>
      <c r="E39" s="111"/>
      <c r="F39" s="111" t="s">
        <v>35</v>
      </c>
      <c r="G39" s="578" t="str">
        <f t="shared" si="40"/>
        <v>2917-496-712</v>
      </c>
      <c r="H39" s="450">
        <v>7000</v>
      </c>
      <c r="I39" s="111" t="s">
        <v>33</v>
      </c>
      <c r="J39" s="113"/>
      <c r="K39" s="130">
        <v>50</v>
      </c>
      <c r="L39" s="101" t="s">
        <v>17</v>
      </c>
      <c r="M39" s="214">
        <v>30</v>
      </c>
      <c r="N39" s="214">
        <v>50</v>
      </c>
      <c r="O39" s="214">
        <v>50</v>
      </c>
      <c r="P39" s="214">
        <v>50</v>
      </c>
      <c r="Q39" s="214">
        <v>50</v>
      </c>
      <c r="R39" s="214">
        <v>50</v>
      </c>
      <c r="S39" s="214">
        <v>30</v>
      </c>
      <c r="T39" s="214">
        <v>30</v>
      </c>
      <c r="U39" s="214">
        <v>7</v>
      </c>
      <c r="V39" s="424"/>
      <c r="W39" s="424"/>
      <c r="X39" s="123">
        <f t="shared" ref="X39" si="47">+IF(H40="s",0,IF(AB39=0,0,IF(COUNTA(M39:W39)=AN41+0.75,SUMIF($C:$C,B39,$AB:$AB)/AN41,SUMIF($C:$C,B39,$AB:$AB)/(COUNTA(M39:W39)))))</f>
        <v>42.060606060606062</v>
      </c>
      <c r="Y39" s="439"/>
      <c r="Z39" s="400"/>
      <c r="AA39" s="541"/>
      <c r="AB39" s="134">
        <f t="shared" si="0"/>
        <v>347</v>
      </c>
      <c r="AC39" s="137">
        <f>+AB39+AD39</f>
        <v>1828</v>
      </c>
      <c r="AD39" s="137">
        <v>1481</v>
      </c>
      <c r="AE39" s="439"/>
      <c r="AF39" s="439">
        <f>+AE39+Y39</f>
        <v>0</v>
      </c>
      <c r="AG39" s="140">
        <f>+AC38-AC39</f>
        <v>1523</v>
      </c>
      <c r="AH39" s="131" t="str">
        <f>+IF(((AB40+(AB41/2))*60)=0,"",(J39*AB39)/((AB40+(AB41/2))*60))</f>
        <v/>
      </c>
      <c r="AI39" s="161"/>
      <c r="AJ39" s="161"/>
      <c r="AK39" s="167"/>
      <c r="AL39" s="167"/>
      <c r="AM39" s="230"/>
      <c r="AN39" s="339"/>
      <c r="AO39" s="340"/>
      <c r="AP39" s="167"/>
      <c r="AQ39" s="167"/>
      <c r="AR39" s="167"/>
      <c r="AS39" s="167"/>
      <c r="AT39" s="433">
        <f>-350+AB38</f>
        <v>50</v>
      </c>
      <c r="AU39" s="393">
        <v>1.5</v>
      </c>
      <c r="AW39" s="356">
        <v>1470</v>
      </c>
      <c r="AY39" s="356">
        <f t="shared" ref="AY39" si="48">+AW39-AG39</f>
        <v>-53</v>
      </c>
      <c r="BK39" s="137">
        <f>+AC38-H39</f>
        <v>-3649</v>
      </c>
    </row>
    <row r="40" spans="2:63" s="98" customFormat="1" ht="62.25" customHeight="1" x14ac:dyDescent="0.9">
      <c r="B40" s="125">
        <f>B39</f>
        <v>6</v>
      </c>
      <c r="C40" s="373"/>
      <c r="D40" s="184"/>
      <c r="E40" s="111">
        <f>+B39</f>
        <v>6</v>
      </c>
      <c r="F40" s="374"/>
      <c r="G40" s="578" t="str">
        <f t="shared" si="40"/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>
        <v>0</v>
      </c>
      <c r="K40" s="114" t="s">
        <v>22</v>
      </c>
      <c r="L40" s="102" t="s">
        <v>18</v>
      </c>
      <c r="M40" s="215"/>
      <c r="N40" s="215"/>
      <c r="O40" s="215"/>
      <c r="P40" s="215"/>
      <c r="Q40" s="215"/>
      <c r="R40" s="215"/>
      <c r="S40" s="215"/>
      <c r="T40" s="215"/>
      <c r="U40" s="215"/>
      <c r="V40" s="426"/>
      <c r="W40" s="426"/>
      <c r="X40" s="160">
        <f t="shared" ref="X40" si="49">+IF(H40="l",IF(COUNTA(M39:W39)=AN41+0.75,AB39-K39*AN41,AB39-(K39*COUNTA(M39:W39))),IF(H40="s",0,IF(COUNTA(M39:W39)=AN41+0.75,SUMIF($C:$C,B39,$AB:$AB)-K39*AN41,SUMIF($C:$C,B39,$AB:$AB)-K39*COUNTA(M39:W39))))</f>
        <v>-65.5</v>
      </c>
      <c r="Y40" s="440"/>
      <c r="Z40" s="400"/>
      <c r="AA40" s="541"/>
      <c r="AB40" s="443">
        <f t="shared" ref="AB40" si="50">+SUM(M40:W40)-U40*0.75</f>
        <v>0</v>
      </c>
      <c r="AC40" s="341"/>
      <c r="AD40" s="341"/>
      <c r="AE40" s="440"/>
      <c r="AF40" s="440"/>
      <c r="AG40" s="115"/>
      <c r="AH40" s="116"/>
      <c r="AI40" s="157"/>
      <c r="AJ40" s="161"/>
      <c r="AK40" s="167"/>
      <c r="AL40" s="167"/>
      <c r="AM40" s="230"/>
      <c r="AN40" s="339"/>
      <c r="AO40" s="340"/>
      <c r="AP40" s="167"/>
      <c r="AQ40" s="167"/>
      <c r="AR40" s="167"/>
      <c r="AS40" s="167"/>
      <c r="AT40" s="434"/>
      <c r="AU40" s="393"/>
      <c r="AW40" s="356"/>
      <c r="AY40" s="356"/>
    </row>
    <row r="41" spans="2:63" s="98" customFormat="1" ht="62.25" customHeight="1" thickBot="1" x14ac:dyDescent="0.95">
      <c r="B41" s="126">
        <f>B39</f>
        <v>6</v>
      </c>
      <c r="C41" s="375"/>
      <c r="D41" s="174" t="s">
        <v>93</v>
      </c>
      <c r="E41" s="175">
        <f>+E40+100</f>
        <v>106</v>
      </c>
      <c r="F41" s="175"/>
      <c r="G41" s="579" t="str">
        <f t="shared" si="40"/>
        <v>2917-496-712</v>
      </c>
      <c r="H41" s="117"/>
      <c r="I41" s="397"/>
      <c r="J41" s="165" t="str">
        <f>+IF(K41="","",IF(K39=0,"",(K39*J39)/(K41*60)))</f>
        <v/>
      </c>
      <c r="K41" s="118"/>
      <c r="L41" s="104" t="s">
        <v>19</v>
      </c>
      <c r="M41" s="427"/>
      <c r="N41" s="427"/>
      <c r="O41" s="427"/>
      <c r="P41" s="427"/>
      <c r="Q41" s="427"/>
      <c r="R41" s="427"/>
      <c r="S41" s="427"/>
      <c r="T41" s="427"/>
      <c r="U41" s="427"/>
      <c r="V41" s="428"/>
      <c r="W41" s="428"/>
      <c r="X41" s="173"/>
      <c r="Y41" s="441"/>
      <c r="Z41" s="401">
        <v>57.879999999999995</v>
      </c>
      <c r="AA41" s="168">
        <f>+IF(COUNTA(M39:W39)=$AM$4+0.25,$AM$4-(AB39/K39),COUNTA(M39:W39)-(AB39/K39))+Z41</f>
        <v>59.94</v>
      </c>
      <c r="AB41" s="444">
        <f t="shared" si="11"/>
        <v>0</v>
      </c>
      <c r="AC41" s="139"/>
      <c r="AD41" s="139"/>
      <c r="AE41" s="441"/>
      <c r="AF41" s="441"/>
      <c r="AG41" s="119">
        <f>+IFERROR(AG39/(K39*$AT$3),"")</f>
        <v>3.4811428571428573</v>
      </c>
      <c r="AH41" s="162"/>
      <c r="AI41" s="161"/>
      <c r="AJ41" s="161"/>
      <c r="AK41" s="167"/>
      <c r="AL41" s="167"/>
      <c r="AM41" s="230"/>
      <c r="AN41" s="342">
        <f>+$AM$4</f>
        <v>8.25</v>
      </c>
      <c r="AO41" s="340"/>
      <c r="AP41" s="167"/>
      <c r="AQ41" s="167"/>
      <c r="AR41" s="167"/>
      <c r="AS41" s="167"/>
      <c r="AT41" s="435"/>
      <c r="AU41" s="393"/>
      <c r="AW41" s="356">
        <v>3.36</v>
      </c>
      <c r="AY41" s="356"/>
    </row>
    <row r="42" spans="2:63" s="98" customFormat="1" ht="62.25" customHeight="1" thickTop="1" x14ac:dyDescent="0.9">
      <c r="B42" s="97">
        <f>+B43</f>
        <v>7</v>
      </c>
      <c r="C42" s="370"/>
      <c r="D42" s="106"/>
      <c r="E42" s="106"/>
      <c r="F42" s="106"/>
      <c r="G42" s="577" t="s">
        <v>444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50</v>
      </c>
      <c r="N42" s="423">
        <v>50</v>
      </c>
      <c r="O42" s="423">
        <v>50</v>
      </c>
      <c r="P42" s="423">
        <v>50</v>
      </c>
      <c r="Q42" s="423">
        <v>50</v>
      </c>
      <c r="R42" s="423">
        <v>50</v>
      </c>
      <c r="S42" s="423">
        <v>51</v>
      </c>
      <c r="T42" s="423">
        <v>50</v>
      </c>
      <c r="U42" s="423"/>
      <c r="V42" s="423"/>
      <c r="W42" s="423"/>
      <c r="X42" s="135">
        <f t="shared" ref="X42" si="51">IF(AT43="","",SUM(M42:W42)-(-(AT43-SUM(M42:W42))/$AT$3)*SUM($M$2:$W$2))</f>
        <v>401</v>
      </c>
      <c r="Y42" s="438"/>
      <c r="Z42" s="400">
        <v>-162.5</v>
      </c>
      <c r="AA42" s="540">
        <f>+X44</f>
        <v>-145</v>
      </c>
      <c r="AB42" s="135">
        <f t="shared" si="0"/>
        <v>401</v>
      </c>
      <c r="AC42" s="136">
        <f>+AD42+AB42</f>
        <v>1701</v>
      </c>
      <c r="AD42" s="136">
        <v>1300</v>
      </c>
      <c r="AE42" s="438"/>
      <c r="AF42" s="438"/>
      <c r="AG42" s="109"/>
      <c r="AH42" s="110"/>
      <c r="AI42" s="157"/>
      <c r="AJ42" s="161">
        <f t="shared" si="1"/>
        <v>0</v>
      </c>
      <c r="AK42" s="167">
        <f t="shared" si="2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3" s="98" customFormat="1" ht="62.25" customHeight="1" x14ac:dyDescent="1.35">
      <c r="B43" s="132">
        <v>7</v>
      </c>
      <c r="C43" s="371">
        <f>+B43</f>
        <v>7</v>
      </c>
      <c r="D43" s="372" t="s">
        <v>443</v>
      </c>
      <c r="E43" s="111"/>
      <c r="F43" s="111" t="s">
        <v>35</v>
      </c>
      <c r="G43" s="578" t="str">
        <f>+G42</f>
        <v>2917-496-712</v>
      </c>
      <c r="H43" s="450">
        <v>7000</v>
      </c>
      <c r="I43" s="111" t="s">
        <v>33</v>
      </c>
      <c r="J43" s="113">
        <v>38.380000000000003</v>
      </c>
      <c r="K43" s="130">
        <v>60</v>
      </c>
      <c r="L43" s="101" t="s">
        <v>17</v>
      </c>
      <c r="M43" s="214">
        <v>45</v>
      </c>
      <c r="N43" s="214">
        <v>45</v>
      </c>
      <c r="O43" s="214">
        <v>50</v>
      </c>
      <c r="P43" s="214">
        <v>40</v>
      </c>
      <c r="Q43" s="214">
        <v>50</v>
      </c>
      <c r="R43" s="214">
        <v>40</v>
      </c>
      <c r="S43" s="214">
        <v>40</v>
      </c>
      <c r="T43" s="214">
        <v>30</v>
      </c>
      <c r="U43" s="214">
        <v>10</v>
      </c>
      <c r="V43" s="424"/>
      <c r="W43" s="424"/>
      <c r="X43" s="123">
        <f t="shared" ref="X43" si="52">+IF(H44="s",0,IF(AB43=0,0,IF(COUNTA(M43:W43)=AN45+0.75,SUMIF($C:$C,B43,$AB:$AB)/AN45,SUMIF($C:$C,B43,$AB:$AB)/(COUNTA(M43:W43)))))</f>
        <v>42.424242424242422</v>
      </c>
      <c r="Y43" s="439"/>
      <c r="Z43" s="400"/>
      <c r="AA43" s="541"/>
      <c r="AB43" s="134">
        <f t="shared" si="0"/>
        <v>350</v>
      </c>
      <c r="AC43" s="137">
        <f>+AB43+AD43</f>
        <v>750</v>
      </c>
      <c r="AD43" s="137">
        <v>400</v>
      </c>
      <c r="AE43" s="439">
        <v>0</v>
      </c>
      <c r="AF43" s="439">
        <f>+AE43+Y43</f>
        <v>0</v>
      </c>
      <c r="AG43" s="140">
        <f>+AC42-AC43</f>
        <v>951</v>
      </c>
      <c r="AH43" s="131">
        <f>+IF(((AB44+(AB45/2))*60)=0,"",(J43*AB43)/((AB44+(AB45/2))*60))</f>
        <v>0.55953347912110796</v>
      </c>
      <c r="AI43" s="161">
        <f>+AB44+AB45/2</f>
        <v>400.125</v>
      </c>
      <c r="AJ43" s="161">
        <f t="shared" si="1"/>
        <v>400.07499999999999</v>
      </c>
      <c r="AK43" s="167">
        <f t="shared" si="2"/>
        <v>24007.5</v>
      </c>
      <c r="AL43" s="167">
        <f>+AB43*J43</f>
        <v>13433</v>
      </c>
      <c r="AM43" s="230">
        <f>+AB43-(AI43*K43/K45)</f>
        <v>-139.94897959183675</v>
      </c>
      <c r="AN43" s="339"/>
      <c r="AO43" s="340"/>
      <c r="AP43" s="167"/>
      <c r="AQ43" s="167"/>
      <c r="AR43" s="167"/>
      <c r="AS43" s="167"/>
      <c r="AT43" s="433">
        <f>-350+AB42</f>
        <v>51</v>
      </c>
      <c r="AU43" s="393">
        <v>1.5</v>
      </c>
      <c r="AW43" s="356">
        <v>900</v>
      </c>
      <c r="AY43" s="356">
        <f t="shared" ref="AY43" si="53">+AW43-AG43</f>
        <v>-51</v>
      </c>
      <c r="AZ43" s="581"/>
      <c r="BA43" s="581"/>
      <c r="BB43" s="581"/>
      <c r="BC43" s="581"/>
      <c r="BD43" s="581"/>
      <c r="BE43" s="581"/>
      <c r="BF43" s="581"/>
      <c r="BG43" s="581"/>
      <c r="BH43" s="581"/>
      <c r="BI43" s="581"/>
      <c r="BK43" s="137">
        <f>+AC42-H43</f>
        <v>-5299</v>
      </c>
    </row>
    <row r="44" spans="2:63" s="98" customFormat="1" ht="62.25" customHeight="1" x14ac:dyDescent="0.9">
      <c r="B44" s="125">
        <f>B43</f>
        <v>7</v>
      </c>
      <c r="C44" s="373"/>
      <c r="D44" s="184"/>
      <c r="E44" s="111">
        <f>+B43</f>
        <v>7</v>
      </c>
      <c r="F44" s="374"/>
      <c r="G44" s="578" t="str">
        <f>+G42</f>
        <v>2917-496-712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48</v>
      </c>
      <c r="N44" s="425">
        <v>48</v>
      </c>
      <c r="O44" s="425">
        <v>48</v>
      </c>
      <c r="P44" s="425">
        <v>48</v>
      </c>
      <c r="Q44" s="425">
        <v>48</v>
      </c>
      <c r="R44" s="425">
        <v>48</v>
      </c>
      <c r="S44" s="425">
        <v>48</v>
      </c>
      <c r="T44" s="425">
        <v>48</v>
      </c>
      <c r="U44" s="425">
        <v>48</v>
      </c>
      <c r="V44" s="426"/>
      <c r="W44" s="426"/>
      <c r="X44" s="160">
        <f t="shared" ref="X44" si="54">+IF(H44="l",IF(COUNTA(M43:W43)=AN45+0.75,AB43-K43*AN45,AB43-(K43*COUNTA(M43:W43))),IF(H44="s",0,IF(COUNTA(M43:W43)=AN45+0.75,SUMIF($C:$C,B43,$AB:$AB)-K43*AN45,SUMIF($C:$C,B43,$AB:$AB)-K43*COUNTA(M43:W43))))</f>
        <v>-145</v>
      </c>
      <c r="Y44" s="440"/>
      <c r="Z44" s="400"/>
      <c r="AA44" s="541"/>
      <c r="AB44" s="443">
        <f t="shared" ref="AB44" si="55">+SUM(M44:W44)-U44*0.75</f>
        <v>396</v>
      </c>
      <c r="AC44" s="341"/>
      <c r="AD44" s="341"/>
      <c r="AE44" s="440"/>
      <c r="AF44" s="440"/>
      <c r="AG44" s="115"/>
      <c r="AH44" s="116"/>
      <c r="AI44" s="157"/>
      <c r="AJ44" s="161">
        <f t="shared" si="1"/>
        <v>0</v>
      </c>
      <c r="AK44" s="167">
        <f t="shared" si="2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396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3" s="98" customFormat="1" ht="62.25" customHeight="1" thickBot="1" x14ac:dyDescent="0.95">
      <c r="B45" s="129">
        <f>B43</f>
        <v>7</v>
      </c>
      <c r="C45" s="375"/>
      <c r="D45" s="174" t="s">
        <v>93</v>
      </c>
      <c r="E45" s="175">
        <f>+E44+100</f>
        <v>107</v>
      </c>
      <c r="F45" s="175"/>
      <c r="G45" s="579" t="str">
        <f>+G42</f>
        <v>2917-496-712</v>
      </c>
      <c r="H45" s="117"/>
      <c r="I45" s="397"/>
      <c r="J45" s="165">
        <v>0.91625000000000001</v>
      </c>
      <c r="K45" s="118">
        <v>49</v>
      </c>
      <c r="L45" s="104" t="s">
        <v>19</v>
      </c>
      <c r="M45" s="427">
        <v>1</v>
      </c>
      <c r="N45" s="427">
        <v>1</v>
      </c>
      <c r="O45" s="427">
        <v>1</v>
      </c>
      <c r="P45" s="427">
        <v>1</v>
      </c>
      <c r="Q45" s="427">
        <v>1</v>
      </c>
      <c r="R45" s="427">
        <v>1</v>
      </c>
      <c r="S45" s="427">
        <v>1</v>
      </c>
      <c r="T45" s="427">
        <v>1</v>
      </c>
      <c r="U45" s="427">
        <v>1</v>
      </c>
      <c r="V45" s="428"/>
      <c r="W45" s="428"/>
      <c r="X45" s="173"/>
      <c r="Y45" s="441"/>
      <c r="Z45" s="401">
        <v>16.93</v>
      </c>
      <c r="AA45" s="168">
        <f>+IF(COUNTA(M43:W43)=$AM$4+0.25,$AM$4-(AB43/K43),COUNTA(M43:W43)-(AB43/K43))+Z45</f>
        <v>20.096666666666668</v>
      </c>
      <c r="AB45" s="444">
        <f t="shared" si="11"/>
        <v>8.25</v>
      </c>
      <c r="AC45" s="139"/>
      <c r="AD45" s="139"/>
      <c r="AE45" s="441"/>
      <c r="AF45" s="441"/>
      <c r="AG45" s="119">
        <f>+IFERROR(AG43/(K43*$AT$3),"")</f>
        <v>1.8114285714285714</v>
      </c>
      <c r="AH45" s="162"/>
      <c r="AI45" s="161"/>
      <c r="AJ45" s="161">
        <f t="shared" si="1"/>
        <v>0</v>
      </c>
      <c r="AK45" s="167">
        <f t="shared" si="2"/>
        <v>0</v>
      </c>
      <c r="AL45" s="167"/>
      <c r="AM45" s="230"/>
      <c r="AN45" s="342">
        <f>+$AM$4</f>
        <v>8.25</v>
      </c>
      <c r="AO45" s="340">
        <f>+IF(AN45=7.75,SUM(M45:S45)+T45*0.75,IF(AN45=8,SUM(M45:T45),IF(AN45=7.25,SUM(M45:S45)+T45*0.25,IF(AN45=8.25,SUM(M45:T45)+U45*0.25,IF(AN45=8.75,SUM(M45:T45)+U45*0.75,0)))))</f>
        <v>8.25</v>
      </c>
      <c r="AP45" s="167">
        <f>+AO45-AB45</f>
        <v>0</v>
      </c>
      <c r="AQ45" s="167"/>
      <c r="AR45" s="167"/>
      <c r="AS45" s="167"/>
      <c r="AT45" s="435"/>
      <c r="AU45" s="393"/>
      <c r="AW45" s="356">
        <v>2.0571428571428569</v>
      </c>
      <c r="AY45" s="356"/>
    </row>
    <row r="46" spans="2:63" s="98" customFormat="1" ht="62.25" customHeight="1" thickTop="1" x14ac:dyDescent="0.9">
      <c r="B46" s="97">
        <f>+B47</f>
        <v>8</v>
      </c>
      <c r="C46" s="370"/>
      <c r="D46" s="106"/>
      <c r="E46" s="106"/>
      <c r="F46" s="106"/>
      <c r="G46" s="582" t="s">
        <v>442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100</v>
      </c>
      <c r="N46" s="423">
        <v>100</v>
      </c>
      <c r="O46" s="423">
        <v>100</v>
      </c>
      <c r="P46" s="423">
        <v>50</v>
      </c>
      <c r="Q46" s="423">
        <v>50</v>
      </c>
      <c r="R46" s="423">
        <v>50</v>
      </c>
      <c r="S46" s="423">
        <v>50</v>
      </c>
      <c r="T46" s="423"/>
      <c r="U46" s="423"/>
      <c r="V46" s="423"/>
      <c r="W46" s="423"/>
      <c r="X46" s="135">
        <f t="shared" ref="X46" si="56">IF(AT47="","",SUM(M46:W46)-(-(AT47-SUM(M46:W46))/$AT$3)*SUM($M$2:$W$2))</f>
        <v>500</v>
      </c>
      <c r="Y46" s="438"/>
      <c r="Z46" s="400">
        <v>0.5</v>
      </c>
      <c r="AA46" s="540">
        <f>+X48</f>
        <v>0.5</v>
      </c>
      <c r="AB46" s="135">
        <f t="shared" si="0"/>
        <v>500</v>
      </c>
      <c r="AC46" s="136">
        <f>+AD46+AB46</f>
        <v>4585</v>
      </c>
      <c r="AD46" s="136">
        <v>4085</v>
      </c>
      <c r="AE46" s="438"/>
      <c r="AF46" s="438"/>
      <c r="AG46" s="109"/>
      <c r="AH46" s="110"/>
      <c r="AI46" s="157"/>
      <c r="AJ46" s="161">
        <f t="shared" si="1"/>
        <v>0</v>
      </c>
      <c r="AK46" s="167">
        <f t="shared" si="2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3" s="98" customFormat="1" ht="62.25" customHeight="1" x14ac:dyDescent="0.9">
      <c r="B47" s="132">
        <v>8</v>
      </c>
      <c r="C47" s="371">
        <f>+B47</f>
        <v>8</v>
      </c>
      <c r="D47" s="372" t="s">
        <v>441</v>
      </c>
      <c r="E47" s="111"/>
      <c r="F47" s="111" t="s">
        <v>35</v>
      </c>
      <c r="G47" s="582" t="str">
        <f>+G46</f>
        <v>7741-793-052</v>
      </c>
      <c r="H47" s="450">
        <v>11500</v>
      </c>
      <c r="I47" s="111" t="s">
        <v>33</v>
      </c>
      <c r="J47" s="113">
        <v>55.14</v>
      </c>
      <c r="K47" s="130">
        <v>46</v>
      </c>
      <c r="L47" s="101" t="s">
        <v>17</v>
      </c>
      <c r="M47" s="214">
        <v>46</v>
      </c>
      <c r="N47" s="214">
        <v>46</v>
      </c>
      <c r="O47" s="214">
        <v>46</v>
      </c>
      <c r="P47" s="214">
        <v>46</v>
      </c>
      <c r="Q47" s="214">
        <v>46</v>
      </c>
      <c r="R47" s="214">
        <v>46</v>
      </c>
      <c r="S47" s="214">
        <v>46</v>
      </c>
      <c r="T47" s="214">
        <v>46</v>
      </c>
      <c r="U47" s="214">
        <v>12</v>
      </c>
      <c r="V47" s="424"/>
      <c r="W47" s="424"/>
      <c r="X47" s="123">
        <f t="shared" ref="X47" si="57">+IF(H48="s",0,IF(AB47=0,0,IF(COUNTA(M47:W47)=AN49+0.75,SUMIF($C:$C,B47,$AB:$AB)/AN49,SUMIF($C:$C,B47,$AB:$AB)/(COUNTA(M47:W47)))))</f>
        <v>46.060606060606062</v>
      </c>
      <c r="Y47" s="439"/>
      <c r="Z47" s="400"/>
      <c r="AA47" s="541"/>
      <c r="AB47" s="134">
        <f t="shared" si="0"/>
        <v>380</v>
      </c>
      <c r="AC47" s="137">
        <f>+AB47+AD47</f>
        <v>3338</v>
      </c>
      <c r="AD47" s="137">
        <v>2958</v>
      </c>
      <c r="AE47" s="439">
        <v>0</v>
      </c>
      <c r="AF47" s="439">
        <f>+AE47+Y47</f>
        <v>0</v>
      </c>
      <c r="AG47" s="140">
        <f>+AC46-AC47</f>
        <v>1247</v>
      </c>
      <c r="AH47" s="131">
        <f>+IF(((AB48+(AB49/2))*60)=0,"",(J47*AB47)/((AB48+(AB49/2))*60))</f>
        <v>0.87277725710715404</v>
      </c>
      <c r="AI47" s="161">
        <f>+AB48+AB49/2</f>
        <v>400.125</v>
      </c>
      <c r="AJ47" s="161">
        <f t="shared" si="1"/>
        <v>400.07499999999999</v>
      </c>
      <c r="AK47" s="167">
        <f t="shared" si="2"/>
        <v>24007.5</v>
      </c>
      <c r="AL47" s="167">
        <f>+AB47*J47</f>
        <v>20953.2</v>
      </c>
      <c r="AM47" s="230">
        <f>+AB47-(AI47*K47/K49)</f>
        <v>4.3724489795918089</v>
      </c>
      <c r="AN47" s="339"/>
      <c r="AO47" s="340"/>
      <c r="AP47" s="167"/>
      <c r="AQ47" s="167"/>
      <c r="AR47" s="167"/>
      <c r="AS47" s="167"/>
      <c r="AT47" s="433">
        <f t="shared" ref="AT47" si="58">IF(AU47=0,"",AW47-(($AT$3*K47)+($AT$3*K47)*AU47)+AB46)</f>
        <v>117.625</v>
      </c>
      <c r="AU47" s="393">
        <v>2.75</v>
      </c>
      <c r="AW47" s="356">
        <v>1127</v>
      </c>
      <c r="AY47" s="356">
        <f t="shared" ref="AY47" si="59">+AW47-AG47</f>
        <v>-120</v>
      </c>
      <c r="BK47" s="137">
        <f>+AC46-H47</f>
        <v>-6915</v>
      </c>
    </row>
    <row r="48" spans="2:63" s="98" customFormat="1" ht="62.25" customHeight="1" x14ac:dyDescent="0.9">
      <c r="B48" s="125">
        <f>+B47</f>
        <v>8</v>
      </c>
      <c r="C48" s="373"/>
      <c r="D48" s="184"/>
      <c r="E48" s="111">
        <f>+B47</f>
        <v>8</v>
      </c>
      <c r="F48" s="374"/>
      <c r="G48" s="582" t="str">
        <f>+G47</f>
        <v>7741-793-052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48</v>
      </c>
      <c r="N48" s="425">
        <v>48</v>
      </c>
      <c r="O48" s="425">
        <v>48</v>
      </c>
      <c r="P48" s="425">
        <v>48</v>
      </c>
      <c r="Q48" s="425">
        <v>48</v>
      </c>
      <c r="R48" s="425">
        <v>48</v>
      </c>
      <c r="S48" s="425">
        <v>48</v>
      </c>
      <c r="T48" s="425">
        <v>48</v>
      </c>
      <c r="U48" s="425">
        <v>48</v>
      </c>
      <c r="V48" s="426"/>
      <c r="W48" s="426"/>
      <c r="X48" s="160">
        <f t="shared" ref="X48" si="60">+IF(H48="l",IF(COUNTA(M47:W47)=AN49+0.75,AB47-K47*AN49,AB47-(K47*COUNTA(M47:W47))),IF(H48="s",0,IF(COUNTA(M47:W47)=AN49+0.75,SUMIF($C:$C,B47,$AB:$AB)-K47*AN49,SUMIF($C:$C,B47,$AB:$AB)-K47*COUNTA(M47:W47))))</f>
        <v>0.5</v>
      </c>
      <c r="Y48" s="440"/>
      <c r="Z48" s="400"/>
      <c r="AA48" s="541"/>
      <c r="AB48" s="443">
        <f t="shared" ref="AB48" si="61">+SUM(M48:W48)-U48*0.75</f>
        <v>396</v>
      </c>
      <c r="AC48" s="341"/>
      <c r="AD48" s="341"/>
      <c r="AE48" s="440"/>
      <c r="AF48" s="440"/>
      <c r="AG48" s="115"/>
      <c r="AH48" s="116"/>
      <c r="AI48" s="157"/>
      <c r="AJ48" s="161">
        <f t="shared" si="1"/>
        <v>0</v>
      </c>
      <c r="AK48" s="167">
        <f t="shared" si="2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396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63" s="98" customFormat="1" ht="62.25" customHeight="1" thickBot="1" x14ac:dyDescent="0.95">
      <c r="B49" s="126">
        <f>+B47</f>
        <v>8</v>
      </c>
      <c r="C49" s="375"/>
      <c r="D49" s="174" t="s">
        <v>373</v>
      </c>
      <c r="E49" s="175">
        <f>+E48+100</f>
        <v>108</v>
      </c>
      <c r="F49" s="175"/>
      <c r="G49" s="582" t="str">
        <f>+G48</f>
        <v>7741-793-052</v>
      </c>
      <c r="H49" s="117"/>
      <c r="I49" s="397"/>
      <c r="J49" s="165">
        <f>+IF(K49="","",IF(K47=0,"",(K47*J47)/(K49*60)))</f>
        <v>0.86273469387755108</v>
      </c>
      <c r="K49" s="118">
        <v>49</v>
      </c>
      <c r="L49" s="104" t="s">
        <v>19</v>
      </c>
      <c r="M49" s="427">
        <v>1</v>
      </c>
      <c r="N49" s="427">
        <v>1</v>
      </c>
      <c r="O49" s="427">
        <v>1</v>
      </c>
      <c r="P49" s="427">
        <v>1</v>
      </c>
      <c r="Q49" s="427">
        <v>1</v>
      </c>
      <c r="R49" s="427">
        <v>1</v>
      </c>
      <c r="S49" s="427">
        <v>1</v>
      </c>
      <c r="T49" s="427">
        <v>1</v>
      </c>
      <c r="U49" s="427">
        <v>1</v>
      </c>
      <c r="V49" s="428"/>
      <c r="W49" s="428"/>
      <c r="X49" s="173"/>
      <c r="Y49" s="441"/>
      <c r="Z49" s="401">
        <v>24.299090909090911</v>
      </c>
      <c r="AA49" s="169">
        <v>24.299090909090911</v>
      </c>
      <c r="AB49" s="444">
        <f t="shared" si="11"/>
        <v>8.25</v>
      </c>
      <c r="AC49" s="139"/>
      <c r="AD49" s="139"/>
      <c r="AE49" s="441"/>
      <c r="AF49" s="441"/>
      <c r="AG49" s="119">
        <f>+IFERROR(AG47/(K47*$AT$3),"")</f>
        <v>3.0981366459627329</v>
      </c>
      <c r="AH49" s="162"/>
      <c r="AI49" s="161"/>
      <c r="AJ49" s="161">
        <f t="shared" si="1"/>
        <v>0</v>
      </c>
      <c r="AK49" s="167">
        <f t="shared" si="2"/>
        <v>0</v>
      </c>
      <c r="AL49" s="167"/>
      <c r="AM49" s="230"/>
      <c r="AN49" s="342">
        <f>+$AM$4</f>
        <v>8.25</v>
      </c>
      <c r="AO49" s="340">
        <f>+IF(AN49=7.75,SUM(M49:S49)+T49*0.75,IF(AN49=8,SUM(M49:T49),IF(AN49=7.25,SUM(M49:S49)+T49*0.25,IF(AN49=8.25,SUM(M49:T49)+U49*0.25,IF(AN49=8.75,SUM(M49:T49)+U49*0.75,0)))))</f>
        <v>8.25</v>
      </c>
      <c r="AP49" s="167">
        <f>+AO49-AB49</f>
        <v>0</v>
      </c>
      <c r="AQ49" s="167"/>
      <c r="AR49" s="167"/>
      <c r="AS49" s="167"/>
      <c r="AT49" s="435"/>
      <c r="AU49" s="393"/>
      <c r="AW49" s="356">
        <v>2.8</v>
      </c>
      <c r="AY49" s="356"/>
    </row>
    <row r="50" spans="2:63" s="98" customFormat="1" ht="62.25" customHeight="1" thickTop="1" x14ac:dyDescent="0.9">
      <c r="B50" s="97">
        <f>+B51</f>
        <v>11</v>
      </c>
      <c r="C50" s="370"/>
      <c r="D50" s="106"/>
      <c r="E50" s="106"/>
      <c r="F50" s="106"/>
      <c r="G50" s="577" t="s">
        <v>428</v>
      </c>
      <c r="H50" s="106"/>
      <c r="I50" s="106"/>
      <c r="J50" s="107" t="s">
        <v>20</v>
      </c>
      <c r="K50" s="108" t="s">
        <v>23</v>
      </c>
      <c r="L50" s="100" t="s">
        <v>21</v>
      </c>
      <c r="M50" s="423">
        <v>150</v>
      </c>
      <c r="N50" s="423">
        <v>150</v>
      </c>
      <c r="O50" s="423">
        <v>75</v>
      </c>
      <c r="P50" s="423"/>
      <c r="Q50" s="423">
        <v>75</v>
      </c>
      <c r="R50" s="423">
        <v>75</v>
      </c>
      <c r="S50" s="423">
        <v>75</v>
      </c>
      <c r="T50" s="423"/>
      <c r="U50" s="423"/>
      <c r="V50" s="423"/>
      <c r="W50" s="423"/>
      <c r="X50" s="135">
        <f t="shared" ref="X50" si="62">IF(AT51="","",SUM(M50:W50)-(-(AT51-SUM(M50:W50))/$AT$3)*SUM($M$2:$W$2))</f>
        <v>600</v>
      </c>
      <c r="Y50" s="438"/>
      <c r="Z50" s="400">
        <v>-82.75</v>
      </c>
      <c r="AA50" s="540">
        <f>+X52</f>
        <v>-53.25</v>
      </c>
      <c r="AB50" s="135">
        <f t="shared" si="0"/>
        <v>600</v>
      </c>
      <c r="AC50" s="136">
        <f>+AD50+AB50</f>
        <v>9293</v>
      </c>
      <c r="AD50" s="136">
        <v>8693</v>
      </c>
      <c r="AE50" s="438"/>
      <c r="AF50" s="438"/>
      <c r="AG50" s="109"/>
      <c r="AH50" s="110"/>
      <c r="AI50" s="157"/>
      <c r="AJ50" s="161">
        <f t="shared" si="1"/>
        <v>0</v>
      </c>
      <c r="AK50" s="167">
        <f t="shared" si="2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63" s="98" customFormat="1" ht="62.25" customHeight="1" x14ac:dyDescent="0.9">
      <c r="B51" s="132">
        <v>11</v>
      </c>
      <c r="C51" s="371">
        <v>11</v>
      </c>
      <c r="D51" s="372" t="s">
        <v>427</v>
      </c>
      <c r="E51" s="111"/>
      <c r="F51" s="111" t="s">
        <v>426</v>
      </c>
      <c r="G51" s="578" t="str">
        <f>+G50</f>
        <v>NUDIE-301580</v>
      </c>
      <c r="H51" s="450">
        <v>10450</v>
      </c>
      <c r="I51" s="111" t="s">
        <v>425</v>
      </c>
      <c r="J51" s="113">
        <v>44.17</v>
      </c>
      <c r="K51" s="130">
        <v>65</v>
      </c>
      <c r="L51" s="101" t="s">
        <v>17</v>
      </c>
      <c r="M51" s="214">
        <v>65</v>
      </c>
      <c r="N51" s="214">
        <v>65</v>
      </c>
      <c r="O51" s="214">
        <v>56</v>
      </c>
      <c r="P51" s="214">
        <v>65</v>
      </c>
      <c r="Q51" s="214">
        <v>61</v>
      </c>
      <c r="R51" s="214">
        <v>60</v>
      </c>
      <c r="S51" s="214">
        <v>60</v>
      </c>
      <c r="T51" s="214">
        <v>36</v>
      </c>
      <c r="U51" s="214">
        <v>15</v>
      </c>
      <c r="V51" s="214"/>
      <c r="W51" s="424"/>
      <c r="X51" s="123">
        <f t="shared" ref="X51" si="63">+IF(H52="s",0,IF(AB51=0,0,IF(COUNTA(M51:W51)=AN53+0.75,SUMIF($C:$C,B51,$AB:$AB)/AN53,SUMIF($C:$C,B51,$AB:$AB)/(COUNTA(M51:W51)))))</f>
        <v>58.545454545454547</v>
      </c>
      <c r="Y51" s="439"/>
      <c r="Z51" s="400"/>
      <c r="AA51" s="541"/>
      <c r="AB51" s="134">
        <f t="shared" si="0"/>
        <v>483</v>
      </c>
      <c r="AC51" s="137">
        <f>+AB51+AD51</f>
        <v>8252</v>
      </c>
      <c r="AD51" s="137">
        <v>7769</v>
      </c>
      <c r="AE51" s="439">
        <v>0</v>
      </c>
      <c r="AF51" s="439">
        <f>+AE51+Y51</f>
        <v>0</v>
      </c>
      <c r="AG51" s="140">
        <f>+AC50-AC51</f>
        <v>1041</v>
      </c>
      <c r="AH51" s="131">
        <f>+IF(((AB52+(AB53/2))*60)=0,"",(J51*AB51)/((AB52+(AB53/2))*60))</f>
        <v>0.82093737373737374</v>
      </c>
      <c r="AI51" s="161">
        <f>+AB52+AB53/2</f>
        <v>433.125</v>
      </c>
      <c r="AJ51" s="161">
        <f t="shared" si="1"/>
        <v>433.07499999999999</v>
      </c>
      <c r="AK51" s="167">
        <f t="shared" si="2"/>
        <v>25987.5</v>
      </c>
      <c r="AL51" s="167">
        <f>+AB51*J51</f>
        <v>21334.11</v>
      </c>
      <c r="AM51" s="230">
        <f>+AB51-(AI51*K51/K53)</f>
        <v>-38.354166666666629</v>
      </c>
      <c r="AN51" s="339"/>
      <c r="AO51" s="340"/>
      <c r="AP51" s="167"/>
      <c r="AQ51" s="167"/>
      <c r="AR51" s="167"/>
      <c r="AS51" s="167"/>
      <c r="AT51" s="433">
        <f t="shared" ref="AT51" si="64">IF(AU51=0,"",AW51-(($AT$3*K51)+($AT$3*K51)*AU51)+AB50)</f>
        <v>-0.25</v>
      </c>
      <c r="AU51" s="393">
        <v>1.68</v>
      </c>
      <c r="AW51" s="356">
        <v>924</v>
      </c>
      <c r="AY51" s="356">
        <f t="shared" ref="AY51" si="65">+AW51-AG51</f>
        <v>-117</v>
      </c>
      <c r="BK51" s="137">
        <f>+AC50-H51</f>
        <v>-1157</v>
      </c>
    </row>
    <row r="52" spans="2:63" s="98" customFormat="1" ht="62.25" customHeight="1" x14ac:dyDescent="0.9">
      <c r="B52" s="125">
        <f>+B51</f>
        <v>11</v>
      </c>
      <c r="C52" s="373"/>
      <c r="D52" s="184"/>
      <c r="E52" s="111">
        <f>+B51</f>
        <v>11</v>
      </c>
      <c r="F52" s="374"/>
      <c r="G52" s="578" t="str">
        <f>+G51</f>
        <v>NUDIE-301580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52</v>
      </c>
      <c r="N52" s="425">
        <v>52</v>
      </c>
      <c r="O52" s="425">
        <v>52</v>
      </c>
      <c r="P52" s="425">
        <v>52</v>
      </c>
      <c r="Q52" s="425">
        <v>52</v>
      </c>
      <c r="R52" s="425">
        <v>52</v>
      </c>
      <c r="S52" s="425">
        <v>52</v>
      </c>
      <c r="T52" s="425">
        <v>52</v>
      </c>
      <c r="U52" s="425">
        <v>52</v>
      </c>
      <c r="V52" s="425"/>
      <c r="W52" s="426"/>
      <c r="X52" s="160">
        <f t="shared" ref="X52" si="66">+IF(H52="l",IF(COUNTA(M51:W51)=AN53+0.75,AB51-K51*AN53,AB51-(K51*COUNTA(M51:W51))),IF(H52="s",0,IF(COUNTA(M51:W51)=AN53+0.75,SUMIF($C:$C,B51,$AB:$AB)-K51*AN53,SUMIF($C:$C,B51,$AB:$AB)-K51*COUNTA(M51:W51))))</f>
        <v>-53.25</v>
      </c>
      <c r="Y52" s="440"/>
      <c r="Z52" s="400"/>
      <c r="AA52" s="541"/>
      <c r="AB52" s="443">
        <f t="shared" ref="AB52" si="67">+SUM(M52:W52)-U52*0.75</f>
        <v>429</v>
      </c>
      <c r="AC52" s="341"/>
      <c r="AD52" s="341"/>
      <c r="AE52" s="440"/>
      <c r="AF52" s="440"/>
      <c r="AG52" s="115"/>
      <c r="AH52" s="116"/>
      <c r="AI52" s="157"/>
      <c r="AJ52" s="161">
        <f t="shared" si="1"/>
        <v>0</v>
      </c>
      <c r="AK52" s="167">
        <f t="shared" si="2"/>
        <v>0</v>
      </c>
      <c r="AL52" s="167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429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63" s="98" customFormat="1" ht="62.25" customHeight="1" thickBot="1" x14ac:dyDescent="0.95">
      <c r="B53" s="126">
        <f>+B51</f>
        <v>11</v>
      </c>
      <c r="C53" s="375"/>
      <c r="D53" s="174" t="s">
        <v>403</v>
      </c>
      <c r="E53" s="175">
        <f>+E52+100</f>
        <v>111</v>
      </c>
      <c r="F53" s="175"/>
      <c r="G53" s="579" t="str">
        <f>+G52</f>
        <v>NUDIE-301580</v>
      </c>
      <c r="H53" s="117"/>
      <c r="I53" s="397"/>
      <c r="J53" s="165">
        <f>+IF(K53="","",IF(K51=0,"",(K51*J51)/(K53*60)))</f>
        <v>0.8861265432098766</v>
      </c>
      <c r="K53" s="118">
        <v>54</v>
      </c>
      <c r="L53" s="104" t="s">
        <v>19</v>
      </c>
      <c r="M53" s="427">
        <v>1</v>
      </c>
      <c r="N53" s="427">
        <v>1</v>
      </c>
      <c r="O53" s="427">
        <v>1</v>
      </c>
      <c r="P53" s="427">
        <v>1</v>
      </c>
      <c r="Q53" s="427">
        <v>1</v>
      </c>
      <c r="R53" s="427">
        <v>1</v>
      </c>
      <c r="S53" s="427">
        <v>1</v>
      </c>
      <c r="T53" s="427">
        <v>1</v>
      </c>
      <c r="U53" s="427">
        <v>1</v>
      </c>
      <c r="V53" s="427"/>
      <c r="W53" s="428"/>
      <c r="X53" s="173"/>
      <c r="Y53" s="441"/>
      <c r="Z53" s="401">
        <v>46.941105769230759</v>
      </c>
      <c r="AA53" s="401">
        <v>46.941105769230759</v>
      </c>
      <c r="AB53" s="444">
        <f t="shared" si="11"/>
        <v>8.25</v>
      </c>
      <c r="AC53" s="139"/>
      <c r="AD53" s="139"/>
      <c r="AE53" s="441"/>
      <c r="AF53" s="441"/>
      <c r="AG53" s="119">
        <f>+IFERROR(AG51/(K51*$AT$3),"")</f>
        <v>1.8303296703296703</v>
      </c>
      <c r="AH53" s="162"/>
      <c r="AI53" s="161"/>
      <c r="AJ53" s="161">
        <f t="shared" si="1"/>
        <v>0</v>
      </c>
      <c r="AK53" s="167">
        <f t="shared" si="2"/>
        <v>0</v>
      </c>
      <c r="AL53" s="167"/>
      <c r="AM53" s="230"/>
      <c r="AN53" s="342">
        <f>+$AM$4</f>
        <v>8.25</v>
      </c>
      <c r="AO53" s="340">
        <f>+IF(AN53=7.75,SUM(M53:S53)+T53*0.75,IF(AN53=8,SUM(M53:T53),IF(AN53=7.25,SUM(M53:S53)+T53*0.25,IF(AN53=8.25,SUM(M53:T53)+U53*0.25,IF(AN53=8.75,SUM(M53:T53)+U53*0.75,0)))))</f>
        <v>8.25</v>
      </c>
      <c r="AP53" s="167">
        <f>+AO53-AB53</f>
        <v>0</v>
      </c>
      <c r="AQ53" s="167"/>
      <c r="AR53" s="167"/>
      <c r="AS53" s="167"/>
      <c r="AT53" s="435"/>
      <c r="AU53" s="393"/>
      <c r="AW53" s="356">
        <v>1.6246153846153846</v>
      </c>
      <c r="AY53" s="356"/>
    </row>
    <row r="54" spans="2:63" s="98" customFormat="1" ht="62.25" customHeight="1" thickTop="1" x14ac:dyDescent="0.9">
      <c r="B54" s="97">
        <f>+B55</f>
        <v>12</v>
      </c>
      <c r="C54" s="370"/>
      <c r="D54" s="106"/>
      <c r="E54" s="106"/>
      <c r="F54" s="106"/>
      <c r="G54" s="577" t="s">
        <v>433</v>
      </c>
      <c r="H54" s="106"/>
      <c r="I54" s="111"/>
      <c r="J54" s="107" t="s">
        <v>20</v>
      </c>
      <c r="K54" s="108" t="s">
        <v>23</v>
      </c>
      <c r="L54" s="100" t="s">
        <v>21</v>
      </c>
      <c r="M54" s="423">
        <v>150</v>
      </c>
      <c r="N54" s="423">
        <v>150</v>
      </c>
      <c r="O54" s="423">
        <v>150</v>
      </c>
      <c r="P54" s="423"/>
      <c r="Q54" s="423">
        <v>75</v>
      </c>
      <c r="R54" s="423"/>
      <c r="S54" s="423"/>
      <c r="T54" s="423"/>
      <c r="U54" s="423"/>
      <c r="V54" s="423"/>
      <c r="W54" s="423"/>
      <c r="X54" s="135">
        <f t="shared" ref="X54" si="68">IF(AT55="","",SUM(M54:W54)-(-(AT55-SUM(M54:W54))/$AT$3)*SUM($M$2:$W$2))</f>
        <v>525</v>
      </c>
      <c r="Y54" s="438"/>
      <c r="Z54" s="400">
        <v>0.5</v>
      </c>
      <c r="AA54" s="540">
        <f>+X56</f>
        <v>0.5</v>
      </c>
      <c r="AB54" s="135">
        <f t="shared" si="0"/>
        <v>525</v>
      </c>
      <c r="AC54" s="136">
        <f>+AD54+AB54</f>
        <v>7726</v>
      </c>
      <c r="AD54" s="136">
        <v>7201</v>
      </c>
      <c r="AE54" s="438"/>
      <c r="AF54" s="438"/>
      <c r="AG54" s="109"/>
      <c r="AH54" s="110"/>
      <c r="AI54" s="157"/>
      <c r="AJ54" s="161">
        <f t="shared" si="1"/>
        <v>0</v>
      </c>
      <c r="AK54" s="167">
        <f t="shared" si="2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63" s="98" customFormat="1" ht="62.25" customHeight="1" x14ac:dyDescent="0.9">
      <c r="B55" s="132">
        <v>12</v>
      </c>
      <c r="C55" s="371">
        <f>+B55</f>
        <v>12</v>
      </c>
      <c r="D55" s="372" t="s">
        <v>432</v>
      </c>
      <c r="E55" s="111"/>
      <c r="F55" s="111" t="s">
        <v>35</v>
      </c>
      <c r="G55" s="578" t="str">
        <f>+G54</f>
        <v>2843-709-800</v>
      </c>
      <c r="H55" s="450">
        <v>11080</v>
      </c>
      <c r="I55" s="111" t="s">
        <v>251</v>
      </c>
      <c r="J55" s="113">
        <v>50</v>
      </c>
      <c r="K55" s="130">
        <v>58</v>
      </c>
      <c r="L55" s="101" t="s">
        <v>17</v>
      </c>
      <c r="M55" s="214">
        <v>58</v>
      </c>
      <c r="N55" s="214">
        <v>58</v>
      </c>
      <c r="O55" s="214">
        <v>58</v>
      </c>
      <c r="P55" s="214">
        <v>58</v>
      </c>
      <c r="Q55" s="214">
        <v>58</v>
      </c>
      <c r="R55" s="214">
        <v>58</v>
      </c>
      <c r="S55" s="214">
        <v>58</v>
      </c>
      <c r="T55" s="214">
        <v>58</v>
      </c>
      <c r="U55" s="214">
        <v>15</v>
      </c>
      <c r="V55" s="214"/>
      <c r="W55" s="424"/>
      <c r="X55" s="123">
        <f t="shared" ref="X55" si="69">+IF(H56="s",0,IF(AB55=0,0,IF(COUNTA(M55:W55)=AN57+0.75,SUMIF($C:$C,B55,$AB:$AB)/AN57,SUMIF($C:$C,B55,$AB:$AB)/(COUNTA(M55:W55)))))</f>
        <v>58.060606060606062</v>
      </c>
      <c r="Y55" s="439"/>
      <c r="Z55" s="400"/>
      <c r="AA55" s="541"/>
      <c r="AB55" s="134">
        <f t="shared" si="0"/>
        <v>479</v>
      </c>
      <c r="AC55" s="137">
        <f>+AB55+AD55</f>
        <v>6519</v>
      </c>
      <c r="AD55" s="137">
        <v>6040</v>
      </c>
      <c r="AE55" s="439">
        <v>0</v>
      </c>
      <c r="AF55" s="439">
        <f>+AE55+Y55</f>
        <v>0</v>
      </c>
      <c r="AG55" s="140">
        <f>+AC54-AC55</f>
        <v>1207</v>
      </c>
      <c r="AH55" s="131">
        <f>+IF(((AB56+(AB57/2))*60)=0,"",(J55*AB55)/((AB56+(AB57/2))*60))</f>
        <v>0.90437081091286697</v>
      </c>
      <c r="AI55" s="161">
        <f>+AB56+AB57/2</f>
        <v>441.375</v>
      </c>
      <c r="AJ55" s="161">
        <f t="shared" si="1"/>
        <v>441.22500000000002</v>
      </c>
      <c r="AK55" s="167">
        <f t="shared" si="2"/>
        <v>26482.5</v>
      </c>
      <c r="AL55" s="167">
        <f>+AB55*J55</f>
        <v>23950</v>
      </c>
      <c r="AM55" s="230">
        <f>+AB55-(AI55*K55/K57)</f>
        <v>4.9305555555555429</v>
      </c>
      <c r="AN55" s="339"/>
      <c r="AO55" s="340"/>
      <c r="AP55" s="167"/>
      <c r="AQ55" s="167"/>
      <c r="AR55" s="167"/>
      <c r="AS55" s="167"/>
      <c r="AT55" s="433">
        <f t="shared" ref="AT55" si="70">IF(AU55=0,"",AW55-(($AT$3*K55)+($AT$3*K55)*AU55)+AB54)</f>
        <v>11.25</v>
      </c>
      <c r="AU55" s="393">
        <v>2.2999999999999998</v>
      </c>
      <c r="AW55" s="356">
        <v>1161</v>
      </c>
      <c r="AY55" s="356">
        <f t="shared" ref="AY55" si="71">+AW55-AG55</f>
        <v>-46</v>
      </c>
      <c r="BK55" s="137">
        <f>+AC54-H55</f>
        <v>-3354</v>
      </c>
    </row>
    <row r="56" spans="2:63" s="98" customFormat="1" ht="62.25" customHeight="1" x14ac:dyDescent="0.9">
      <c r="B56" s="125">
        <f>B55</f>
        <v>12</v>
      </c>
      <c r="C56" s="373"/>
      <c r="D56" s="184"/>
      <c r="E56" s="111">
        <f>+B55</f>
        <v>12</v>
      </c>
      <c r="F56" s="377"/>
      <c r="G56" s="578" t="str">
        <f>+G54</f>
        <v>2843-709-800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>
        <v>1</v>
      </c>
      <c r="K56" s="114" t="s">
        <v>22</v>
      </c>
      <c r="L56" s="102" t="s">
        <v>18</v>
      </c>
      <c r="M56" s="425">
        <v>53</v>
      </c>
      <c r="N56" s="425">
        <v>53</v>
      </c>
      <c r="O56" s="425">
        <v>53</v>
      </c>
      <c r="P56" s="425">
        <v>53</v>
      </c>
      <c r="Q56" s="425">
        <v>53</v>
      </c>
      <c r="R56" s="425">
        <v>53</v>
      </c>
      <c r="S56" s="425">
        <v>53</v>
      </c>
      <c r="T56" s="425">
        <v>53</v>
      </c>
      <c r="U56" s="425">
        <v>53</v>
      </c>
      <c r="V56" s="426"/>
      <c r="W56" s="426"/>
      <c r="X56" s="160">
        <f t="shared" ref="X56" si="72">+IF(H56="l",IF(COUNTA(M55:W55)=AN57+0.75,AB55-K55*AN57,AB55-(K55*COUNTA(M55:W55))),IF(H56="s",0,IF(COUNTA(M55:W55)=AN57+0.75,SUMIF($C:$C,B55,$AB:$AB)-K55*AN57,SUMIF($C:$C,B55,$AB:$AB)-K55*COUNTA(M55:W55))))</f>
        <v>0.5</v>
      </c>
      <c r="Y56" s="440"/>
      <c r="Z56" s="400"/>
      <c r="AA56" s="541"/>
      <c r="AB56" s="443">
        <f t="shared" ref="AB56" si="73">+SUM(M56:W56)-U56*0.75</f>
        <v>437.25</v>
      </c>
      <c r="AC56" s="341"/>
      <c r="AD56" s="341"/>
      <c r="AE56" s="440"/>
      <c r="AF56" s="440"/>
      <c r="AG56" s="115"/>
      <c r="AH56" s="116"/>
      <c r="AI56" s="157"/>
      <c r="AJ56" s="161">
        <f t="shared" si="1"/>
        <v>0</v>
      </c>
      <c r="AK56" s="167">
        <f t="shared" si="2"/>
        <v>0</v>
      </c>
      <c r="AL56" s="167"/>
      <c r="AM56" s="230"/>
      <c r="AN56" s="339"/>
      <c r="AO56" s="340">
        <f>+IF(AN57=7.75,SUM(M56:S56)+T56*0.75,IF(AN57=8,SUM(M56:T56),IF(AN57=7.25,SUM(M56:S56)+T56*0.25,IF(AN57=8.25,SUM(M56:T56)+U56*0.25,IF(AN57=8.75,SUM(M56:T56)+U56*0.75,0)))))</f>
        <v>437.25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63" s="98" customFormat="1" ht="62.25" customHeight="1" thickBot="1" x14ac:dyDescent="0.95">
      <c r="B57" s="126">
        <f>B55</f>
        <v>12</v>
      </c>
      <c r="C57" s="375"/>
      <c r="D57" s="174" t="s">
        <v>366</v>
      </c>
      <c r="E57" s="175">
        <f>+E56+100</f>
        <v>112</v>
      </c>
      <c r="F57" s="175"/>
      <c r="G57" s="579" t="str">
        <f>+G54</f>
        <v>2843-709-800</v>
      </c>
      <c r="H57" s="117"/>
      <c r="I57" s="397" t="s">
        <v>182</v>
      </c>
      <c r="J57" s="165">
        <f>+IF(K57="","",IF(K55=0,"",(K55*J55)/(K57*60)))</f>
        <v>0.89506172839506171</v>
      </c>
      <c r="K57" s="118">
        <v>54</v>
      </c>
      <c r="L57" s="104" t="s">
        <v>19</v>
      </c>
      <c r="M57" s="427">
        <v>1</v>
      </c>
      <c r="N57" s="427">
        <v>1</v>
      </c>
      <c r="O57" s="427">
        <v>1</v>
      </c>
      <c r="P57" s="427">
        <v>1</v>
      </c>
      <c r="Q57" s="427">
        <v>1</v>
      </c>
      <c r="R57" s="427">
        <v>1</v>
      </c>
      <c r="S57" s="427">
        <v>1</v>
      </c>
      <c r="T57" s="427">
        <v>1</v>
      </c>
      <c r="U57" s="427">
        <v>1</v>
      </c>
      <c r="V57" s="428"/>
      <c r="W57" s="428"/>
      <c r="X57" s="173"/>
      <c r="Y57" s="441"/>
      <c r="Z57" s="401">
        <v>20.200641379310341</v>
      </c>
      <c r="AA57" s="401">
        <v>20.200641379310341</v>
      </c>
      <c r="AB57" s="444">
        <f t="shared" si="11"/>
        <v>8.25</v>
      </c>
      <c r="AC57" s="139"/>
      <c r="AD57" s="139"/>
      <c r="AE57" s="441"/>
      <c r="AF57" s="441"/>
      <c r="AG57" s="119">
        <f>+IFERROR(AG55/(K55*$AT$3),"")</f>
        <v>2.3783251231527092</v>
      </c>
      <c r="AH57" s="162"/>
      <c r="AI57" s="161"/>
      <c r="AJ57" s="161">
        <f t="shared" si="1"/>
        <v>0</v>
      </c>
      <c r="AK57" s="167">
        <f t="shared" si="2"/>
        <v>0</v>
      </c>
      <c r="AL57" s="167"/>
      <c r="AM57" s="230"/>
      <c r="AN57" s="342">
        <f>+$AM$4</f>
        <v>8.25</v>
      </c>
      <c r="AO57" s="340">
        <f>+IF(AN57=7.75,SUM(M57:S57)+T57*0.75,IF(AN57=8,SUM(M57:T57),IF(AN57=7.25,SUM(M57:S57)+T57*0.25,IF(AN57=8.25,SUM(M57:T57)+U57*0.25,IF(AN57=8.75,SUM(M57:T57)+U57*0.75,0)))))</f>
        <v>8.25</v>
      </c>
      <c r="AP57" s="167">
        <f>+AO57-AB57</f>
        <v>0</v>
      </c>
      <c r="AQ57" s="167"/>
      <c r="AR57" s="167"/>
      <c r="AS57" s="167"/>
      <c r="AT57" s="435"/>
      <c r="AU57" s="393"/>
      <c r="AW57" s="356">
        <v>2.2876847290640394</v>
      </c>
      <c r="AY57" s="356"/>
    </row>
    <row r="58" spans="2:63" s="98" customFormat="1" ht="62.25" customHeight="1" thickTop="1" x14ac:dyDescent="0.9">
      <c r="B58" s="97">
        <f>+B59</f>
        <v>13</v>
      </c>
      <c r="C58" s="370"/>
      <c r="D58" s="106"/>
      <c r="E58" s="106"/>
      <c r="F58" s="106"/>
      <c r="G58" s="577" t="s">
        <v>437</v>
      </c>
      <c r="H58" s="106"/>
      <c r="I58" s="106"/>
      <c r="J58" s="107" t="s">
        <v>20</v>
      </c>
      <c r="K58" s="108" t="s">
        <v>23</v>
      </c>
      <c r="L58" s="100" t="s">
        <v>21</v>
      </c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135" t="str">
        <f t="shared" ref="X58" si="74">IF(AT59="","",SUM(M58:W58)-(-(AT59-SUM(M58:W58))/$AT$3)*SUM($M$2:$W$2))</f>
        <v/>
      </c>
      <c r="Y58" s="438"/>
      <c r="Z58" s="400">
        <v>5</v>
      </c>
      <c r="AA58" s="540">
        <f>+X60</f>
        <v>-23</v>
      </c>
      <c r="AB58" s="135">
        <f t="shared" si="0"/>
        <v>0</v>
      </c>
      <c r="AC58" s="136">
        <f>+AD58+AB58</f>
        <v>6738</v>
      </c>
      <c r="AD58" s="136">
        <v>6738</v>
      </c>
      <c r="AE58" s="438"/>
      <c r="AF58" s="438"/>
      <c r="AG58" s="109"/>
      <c r="AH58" s="110"/>
      <c r="AI58" s="157"/>
      <c r="AJ58" s="161">
        <f t="shared" si="1"/>
        <v>0</v>
      </c>
      <c r="AK58" s="167">
        <f t="shared" si="2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63" s="98" customFormat="1" ht="62.25" customHeight="1" x14ac:dyDescent="0.9">
      <c r="B59" s="132">
        <v>13</v>
      </c>
      <c r="C59" s="371">
        <f>+B59</f>
        <v>13</v>
      </c>
      <c r="D59" s="372" t="s">
        <v>438</v>
      </c>
      <c r="E59" s="111"/>
      <c r="F59" s="111" t="s">
        <v>35</v>
      </c>
      <c r="G59" s="578" t="str">
        <f>+G58</f>
        <v>7696-837-802</v>
      </c>
      <c r="H59" s="450">
        <v>6738</v>
      </c>
      <c r="I59" s="111" t="s">
        <v>252</v>
      </c>
      <c r="J59" s="113">
        <v>29.06</v>
      </c>
      <c r="K59" s="130">
        <v>68</v>
      </c>
      <c r="L59" s="101" t="s">
        <v>17</v>
      </c>
      <c r="M59" s="214">
        <v>68</v>
      </c>
      <c r="N59" s="214">
        <v>68</v>
      </c>
      <c r="O59" s="214">
        <v>40</v>
      </c>
      <c r="P59" s="214">
        <v>78</v>
      </c>
      <c r="Q59" s="214">
        <v>68</v>
      </c>
      <c r="R59" s="214">
        <v>50</v>
      </c>
      <c r="S59" s="214">
        <v>70</v>
      </c>
      <c r="T59" s="214">
        <v>76</v>
      </c>
      <c r="U59" s="214">
        <v>20</v>
      </c>
      <c r="V59" s="214"/>
      <c r="W59" s="424"/>
      <c r="X59" s="123">
        <f t="shared" ref="X59" si="75">+IF(H60="s",0,IF(AB59=0,0,IF(COUNTA(M59:W59)=AN61+0.75,SUMIF($C:$C,B59,$AB:$AB)/AN61,SUMIF($C:$C,B59,$AB:$AB)/(COUNTA(M59:W59)))))</f>
        <v>65.212121212121218</v>
      </c>
      <c r="Y59" s="439"/>
      <c r="Z59" s="400"/>
      <c r="AA59" s="541"/>
      <c r="AB59" s="134">
        <f t="shared" si="0"/>
        <v>538</v>
      </c>
      <c r="AC59" s="137">
        <f>+AB59+AD59</f>
        <v>6181</v>
      </c>
      <c r="AD59" s="137">
        <v>5643</v>
      </c>
      <c r="AE59" s="439"/>
      <c r="AF59" s="439">
        <f>+AE59+Y59</f>
        <v>0</v>
      </c>
      <c r="AG59" s="140">
        <f>+AC58-AC59</f>
        <v>557</v>
      </c>
      <c r="AH59" s="131">
        <f>+IF(((AB60+(AB61/2))*60)=0,"",(J59*AB59)/((AB60+(AB61/2))*60))</f>
        <v>0.84225077441077434</v>
      </c>
      <c r="AI59" s="161">
        <f>+AB60+AB61/2</f>
        <v>309.375</v>
      </c>
      <c r="AJ59" s="161">
        <f t="shared" si="1"/>
        <v>309.22500000000002</v>
      </c>
      <c r="AK59" s="167">
        <f t="shared" si="2"/>
        <v>18562.5</v>
      </c>
      <c r="AL59" s="167">
        <f>+AB59*J59</f>
        <v>15634.279999999999</v>
      </c>
      <c r="AM59" s="230">
        <f>+AB59-(AI59*K59/K61)</f>
        <v>-15.618421052631561</v>
      </c>
      <c r="AN59" s="339"/>
      <c r="AO59" s="340"/>
      <c r="AP59" s="167"/>
      <c r="AQ59" s="167"/>
      <c r="AR59" s="167"/>
      <c r="AS59" s="167"/>
      <c r="AT59" s="433" t="str">
        <f t="shared" ref="AT59" si="76">IF(AU59=0,"",AW59-(($AT$3*K59)+($AT$3*K59)*AU59)+AB58)</f>
        <v/>
      </c>
      <c r="AU59" s="393"/>
      <c r="AW59" s="356">
        <v>1095</v>
      </c>
      <c r="AY59" s="356">
        <f t="shared" ref="AY59" si="77">+AW59-AG59</f>
        <v>538</v>
      </c>
      <c r="BK59" s="137">
        <f>+AC58-H59</f>
        <v>0</v>
      </c>
    </row>
    <row r="60" spans="2:63" s="98" customFormat="1" ht="62.25" customHeight="1" x14ac:dyDescent="0.9">
      <c r="B60" s="125">
        <f>+B59</f>
        <v>13</v>
      </c>
      <c r="C60" s="373"/>
      <c r="D60" s="184"/>
      <c r="E60" s="111">
        <f>+B59</f>
        <v>13</v>
      </c>
      <c r="F60" s="374"/>
      <c r="G60" s="578" t="str">
        <f>+G59</f>
        <v>7696-837-802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37</v>
      </c>
      <c r="N60" s="425">
        <v>37</v>
      </c>
      <c r="O60" s="425">
        <v>37</v>
      </c>
      <c r="P60" s="425">
        <v>37</v>
      </c>
      <c r="Q60" s="425">
        <v>37</v>
      </c>
      <c r="R60" s="425">
        <v>37</v>
      </c>
      <c r="S60" s="425">
        <v>37</v>
      </c>
      <c r="T60" s="425">
        <v>37</v>
      </c>
      <c r="U60" s="425">
        <v>37</v>
      </c>
      <c r="V60" s="425"/>
      <c r="W60" s="426"/>
      <c r="X60" s="160">
        <f t="shared" ref="X60" si="78">+IF(H60="l",IF(COUNTA(M59:W59)=AN61+0.75,AB59-K59*AN61,AB59-(K59*COUNTA(M59:W59))),IF(H60="s",0,IF(COUNTA(M59:W59)=AN61+0.75,SUMIF($C:$C,B59,$AB:$AB)-K59*AN61,SUMIF($C:$C,B59,$AB:$AB)-K59*COUNTA(M59:W59))))</f>
        <v>-23</v>
      </c>
      <c r="Y60" s="440"/>
      <c r="Z60" s="400"/>
      <c r="AA60" s="541"/>
      <c r="AB60" s="443">
        <f t="shared" ref="AB60" si="79">+SUM(M60:W60)-U60*0.75</f>
        <v>305.25</v>
      </c>
      <c r="AC60" s="341"/>
      <c r="AD60" s="341"/>
      <c r="AE60" s="440"/>
      <c r="AF60" s="440"/>
      <c r="AG60" s="115"/>
      <c r="AH60" s="116"/>
      <c r="AI60" s="157"/>
      <c r="AJ60" s="161">
        <f t="shared" si="1"/>
        <v>0</v>
      </c>
      <c r="AK60" s="167">
        <f t="shared" si="2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305.25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63" s="98" customFormat="1" ht="62.25" customHeight="1" thickBot="1" x14ac:dyDescent="0.95">
      <c r="B61" s="126">
        <f>+B59</f>
        <v>13</v>
      </c>
      <c r="C61" s="375"/>
      <c r="D61" s="174" t="s">
        <v>455</v>
      </c>
      <c r="E61" s="175">
        <f>+E60+100</f>
        <v>113</v>
      </c>
      <c r="F61" s="175"/>
      <c r="G61" s="579" t="str">
        <f>+G60</f>
        <v>7696-837-802</v>
      </c>
      <c r="H61" s="117"/>
      <c r="I61" s="397"/>
      <c r="J61" s="165">
        <f>+IF(K61="","",IF(K59=0,"",(K59*J59)/(K61*60)))</f>
        <v>0.86670175438596486</v>
      </c>
      <c r="K61" s="429">
        <v>38</v>
      </c>
      <c r="L61" s="104" t="s">
        <v>19</v>
      </c>
      <c r="M61" s="427">
        <v>1</v>
      </c>
      <c r="N61" s="427">
        <v>1</v>
      </c>
      <c r="O61" s="427">
        <v>1</v>
      </c>
      <c r="P61" s="427">
        <v>1</v>
      </c>
      <c r="Q61" s="427">
        <v>1</v>
      </c>
      <c r="R61" s="427">
        <v>1</v>
      </c>
      <c r="S61" s="427">
        <v>1</v>
      </c>
      <c r="T61" s="427">
        <v>1</v>
      </c>
      <c r="U61" s="427">
        <v>1</v>
      </c>
      <c r="V61" s="427"/>
      <c r="W61" s="428"/>
      <c r="X61" s="173"/>
      <c r="Y61" s="441"/>
      <c r="Z61" s="448">
        <v>32.431548484848484</v>
      </c>
      <c r="AA61" s="448">
        <v>32.431548484848484</v>
      </c>
      <c r="AB61" s="444">
        <f t="shared" si="11"/>
        <v>8.25</v>
      </c>
      <c r="AC61" s="139"/>
      <c r="AD61" s="139"/>
      <c r="AE61" s="441"/>
      <c r="AF61" s="441"/>
      <c r="AG61" s="119">
        <f>+IFERROR(AG59/(K59*$AT$3),"")</f>
        <v>0.93613445378151261</v>
      </c>
      <c r="AH61" s="162"/>
      <c r="AI61" s="161"/>
      <c r="AJ61" s="161">
        <f t="shared" si="1"/>
        <v>0</v>
      </c>
      <c r="AK61" s="167">
        <f t="shared" si="2"/>
        <v>0</v>
      </c>
      <c r="AL61" s="167"/>
      <c r="AM61" s="230"/>
      <c r="AN61" s="342">
        <f>+$AM$4</f>
        <v>8.25</v>
      </c>
      <c r="AO61" s="340">
        <f>+IF(AN61=7.75,SUM(M61:S61)+T61*0.75,IF(AN61=8,SUM(M61:T61),IF(AN61=7.25,SUM(M61:S61)+T61*0.25,IF(AN61=8.25,SUM(M61:T61)+U61*0.25,IF(AN61=8.75,SUM(M61:T61)+U61*0.75,0)))))</f>
        <v>8.25</v>
      </c>
      <c r="AP61" s="167">
        <f>+AO61-AB61</f>
        <v>0</v>
      </c>
      <c r="AQ61" s="167"/>
      <c r="AR61" s="167"/>
      <c r="AS61" s="167"/>
      <c r="AT61" s="435"/>
      <c r="AU61" s="393"/>
      <c r="AW61" s="356">
        <v>1.8403361344537814</v>
      </c>
      <c r="AY61" s="356"/>
    </row>
    <row r="62" spans="2:63" s="98" customFormat="1" ht="62.25" customHeight="1" thickTop="1" x14ac:dyDescent="0.9">
      <c r="B62" s="97">
        <f>+B63</f>
        <v>13</v>
      </c>
      <c r="C62" s="370"/>
      <c r="D62" s="106"/>
      <c r="E62" s="106"/>
      <c r="F62" s="106"/>
      <c r="G62" s="577" t="s">
        <v>442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100</v>
      </c>
      <c r="N62" s="423">
        <v>50</v>
      </c>
      <c r="O62" s="423">
        <v>100</v>
      </c>
      <c r="P62" s="423"/>
      <c r="Q62" s="423"/>
      <c r="R62" s="423"/>
      <c r="S62" s="423"/>
      <c r="T62" s="423"/>
      <c r="U62" s="423"/>
      <c r="V62" s="423"/>
      <c r="W62" s="423"/>
      <c r="X62" s="135">
        <f t="shared" ref="X62" si="80">IF(AT63="","",SUM(M62:W62)-(-(AT63-SUM(M62:W62))/$AT$3)*SUM($M$2:$W$2))</f>
        <v>250</v>
      </c>
      <c r="Y62" s="438"/>
      <c r="Z62" s="400">
        <v>0</v>
      </c>
      <c r="AA62" s="540">
        <f>+X64</f>
        <v>0</v>
      </c>
      <c r="AB62" s="135">
        <f t="shared" si="0"/>
        <v>250</v>
      </c>
      <c r="AC62" s="136">
        <f>+AD62+AB62</f>
        <v>300</v>
      </c>
      <c r="AD62" s="136">
        <v>50</v>
      </c>
      <c r="AE62" s="438"/>
      <c r="AF62" s="438"/>
      <c r="AG62" s="109"/>
      <c r="AH62" s="110"/>
      <c r="AI62" s="157"/>
      <c r="AJ62" s="161">
        <f t="shared" si="1"/>
        <v>0</v>
      </c>
      <c r="AK62" s="167">
        <f t="shared" si="2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63" s="98" customFormat="1" ht="62.25" customHeight="1" x14ac:dyDescent="0.9">
      <c r="B63" s="132">
        <v>13</v>
      </c>
      <c r="C63" s="371">
        <f>+B63</f>
        <v>13</v>
      </c>
      <c r="D63" s="372" t="s">
        <v>441</v>
      </c>
      <c r="E63" s="111"/>
      <c r="F63" s="111" t="s">
        <v>35</v>
      </c>
      <c r="G63" s="578" t="str">
        <f>+G62</f>
        <v>7741-793-052</v>
      </c>
      <c r="H63" s="450">
        <v>8500</v>
      </c>
      <c r="I63" s="111" t="s">
        <v>33</v>
      </c>
      <c r="J63" s="113">
        <v>55.14</v>
      </c>
      <c r="K63" s="130"/>
      <c r="L63" s="101" t="s">
        <v>17</v>
      </c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424"/>
      <c r="X63" s="123">
        <f t="shared" ref="X63" si="81">+IF(H64="s",0,IF(AB63=0,0,IF(COUNTA(M63:W63)=AN65+0.75,SUMIF($C:$C,B63,$AB:$AB)/AN65,SUMIF($C:$C,B63,$AB:$AB)/(COUNTA(M63:W63)))))</f>
        <v>0</v>
      </c>
      <c r="Y63" s="439"/>
      <c r="Z63" s="400"/>
      <c r="AA63" s="541"/>
      <c r="AB63" s="134">
        <f t="shared" si="0"/>
        <v>0</v>
      </c>
      <c r="AC63" s="137">
        <f>+AB63+AD63</f>
        <v>0</v>
      </c>
      <c r="AD63" s="137">
        <v>0</v>
      </c>
      <c r="AE63" s="439"/>
      <c r="AF63" s="439">
        <f>+AE63+Y63</f>
        <v>0</v>
      </c>
      <c r="AG63" s="140">
        <f>+AC62-AC63</f>
        <v>300</v>
      </c>
      <c r="AH63" s="131" t="str">
        <f>+IF(((AB64+(AB65/2))*60)=0,"",(J63*AB63)/((AB64+(AB65/2))*60))</f>
        <v/>
      </c>
      <c r="AI63" s="161">
        <f>+AB64+AB65/2</f>
        <v>0</v>
      </c>
      <c r="AJ63" s="161">
        <f t="shared" si="1"/>
        <v>0</v>
      </c>
      <c r="AK63" s="167">
        <f t="shared" si="2"/>
        <v>0</v>
      </c>
      <c r="AL63" s="167">
        <f>+AB63*J63</f>
        <v>0</v>
      </c>
      <c r="AM63" s="230" t="e">
        <f>+AB63-(AI63*K63/K65)</f>
        <v>#DIV/0!</v>
      </c>
      <c r="AN63" s="339"/>
      <c r="AO63" s="340"/>
      <c r="AP63" s="167"/>
      <c r="AQ63" s="167"/>
      <c r="AR63" s="167"/>
      <c r="AS63" s="167"/>
      <c r="AT63" s="433">
        <f>-300+AB62</f>
        <v>-50</v>
      </c>
      <c r="AU63" s="393">
        <v>1.5</v>
      </c>
      <c r="AW63" s="356">
        <v>50</v>
      </c>
      <c r="AY63" s="356">
        <f t="shared" ref="AY63" si="82">+AW63-AG63</f>
        <v>-250</v>
      </c>
      <c r="BK63" s="137">
        <f>+AC62-H63</f>
        <v>-8200</v>
      </c>
    </row>
    <row r="64" spans="2:63" s="98" customFormat="1" ht="62.25" customHeight="1" x14ac:dyDescent="0.9">
      <c r="B64" s="125">
        <f>+B63</f>
        <v>13</v>
      </c>
      <c r="C64" s="373"/>
      <c r="D64" s="184"/>
      <c r="E64" s="111">
        <f>+B63</f>
        <v>13</v>
      </c>
      <c r="F64" s="374"/>
      <c r="G64" s="578" t="str">
        <f>+G63</f>
        <v>7741-793-052</v>
      </c>
      <c r="H64" s="376" t="s">
        <v>400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/>
      <c r="N64" s="425"/>
      <c r="O64" s="425"/>
      <c r="P64" s="425"/>
      <c r="Q64" s="425"/>
      <c r="R64" s="425"/>
      <c r="S64" s="425"/>
      <c r="T64" s="425"/>
      <c r="U64" s="425"/>
      <c r="V64" s="425"/>
      <c r="W64" s="426"/>
      <c r="X64" s="160">
        <f t="shared" ref="X64" si="83">+IF(H64="l",IF(COUNTA(M63:W63)=AN65+0.75,AB63-K63*AN65,AB63-(K63*COUNTA(M63:W63))),IF(H64="s",0,IF(COUNTA(M63:W63)=AN65+0.75,SUMIF($C:$C,B63,$AB:$AB)-K63*AN65,SUMIF($C:$C,B63,$AB:$AB)-K63*COUNTA(M63:W63))))</f>
        <v>0</v>
      </c>
      <c r="Y64" s="440"/>
      <c r="Z64" s="400"/>
      <c r="AA64" s="541"/>
      <c r="AB64" s="443">
        <f t="shared" ref="AB64" si="84">+SUM(M64:W64)-U64*0.75</f>
        <v>0</v>
      </c>
      <c r="AC64" s="341"/>
      <c r="AD64" s="341"/>
      <c r="AE64" s="440"/>
      <c r="AF64" s="440"/>
      <c r="AG64" s="115"/>
      <c r="AH64" s="116"/>
      <c r="AI64" s="157"/>
      <c r="AJ64" s="161">
        <f t="shared" si="1"/>
        <v>0</v>
      </c>
      <c r="AK64" s="167">
        <f t="shared" si="2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0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3" s="98" customFormat="1" ht="62.25" customHeight="1" thickBot="1" x14ac:dyDescent="0.95">
      <c r="B65" s="126">
        <f>+B63</f>
        <v>13</v>
      </c>
      <c r="C65" s="375"/>
      <c r="D65" s="174" t="s">
        <v>455</v>
      </c>
      <c r="E65" s="175">
        <f>+E64+100</f>
        <v>113</v>
      </c>
      <c r="F65" s="175"/>
      <c r="G65" s="579" t="str">
        <f>+G64</f>
        <v>7741-793-052</v>
      </c>
      <c r="H65" s="117"/>
      <c r="I65" s="397"/>
      <c r="J65" s="165" t="str">
        <f>+IF(K65="","",IF(K63=0,"",(K63*J63)/(K65*60)))</f>
        <v/>
      </c>
      <c r="K65" s="429"/>
      <c r="L65" s="104" t="s">
        <v>19</v>
      </c>
      <c r="M65" s="427"/>
      <c r="N65" s="427"/>
      <c r="O65" s="427"/>
      <c r="P65" s="427"/>
      <c r="Q65" s="427"/>
      <c r="R65" s="427"/>
      <c r="S65" s="427"/>
      <c r="T65" s="427"/>
      <c r="U65" s="427"/>
      <c r="V65" s="427"/>
      <c r="W65" s="428"/>
      <c r="X65" s="173"/>
      <c r="Y65" s="441"/>
      <c r="Z65" s="448"/>
      <c r="AA65" s="448"/>
      <c r="AB65" s="444">
        <f t="shared" si="11"/>
        <v>0</v>
      </c>
      <c r="AC65" s="139"/>
      <c r="AD65" s="139"/>
      <c r="AE65" s="441"/>
      <c r="AF65" s="441"/>
      <c r="AG65" s="119" t="str">
        <f>+IFERROR(AG63/(K63*$AT$3),"")</f>
        <v/>
      </c>
      <c r="AH65" s="162"/>
      <c r="AI65" s="161"/>
      <c r="AJ65" s="161">
        <f t="shared" si="1"/>
        <v>0</v>
      </c>
      <c r="AK65" s="167">
        <f t="shared" si="2"/>
        <v>0</v>
      </c>
      <c r="AL65" s="167"/>
      <c r="AM65" s="230"/>
      <c r="AN65" s="342">
        <f>+$AM$4</f>
        <v>8.25</v>
      </c>
      <c r="AO65" s="340">
        <f>+IF(AN65=7.75,SUM(M65:S65)+T65*0.75,IF(AN65=8,SUM(M65:T65),IF(AN65=7.25,SUM(M65:S65)+T65*0.25,IF(AN65=8.25,SUM(M65:T65)+U65*0.25,IF(AN65=8.75,SUM(M65:T65)+U65*0.75,0)))))</f>
        <v>0</v>
      </c>
      <c r="AP65" s="167">
        <f>+AO65-AB65</f>
        <v>0</v>
      </c>
      <c r="AQ65" s="167"/>
      <c r="AR65" s="167"/>
      <c r="AS65" s="167"/>
      <c r="AT65" s="435"/>
      <c r="AU65" s="393"/>
      <c r="AW65" s="356" t="s">
        <v>429</v>
      </c>
      <c r="AY65" s="356"/>
    </row>
    <row r="66" spans="2:63" s="98" customFormat="1" ht="58.5" customHeight="1" thickTop="1" x14ac:dyDescent="0.9">
      <c r="B66" s="127">
        <f>+B67</f>
        <v>14</v>
      </c>
      <c r="C66" s="370"/>
      <c r="D66" s="106"/>
      <c r="E66" s="106"/>
      <c r="F66" s="106"/>
      <c r="G66" s="577" t="s">
        <v>448</v>
      </c>
      <c r="H66" s="106"/>
      <c r="I66" s="106"/>
      <c r="J66" s="107" t="s">
        <v>20</v>
      </c>
      <c r="K66" s="108" t="s">
        <v>23</v>
      </c>
      <c r="L66" s="100" t="s">
        <v>21</v>
      </c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135" t="str">
        <f t="shared" ref="X66" si="85">IF(AT67="","",SUM(M66:W66)-(-(AT67-SUM(M66:W66))/$AT$3)*SUM($M$2:$W$2))</f>
        <v/>
      </c>
      <c r="Y66" s="438"/>
      <c r="Z66" s="400">
        <v>121</v>
      </c>
      <c r="AA66" s="540">
        <f>+X68</f>
        <v>0</v>
      </c>
      <c r="AB66" s="135">
        <f t="shared" si="0"/>
        <v>0</v>
      </c>
      <c r="AC66" s="136">
        <f>+AD66+AB66</f>
        <v>2757</v>
      </c>
      <c r="AD66" s="136">
        <v>2757</v>
      </c>
      <c r="AE66" s="438"/>
      <c r="AF66" s="438"/>
      <c r="AG66" s="109"/>
      <c r="AH66" s="110"/>
      <c r="AI66" s="157"/>
      <c r="AJ66" s="161">
        <f t="shared" si="1"/>
        <v>0</v>
      </c>
      <c r="AK66" s="167">
        <f t="shared" si="2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3" s="98" customFormat="1" ht="58.5" customHeight="1" x14ac:dyDescent="0.9">
      <c r="B67" s="133">
        <v>14</v>
      </c>
      <c r="C67" s="371">
        <f>+B67</f>
        <v>14</v>
      </c>
      <c r="D67" s="372" t="s">
        <v>446</v>
      </c>
      <c r="E67" s="111"/>
      <c r="F67" s="111" t="s">
        <v>447</v>
      </c>
      <c r="G67" s="578" t="str">
        <f t="shared" ref="G67:G73" si="86">+G66</f>
        <v>TESS KEYHOLE</v>
      </c>
      <c r="H67" s="450">
        <v>2734</v>
      </c>
      <c r="I67" s="111" t="s">
        <v>252</v>
      </c>
      <c r="J67" s="113">
        <v>36.090000000000003</v>
      </c>
      <c r="K67" s="130">
        <v>80</v>
      </c>
      <c r="L67" s="101" t="s">
        <v>17</v>
      </c>
      <c r="M67" s="214">
        <v>80</v>
      </c>
      <c r="N67" s="214">
        <v>80</v>
      </c>
      <c r="O67" s="214">
        <v>80</v>
      </c>
      <c r="P67" s="214">
        <v>60</v>
      </c>
      <c r="Q67" s="214">
        <v>20</v>
      </c>
      <c r="R67" s="214">
        <v>23</v>
      </c>
      <c r="S67" s="214"/>
      <c r="T67" s="214"/>
      <c r="U67" s="214"/>
      <c r="V67" s="214"/>
      <c r="W67" s="214"/>
      <c r="X67" s="123">
        <f t="shared" ref="X67" si="87">+IF(H68="s",0,IF(AB67=0,0,IF(COUNTA(M67:W67)=AN69+0.75,SUMIF($C:$C,B67,$AB:$AB)/AN69,SUMIF($C:$C,B67,$AB:$AB)/(COUNTA(M67:W67)))))</f>
        <v>0</v>
      </c>
      <c r="Y67" s="439">
        <v>23</v>
      </c>
      <c r="Z67" s="400"/>
      <c r="AA67" s="541"/>
      <c r="AB67" s="134">
        <f t="shared" si="0"/>
        <v>343</v>
      </c>
      <c r="AC67" s="137">
        <f>+AB67+AD67</f>
        <v>2757</v>
      </c>
      <c r="AD67" s="137">
        <v>2414</v>
      </c>
      <c r="AE67" s="439"/>
      <c r="AF67" s="439">
        <f>+AE67+Y67</f>
        <v>23</v>
      </c>
      <c r="AG67" s="140">
        <f>+AC66-AC67</f>
        <v>0</v>
      </c>
      <c r="AH67" s="131">
        <f>+IF(((AB68+(AB69/2))*60)=0,"",(J67*AB67)/((AB68+(AB69/2))*60))</f>
        <v>1.6309446640316207</v>
      </c>
      <c r="AI67" s="161">
        <f>+AB68+AB69/2</f>
        <v>126.5</v>
      </c>
      <c r="AJ67" s="161">
        <f t="shared" si="1"/>
        <v>126.3</v>
      </c>
      <c r="AK67" s="167">
        <f t="shared" si="2"/>
        <v>7590</v>
      </c>
      <c r="AL67" s="167">
        <f>+AB67*J67</f>
        <v>12378.87</v>
      </c>
      <c r="AM67" s="230">
        <f>+AB67-(AI67*K67/K69)</f>
        <v>162.28571428571428</v>
      </c>
      <c r="AN67" s="339"/>
      <c r="AO67" s="340"/>
      <c r="AP67" s="167"/>
      <c r="AQ67" s="167"/>
      <c r="AR67" s="167"/>
      <c r="AS67" s="167"/>
      <c r="AT67" s="433" t="str">
        <f t="shared" ref="AT67" si="88">IF(AU67=0,"",AW67-(($AT$3*K67)+($AT$3*K67)*AU67)+AB66)</f>
        <v/>
      </c>
      <c r="AU67" s="393"/>
      <c r="AW67" s="356">
        <v>343</v>
      </c>
      <c r="AY67" s="356">
        <f t="shared" ref="AY67" si="89">+AW67-AG67</f>
        <v>343</v>
      </c>
      <c r="BK67" s="137">
        <f>+AC66-H67</f>
        <v>23</v>
      </c>
    </row>
    <row r="68" spans="2:63" s="98" customFormat="1" ht="58.5" customHeight="1" x14ac:dyDescent="0.9">
      <c r="B68" s="125">
        <f>+B67</f>
        <v>14</v>
      </c>
      <c r="C68" s="373"/>
      <c r="D68" s="184"/>
      <c r="E68" s="111">
        <f>+B67</f>
        <v>14</v>
      </c>
      <c r="F68" s="374"/>
      <c r="G68" s="578" t="str">
        <f t="shared" si="86"/>
        <v>TESS KEYHOLE</v>
      </c>
      <c r="H68" s="376" t="s">
        <v>434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>
        <v>35</v>
      </c>
      <c r="N68" s="425">
        <v>30</v>
      </c>
      <c r="O68" s="425">
        <v>25</v>
      </c>
      <c r="P68" s="425">
        <v>20</v>
      </c>
      <c r="Q68" s="425">
        <v>10</v>
      </c>
      <c r="R68" s="425">
        <v>4</v>
      </c>
      <c r="S68" s="425"/>
      <c r="T68" s="425"/>
      <c r="U68" s="425"/>
      <c r="V68" s="425"/>
      <c r="W68" s="425"/>
      <c r="X68" s="160">
        <f t="shared" ref="X68" si="90">+IF(H68="l",IF(COUNTA(M67:W67)=AN69+0.75,AB67-K67*AN69,AB67-(K67*COUNTA(M67:W67))),IF(H68="s",0,IF(COUNTA(M67:W67)=AN69+0.75,SUMIF($C:$C,B67,$AB:$AB)-K67*AN69,SUMIF($C:$C,B67,$AB:$AB)-K67*COUNTA(M67:W67))))</f>
        <v>0</v>
      </c>
      <c r="Y68" s="440"/>
      <c r="Z68" s="400"/>
      <c r="AA68" s="541"/>
      <c r="AB68" s="443">
        <f t="shared" ref="AB68" si="91">+SUM(M68:W68)-U68*0.75</f>
        <v>124</v>
      </c>
      <c r="AC68" s="341"/>
      <c r="AD68" s="341"/>
      <c r="AE68" s="440"/>
      <c r="AF68" s="440"/>
      <c r="AG68" s="115"/>
      <c r="AH68" s="116"/>
      <c r="AI68" s="157"/>
      <c r="AJ68" s="161">
        <f t="shared" si="1"/>
        <v>0</v>
      </c>
      <c r="AK68" s="167">
        <f t="shared" si="2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124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3" s="98" customFormat="1" ht="58.5" customHeight="1" thickBot="1" x14ac:dyDescent="0.95">
      <c r="B69" s="126">
        <f>+B67</f>
        <v>14</v>
      </c>
      <c r="C69" s="375"/>
      <c r="D69" s="174" t="s">
        <v>454</v>
      </c>
      <c r="E69" s="175">
        <f>+E68+100</f>
        <v>114</v>
      </c>
      <c r="F69" s="175"/>
      <c r="G69" s="579" t="str">
        <f t="shared" si="86"/>
        <v>TESS KEYHOLE</v>
      </c>
      <c r="H69" s="117"/>
      <c r="I69" s="397"/>
      <c r="J69" s="165">
        <f>+IF(K69="","",IF(K67=0,"",(K67*J67)/(K69*60)))</f>
        <v>0.85928571428571432</v>
      </c>
      <c r="K69" s="118">
        <v>56</v>
      </c>
      <c r="L69" s="104" t="s">
        <v>19</v>
      </c>
      <c r="M69" s="427">
        <v>1</v>
      </c>
      <c r="N69" s="427">
        <v>1</v>
      </c>
      <c r="O69" s="427">
        <v>1</v>
      </c>
      <c r="P69" s="427">
        <v>1</v>
      </c>
      <c r="Q69" s="427">
        <v>1</v>
      </c>
      <c r="R69" s="427"/>
      <c r="S69" s="427"/>
      <c r="T69" s="427"/>
      <c r="U69" s="427"/>
      <c r="V69" s="427"/>
      <c r="W69" s="427"/>
      <c r="X69" s="173"/>
      <c r="Y69" s="441"/>
      <c r="Z69" s="401">
        <v>39.516146341463411</v>
      </c>
      <c r="AA69" s="168">
        <f>+IF(COUNTA(M67:W67)=$AM$4+0.25,$AM$4-(AB67/K67),COUNTA(M67:W67)-(AB67/K67))+Z69</f>
        <v>41.22864634146341</v>
      </c>
      <c r="AB69" s="444">
        <f t="shared" si="11"/>
        <v>5</v>
      </c>
      <c r="AC69" s="139"/>
      <c r="AD69" s="139"/>
      <c r="AE69" s="441"/>
      <c r="AF69" s="441"/>
      <c r="AG69" s="119">
        <f>+IFERROR(AG67/(K67*$AT$3),"")</f>
        <v>0</v>
      </c>
      <c r="AH69" s="162"/>
      <c r="AI69" s="161"/>
      <c r="AJ69" s="161">
        <f t="shared" si="1"/>
        <v>0</v>
      </c>
      <c r="AK69" s="167">
        <f t="shared" si="2"/>
        <v>0</v>
      </c>
      <c r="AL69" s="167"/>
      <c r="AM69" s="230"/>
      <c r="AN69" s="342">
        <f>+$AM$4</f>
        <v>8.25</v>
      </c>
      <c r="AO69" s="340">
        <f>+IF(AN69=7.75,SUM(M69:S69)+T69*0.75,IF(AN69=8,SUM(M69:T69),IF(AN69=7.25,SUM(M69:S69)+T69*0.25,IF(AN69=8.25,SUM(M69:T69)+U69*0.25,IF(AN69=8.75,SUM(M69:T69)+U69*0.75,0)))))</f>
        <v>5</v>
      </c>
      <c r="AP69" s="167">
        <f>+AO69-AB69</f>
        <v>0</v>
      </c>
      <c r="AQ69" s="167"/>
      <c r="AR69" s="167"/>
      <c r="AS69" s="167"/>
      <c r="AT69" s="435"/>
      <c r="AU69" s="393"/>
      <c r="AW69" s="356">
        <v>0.49</v>
      </c>
      <c r="AY69" s="356"/>
    </row>
    <row r="70" spans="2:63" s="98" customFormat="1" ht="58.5" customHeight="1" thickTop="1" x14ac:dyDescent="0.9">
      <c r="B70" s="127">
        <f>+B71</f>
        <v>14</v>
      </c>
      <c r="C70" s="370"/>
      <c r="D70" s="106"/>
      <c r="E70" s="106"/>
      <c r="F70" s="106"/>
      <c r="G70" s="577" t="s">
        <v>456</v>
      </c>
      <c r="H70" s="106"/>
      <c r="I70" s="106"/>
      <c r="J70" s="107" t="s">
        <v>20</v>
      </c>
      <c r="K70" s="108" t="s">
        <v>23</v>
      </c>
      <c r="L70" s="100" t="s">
        <v>21</v>
      </c>
      <c r="M70" s="423">
        <v>208</v>
      </c>
      <c r="N70" s="423">
        <v>120</v>
      </c>
      <c r="O70" s="423">
        <v>120</v>
      </c>
      <c r="P70" s="423">
        <v>60</v>
      </c>
      <c r="Q70" s="423"/>
      <c r="R70" s="423"/>
      <c r="S70" s="423"/>
      <c r="T70" s="423"/>
      <c r="U70" s="423"/>
      <c r="V70" s="423"/>
      <c r="W70" s="423"/>
      <c r="X70" s="135">
        <f t="shared" ref="X70" si="92">IF(AT71="","",SUM(M70:W70)-(-(AT71-SUM(M70:W70))/$AT$3)*SUM($M$2:$W$2))</f>
        <v>508</v>
      </c>
      <c r="Y70" s="438"/>
      <c r="Z70" s="400">
        <v>0</v>
      </c>
      <c r="AA70" s="540">
        <f>+X72</f>
        <v>-184</v>
      </c>
      <c r="AB70" s="135">
        <f t="shared" ref="AB70:AB99" si="93">+SUM(L70:W70)</f>
        <v>508</v>
      </c>
      <c r="AC70" s="136">
        <f>+AD70+AB70</f>
        <v>1386</v>
      </c>
      <c r="AD70" s="136">
        <v>878</v>
      </c>
      <c r="AE70" s="438"/>
      <c r="AF70" s="438"/>
      <c r="AG70" s="109"/>
      <c r="AH70" s="110"/>
      <c r="AI70" s="157"/>
      <c r="AJ70" s="161">
        <f t="shared" si="1"/>
        <v>0</v>
      </c>
      <c r="AK70" s="167">
        <f t="shared" si="2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3" s="98" customFormat="1" ht="58.5" customHeight="1" x14ac:dyDescent="0.9">
      <c r="B71" s="133">
        <v>14</v>
      </c>
      <c r="C71" s="371">
        <f>+B71</f>
        <v>14</v>
      </c>
      <c r="D71" s="372" t="s">
        <v>461</v>
      </c>
      <c r="E71" s="111"/>
      <c r="F71" s="111" t="s">
        <v>447</v>
      </c>
      <c r="G71" s="578" t="str">
        <f t="shared" si="86"/>
        <v>DOT KEYHOLE</v>
      </c>
      <c r="H71" s="450">
        <v>6262</v>
      </c>
      <c r="I71" s="111" t="s">
        <v>252</v>
      </c>
      <c r="J71" s="113">
        <v>36.090000000000003</v>
      </c>
      <c r="K71" s="130">
        <v>80</v>
      </c>
      <c r="L71" s="101" t="s">
        <v>17</v>
      </c>
      <c r="M71" s="214" t="s">
        <v>466</v>
      </c>
      <c r="N71" s="214" t="s">
        <v>466</v>
      </c>
      <c r="O71" s="214" t="s">
        <v>466</v>
      </c>
      <c r="P71" s="214" t="s">
        <v>466</v>
      </c>
      <c r="Q71" s="214" t="s">
        <v>466</v>
      </c>
      <c r="R71" s="214">
        <v>0</v>
      </c>
      <c r="S71" s="214">
        <v>80</v>
      </c>
      <c r="T71" s="214">
        <v>53</v>
      </c>
      <c r="U71" s="214">
        <v>0</v>
      </c>
      <c r="V71" s="424"/>
      <c r="W71" s="424"/>
      <c r="X71" s="123">
        <f t="shared" ref="X71" si="94">+IF(H72="s",0,IF(AB71=0,0,IF(COUNTA(M71:W71)=AN73+0.75,SUMIF($C:$C,B71,$AB:$AB)/AN73,SUMIF($C:$C,B71,$AB:$AB)/(COUNTA(M71:W71)))))</f>
        <v>57.696969696969695</v>
      </c>
      <c r="Y71" s="439"/>
      <c r="Z71" s="400"/>
      <c r="AA71" s="541"/>
      <c r="AB71" s="134">
        <f t="shared" si="93"/>
        <v>133</v>
      </c>
      <c r="AC71" s="137">
        <f>+AB71+AD71</f>
        <v>133</v>
      </c>
      <c r="AD71" s="137">
        <v>0</v>
      </c>
      <c r="AE71" s="439"/>
      <c r="AF71" s="439">
        <f>+AE71+Y71</f>
        <v>0</v>
      </c>
      <c r="AG71" s="140">
        <f>+AC70-AC71</f>
        <v>1253</v>
      </c>
      <c r="AH71" s="131">
        <f>+IF(((AB72+(AB73/2))*60)=0,"",(J71*AB71)/((AB72+(AB73/2))*60))</f>
        <v>0.22463882063882065</v>
      </c>
      <c r="AI71" s="161">
        <f>+AB72+AB73/2</f>
        <v>356.125</v>
      </c>
      <c r="AJ71" s="161">
        <f t="shared" si="1"/>
        <v>356.07499999999999</v>
      </c>
      <c r="AK71" s="167">
        <f t="shared" si="2"/>
        <v>21367.5</v>
      </c>
      <c r="AL71" s="167">
        <f>+AB71*J71</f>
        <v>4799.97</v>
      </c>
      <c r="AM71" s="230">
        <f>+AB71-(AI71*K71/K73)</f>
        <v>-375.75</v>
      </c>
      <c r="AN71" s="339"/>
      <c r="AO71" s="340"/>
      <c r="AP71" s="167"/>
      <c r="AQ71" s="167"/>
      <c r="AR71" s="167"/>
      <c r="AS71" s="167"/>
      <c r="AT71" s="433">
        <f>-600+AB70</f>
        <v>-92</v>
      </c>
      <c r="AU71" s="393">
        <v>1.5</v>
      </c>
      <c r="AW71" s="356">
        <v>878</v>
      </c>
      <c r="AY71" s="356">
        <f t="shared" ref="AY71" si="95">+AW71-AG71</f>
        <v>-375</v>
      </c>
      <c r="BK71" s="137">
        <f>+AC70-H71</f>
        <v>-4876</v>
      </c>
    </row>
    <row r="72" spans="2:63" s="98" customFormat="1" ht="58.5" customHeight="1" x14ac:dyDescent="0.9">
      <c r="B72" s="125">
        <f>+B71</f>
        <v>14</v>
      </c>
      <c r="C72" s="373"/>
      <c r="D72" s="184"/>
      <c r="E72" s="111">
        <f>+B71</f>
        <v>14</v>
      </c>
      <c r="F72" s="374"/>
      <c r="G72" s="578" t="str">
        <f t="shared" si="86"/>
        <v>DOT KEYHOLE</v>
      </c>
      <c r="H72" s="376"/>
      <c r="I72" s="113">
        <f>+IFERROR(IF(K73=0,0,IF((LOOKUP(2,1/(M72:W72&lt;&gt;""),M72:W72)-K73)&lt;0,0,IF(K73=0,"",LOOKUP(2,1/(M72:W72&lt;&gt;""),M72:W72)-K73))),0)</f>
        <v>2</v>
      </c>
      <c r="J72" s="113"/>
      <c r="K72" s="114" t="s">
        <v>22</v>
      </c>
      <c r="L72" s="102" t="s">
        <v>18</v>
      </c>
      <c r="M72" s="425">
        <v>23</v>
      </c>
      <c r="N72" s="425">
        <v>28</v>
      </c>
      <c r="O72" s="425">
        <v>33</v>
      </c>
      <c r="P72" s="425">
        <v>38</v>
      </c>
      <c r="Q72" s="425">
        <v>48</v>
      </c>
      <c r="R72" s="425">
        <v>54</v>
      </c>
      <c r="S72" s="425">
        <v>58</v>
      </c>
      <c r="T72" s="425">
        <v>58</v>
      </c>
      <c r="U72" s="425">
        <v>58</v>
      </c>
      <c r="V72" s="426"/>
      <c r="W72" s="426"/>
      <c r="X72" s="160">
        <f t="shared" ref="X72" si="96">+IF(H72="l",IF(COUNTA(M71:W71)=AN73+0.75,AB71-K71*AN73,AB71-(K71*COUNTA(M71:W71))),IF(H72="s",0,IF(COUNTA(M71:W71)=AN73+0.75,SUMIF($C:$C,B71,$AB:$AB)-K71*AN73,SUMIF($C:$C,B71,$AB:$AB)-K71*COUNTA(M71:W71))))</f>
        <v>-184</v>
      </c>
      <c r="Y72" s="440"/>
      <c r="Z72" s="400"/>
      <c r="AA72" s="541"/>
      <c r="AB72" s="443">
        <f t="shared" ref="AB72" si="97">+SUM(M72:W72)-U72*0.75</f>
        <v>354.5</v>
      </c>
      <c r="AC72" s="341"/>
      <c r="AD72" s="341"/>
      <c r="AE72" s="440"/>
      <c r="AF72" s="440"/>
      <c r="AG72" s="115"/>
      <c r="AH72" s="116"/>
      <c r="AI72" s="157"/>
      <c r="AJ72" s="161">
        <f t="shared" si="1"/>
        <v>0</v>
      </c>
      <c r="AK72" s="167">
        <f t="shared" si="2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354.5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3" s="98" customFormat="1" ht="58.5" customHeight="1" thickBot="1" x14ac:dyDescent="0.95">
      <c r="B73" s="126">
        <f>+B71</f>
        <v>14</v>
      </c>
      <c r="C73" s="375"/>
      <c r="D73" s="174" t="s">
        <v>454</v>
      </c>
      <c r="E73" s="175">
        <f>+E72+100</f>
        <v>114</v>
      </c>
      <c r="F73" s="175"/>
      <c r="G73" s="579" t="str">
        <f t="shared" si="86"/>
        <v>DOT KEYHOLE</v>
      </c>
      <c r="H73" s="117"/>
      <c r="I73" s="397"/>
      <c r="J73" s="165">
        <f>+IF(K73="","",IF(K71=0,"",(K71*J71)/(K73*60)))</f>
        <v>0.85928571428571432</v>
      </c>
      <c r="K73" s="118">
        <v>56</v>
      </c>
      <c r="L73" s="104" t="s">
        <v>19</v>
      </c>
      <c r="M73" s="427"/>
      <c r="N73" s="427"/>
      <c r="O73" s="427"/>
      <c r="P73" s="427"/>
      <c r="Q73" s="427"/>
      <c r="R73" s="427">
        <v>1</v>
      </c>
      <c r="S73" s="427">
        <v>1</v>
      </c>
      <c r="T73" s="427">
        <v>1</v>
      </c>
      <c r="U73" s="427">
        <v>1</v>
      </c>
      <c r="V73" s="428"/>
      <c r="W73" s="428"/>
      <c r="X73" s="173"/>
      <c r="Y73" s="441"/>
      <c r="Z73" s="401"/>
      <c r="AA73" s="168"/>
      <c r="AB73" s="444">
        <f t="shared" si="11"/>
        <v>3.25</v>
      </c>
      <c r="AC73" s="139"/>
      <c r="AD73" s="139"/>
      <c r="AE73" s="441"/>
      <c r="AF73" s="441"/>
      <c r="AG73" s="119">
        <f>+IFERROR(AG71/(K71*$AT$3),"")</f>
        <v>1.79</v>
      </c>
      <c r="AH73" s="162"/>
      <c r="AI73" s="161"/>
      <c r="AJ73" s="161">
        <f t="shared" si="1"/>
        <v>0</v>
      </c>
      <c r="AK73" s="167">
        <f t="shared" si="2"/>
        <v>0</v>
      </c>
      <c r="AL73" s="167"/>
      <c r="AM73" s="230"/>
      <c r="AN73" s="342">
        <f>+$AM$4</f>
        <v>8.25</v>
      </c>
      <c r="AO73" s="340">
        <f>+IF(AN73=7.75,SUM(M73:S73)+T73*0.75,IF(AN73=8,SUM(M73:T73),IF(AN73=7.25,SUM(M73:S73)+T73*0.25,IF(AN73=8.25,SUM(M73:T73)+U73*0.25,IF(AN73=8.75,SUM(M73:T73)+U73*0.75,0)))))</f>
        <v>3.25</v>
      </c>
      <c r="AP73" s="167">
        <f>+AO73-AB73</f>
        <v>0</v>
      </c>
      <c r="AQ73" s="167"/>
      <c r="AR73" s="167"/>
      <c r="AS73" s="167"/>
      <c r="AT73" s="435"/>
      <c r="AU73" s="393"/>
      <c r="AW73" s="356">
        <v>1.2542857142857142</v>
      </c>
      <c r="AY73" s="356"/>
    </row>
    <row r="74" spans="2:63" s="98" customFormat="1" ht="62.25" customHeight="1" thickTop="1" x14ac:dyDescent="0.9">
      <c r="B74" s="97">
        <f>+B75</f>
        <v>15</v>
      </c>
      <c r="C74" s="370"/>
      <c r="D74" s="106"/>
      <c r="E74" s="106"/>
      <c r="F74" s="106"/>
      <c r="G74" s="577" t="s">
        <v>431</v>
      </c>
      <c r="H74" s="106"/>
      <c r="I74" s="106"/>
      <c r="J74" s="107" t="s">
        <v>20</v>
      </c>
      <c r="K74" s="108" t="s">
        <v>23</v>
      </c>
      <c r="L74" s="100" t="s">
        <v>21</v>
      </c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135" t="str">
        <f t="shared" ref="X74" si="98">IF(AT75="","",SUM(M74:W74)-(-(AT75-SUM(M74:W74))/$AT$3)*SUM($M$2:$W$2))</f>
        <v/>
      </c>
      <c r="Y74" s="438"/>
      <c r="Z74" s="400">
        <v>-266.25</v>
      </c>
      <c r="AA74" s="540">
        <f>+X76</f>
        <v>0</v>
      </c>
      <c r="AB74" s="135">
        <f t="shared" si="93"/>
        <v>0</v>
      </c>
      <c r="AC74" s="136">
        <f>+AD74+AB74</f>
        <v>6971</v>
      </c>
      <c r="AD74" s="136">
        <v>6971</v>
      </c>
      <c r="AE74" s="438"/>
      <c r="AF74" s="438"/>
      <c r="AG74" s="109"/>
      <c r="AH74" s="110"/>
      <c r="AI74" s="157"/>
      <c r="AJ74" s="161">
        <f t="shared" si="1"/>
        <v>0</v>
      </c>
      <c r="AK74" s="167">
        <f t="shared" si="2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3" s="98" customFormat="1" ht="62.25" customHeight="1" x14ac:dyDescent="1.35">
      <c r="B75" s="132">
        <v>15</v>
      </c>
      <c r="C75" s="371">
        <f>+B75</f>
        <v>15</v>
      </c>
      <c r="D75" s="372" t="s">
        <v>430</v>
      </c>
      <c r="E75" s="111"/>
      <c r="F75" s="111" t="s">
        <v>35</v>
      </c>
      <c r="G75" s="578" t="str">
        <f>+G74</f>
        <v xml:space="preserve">2878-556-700 </v>
      </c>
      <c r="H75" s="450">
        <v>7000</v>
      </c>
      <c r="I75" s="111" t="s">
        <v>251</v>
      </c>
      <c r="J75" s="113">
        <v>36.65</v>
      </c>
      <c r="K75" s="130">
        <v>75</v>
      </c>
      <c r="L75" s="101" t="s">
        <v>17</v>
      </c>
      <c r="M75" s="214">
        <v>40</v>
      </c>
      <c r="N75" s="214">
        <v>35</v>
      </c>
      <c r="O75" s="214">
        <v>30</v>
      </c>
      <c r="P75" s="214">
        <v>30</v>
      </c>
      <c r="Q75" s="214"/>
      <c r="R75" s="214"/>
      <c r="S75" s="214"/>
      <c r="T75" s="214"/>
      <c r="U75" s="214"/>
      <c r="V75" s="424"/>
      <c r="W75" s="424"/>
      <c r="X75" s="123">
        <f t="shared" ref="X75" si="99">+IF(H76="s",0,IF(AB75=0,0,IF(COUNTA(M75:W75)=AN77+0.75,SUMIF($C:$C,B75,$AB:$AB)/AN77,SUMIF($C:$C,B75,$AB:$AB)/(COUNTA(M75:W75)))))</f>
        <v>0</v>
      </c>
      <c r="Y75" s="439"/>
      <c r="Z75" s="400"/>
      <c r="AA75" s="541"/>
      <c r="AB75" s="134">
        <f t="shared" si="93"/>
        <v>135</v>
      </c>
      <c r="AC75" s="137">
        <f>+AB75+AD75</f>
        <v>6962</v>
      </c>
      <c r="AD75" s="137">
        <v>6827</v>
      </c>
      <c r="AE75" s="439">
        <v>0</v>
      </c>
      <c r="AF75" s="439">
        <f>+AE75+Y75</f>
        <v>0</v>
      </c>
      <c r="AG75" s="140">
        <f>+AC74-AC75</f>
        <v>9</v>
      </c>
      <c r="AH75" s="131">
        <f>+IF(((AB76+(AB77/2))*60)=0,"",(J75*AB75)/((AB76+(AB77/2))*60))</f>
        <v>4.5812499999999998</v>
      </c>
      <c r="AI75" s="161">
        <f>+AB76+AB77/2</f>
        <v>18</v>
      </c>
      <c r="AJ75" s="161">
        <f t="shared" si="1"/>
        <v>18</v>
      </c>
      <c r="AK75" s="167">
        <f t="shared" si="2"/>
        <v>1080</v>
      </c>
      <c r="AL75" s="167">
        <f>+AB75*J75</f>
        <v>4947.75</v>
      </c>
      <c r="AM75" s="230">
        <f>+AB75-(AI75*K75/K77)</f>
        <v>108</v>
      </c>
      <c r="AN75" s="339"/>
      <c r="AO75" s="340"/>
      <c r="AP75" s="167"/>
      <c r="AQ75" s="167"/>
      <c r="AR75" s="167"/>
      <c r="AS75" s="167"/>
      <c r="AT75" s="433" t="str">
        <f t="shared" ref="AT75" si="100">IF(AU75=0,"",AW75-(($AT$3*K75)+($AT$3*K75)*AU75)+AB74)</f>
        <v/>
      </c>
      <c r="AU75" s="393"/>
      <c r="AW75" s="356">
        <v>144</v>
      </c>
      <c r="AY75" s="356">
        <f t="shared" ref="AY75" si="101">+AW75-AG75</f>
        <v>135</v>
      </c>
      <c r="AZ75" s="581"/>
      <c r="BA75" s="581"/>
      <c r="BB75" s="581"/>
      <c r="BC75" s="581"/>
      <c r="BD75" s="581"/>
      <c r="BE75" s="581"/>
      <c r="BF75" s="581"/>
      <c r="BG75" s="581"/>
      <c r="BH75" s="581"/>
      <c r="BI75" s="581"/>
      <c r="BK75" s="137">
        <f>+AC74-H75</f>
        <v>-29</v>
      </c>
    </row>
    <row r="76" spans="2:63" s="98" customFormat="1" ht="62.25" customHeight="1" x14ac:dyDescent="0.9">
      <c r="B76" s="125">
        <f>+B75</f>
        <v>15</v>
      </c>
      <c r="C76" s="373"/>
      <c r="D76" s="184"/>
      <c r="E76" s="111">
        <f>+B75</f>
        <v>15</v>
      </c>
      <c r="F76" s="377"/>
      <c r="G76" s="578" t="str">
        <f>+G75</f>
        <v xml:space="preserve">2878-556-700 </v>
      </c>
      <c r="H76" s="376" t="s">
        <v>465</v>
      </c>
      <c r="I76" s="113">
        <f>+IFERROR(IF(K77=0,0,IF((LOOKUP(2,1/(M76:W76&lt;&gt;""),M76:W76)-K77)&lt;0,0,IF(K77=0,"",LOOKUP(2,1/(M76:W76&lt;&gt;""),M76:W76)-K77))),0)</f>
        <v>0</v>
      </c>
      <c r="J76" s="113">
        <v>1</v>
      </c>
      <c r="K76" s="114" t="s">
        <v>22</v>
      </c>
      <c r="L76" s="102" t="s">
        <v>18</v>
      </c>
      <c r="M76" s="425">
        <v>7</v>
      </c>
      <c r="N76" s="425">
        <v>5</v>
      </c>
      <c r="O76" s="425">
        <v>4</v>
      </c>
      <c r="P76" s="425">
        <v>2</v>
      </c>
      <c r="Q76" s="425"/>
      <c r="R76" s="425"/>
      <c r="S76" s="425"/>
      <c r="T76" s="425"/>
      <c r="U76" s="425"/>
      <c r="V76" s="426"/>
      <c r="W76" s="426"/>
      <c r="X76" s="160">
        <f t="shared" ref="X76" si="102">+IF(H76="l",IF(COUNTA(M75:W75)=AN77+0.75,AB75-K75*AN77,AB75-(K75*COUNTA(M75:W75))),IF(H76="s",0,IF(COUNTA(M75:W75)=AN77+0.75,SUMIF($C:$C,B75,$AB:$AB)-K75*AN77,SUMIF($C:$C,B75,$AB:$AB)-K75*COUNTA(M75:W75))))</f>
        <v>0</v>
      </c>
      <c r="Y76" s="440"/>
      <c r="Z76" s="400"/>
      <c r="AA76" s="541"/>
      <c r="AB76" s="443">
        <f t="shared" ref="AB76" si="103">+SUM(M76:W76)-U76*0.75</f>
        <v>18</v>
      </c>
      <c r="AC76" s="341"/>
      <c r="AD76" s="341"/>
      <c r="AE76" s="440"/>
      <c r="AF76" s="440"/>
      <c r="AG76" s="115"/>
      <c r="AH76" s="116"/>
      <c r="AI76" s="157"/>
      <c r="AJ76" s="161">
        <f t="shared" si="1"/>
        <v>0</v>
      </c>
      <c r="AK76" s="167">
        <f t="shared" si="2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18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3" s="98" customFormat="1" ht="62.25" customHeight="1" thickBot="1" x14ac:dyDescent="0.95">
      <c r="B77" s="126">
        <f>+B75</f>
        <v>15</v>
      </c>
      <c r="C77" s="375"/>
      <c r="D77" s="174" t="s">
        <v>93</v>
      </c>
      <c r="E77" s="175">
        <f>+E76+100</f>
        <v>115</v>
      </c>
      <c r="F77" s="175"/>
      <c r="G77" s="579" t="str">
        <f>+G76</f>
        <v xml:space="preserve">2878-556-700 </v>
      </c>
      <c r="H77" s="117"/>
      <c r="I77" s="397"/>
      <c r="J77" s="165">
        <f>+IF(K77="","",IF(K75=0,"",(K75*J75)/(K77*60)))</f>
        <v>0.91625000000000001</v>
      </c>
      <c r="K77" s="118">
        <v>50</v>
      </c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401">
        <v>30.456733333333339</v>
      </c>
      <c r="AA77" s="401">
        <v>30.456733333333339</v>
      </c>
      <c r="AB77" s="444">
        <f t="shared" ref="AB77:AB101" si="104">+SUM(M77:W77)-U77*0.75</f>
        <v>0</v>
      </c>
      <c r="AC77" s="139"/>
      <c r="AD77" s="139"/>
      <c r="AE77" s="441"/>
      <c r="AF77" s="441"/>
      <c r="AG77" s="119">
        <f>+IFERROR(AG75/(K75*$AT$3),"")</f>
        <v>1.3714285714285714E-2</v>
      </c>
      <c r="AH77" s="162"/>
      <c r="AI77" s="161"/>
      <c r="AJ77" s="161">
        <f t="shared" si="1"/>
        <v>0</v>
      </c>
      <c r="AK77" s="167">
        <f t="shared" si="2"/>
        <v>0</v>
      </c>
      <c r="AL77" s="167"/>
      <c r="AM77" s="230"/>
      <c r="AN77" s="342">
        <f>+$AM$4</f>
        <v>8.25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>
        <v>0.21942857142857142</v>
      </c>
      <c r="AY77" s="356"/>
    </row>
    <row r="78" spans="2:63" s="98" customFormat="1" ht="62.25" customHeight="1" thickTop="1" x14ac:dyDescent="0.9">
      <c r="B78" s="97">
        <f>+B79</f>
        <v>15</v>
      </c>
      <c r="C78" s="370"/>
      <c r="D78" s="106"/>
      <c r="E78" s="106"/>
      <c r="F78" s="106"/>
      <c r="G78" s="577" t="s">
        <v>440</v>
      </c>
      <c r="H78" s="106"/>
      <c r="I78" s="106"/>
      <c r="J78" s="107" t="s">
        <v>20</v>
      </c>
      <c r="K78" s="108" t="s">
        <v>23</v>
      </c>
      <c r="L78" s="100" t="s">
        <v>21</v>
      </c>
      <c r="M78" s="423">
        <v>75</v>
      </c>
      <c r="N78" s="423">
        <v>75</v>
      </c>
      <c r="O78" s="423">
        <v>75</v>
      </c>
      <c r="P78" s="423">
        <v>75</v>
      </c>
      <c r="Q78" s="423"/>
      <c r="R78" s="423"/>
      <c r="S78" s="423"/>
      <c r="T78" s="423"/>
      <c r="U78" s="423"/>
      <c r="V78" s="423"/>
      <c r="W78" s="423"/>
      <c r="X78" s="135">
        <f t="shared" ref="X78" si="105">IF(AT79="","",SUM(M78:W78)-(-(AT79-SUM(M78:W78))/$AT$3)*SUM($M$2:$W$2))</f>
        <v>300</v>
      </c>
      <c r="Y78" s="438"/>
      <c r="Z78" s="400">
        <v>0</v>
      </c>
      <c r="AA78" s="540">
        <f>+X80</f>
        <v>-260</v>
      </c>
      <c r="AB78" s="135">
        <f t="shared" si="93"/>
        <v>300</v>
      </c>
      <c r="AC78" s="136">
        <f>+AD78+AB78</f>
        <v>1051</v>
      </c>
      <c r="AD78" s="136">
        <v>751</v>
      </c>
      <c r="AE78" s="438"/>
      <c r="AF78" s="438"/>
      <c r="AG78" s="109"/>
      <c r="AH78" s="110"/>
      <c r="AI78" s="157"/>
      <c r="AJ78" s="161">
        <f t="shared" si="1"/>
        <v>0</v>
      </c>
      <c r="AK78" s="167">
        <f t="shared" si="2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3" s="98" customFormat="1" ht="62.25" customHeight="1" x14ac:dyDescent="1.35">
      <c r="B79" s="132">
        <v>15</v>
      </c>
      <c r="C79" s="371">
        <f>+B79</f>
        <v>15</v>
      </c>
      <c r="D79" s="372" t="s">
        <v>439</v>
      </c>
      <c r="E79" s="111"/>
      <c r="F79" s="111" t="s">
        <v>35</v>
      </c>
      <c r="G79" s="578" t="str">
        <f>+G78</f>
        <v>7740-876-052</v>
      </c>
      <c r="H79" s="450">
        <v>7700</v>
      </c>
      <c r="I79" s="111" t="s">
        <v>33</v>
      </c>
      <c r="J79" s="113">
        <v>55.78</v>
      </c>
      <c r="K79" s="130">
        <v>52</v>
      </c>
      <c r="L79" s="101" t="s">
        <v>17</v>
      </c>
      <c r="M79" s="214"/>
      <c r="N79" s="214"/>
      <c r="O79" s="214"/>
      <c r="P79" s="214"/>
      <c r="Q79" s="214">
        <v>0</v>
      </c>
      <c r="R79" s="214">
        <v>0</v>
      </c>
      <c r="S79" s="214">
        <v>0</v>
      </c>
      <c r="T79" s="214">
        <v>0</v>
      </c>
      <c r="U79" s="214">
        <v>0</v>
      </c>
      <c r="V79" s="424"/>
      <c r="W79" s="424"/>
      <c r="X79" s="123">
        <f t="shared" ref="X79" si="106">+IF(H80="s",0,IF(AB79=0,0,IF(COUNTA(M79:W79)=AN81+0.75,SUMIF($C:$C,B79,$AB:$AB)/AN81,SUMIF($C:$C,B79,$AB:$AB)/(COUNTA(M79:W79)))))</f>
        <v>0</v>
      </c>
      <c r="Y79" s="439"/>
      <c r="Z79" s="400"/>
      <c r="AA79" s="541"/>
      <c r="AB79" s="134">
        <f t="shared" si="93"/>
        <v>0</v>
      </c>
      <c r="AC79" s="137">
        <f>+AB79+AD79</f>
        <v>0</v>
      </c>
      <c r="AD79" s="137">
        <v>0</v>
      </c>
      <c r="AE79" s="439">
        <v>0</v>
      </c>
      <c r="AF79" s="439">
        <f>+AE79+Y79</f>
        <v>0</v>
      </c>
      <c r="AG79" s="140">
        <f>+AC78-AC79</f>
        <v>1051</v>
      </c>
      <c r="AH79" s="131">
        <f>+IF(((AB80+(AB81/2))*60)=0,"",(J79*AB79)/((AB80+(AB81/2))*60))</f>
        <v>0</v>
      </c>
      <c r="AI79" s="161">
        <f>+AB80+AB81/2</f>
        <v>411</v>
      </c>
      <c r="AJ79" s="161">
        <f t="shared" si="1"/>
        <v>411</v>
      </c>
      <c r="AK79" s="167">
        <f t="shared" si="2"/>
        <v>24660</v>
      </c>
      <c r="AL79" s="167">
        <f>+AB79*J79</f>
        <v>0</v>
      </c>
      <c r="AM79" s="230">
        <f>+AB79-(AI79*K79/K81)</f>
        <v>-381.64285714285717</v>
      </c>
      <c r="AN79" s="339"/>
      <c r="AO79" s="340"/>
      <c r="AP79" s="167"/>
      <c r="AQ79" s="167"/>
      <c r="AR79" s="167"/>
      <c r="AS79" s="167"/>
      <c r="AT79" s="433">
        <f>-300+AB78</f>
        <v>0</v>
      </c>
      <c r="AU79" s="393">
        <v>1.5</v>
      </c>
      <c r="AW79" s="356">
        <v>751</v>
      </c>
      <c r="AY79" s="356">
        <f t="shared" ref="AY79" si="107">+AW79-AG79</f>
        <v>-300</v>
      </c>
      <c r="AZ79" s="581"/>
      <c r="BA79" s="581"/>
      <c r="BB79" s="581"/>
      <c r="BC79" s="581"/>
      <c r="BD79" s="581"/>
      <c r="BE79" s="581"/>
      <c r="BF79" s="581"/>
      <c r="BG79" s="581"/>
      <c r="BH79" s="581"/>
      <c r="BI79" s="581"/>
      <c r="BK79" s="137">
        <f>+AC78-H79</f>
        <v>-6649</v>
      </c>
    </row>
    <row r="80" spans="2:63" s="98" customFormat="1" ht="62.25" customHeight="1" x14ac:dyDescent="0.9">
      <c r="B80" s="125">
        <f>+B79</f>
        <v>15</v>
      </c>
      <c r="C80" s="373"/>
      <c r="D80" s="184"/>
      <c r="E80" s="111">
        <f>+B79</f>
        <v>15</v>
      </c>
      <c r="F80" s="377"/>
      <c r="G80" s="578" t="str">
        <f>+G79</f>
        <v>7740-876-052</v>
      </c>
      <c r="H80" s="376" t="s">
        <v>399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45</v>
      </c>
      <c r="N80" s="425">
        <v>47</v>
      </c>
      <c r="O80" s="425">
        <v>48</v>
      </c>
      <c r="P80" s="425">
        <v>50</v>
      </c>
      <c r="Q80" s="425">
        <v>52</v>
      </c>
      <c r="R80" s="425">
        <v>52</v>
      </c>
      <c r="S80" s="425">
        <v>52</v>
      </c>
      <c r="T80" s="425">
        <v>52</v>
      </c>
      <c r="U80" s="425">
        <v>52</v>
      </c>
      <c r="V80" s="426"/>
      <c r="W80" s="426"/>
      <c r="X80" s="160">
        <f t="shared" ref="X80" si="108">+IF(H80="l",IF(COUNTA(M79:W79)=AN81+0.75,AB79-K79*AN81,AB79-(K79*COUNTA(M79:W79))),IF(H80="s",0,IF(COUNTA(M79:W79)=AN81+0.75,SUMIF($C:$C,B79,$AB:$AB)-K79*AN81,SUMIF($C:$C,B79,$AB:$AB)-K79*COUNTA(M79:W79))))</f>
        <v>-260</v>
      </c>
      <c r="Y80" s="440"/>
      <c r="Z80" s="400"/>
      <c r="AA80" s="541"/>
      <c r="AB80" s="443">
        <f t="shared" ref="AB80" si="109">+SUM(M80:W80)-U80*0.75</f>
        <v>411</v>
      </c>
      <c r="AC80" s="341"/>
      <c r="AD80" s="341"/>
      <c r="AE80" s="440"/>
      <c r="AF80" s="440"/>
      <c r="AG80" s="115"/>
      <c r="AH80" s="116"/>
      <c r="AI80" s="157"/>
      <c r="AJ80" s="161">
        <f t="shared" si="1"/>
        <v>0</v>
      </c>
      <c r="AK80" s="167">
        <f t="shared" si="2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411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63" s="98" customFormat="1" ht="62.25" customHeight="1" thickBot="1" x14ac:dyDescent="0.95">
      <c r="B81" s="126">
        <f>+B79</f>
        <v>15</v>
      </c>
      <c r="C81" s="375"/>
      <c r="D81" s="174" t="s">
        <v>93</v>
      </c>
      <c r="E81" s="175">
        <f>+E80+100</f>
        <v>115</v>
      </c>
      <c r="F81" s="175"/>
      <c r="G81" s="579" t="str">
        <f>+G80</f>
        <v>7740-876-052</v>
      </c>
      <c r="H81" s="117"/>
      <c r="I81" s="397"/>
      <c r="J81" s="165">
        <f>+IF(K81="","",IF(K79=0,"",(K79*J79)/(K81*60)))</f>
        <v>0.86326190476190479</v>
      </c>
      <c r="K81" s="118">
        <v>56</v>
      </c>
      <c r="L81" s="104" t="s">
        <v>19</v>
      </c>
      <c r="M81" s="427"/>
      <c r="N81" s="427"/>
      <c r="O81" s="427"/>
      <c r="P81" s="427"/>
      <c r="Q81" s="427"/>
      <c r="R81" s="427"/>
      <c r="S81" s="427"/>
      <c r="T81" s="427"/>
      <c r="U81" s="427"/>
      <c r="V81" s="428"/>
      <c r="W81" s="428"/>
      <c r="X81" s="173"/>
      <c r="Y81" s="441"/>
      <c r="Z81" s="401">
        <v>0</v>
      </c>
      <c r="AA81" s="168">
        <f>+IF(COUNTA(M79:W79)=$AM$4+0.25,$AM$4-(AB79/K79),COUNTA(M79:W79)-(AB79/K79))+Z81</f>
        <v>5</v>
      </c>
      <c r="AB81" s="444">
        <f t="shared" si="104"/>
        <v>0</v>
      </c>
      <c r="AC81" s="139"/>
      <c r="AD81" s="139"/>
      <c r="AE81" s="441"/>
      <c r="AF81" s="441"/>
      <c r="AG81" s="119">
        <f>+IFERROR(AG79/(K79*$AT$3),"")</f>
        <v>2.3098901098901097</v>
      </c>
      <c r="AH81" s="162"/>
      <c r="AI81" s="161"/>
      <c r="AJ81" s="161">
        <f t="shared" si="1"/>
        <v>0</v>
      </c>
      <c r="AK81" s="167">
        <f t="shared" si="2"/>
        <v>0</v>
      </c>
      <c r="AL81" s="167"/>
      <c r="AM81" s="230"/>
      <c r="AN81" s="342">
        <f>+$AM$4</f>
        <v>8.25</v>
      </c>
      <c r="AO81" s="340">
        <f>+IF(AN81=7.75,SUM(M81:S81)+T81*0.75,IF(AN81=8,SUM(M81:T81),IF(AN81=7.25,SUM(M81:S81)+T81*0.25,IF(AN81=8.25,SUM(M81:T81)+U81*0.25,IF(AN81=8.75,SUM(M81:T81)+U81*0.75,0)))))</f>
        <v>0</v>
      </c>
      <c r="AP81" s="167">
        <f>+AO81-AB81</f>
        <v>0</v>
      </c>
      <c r="AQ81" s="167"/>
      <c r="AR81" s="167"/>
      <c r="AS81" s="167"/>
      <c r="AT81" s="435"/>
      <c r="AU81" s="393"/>
      <c r="AW81" s="356">
        <v>1.6505494505494505</v>
      </c>
      <c r="AY81" s="356"/>
    </row>
    <row r="82" spans="2:63" s="98" customFormat="1" ht="62.25" customHeight="1" thickTop="1" x14ac:dyDescent="0.9">
      <c r="B82" s="127">
        <f>+B83</f>
        <v>16</v>
      </c>
      <c r="C82" s="370"/>
      <c r="D82" s="106"/>
      <c r="E82" s="106"/>
      <c r="F82" s="106"/>
      <c r="G82" s="577" t="s">
        <v>450</v>
      </c>
      <c r="H82" s="106"/>
      <c r="I82" s="106"/>
      <c r="J82" s="107" t="s">
        <v>20</v>
      </c>
      <c r="K82" s="108" t="s">
        <v>23</v>
      </c>
      <c r="L82" s="100" t="s">
        <v>21</v>
      </c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23"/>
      <c r="X82" s="135" t="str">
        <f t="shared" ref="X82" si="110">IF(AT83="","",SUM(M82:W82)-(-(AT83-SUM(M82:W82))/$AT$3)*SUM($M$2:$W$2))</f>
        <v/>
      </c>
      <c r="Y82" s="438"/>
      <c r="Z82" s="400">
        <v>0.75</v>
      </c>
      <c r="AA82" s="540">
        <f>+X84</f>
        <v>0.25</v>
      </c>
      <c r="AB82" s="135">
        <f t="shared" si="93"/>
        <v>0</v>
      </c>
      <c r="AC82" s="136">
        <f>+AD82+AB82</f>
        <v>3528</v>
      </c>
      <c r="AD82" s="136">
        <v>3528</v>
      </c>
      <c r="AE82" s="438"/>
      <c r="AF82" s="438"/>
      <c r="AG82" s="109"/>
      <c r="AH82" s="110"/>
      <c r="AI82" s="157"/>
      <c r="AJ82" s="161">
        <f t="shared" si="1"/>
        <v>0</v>
      </c>
      <c r="AK82" s="167">
        <f t="shared" si="2"/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63" s="98" customFormat="1" ht="62.25" customHeight="1" x14ac:dyDescent="0.9">
      <c r="B83" s="133">
        <v>16</v>
      </c>
      <c r="C83" s="371">
        <f>+B83</f>
        <v>16</v>
      </c>
      <c r="D83" s="372" t="s">
        <v>449</v>
      </c>
      <c r="E83" s="111"/>
      <c r="F83" s="111" t="s">
        <v>422</v>
      </c>
      <c r="G83" s="578" t="str">
        <f>+G82</f>
        <v>PIANO-PURPLE</v>
      </c>
      <c r="H83" s="450">
        <v>5683</v>
      </c>
      <c r="I83" s="111" t="s">
        <v>451</v>
      </c>
      <c r="J83" s="113">
        <v>33.86</v>
      </c>
      <c r="K83" s="130">
        <v>75</v>
      </c>
      <c r="L83" s="101" t="s">
        <v>17</v>
      </c>
      <c r="M83" s="214">
        <v>75</v>
      </c>
      <c r="N83" s="214">
        <v>75</v>
      </c>
      <c r="O83" s="214">
        <v>75</v>
      </c>
      <c r="P83" s="214">
        <v>75</v>
      </c>
      <c r="Q83" s="214">
        <v>75</v>
      </c>
      <c r="R83" s="214">
        <v>75</v>
      </c>
      <c r="S83" s="214">
        <v>75</v>
      </c>
      <c r="T83" s="214">
        <v>70</v>
      </c>
      <c r="U83" s="214">
        <v>24</v>
      </c>
      <c r="V83" s="424"/>
      <c r="W83" s="424"/>
      <c r="X83" s="123">
        <f t="shared" ref="X83" si="111">+IF(H84="s",0,IF(AB83=0,0,IF(COUNTA(M83:W83)=AN85+0.75,SUMIF($C:$C,B83,$AB:$AB)/AN85,SUMIF($C:$C,B83,$AB:$AB)/(COUNTA(M83:W83)))))</f>
        <v>75.030303030303031</v>
      </c>
      <c r="Y83" s="439"/>
      <c r="Z83" s="400"/>
      <c r="AA83" s="541"/>
      <c r="AB83" s="134">
        <f t="shared" si="93"/>
        <v>619</v>
      </c>
      <c r="AC83" s="137">
        <f>+AB83+AD83</f>
        <v>3396</v>
      </c>
      <c r="AD83" s="137">
        <v>2777</v>
      </c>
      <c r="AE83" s="439"/>
      <c r="AF83" s="439">
        <f>+AE83+Y83</f>
        <v>0</v>
      </c>
      <c r="AG83" s="140">
        <f>+AC82-AC83</f>
        <v>132</v>
      </c>
      <c r="AH83" s="131">
        <f>+IF(((AB84+(AB85/2))*60)=0,"",(J83*AB83)/((AB84+(AB85/2))*60))</f>
        <v>4.2342101010101008</v>
      </c>
      <c r="AI83" s="161">
        <f>+AB84+AB85/2</f>
        <v>82.5</v>
      </c>
      <c r="AJ83" s="161">
        <f t="shared" si="1"/>
        <v>82.3</v>
      </c>
      <c r="AK83" s="167">
        <f t="shared" si="2"/>
        <v>4950</v>
      </c>
      <c r="AL83" s="167">
        <f>+AB83*J83</f>
        <v>20959.34</v>
      </c>
      <c r="AM83" s="230">
        <f>+AB83-(AI83*K83/K85)</f>
        <v>500.00961538461536</v>
      </c>
      <c r="AN83" s="339"/>
      <c r="AO83" s="340"/>
      <c r="AP83" s="167"/>
      <c r="AQ83" s="167"/>
      <c r="AR83" s="167"/>
      <c r="AS83" s="167"/>
      <c r="AT83" s="433" t="str">
        <f t="shared" ref="AT83" si="112">IF(AU83=0,"",AW83-(($AT$3*K83)+($AT$3*K83)*AU83)+AB82)</f>
        <v/>
      </c>
      <c r="AU83" s="393"/>
      <c r="AW83" s="356">
        <v>751</v>
      </c>
      <c r="AY83" s="356">
        <f t="shared" ref="AY83" si="113">+AW83-AG83</f>
        <v>619</v>
      </c>
      <c r="AZ83" s="580"/>
      <c r="BA83" s="580"/>
      <c r="BB83" s="580"/>
      <c r="BC83" s="580"/>
      <c r="BD83" s="580"/>
      <c r="BE83" s="580"/>
      <c r="BF83" s="580"/>
      <c r="BG83" s="580"/>
      <c r="BH83" s="580"/>
      <c r="BI83" s="580"/>
      <c r="BJ83" s="580"/>
      <c r="BK83" s="137"/>
    </row>
    <row r="84" spans="2:63" s="98" customFormat="1" ht="62.25" customHeight="1" x14ac:dyDescent="0.9">
      <c r="B84" s="125">
        <f>+B83</f>
        <v>16</v>
      </c>
      <c r="C84" s="373"/>
      <c r="D84" s="184"/>
      <c r="E84" s="111">
        <f>+B83</f>
        <v>16</v>
      </c>
      <c r="F84" s="374"/>
      <c r="G84" s="578" t="str">
        <f>+G82</f>
        <v>PIANO-PURPLE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>
        <v>1</v>
      </c>
      <c r="K84" s="114" t="s">
        <v>22</v>
      </c>
      <c r="L84" s="102" t="s">
        <v>18</v>
      </c>
      <c r="M84" s="425">
        <v>10</v>
      </c>
      <c r="N84" s="425">
        <v>10</v>
      </c>
      <c r="O84" s="425">
        <v>10</v>
      </c>
      <c r="P84" s="425">
        <v>10</v>
      </c>
      <c r="Q84" s="425">
        <v>10</v>
      </c>
      <c r="R84" s="425">
        <v>10</v>
      </c>
      <c r="S84" s="425">
        <v>10</v>
      </c>
      <c r="T84" s="425">
        <v>10</v>
      </c>
      <c r="U84" s="425">
        <v>10</v>
      </c>
      <c r="V84" s="426"/>
      <c r="W84" s="426"/>
      <c r="X84" s="160">
        <f t="shared" ref="X84" si="114">+IF(H84="l",IF(COUNTA(M83:W83)=AN85+0.75,AB83-K83*AN85,AB83-(K83*COUNTA(M83:W83))),IF(H84="s",0,IF(COUNTA(M83:W83)=AN85+0.75,SUMIF($C:$C,B83,$AB:$AB)-K83*AN85,SUMIF($C:$C,B83,$AB:$AB)-K83*COUNTA(M83:W83))))</f>
        <v>0.25</v>
      </c>
      <c r="Y84" s="440"/>
      <c r="Z84" s="400"/>
      <c r="AA84" s="541"/>
      <c r="AB84" s="443">
        <f t="shared" ref="AB84" si="115">+SUM(M84:W84)-U84*0.75</f>
        <v>82.5</v>
      </c>
      <c r="AC84" s="341"/>
      <c r="AD84" s="341"/>
      <c r="AE84" s="440"/>
      <c r="AF84" s="440"/>
      <c r="AG84" s="115"/>
      <c r="AH84" s="116"/>
      <c r="AI84" s="157"/>
      <c r="AJ84" s="161">
        <f t="shared" si="1"/>
        <v>0</v>
      </c>
      <c r="AK84" s="167">
        <f t="shared" si="2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82.5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63" s="98" customFormat="1" ht="62.25" customHeight="1" thickBot="1" x14ac:dyDescent="0.95">
      <c r="B85" s="343">
        <f>+B83</f>
        <v>16</v>
      </c>
      <c r="C85" s="375"/>
      <c r="D85" s="378" t="s">
        <v>152</v>
      </c>
      <c r="E85" s="175">
        <f>+E84+100</f>
        <v>116</v>
      </c>
      <c r="F85" s="175"/>
      <c r="G85" s="579" t="str">
        <f>+G82</f>
        <v>PIANO-PURPLE</v>
      </c>
      <c r="H85" s="117"/>
      <c r="I85" s="397"/>
      <c r="J85" s="165">
        <f>+IF(K85="","",IF(K83=0,"",(K83*J83)/(K85*60)))</f>
        <v>0.81394230769230769</v>
      </c>
      <c r="K85" s="118">
        <v>52</v>
      </c>
      <c r="L85" s="104" t="s">
        <v>19</v>
      </c>
      <c r="M85" s="427"/>
      <c r="N85" s="427"/>
      <c r="O85" s="427"/>
      <c r="P85" s="427"/>
      <c r="Q85" s="427"/>
      <c r="R85" s="427"/>
      <c r="S85" s="427"/>
      <c r="T85" s="427"/>
      <c r="U85" s="427"/>
      <c r="V85" s="428"/>
      <c r="W85" s="428"/>
      <c r="X85" s="173"/>
      <c r="Y85" s="441"/>
      <c r="Z85" s="401">
        <v>23.946190476190473</v>
      </c>
      <c r="AA85" s="168">
        <f>+IF(COUNTA(M83:W83)=$AM$4+0.25,$AM$4-(AB83/K83),COUNTA(M83:W83)-(AB83/K83))+Z85</f>
        <v>24.69285714285714</v>
      </c>
      <c r="AB85" s="444">
        <f t="shared" si="104"/>
        <v>0</v>
      </c>
      <c r="AC85" s="139"/>
      <c r="AD85" s="139"/>
      <c r="AE85" s="441"/>
      <c r="AF85" s="441"/>
      <c r="AG85" s="119">
        <f>+IFERROR(AG83/(K83*$AT$3),"")</f>
        <v>0.20114285714285715</v>
      </c>
      <c r="AH85" s="162"/>
      <c r="AI85" s="161"/>
      <c r="AJ85" s="161">
        <f t="shared" si="1"/>
        <v>0</v>
      </c>
      <c r="AK85" s="167">
        <f t="shared" si="2"/>
        <v>0</v>
      </c>
      <c r="AL85" s="167"/>
      <c r="AM85" s="230"/>
      <c r="AN85" s="342">
        <f>+$AM$4</f>
        <v>8.25</v>
      </c>
      <c r="AO85" s="340">
        <f>+IF(AN85=7.75,SUM(M85:S85)+T85*0.75,IF(AN85=8,SUM(M85:T85),IF(AN85=7.25,SUM(M85:S85)+T85*0.25,IF(AN85=8.25,SUM(M85:T85)+U85*0.25,IF(AN85=8.75,SUM(M85:T85)+U85*0.75,0)))))</f>
        <v>0</v>
      </c>
      <c r="AP85" s="167">
        <f>+AO85-AB85</f>
        <v>0</v>
      </c>
      <c r="AQ85" s="167"/>
      <c r="AR85" s="167"/>
      <c r="AS85" s="167"/>
      <c r="AT85" s="435"/>
      <c r="AU85" s="393"/>
      <c r="AW85" s="356">
        <v>1.1443809523809523</v>
      </c>
      <c r="AY85" s="356"/>
    </row>
    <row r="86" spans="2:63" s="98" customFormat="1" ht="62.25" customHeight="1" thickTop="1" x14ac:dyDescent="0.9">
      <c r="B86" s="127">
        <f>+B87</f>
        <v>16</v>
      </c>
      <c r="C86" s="370"/>
      <c r="D86" s="106"/>
      <c r="E86" s="106"/>
      <c r="F86" s="106"/>
      <c r="G86" s="577" t="s">
        <v>463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120</v>
      </c>
      <c r="N86" s="423">
        <v>60</v>
      </c>
      <c r="O86" s="423">
        <v>120</v>
      </c>
      <c r="P86" s="423">
        <v>60</v>
      </c>
      <c r="Q86" s="423">
        <v>60</v>
      </c>
      <c r="R86" s="423">
        <v>60</v>
      </c>
      <c r="S86" s="423">
        <v>60</v>
      </c>
      <c r="T86" s="423">
        <v>60</v>
      </c>
      <c r="U86" s="423"/>
      <c r="V86" s="423"/>
      <c r="W86" s="423"/>
      <c r="X86" s="135">
        <f t="shared" ref="X86" si="116">IF(AT87="","",SUM(M86:W86)-(-(AT87-SUM(M86:W86))/$AT$3)*SUM($M$2:$W$2))</f>
        <v>600</v>
      </c>
      <c r="Y86" s="438"/>
      <c r="Z86" s="400">
        <v>0</v>
      </c>
      <c r="AA86" s="540">
        <f>+X88</f>
        <v>0</v>
      </c>
      <c r="AB86" s="135">
        <f t="shared" si="93"/>
        <v>600</v>
      </c>
      <c r="AC86" s="136">
        <f>+AD86+AB86</f>
        <v>961</v>
      </c>
      <c r="AD86" s="136">
        <v>361</v>
      </c>
      <c r="AE86" s="438"/>
      <c r="AF86" s="438"/>
      <c r="AG86" s="109"/>
      <c r="AH86" s="110"/>
      <c r="AI86" s="157"/>
      <c r="AJ86" s="161">
        <f t="shared" si="1"/>
        <v>0</v>
      </c>
      <c r="AK86" s="167">
        <f t="shared" si="2"/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63" s="98" customFormat="1" ht="62.25" customHeight="1" x14ac:dyDescent="0.9">
      <c r="B87" s="133">
        <v>16</v>
      </c>
      <c r="C87" s="371">
        <f>+B87</f>
        <v>16</v>
      </c>
      <c r="D87" s="372" t="s">
        <v>462</v>
      </c>
      <c r="E87" s="111"/>
      <c r="F87" s="111" t="s">
        <v>422</v>
      </c>
      <c r="G87" s="578" t="str">
        <f>+G86</f>
        <v>PIANO-Turquaz</v>
      </c>
      <c r="H87" s="450">
        <v>5683</v>
      </c>
      <c r="I87" s="111" t="s">
        <v>451</v>
      </c>
      <c r="J87" s="113">
        <v>33.86</v>
      </c>
      <c r="K87" s="130">
        <v>75</v>
      </c>
      <c r="L87" s="101" t="s">
        <v>17</v>
      </c>
      <c r="M87" s="214"/>
      <c r="N87" s="214"/>
      <c r="O87" s="214"/>
      <c r="P87" s="214"/>
      <c r="Q87" s="214"/>
      <c r="R87" s="214"/>
      <c r="S87" s="214"/>
      <c r="T87" s="214"/>
      <c r="U87" s="214"/>
      <c r="V87" s="424"/>
      <c r="W87" s="424"/>
      <c r="X87" s="123">
        <f t="shared" ref="X87" si="117">+IF(H88="s",0,IF(AB87=0,0,IF(COUNTA(M87:W87)=AN89+0.75,SUMIF($C:$C,B87,$AB:$AB)/AN89,SUMIF($C:$C,B87,$AB:$AB)/(COUNTA(M87:W87)))))</f>
        <v>0</v>
      </c>
      <c r="Y87" s="439"/>
      <c r="Z87" s="400"/>
      <c r="AA87" s="541"/>
      <c r="AB87" s="134">
        <f t="shared" si="93"/>
        <v>0</v>
      </c>
      <c r="AC87" s="137">
        <f>+AB87+AD87</f>
        <v>0</v>
      </c>
      <c r="AD87" s="137">
        <v>0</v>
      </c>
      <c r="AE87" s="439"/>
      <c r="AF87" s="439">
        <f>+AE87+Y87</f>
        <v>0</v>
      </c>
      <c r="AG87" s="140">
        <f>+AC86-AC87</f>
        <v>961</v>
      </c>
      <c r="AH87" s="131">
        <f>+IF(((AB88+(AB89/2))*60)=0,"",(J87*AB87)/((AB88+(AB89/2))*60))</f>
        <v>0</v>
      </c>
      <c r="AI87" s="161">
        <f>+AB88+AB89/2</f>
        <v>325.875</v>
      </c>
      <c r="AJ87" s="161">
        <f t="shared" si="1"/>
        <v>325.52499999999998</v>
      </c>
      <c r="AK87" s="167">
        <f t="shared" si="2"/>
        <v>19552.5</v>
      </c>
      <c r="AL87" s="167">
        <f>+AB87*J87</f>
        <v>0</v>
      </c>
      <c r="AM87" s="230">
        <f>+AB87-(AI87*K87/K89)</f>
        <v>-488.8125</v>
      </c>
      <c r="AN87" s="339"/>
      <c r="AO87" s="340"/>
      <c r="AP87" s="167"/>
      <c r="AQ87" s="167"/>
      <c r="AR87" s="167"/>
      <c r="AS87" s="167"/>
      <c r="AT87" s="433">
        <f>-450+AB86</f>
        <v>150</v>
      </c>
      <c r="AU87" s="393">
        <v>1.5</v>
      </c>
      <c r="AW87" s="356">
        <v>361</v>
      </c>
      <c r="AY87" s="356">
        <f t="shared" ref="AY87" si="118">+AW87-AG87</f>
        <v>-600</v>
      </c>
      <c r="AZ87" s="580"/>
      <c r="BA87" s="580"/>
      <c r="BB87" s="580"/>
      <c r="BC87" s="580"/>
      <c r="BD87" s="580"/>
      <c r="BE87" s="580"/>
      <c r="BF87" s="580"/>
      <c r="BG87" s="580"/>
      <c r="BH87" s="580"/>
      <c r="BI87" s="580"/>
      <c r="BJ87" s="580"/>
      <c r="BK87" s="137">
        <f>+AC86+AC82-(H87)</f>
        <v>-1194</v>
      </c>
    </row>
    <row r="88" spans="2:63" s="98" customFormat="1" ht="62.25" customHeight="1" x14ac:dyDescent="0.9">
      <c r="B88" s="125">
        <f>+B87</f>
        <v>16</v>
      </c>
      <c r="C88" s="373"/>
      <c r="D88" s="184"/>
      <c r="E88" s="111">
        <f>+B87</f>
        <v>16</v>
      </c>
      <c r="F88" s="374"/>
      <c r="G88" s="578" t="str">
        <f>+G86</f>
        <v>PIANO-Turquaz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25">
        <v>39</v>
      </c>
      <c r="N88" s="425">
        <v>39</v>
      </c>
      <c r="O88" s="425">
        <v>39</v>
      </c>
      <c r="P88" s="425">
        <v>39</v>
      </c>
      <c r="Q88" s="425">
        <v>39</v>
      </c>
      <c r="R88" s="425">
        <v>39</v>
      </c>
      <c r="S88" s="425">
        <v>39</v>
      </c>
      <c r="T88" s="425">
        <v>39</v>
      </c>
      <c r="U88" s="425">
        <v>39</v>
      </c>
      <c r="V88" s="426"/>
      <c r="W88" s="426"/>
      <c r="X88" s="160">
        <f t="shared" ref="X88" si="119">+IF(H88="l",IF(COUNTA(M87:W87)=AN89+0.75,AB87-K87*AN89,AB87-(K87*COUNTA(M87:W87))),IF(H88="s",0,IF(COUNTA(M87:W87)=AN89+0.75,SUMIF($C:$C,B87,$AB:$AB)-K87*AN89,SUMIF($C:$C,B87,$AB:$AB)-K87*COUNTA(M87:W87))))</f>
        <v>0</v>
      </c>
      <c r="Y88" s="440"/>
      <c r="Z88" s="400"/>
      <c r="AA88" s="541"/>
      <c r="AB88" s="443">
        <f t="shared" ref="AB88" si="120">+SUM(M88:W88)-U88*0.75</f>
        <v>321.75</v>
      </c>
      <c r="AC88" s="341"/>
      <c r="AD88" s="341"/>
      <c r="AE88" s="440"/>
      <c r="AF88" s="440"/>
      <c r="AG88" s="115"/>
      <c r="AH88" s="116"/>
      <c r="AI88" s="157"/>
      <c r="AJ88" s="161">
        <f t="shared" si="1"/>
        <v>0</v>
      </c>
      <c r="AK88" s="167">
        <f t="shared" si="2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321.75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63" s="98" customFormat="1" ht="62.25" customHeight="1" thickBot="1" x14ac:dyDescent="0.95">
      <c r="B89" s="343">
        <f>+B87</f>
        <v>16</v>
      </c>
      <c r="C89" s="375"/>
      <c r="D89" s="378" t="s">
        <v>152</v>
      </c>
      <c r="E89" s="175">
        <f>+E88+100</f>
        <v>116</v>
      </c>
      <c r="F89" s="175"/>
      <c r="G89" s="579" t="str">
        <f>+G86</f>
        <v>PIANO-Turquaz</v>
      </c>
      <c r="H89" s="117"/>
      <c r="I89" s="397"/>
      <c r="J89" s="165">
        <f>+IF(K89="","",IF(K87=0,"",(K87*J87)/(K89*60)))</f>
        <v>0.84650000000000003</v>
      </c>
      <c r="K89" s="118">
        <v>50</v>
      </c>
      <c r="L89" s="104" t="s">
        <v>19</v>
      </c>
      <c r="M89" s="427">
        <v>1</v>
      </c>
      <c r="N89" s="427">
        <v>1</v>
      </c>
      <c r="O89" s="427">
        <v>1</v>
      </c>
      <c r="P89" s="427">
        <v>1</v>
      </c>
      <c r="Q89" s="427">
        <v>1</v>
      </c>
      <c r="R89" s="427">
        <v>1</v>
      </c>
      <c r="S89" s="427">
        <v>1</v>
      </c>
      <c r="T89" s="427">
        <v>1</v>
      </c>
      <c r="U89" s="427">
        <v>1</v>
      </c>
      <c r="V89" s="428"/>
      <c r="W89" s="428"/>
      <c r="X89" s="173"/>
      <c r="Y89" s="441"/>
      <c r="Z89" s="401"/>
      <c r="AA89" s="168"/>
      <c r="AB89" s="444">
        <f t="shared" si="104"/>
        <v>8.25</v>
      </c>
      <c r="AC89" s="139"/>
      <c r="AD89" s="139"/>
      <c r="AE89" s="441"/>
      <c r="AF89" s="441"/>
      <c r="AG89" s="119">
        <f>+IFERROR(AG87/(K87*$AT$3),"")</f>
        <v>1.4643809523809523</v>
      </c>
      <c r="AH89" s="162"/>
      <c r="AI89" s="161"/>
      <c r="AJ89" s="161">
        <f t="shared" si="1"/>
        <v>0</v>
      </c>
      <c r="AK89" s="167">
        <f t="shared" si="2"/>
        <v>0</v>
      </c>
      <c r="AL89" s="167"/>
      <c r="AM89" s="230"/>
      <c r="AN89" s="342">
        <f>+$AM$4</f>
        <v>8.25</v>
      </c>
      <c r="AO89" s="340">
        <f>+IF(AN89=7.75,SUM(M89:S89)+T89*0.75,IF(AN89=8,SUM(M89:T89),IF(AN89=7.25,SUM(M89:S89)+T89*0.25,IF(AN89=8.25,SUM(M89:T89)+U89*0.25,IF(AN89=8.75,SUM(M89:T89)+U89*0.75,0)))))</f>
        <v>8.25</v>
      </c>
      <c r="AP89" s="167">
        <f>+AO89-AB89</f>
        <v>0</v>
      </c>
      <c r="AQ89" s="167"/>
      <c r="AR89" s="167"/>
      <c r="AS89" s="167"/>
      <c r="AT89" s="435"/>
      <c r="AU89" s="393"/>
      <c r="AW89" s="356">
        <v>0.55009523809523808</v>
      </c>
      <c r="AY89" s="356"/>
    </row>
    <row r="90" spans="2:63" s="98" customFormat="1" ht="62.25" customHeight="1" thickTop="1" x14ac:dyDescent="0.9">
      <c r="B90" s="97">
        <f>+B91</f>
        <v>17</v>
      </c>
      <c r="C90" s="370"/>
      <c r="D90" s="106"/>
      <c r="E90" s="106"/>
      <c r="F90" s="106"/>
      <c r="G90" s="577" t="s">
        <v>436</v>
      </c>
      <c r="H90" s="106"/>
      <c r="I90" s="111"/>
      <c r="J90" s="107" t="s">
        <v>20</v>
      </c>
      <c r="K90" s="108" t="s">
        <v>23</v>
      </c>
      <c r="L90" s="100" t="s">
        <v>21</v>
      </c>
      <c r="M90" s="423">
        <v>120</v>
      </c>
      <c r="N90" s="423">
        <v>120</v>
      </c>
      <c r="O90" s="423">
        <v>120</v>
      </c>
      <c r="P90" s="423"/>
      <c r="Q90" s="423"/>
      <c r="R90" s="423">
        <v>60</v>
      </c>
      <c r="S90" s="423"/>
      <c r="T90" s="423"/>
      <c r="U90" s="423"/>
      <c r="V90" s="423"/>
      <c r="W90" s="423"/>
      <c r="X90" s="135">
        <f t="shared" ref="X90" si="121">IF(AT91="","",SUM(M90:W90)-(-(AT91-SUM(M90:W90))/$AT$3)*SUM($M$2:$W$2))</f>
        <v>420</v>
      </c>
      <c r="Y90" s="438"/>
      <c r="Z90" s="400">
        <v>0.25</v>
      </c>
      <c r="AA90" s="540">
        <f>+X92</f>
        <v>0.75</v>
      </c>
      <c r="AB90" s="135">
        <f t="shared" si="93"/>
        <v>420</v>
      </c>
      <c r="AC90" s="136">
        <f>+AD90+AB90</f>
        <v>5101</v>
      </c>
      <c r="AD90" s="136">
        <v>4681</v>
      </c>
      <c r="AE90" s="438"/>
      <c r="AF90" s="438"/>
      <c r="AG90" s="109"/>
      <c r="AH90" s="110"/>
      <c r="AI90" s="157"/>
      <c r="AJ90" s="161">
        <f t="shared" si="1"/>
        <v>0</v>
      </c>
      <c r="AK90" s="167">
        <f t="shared" si="2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63" s="98" customFormat="1" ht="62.25" customHeight="1" x14ac:dyDescent="0.9">
      <c r="B91" s="132">
        <v>17</v>
      </c>
      <c r="C91" s="371">
        <f>+B91</f>
        <v>17</v>
      </c>
      <c r="D91" s="372" t="s">
        <v>435</v>
      </c>
      <c r="E91" s="111"/>
      <c r="F91" s="111" t="s">
        <v>35</v>
      </c>
      <c r="G91" s="578" t="str">
        <f>+G90</f>
        <v>2628-510-630</v>
      </c>
      <c r="H91" s="450">
        <v>10010</v>
      </c>
      <c r="I91" s="111" t="s">
        <v>33</v>
      </c>
      <c r="J91" s="113">
        <v>43.49</v>
      </c>
      <c r="K91" s="130">
        <v>57</v>
      </c>
      <c r="L91" s="101" t="s">
        <v>17</v>
      </c>
      <c r="M91" s="447">
        <v>49</v>
      </c>
      <c r="N91" s="447">
        <v>57</v>
      </c>
      <c r="O91" s="447">
        <v>50</v>
      </c>
      <c r="P91" s="447">
        <v>57</v>
      </c>
      <c r="Q91" s="447">
        <v>57</v>
      </c>
      <c r="R91" s="447">
        <v>57</v>
      </c>
      <c r="S91" s="447">
        <v>57</v>
      </c>
      <c r="T91" s="447">
        <v>57</v>
      </c>
      <c r="U91" s="447">
        <v>30</v>
      </c>
      <c r="V91" s="214"/>
      <c r="W91" s="424"/>
      <c r="X91" s="123">
        <f t="shared" ref="X91" si="122">+IF(H92="s",0,IF(AB91=0,0,IF(COUNTA(M91:W91)=AN93+0.75,SUMIF($C:$C,B91,$AB:$AB)/AN93,SUMIF($C:$C,B91,$AB:$AB)/(COUNTA(M91:W91)))))</f>
        <v>57.090909090909093</v>
      </c>
      <c r="Y91" s="439"/>
      <c r="Z91" s="400"/>
      <c r="AA91" s="541"/>
      <c r="AB91" s="134">
        <f t="shared" si="93"/>
        <v>471</v>
      </c>
      <c r="AC91" s="137">
        <f>+AB91+AD91</f>
        <v>4144</v>
      </c>
      <c r="AD91" s="137">
        <v>3673</v>
      </c>
      <c r="AE91" s="439">
        <v>0</v>
      </c>
      <c r="AF91" s="439">
        <f>+AE91+Y91</f>
        <v>0</v>
      </c>
      <c r="AG91" s="140">
        <f>+AC90-AC91</f>
        <v>957</v>
      </c>
      <c r="AH91" s="131">
        <f>+IF(((AB92+(AB93/2))*60)=0,"",(J91*AB91)/((AB92+(AB93/2))*60))</f>
        <v>0.87118724082934618</v>
      </c>
      <c r="AI91" s="161">
        <f>+AB92+AB93/2</f>
        <v>391.875</v>
      </c>
      <c r="AJ91" s="161">
        <f t="shared" si="1"/>
        <v>391.52499999999998</v>
      </c>
      <c r="AK91" s="167">
        <f t="shared" si="2"/>
        <v>23512.5</v>
      </c>
      <c r="AL91" s="167">
        <f>+AB91*J91</f>
        <v>20483.79</v>
      </c>
      <c r="AM91" s="230">
        <f>+AB91-(AI91*K91/K93)</f>
        <v>-4.2526595744681117</v>
      </c>
      <c r="AN91" s="339"/>
      <c r="AO91" s="340"/>
      <c r="AP91" s="167"/>
      <c r="AQ91" s="167"/>
      <c r="AR91" s="167"/>
      <c r="AS91" s="167"/>
      <c r="AT91" s="433">
        <f t="shared" ref="AT91" si="123">IF(AU91=0,"",AW91-(($AT$3*K91)+($AT$3*K91)*AU91)+AB90)</f>
        <v>6.5625</v>
      </c>
      <c r="AU91" s="393">
        <v>1.85</v>
      </c>
      <c r="AW91" s="356">
        <v>1008</v>
      </c>
      <c r="AY91" s="356">
        <f t="shared" ref="AY91" si="124">+AW91-AG91</f>
        <v>51</v>
      </c>
      <c r="BK91" s="137">
        <f>+AC90-H91</f>
        <v>-4909</v>
      </c>
    </row>
    <row r="92" spans="2:63" s="98" customFormat="1" ht="62.25" customHeight="1" x14ac:dyDescent="0.9">
      <c r="B92" s="125">
        <f>+B91</f>
        <v>17</v>
      </c>
      <c r="C92" s="373"/>
      <c r="D92" s="184"/>
      <c r="E92" s="111">
        <f>+B91</f>
        <v>17</v>
      </c>
      <c r="F92" s="374"/>
      <c r="G92" s="578" t="str">
        <f>+G90</f>
        <v>2628-510-630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>
        <v>1</v>
      </c>
      <c r="K92" s="114" t="s">
        <v>22</v>
      </c>
      <c r="L92" s="102" t="s">
        <v>18</v>
      </c>
      <c r="M92" s="425">
        <v>47</v>
      </c>
      <c r="N92" s="425">
        <v>47</v>
      </c>
      <c r="O92" s="425">
        <v>47</v>
      </c>
      <c r="P92" s="425">
        <v>47</v>
      </c>
      <c r="Q92" s="425">
        <v>47</v>
      </c>
      <c r="R92" s="425">
        <v>47</v>
      </c>
      <c r="S92" s="425">
        <v>47</v>
      </c>
      <c r="T92" s="425">
        <v>47</v>
      </c>
      <c r="U92" s="425">
        <v>47</v>
      </c>
      <c r="V92" s="426"/>
      <c r="W92" s="426"/>
      <c r="X92" s="160">
        <f t="shared" ref="X92" si="125">+IF(H92="l",IF(COUNTA(M91:W91)=AN93+0.75,AB91-K91*AN93,AB91-(K91*COUNTA(M91:W91))),IF(H92="s",0,IF(COUNTA(M91:W91)=AN93+0.75,SUMIF($C:$C,B91,$AB:$AB)-K91*AN93,SUMIF($C:$C,B91,$AB:$AB)-K91*COUNTA(M91:W91))))</f>
        <v>0.75</v>
      </c>
      <c r="Y92" s="440"/>
      <c r="Z92" s="400"/>
      <c r="AA92" s="541"/>
      <c r="AB92" s="443">
        <f t="shared" ref="AB92" si="126">+SUM(M92:W92)-U92*0.75</f>
        <v>387.75</v>
      </c>
      <c r="AC92" s="341"/>
      <c r="AD92" s="341"/>
      <c r="AE92" s="440"/>
      <c r="AF92" s="440"/>
      <c r="AG92" s="115"/>
      <c r="AH92" s="116"/>
      <c r="AI92" s="157"/>
      <c r="AJ92" s="161">
        <f t="shared" si="1"/>
        <v>0</v>
      </c>
      <c r="AK92" s="167">
        <f t="shared" si="2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387.75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63" s="98" customFormat="1" ht="62.25" customHeight="1" thickBot="1" x14ac:dyDescent="0.95">
      <c r="B93" s="126">
        <f>+B91</f>
        <v>17</v>
      </c>
      <c r="C93" s="375"/>
      <c r="D93" s="174" t="s">
        <v>379</v>
      </c>
      <c r="E93" s="175">
        <f>+E92+100</f>
        <v>117</v>
      </c>
      <c r="F93" s="175"/>
      <c r="G93" s="579" t="str">
        <f>+G90</f>
        <v>2628-510-630</v>
      </c>
      <c r="H93" s="117"/>
      <c r="I93" s="397"/>
      <c r="J93" s="165">
        <f>+IF(K93="","",IF(K91=0,"",(K91*J91)/(K93*60)))</f>
        <v>0.87905319148936178</v>
      </c>
      <c r="K93" s="118">
        <v>47</v>
      </c>
      <c r="L93" s="104" t="s">
        <v>19</v>
      </c>
      <c r="M93" s="427">
        <v>1</v>
      </c>
      <c r="N93" s="427">
        <v>1</v>
      </c>
      <c r="O93" s="427">
        <v>1</v>
      </c>
      <c r="P93" s="427">
        <v>1</v>
      </c>
      <c r="Q93" s="427">
        <v>1</v>
      </c>
      <c r="R93" s="427">
        <v>1</v>
      </c>
      <c r="S93" s="427">
        <v>1</v>
      </c>
      <c r="T93" s="427">
        <v>1</v>
      </c>
      <c r="U93" s="427">
        <v>1</v>
      </c>
      <c r="V93" s="428"/>
      <c r="W93" s="428"/>
      <c r="X93" s="173"/>
      <c r="Y93" s="441"/>
      <c r="Z93" s="401">
        <v>41.323268679526997</v>
      </c>
      <c r="AA93" s="169">
        <v>41.323268679526997</v>
      </c>
      <c r="AB93" s="444">
        <f t="shared" si="104"/>
        <v>8.25</v>
      </c>
      <c r="AC93" s="139"/>
      <c r="AD93" s="139"/>
      <c r="AE93" s="441"/>
      <c r="AF93" s="441"/>
      <c r="AG93" s="119">
        <f>+IFERROR(AG91/(K91*$AT$3),"")</f>
        <v>1.9187969924812029</v>
      </c>
      <c r="AH93" s="162"/>
      <c r="AI93" s="161"/>
      <c r="AJ93" s="161">
        <f t="shared" si="1"/>
        <v>0</v>
      </c>
      <c r="AK93" s="167">
        <f t="shared" si="2"/>
        <v>0</v>
      </c>
      <c r="AL93" s="167"/>
      <c r="AM93" s="230"/>
      <c r="AN93" s="342">
        <f>+$AM$4</f>
        <v>8.25</v>
      </c>
      <c r="AO93" s="340">
        <f>+IF(AN93=7.75,SUM(M93:S93)+T93*0.75,IF(AN93=8,SUM(M93:T93),IF(AN93=7.25,SUM(M93:S93)+T93*0.25,IF(AN93=8.25,SUM(M93:T93)+U93*0.25,IF(AN93=8.75,SUM(M93:T93)+U93*0.75,0)))))</f>
        <v>8.25</v>
      </c>
      <c r="AP93" s="167">
        <f>+AO93-AB93</f>
        <v>0</v>
      </c>
      <c r="AQ93" s="167"/>
      <c r="AR93" s="167"/>
      <c r="AS93" s="167"/>
      <c r="AT93" s="435"/>
      <c r="AU93" s="393"/>
      <c r="AW93" s="356">
        <v>2.0210526315789474</v>
      </c>
      <c r="AY93" s="356"/>
    </row>
    <row r="94" spans="2:63" s="98" customFormat="1" ht="62.25" customHeight="1" thickTop="1" x14ac:dyDescent="0.9">
      <c r="B94" s="127">
        <f>+B95</f>
        <v>18</v>
      </c>
      <c r="C94" s="370"/>
      <c r="D94" s="106"/>
      <c r="E94" s="106"/>
      <c r="F94" s="106"/>
      <c r="G94" s="577" t="s">
        <v>436</v>
      </c>
      <c r="H94" s="106"/>
      <c r="I94" s="106"/>
      <c r="J94" s="107" t="s">
        <v>20</v>
      </c>
      <c r="K94" s="108" t="s">
        <v>23</v>
      </c>
      <c r="L94" s="100" t="s">
        <v>21</v>
      </c>
      <c r="M94" s="423"/>
      <c r="N94" s="423"/>
      <c r="O94" s="423">
        <v>60</v>
      </c>
      <c r="P94" s="423">
        <v>60</v>
      </c>
      <c r="Q94" s="423">
        <v>60</v>
      </c>
      <c r="R94" s="423">
        <v>60</v>
      </c>
      <c r="S94" s="423">
        <v>120</v>
      </c>
      <c r="T94" s="423"/>
      <c r="U94" s="423"/>
      <c r="V94" s="423"/>
      <c r="W94" s="423"/>
      <c r="X94" s="135">
        <f t="shared" ref="X94" si="127">IF(AT95="","",SUM(M94:W94)-(-(AT95-SUM(M94:W94))/$AT$3)*SUM($M$2:$W$2))</f>
        <v>360</v>
      </c>
      <c r="Y94" s="438"/>
      <c r="Z94" s="400">
        <v>0.5</v>
      </c>
      <c r="AA94" s="540">
        <f>+X96</f>
        <v>0.5</v>
      </c>
      <c r="AB94" s="135">
        <f t="shared" si="93"/>
        <v>360</v>
      </c>
      <c r="AC94" s="136">
        <f>+AD94+AB94</f>
        <v>6025</v>
      </c>
      <c r="AD94" s="136">
        <v>5665</v>
      </c>
      <c r="AE94" s="438"/>
      <c r="AF94" s="438"/>
      <c r="AG94" s="109"/>
      <c r="AH94" s="110"/>
      <c r="AI94" s="157"/>
      <c r="AJ94" s="161">
        <f t="shared" ref="AJ94:AJ101" si="128">TRUNC(AI94)+(AI94-TRUNC(AI94))*60/100</f>
        <v>0</v>
      </c>
      <c r="AK94" s="167">
        <f t="shared" ref="AK94:AK101" si="129">+AI94*60</f>
        <v>0</v>
      </c>
      <c r="AL94" s="167"/>
      <c r="AM94" s="167"/>
      <c r="AN94" s="339"/>
      <c r="AO94" s="340"/>
      <c r="AP94" s="167"/>
      <c r="AQ94" s="167"/>
      <c r="AR94" s="167"/>
      <c r="AS94" s="167"/>
      <c r="AT94" s="432"/>
      <c r="AU94" s="393"/>
      <c r="AW94" s="356"/>
      <c r="AY94" s="356"/>
    </row>
    <row r="95" spans="2:63" s="98" customFormat="1" ht="62.25" customHeight="1" x14ac:dyDescent="0.9">
      <c r="B95" s="133">
        <v>18</v>
      </c>
      <c r="C95" s="371">
        <f>+B95</f>
        <v>18</v>
      </c>
      <c r="D95" s="372" t="s">
        <v>435</v>
      </c>
      <c r="E95" s="111"/>
      <c r="F95" s="111" t="s">
        <v>35</v>
      </c>
      <c r="G95" s="578" t="str">
        <f t="shared" ref="G95:G101" si="130">+G94</f>
        <v>2628-510-630</v>
      </c>
      <c r="H95" s="450">
        <v>10800</v>
      </c>
      <c r="I95" s="111" t="s">
        <v>33</v>
      </c>
      <c r="J95" s="113">
        <v>43.49</v>
      </c>
      <c r="K95" s="402">
        <v>58</v>
      </c>
      <c r="L95" s="101" t="s">
        <v>17</v>
      </c>
      <c r="M95" s="449">
        <v>55</v>
      </c>
      <c r="N95" s="449">
        <v>55</v>
      </c>
      <c r="O95" s="449">
        <v>38</v>
      </c>
      <c r="P95" s="449">
        <v>58</v>
      </c>
      <c r="Q95" s="449">
        <v>58</v>
      </c>
      <c r="R95" s="449">
        <v>58</v>
      </c>
      <c r="S95" s="449">
        <v>50</v>
      </c>
      <c r="T95" s="449">
        <v>60</v>
      </c>
      <c r="U95" s="449">
        <v>47</v>
      </c>
      <c r="V95" s="424"/>
      <c r="W95" s="424"/>
      <c r="X95" s="123">
        <f t="shared" ref="X95" si="131">+IF(H96="s",0,IF(AB95=0,0,IF(COUNTA(M95:W95)=AN97+0.75,SUMIF($C:$C,B95,$AB:$AB)/AN97,SUMIF($C:$C,B95,$AB:$AB)/(COUNTA(M95:W95)))))</f>
        <v>58.060606060606062</v>
      </c>
      <c r="Y95" s="439"/>
      <c r="Z95" s="400"/>
      <c r="AA95" s="541"/>
      <c r="AB95" s="134">
        <f t="shared" si="93"/>
        <v>479</v>
      </c>
      <c r="AC95" s="137">
        <f>+AB95+AD95</f>
        <v>5207</v>
      </c>
      <c r="AD95" s="137">
        <v>4728</v>
      </c>
      <c r="AE95" s="439">
        <v>0</v>
      </c>
      <c r="AF95" s="439">
        <f>+AE95+Y95</f>
        <v>0</v>
      </c>
      <c r="AG95" s="140">
        <f>+AC94-AC95</f>
        <v>818</v>
      </c>
      <c r="AH95" s="131">
        <f>+IF(((AB96+(AB97/2))*60)=0,"",(J95*AB95)/((AB96+(AB97/2))*60))</f>
        <v>0.8767554713804715</v>
      </c>
      <c r="AI95" s="161">
        <f>+AB96+AB97/2</f>
        <v>396</v>
      </c>
      <c r="AJ95" s="161">
        <f t="shared" si="128"/>
        <v>396</v>
      </c>
      <c r="AK95" s="167">
        <f t="shared" si="129"/>
        <v>23760</v>
      </c>
      <c r="AL95" s="167">
        <f>+AB95*J95</f>
        <v>20831.710000000003</v>
      </c>
      <c r="AM95" s="230">
        <f>+AB95-(AI95*K95/K97)</f>
        <v>-9.6808510638297776</v>
      </c>
      <c r="AN95" s="339"/>
      <c r="AO95" s="340"/>
      <c r="AP95" s="167"/>
      <c r="AQ95" s="167"/>
      <c r="AR95" s="167"/>
      <c r="AS95" s="167"/>
      <c r="AT95" s="433">
        <f t="shared" ref="AT95" si="132">IF(AU95=0,"",AW95-(($AT$3*K95)+($AT$3*K95)*AU95)+AB94)</f>
        <v>-98.625</v>
      </c>
      <c r="AU95" s="393">
        <v>1.75</v>
      </c>
      <c r="AW95" s="356">
        <v>937</v>
      </c>
      <c r="AY95" s="356">
        <f t="shared" ref="AY95" si="133">+AW95-AG95</f>
        <v>119</v>
      </c>
      <c r="BK95" s="137">
        <f>+AC94-H95</f>
        <v>-4775</v>
      </c>
    </row>
    <row r="96" spans="2:63" s="98" customFormat="1" ht="62.25" customHeight="1" x14ac:dyDescent="0.9">
      <c r="B96" s="125">
        <f>+B95</f>
        <v>18</v>
      </c>
      <c r="C96" s="373"/>
      <c r="D96" s="184"/>
      <c r="E96" s="111">
        <f>+B95</f>
        <v>18</v>
      </c>
      <c r="F96" s="374"/>
      <c r="G96" s="578" t="str">
        <f t="shared" si="130"/>
        <v>2628-510-630</v>
      </c>
      <c r="H96" s="376" t="s">
        <v>400</v>
      </c>
      <c r="I96" s="113">
        <f>+IFERROR(IF(K97=0,0,IF((LOOKUP(2,1/(M96:W96&lt;&gt;""),M96:W96)-K97)&lt;0,0,IF(K97=0,"",LOOKUP(2,1/(M96:W96&lt;&gt;""),M96:W96)-K97))),0)</f>
        <v>1</v>
      </c>
      <c r="J96" s="113"/>
      <c r="K96" s="114" t="s">
        <v>22</v>
      </c>
      <c r="L96" s="102" t="s">
        <v>18</v>
      </c>
      <c r="M96" s="425">
        <v>48</v>
      </c>
      <c r="N96" s="425">
        <v>48</v>
      </c>
      <c r="O96" s="425">
        <v>48</v>
      </c>
      <c r="P96" s="425">
        <v>48</v>
      </c>
      <c r="Q96" s="425">
        <v>48</v>
      </c>
      <c r="R96" s="425">
        <v>48</v>
      </c>
      <c r="S96" s="425">
        <v>48</v>
      </c>
      <c r="T96" s="425">
        <v>48</v>
      </c>
      <c r="U96" s="425">
        <v>48</v>
      </c>
      <c r="V96" s="425"/>
      <c r="W96" s="425"/>
      <c r="X96" s="160">
        <f t="shared" ref="X96" si="134">+IF(H96="l",IF(COUNTA(M95:W95)=AN97+0.75,AB95-K95*AN97,AB95-(K95*COUNTA(M95:W95))),IF(H96="s",0,IF(COUNTA(M95:W95)=AN97+0.75,SUMIF($C:$C,B95,$AB:$AB)-K95*AN97,SUMIF($C:$C,B95,$AB:$AB)-K95*COUNTA(M95:W95))))</f>
        <v>0.5</v>
      </c>
      <c r="Y96" s="440"/>
      <c r="Z96" s="400"/>
      <c r="AA96" s="541"/>
      <c r="AB96" s="443">
        <f t="shared" ref="AB96" si="135">+SUM(M96:W96)-U96*0.75</f>
        <v>396</v>
      </c>
      <c r="AC96" s="138"/>
      <c r="AD96" s="138"/>
      <c r="AE96" s="442"/>
      <c r="AF96" s="440"/>
      <c r="AG96" s="115"/>
      <c r="AH96" s="116"/>
      <c r="AI96" s="157"/>
      <c r="AJ96" s="161">
        <f t="shared" si="128"/>
        <v>0</v>
      </c>
      <c r="AK96" s="167">
        <f t="shared" si="129"/>
        <v>0</v>
      </c>
      <c r="AL96" s="167"/>
      <c r="AM96" s="167"/>
      <c r="AN96" s="339"/>
      <c r="AO96" s="340">
        <f>+IF(AN97=7.75,SUM(M96:S96)+T96*0.75,IF(AN97=8,SUM(M96:T96),IF(AN97=7.25,SUM(M96:S96)+T96*0.25,IF(AN97=8.25,SUM(M96:T96)+U96*0.25,IF(AN97=8.75,SUM(M96:T96)+U96*0.75,0)))))</f>
        <v>396</v>
      </c>
      <c r="AP96" s="167">
        <f>+AO96-AB96</f>
        <v>0</v>
      </c>
      <c r="AQ96" s="167"/>
      <c r="AR96" s="167"/>
      <c r="AS96" s="167"/>
      <c r="AT96" s="434"/>
      <c r="AU96" s="393"/>
      <c r="AW96" s="356"/>
      <c r="AY96" s="356"/>
    </row>
    <row r="97" spans="2:63" s="98" customFormat="1" ht="62.25" customHeight="1" thickBot="1" x14ac:dyDescent="0.95">
      <c r="B97" s="343">
        <f>+B95</f>
        <v>18</v>
      </c>
      <c r="C97" s="375"/>
      <c r="D97" s="378" t="s">
        <v>406</v>
      </c>
      <c r="E97" s="175">
        <f>+E96+100</f>
        <v>118</v>
      </c>
      <c r="F97" s="175"/>
      <c r="G97" s="579" t="str">
        <f t="shared" si="130"/>
        <v>2628-510-630</v>
      </c>
      <c r="H97" s="117"/>
      <c r="I97" s="397"/>
      <c r="J97" s="165">
        <f>+IF(K97="","",IF(K95=0,"",(K95*J95)/(K97*60)))</f>
        <v>0.89447517730496462</v>
      </c>
      <c r="K97" s="118">
        <v>47</v>
      </c>
      <c r="L97" s="104" t="s">
        <v>19</v>
      </c>
      <c r="M97" s="428"/>
      <c r="N97" s="428"/>
      <c r="O97" s="428"/>
      <c r="P97" s="428"/>
      <c r="Q97" s="428"/>
      <c r="R97" s="428"/>
      <c r="S97" s="428"/>
      <c r="T97" s="428"/>
      <c r="U97" s="428"/>
      <c r="V97" s="428"/>
      <c r="W97" s="428"/>
      <c r="X97" s="173"/>
      <c r="Y97" s="441"/>
      <c r="Z97" s="401">
        <v>38.343293185942912</v>
      </c>
      <c r="AA97" s="168">
        <f>+IF(COUNTA(M95:W95)=$AM$4+0.25,$AM$4-(AB95/K95),COUNTA(M95:W95)-(AB95/K95))+Z97</f>
        <v>39.084672496287737</v>
      </c>
      <c r="AB97" s="444">
        <f t="shared" si="104"/>
        <v>0</v>
      </c>
      <c r="AC97" s="139"/>
      <c r="AD97" s="139"/>
      <c r="AE97" s="441"/>
      <c r="AF97" s="441"/>
      <c r="AG97" s="119">
        <f>+IFERROR(AG95/(K95*$AT$3),"")</f>
        <v>1.6118226600985222</v>
      </c>
      <c r="AH97" s="162"/>
      <c r="AI97" s="161"/>
      <c r="AJ97" s="161">
        <f t="shared" si="128"/>
        <v>0</v>
      </c>
      <c r="AK97" s="167">
        <f t="shared" si="129"/>
        <v>0</v>
      </c>
      <c r="AL97" s="167"/>
      <c r="AM97" s="230"/>
      <c r="AN97" s="342">
        <f>+$AM$4</f>
        <v>8.25</v>
      </c>
      <c r="AO97" s="340">
        <f>+IF(AN97=7.75,SUM(M97:S97)+T97*0.75,IF(AN97=8,SUM(M97:T97),IF(AN97=7.25,SUM(M97:S97)+T97*0.25,IF(AN97=8.25,SUM(M97:T97)+U97*0.25,IF(AN97=8.75,SUM(M97:T97)+U97*0.75,0)))))</f>
        <v>0</v>
      </c>
      <c r="AP97" s="167">
        <f>+AO97-AB97</f>
        <v>0</v>
      </c>
      <c r="AQ97" s="167"/>
      <c r="AR97" s="167"/>
      <c r="AS97" s="167"/>
      <c r="AT97" s="435"/>
      <c r="AU97" s="393"/>
      <c r="AW97" s="356">
        <v>1.8463054187192118</v>
      </c>
      <c r="AY97" s="356"/>
    </row>
    <row r="98" spans="2:63" s="98" customFormat="1" ht="62.25" customHeight="1" thickTop="1" x14ac:dyDescent="0.9">
      <c r="B98" s="127">
        <f>+B99</f>
        <v>20</v>
      </c>
      <c r="C98" s="370"/>
      <c r="D98" s="106"/>
      <c r="E98" s="106"/>
      <c r="F98" s="106"/>
      <c r="G98" s="577" t="s">
        <v>459</v>
      </c>
      <c r="H98" s="106"/>
      <c r="I98" s="106"/>
      <c r="J98" s="107" t="s">
        <v>20</v>
      </c>
      <c r="K98" s="108" t="s">
        <v>23</v>
      </c>
      <c r="L98" s="100" t="s">
        <v>21</v>
      </c>
      <c r="M98" s="423">
        <v>75</v>
      </c>
      <c r="N98" s="423">
        <v>75</v>
      </c>
      <c r="O98" s="423">
        <v>75</v>
      </c>
      <c r="P98" s="423">
        <v>75</v>
      </c>
      <c r="Q98" s="423">
        <v>75</v>
      </c>
      <c r="R98" s="423"/>
      <c r="S98" s="423"/>
      <c r="T98" s="423"/>
      <c r="U98" s="423"/>
      <c r="V98" s="423"/>
      <c r="W98" s="423"/>
      <c r="X98" s="135">
        <f t="shared" ref="X98" si="136">IF(AT99="","",SUM(M98:W98)-(-(AT99-SUM(M98:W98))/$AT$3)*SUM($M$2:$W$2))</f>
        <v>375</v>
      </c>
      <c r="Y98" s="438"/>
      <c r="Z98" s="400">
        <v>83.75</v>
      </c>
      <c r="AA98" s="540">
        <f>+X100</f>
        <v>-29.75</v>
      </c>
      <c r="AB98" s="135">
        <f t="shared" si="93"/>
        <v>375</v>
      </c>
      <c r="AC98" s="136">
        <f>+AD98+AB98</f>
        <v>2168</v>
      </c>
      <c r="AD98" s="136">
        <v>1793</v>
      </c>
      <c r="AE98" s="438"/>
      <c r="AF98" s="438"/>
      <c r="AG98" s="109"/>
      <c r="AH98" s="110"/>
      <c r="AI98" s="157"/>
      <c r="AJ98" s="161">
        <f t="shared" si="128"/>
        <v>0</v>
      </c>
      <c r="AK98" s="167">
        <f t="shared" si="129"/>
        <v>0</v>
      </c>
      <c r="AL98" s="167"/>
      <c r="AM98" s="167"/>
      <c r="AN98" s="339"/>
      <c r="AO98" s="340"/>
      <c r="AP98" s="167"/>
      <c r="AQ98" s="167"/>
      <c r="AR98" s="167"/>
      <c r="AS98" s="167"/>
      <c r="AT98" s="432"/>
      <c r="AU98" s="393"/>
      <c r="AW98" s="356"/>
      <c r="AY98" s="356"/>
    </row>
    <row r="99" spans="2:63" s="98" customFormat="1" ht="62.25" customHeight="1" x14ac:dyDescent="0.9">
      <c r="B99" s="133">
        <v>20</v>
      </c>
      <c r="C99" s="371">
        <f>+B99</f>
        <v>20</v>
      </c>
      <c r="D99" s="372" t="s">
        <v>460</v>
      </c>
      <c r="E99" s="111"/>
      <c r="F99" s="111" t="s">
        <v>422</v>
      </c>
      <c r="G99" s="578" t="str">
        <f t="shared" si="130"/>
        <v>ADA-PURPLE</v>
      </c>
      <c r="H99" s="450">
        <v>5014</v>
      </c>
      <c r="I99" s="111" t="s">
        <v>252</v>
      </c>
      <c r="J99" s="113">
        <v>13.23</v>
      </c>
      <c r="K99" s="130">
        <v>35</v>
      </c>
      <c r="L99" s="101" t="s">
        <v>17</v>
      </c>
      <c r="M99" s="214">
        <v>45</v>
      </c>
      <c r="N99" s="214">
        <v>24</v>
      </c>
      <c r="O99" s="214">
        <v>34</v>
      </c>
      <c r="P99" s="424">
        <v>32</v>
      </c>
      <c r="Q99" s="424">
        <v>24</v>
      </c>
      <c r="R99" s="424">
        <v>30</v>
      </c>
      <c r="S99" s="424">
        <v>30</v>
      </c>
      <c r="T99" s="424">
        <v>30</v>
      </c>
      <c r="U99" s="424">
        <v>10</v>
      </c>
      <c r="V99" s="424"/>
      <c r="W99" s="424"/>
      <c r="X99" s="123">
        <f t="shared" ref="X99" si="137">+IF(H100="s",0,IF(AB99=0,0,IF(COUNTA(M99:W99)=AN101+0.75,SUMIF($C:$C,B99,$AB:$AB)/AN101,SUMIF($C:$C,B99,$AB:$AB)/(COUNTA(M99:W99)))))</f>
        <v>31.393939393939394</v>
      </c>
      <c r="Y99" s="439"/>
      <c r="Z99" s="400"/>
      <c r="AA99" s="541"/>
      <c r="AB99" s="134">
        <f t="shared" si="93"/>
        <v>259</v>
      </c>
      <c r="AC99" s="137">
        <f>+AB99+AD99</f>
        <v>809</v>
      </c>
      <c r="AD99" s="137">
        <v>550</v>
      </c>
      <c r="AE99" s="439">
        <v>0</v>
      </c>
      <c r="AF99" s="439">
        <f>+AE99+Y99</f>
        <v>0</v>
      </c>
      <c r="AG99" s="140">
        <f>+AC98-AC99</f>
        <v>1359</v>
      </c>
      <c r="AH99" s="131">
        <f>+IF(((AB100+(AB101/2))*60)=0,"",(J99*AB99)/((AB100+(AB101/2))*60))</f>
        <v>0.57686363636363636</v>
      </c>
      <c r="AI99" s="161">
        <f>+AB100+AB101/2</f>
        <v>99</v>
      </c>
      <c r="AJ99" s="161">
        <f t="shared" si="128"/>
        <v>99</v>
      </c>
      <c r="AK99" s="167">
        <f t="shared" si="129"/>
        <v>5940</v>
      </c>
      <c r="AL99" s="167">
        <f>+AB99*J99</f>
        <v>3426.57</v>
      </c>
      <c r="AM99" s="230">
        <f>+AB99-(AI99*K99/K101)</f>
        <v>-126</v>
      </c>
      <c r="AN99" s="339"/>
      <c r="AO99" s="340"/>
      <c r="AP99" s="167"/>
      <c r="AQ99" s="167"/>
      <c r="AR99" s="167"/>
      <c r="AS99" s="167"/>
      <c r="AT99" s="433">
        <f>-400+AB98</f>
        <v>-25</v>
      </c>
      <c r="AU99" s="393">
        <v>1.5</v>
      </c>
      <c r="AW99" s="356">
        <v>1243</v>
      </c>
      <c r="AY99" s="356">
        <f t="shared" ref="AY99" si="138">+AW99-AG99</f>
        <v>-116</v>
      </c>
      <c r="BK99" s="137">
        <f>+AC98-H99</f>
        <v>-2846</v>
      </c>
    </row>
    <row r="100" spans="2:63" s="98" customFormat="1" ht="62.25" customHeight="1" x14ac:dyDescent="0.9">
      <c r="B100" s="125">
        <f>+B99</f>
        <v>20</v>
      </c>
      <c r="C100" s="373"/>
      <c r="D100" s="184"/>
      <c r="E100" s="111">
        <f>+B99</f>
        <v>20</v>
      </c>
      <c r="F100" s="374"/>
      <c r="G100" s="578" t="str">
        <f t="shared" si="130"/>
        <v>ADA-PURPLE</v>
      </c>
      <c r="H100" s="376" t="s">
        <v>400</v>
      </c>
      <c r="I100" s="113">
        <f>+IFERROR(IF(K101=0,0,IF((LOOKUP(2,1/(M100:W100&lt;&gt;""),M100:W100)-K101)&lt;0,0,IF(K101=0,"",LOOKUP(2,1/(M100:W100&lt;&gt;""),M100:W100)-K101))),0)</f>
        <v>3</v>
      </c>
      <c r="J100" s="113"/>
      <c r="K100" s="114" t="s">
        <v>22</v>
      </c>
      <c r="L100" s="102" t="s">
        <v>18</v>
      </c>
      <c r="M100" s="451">
        <v>12</v>
      </c>
      <c r="N100" s="451">
        <v>12</v>
      </c>
      <c r="O100" s="451">
        <v>12</v>
      </c>
      <c r="P100" s="451">
        <v>12</v>
      </c>
      <c r="Q100" s="451">
        <v>12</v>
      </c>
      <c r="R100" s="451">
        <v>12</v>
      </c>
      <c r="S100" s="451">
        <v>12</v>
      </c>
      <c r="T100" s="451">
        <v>12</v>
      </c>
      <c r="U100" s="451">
        <v>12</v>
      </c>
      <c r="V100" s="425"/>
      <c r="W100" s="425"/>
      <c r="X100" s="160">
        <f t="shared" ref="X100" si="139">+IF(H100="l",IF(COUNTA(M99:W99)=AN101+0.75,AB99-K99*AN101,AB99-(K99*COUNTA(M99:W99))),IF(H100="s",0,IF(COUNTA(M99:W99)=AN101+0.75,SUMIF($C:$C,B99,$AB:$AB)-K99*AN101,SUMIF($C:$C,B99,$AB:$AB)-K99*COUNTA(M99:W99))))</f>
        <v>-29.75</v>
      </c>
      <c r="Y100" s="440"/>
      <c r="Z100" s="400"/>
      <c r="AA100" s="541"/>
      <c r="AB100" s="443">
        <f t="shared" ref="AB100" si="140">+SUM(M100:W100)-U100*0.75</f>
        <v>99</v>
      </c>
      <c r="AC100" s="138"/>
      <c r="AD100" s="138"/>
      <c r="AE100" s="442"/>
      <c r="AF100" s="440"/>
      <c r="AG100" s="115"/>
      <c r="AH100" s="116"/>
      <c r="AI100" s="157"/>
      <c r="AJ100" s="161">
        <f t="shared" si="128"/>
        <v>0</v>
      </c>
      <c r="AK100" s="167">
        <f t="shared" si="129"/>
        <v>0</v>
      </c>
      <c r="AL100" s="167"/>
      <c r="AM100" s="167"/>
      <c r="AN100" s="339"/>
      <c r="AO100" s="340">
        <f>+IF(AN101=7.75,SUM(M100:S100)+T100*0.75,IF(AN101=8,SUM(M100:T100),IF(AN101=7.25,SUM(M100:S100)+T100*0.25,IF(AN101=8.25,SUM(M100:T100)+U100*0.25,IF(AN101=8.75,SUM(M100:T100)+U100*0.75,0)))))</f>
        <v>99</v>
      </c>
      <c r="AP100" s="167">
        <f>+AO100-AB100</f>
        <v>0</v>
      </c>
      <c r="AQ100" s="167"/>
      <c r="AR100" s="167"/>
      <c r="AS100" s="167"/>
      <c r="AT100" s="434"/>
      <c r="AU100" s="393"/>
      <c r="AW100" s="356"/>
      <c r="AY100" s="356"/>
    </row>
    <row r="101" spans="2:63" s="98" customFormat="1" ht="62.25" customHeight="1" thickBot="1" x14ac:dyDescent="0.95">
      <c r="B101" s="343">
        <f>+B99</f>
        <v>20</v>
      </c>
      <c r="C101" s="375"/>
      <c r="D101" s="378" t="s">
        <v>78</v>
      </c>
      <c r="E101" s="175">
        <f>+E100+100</f>
        <v>120</v>
      </c>
      <c r="F101" s="175"/>
      <c r="G101" s="579" t="str">
        <f t="shared" si="130"/>
        <v>ADA-PURPLE</v>
      </c>
      <c r="H101" s="117"/>
      <c r="I101" s="397"/>
      <c r="J101" s="165">
        <f>+IF(K101="","",IF(K99=0,"",(K99*J99)/(K101*60)))</f>
        <v>0.85750000000000004</v>
      </c>
      <c r="K101" s="118">
        <v>9</v>
      </c>
      <c r="L101" s="104" t="s">
        <v>19</v>
      </c>
      <c r="M101" s="428"/>
      <c r="N101" s="428"/>
      <c r="O101" s="428"/>
      <c r="P101" s="428"/>
      <c r="Q101" s="428"/>
      <c r="R101" s="428"/>
      <c r="S101" s="428"/>
      <c r="T101" s="428"/>
      <c r="U101" s="428"/>
      <c r="V101" s="428"/>
      <c r="W101" s="428"/>
      <c r="X101" s="173"/>
      <c r="Y101" s="441"/>
      <c r="Z101" s="401">
        <v>19.285714285714288</v>
      </c>
      <c r="AA101" s="169">
        <v>19.29</v>
      </c>
      <c r="AB101" s="444">
        <f t="shared" si="104"/>
        <v>0</v>
      </c>
      <c r="AC101" s="139"/>
      <c r="AD101" s="139"/>
      <c r="AE101" s="441"/>
      <c r="AF101" s="441"/>
      <c r="AG101" s="119">
        <f>+IFERROR(AG99/(K99*$AT$3),"")</f>
        <v>4.4375510204081632</v>
      </c>
      <c r="AH101" s="162"/>
      <c r="AI101" s="161"/>
      <c r="AJ101" s="161">
        <f t="shared" si="128"/>
        <v>0</v>
      </c>
      <c r="AK101" s="167">
        <f t="shared" si="129"/>
        <v>0</v>
      </c>
      <c r="AL101" s="167"/>
      <c r="AM101" s="230"/>
      <c r="AN101" s="342">
        <f>+$AM$4</f>
        <v>8.25</v>
      </c>
      <c r="AO101" s="340">
        <f>+IF(AN101=7.75,SUM(M101:S101)+T101*0.75,IF(AN101=8,SUM(M101:T101),IF(AN101=7.25,SUM(M101:S101)+T101*0.25,IF(AN101=8.25,SUM(M101:T101)+U101*0.25,IF(AN101=8.75,SUM(M101:T101)+U101*0.75,0)))))</f>
        <v>0</v>
      </c>
      <c r="AP101" s="167">
        <f>+AO101-AB101</f>
        <v>0</v>
      </c>
      <c r="AQ101" s="167"/>
      <c r="AR101" s="167"/>
      <c r="AS101" s="167"/>
      <c r="AT101" s="435"/>
      <c r="AU101" s="393"/>
      <c r="AW101" s="356">
        <v>4.0587755102040814</v>
      </c>
      <c r="AY101" s="356"/>
    </row>
    <row r="102" spans="2:63" s="384" customFormat="1" ht="91.5" customHeight="1" thickTop="1" thickBot="1" x14ac:dyDescent="0.95">
      <c r="B102" s="379"/>
      <c r="C102" s="379"/>
      <c r="D102" s="380"/>
      <c r="E102" s="380"/>
      <c r="F102" s="380"/>
      <c r="G102" s="380"/>
      <c r="H102" s="380"/>
      <c r="I102" s="380"/>
      <c r="J102" s="380"/>
      <c r="K102" s="380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0"/>
      <c r="Y102" s="381"/>
      <c r="Z102" s="380"/>
      <c r="AA102" s="380"/>
      <c r="AB102" s="380"/>
      <c r="AC102" s="380"/>
      <c r="AD102" s="380"/>
      <c r="AE102" s="380"/>
      <c r="AF102" s="380"/>
      <c r="AG102" s="380"/>
      <c r="AH102" s="382"/>
      <c r="AI102" s="383"/>
      <c r="AJ102" s="383"/>
      <c r="AN102" s="385"/>
      <c r="AO102" s="386"/>
      <c r="AU102" s="394"/>
    </row>
    <row r="103" spans="2:63" s="384" customFormat="1" ht="91.5" customHeight="1" thickTop="1" thickBot="1" x14ac:dyDescent="0.95">
      <c r="B103" s="379"/>
      <c r="C103" s="379"/>
      <c r="D103" s="380"/>
      <c r="E103" s="380"/>
      <c r="F103" s="380"/>
      <c r="G103" s="380"/>
      <c r="H103" s="380"/>
      <c r="I103" s="380"/>
      <c r="J103" s="380"/>
      <c r="K103" s="380"/>
      <c r="L103" s="346" t="s">
        <v>21</v>
      </c>
      <c r="M103" s="166">
        <f t="shared" ref="M103:W103" si="141">+SUMIF($L$6:$L$102,$L$103,M6:M102)</f>
        <v>1568</v>
      </c>
      <c r="N103" s="166">
        <f t="shared" si="141"/>
        <v>1445</v>
      </c>
      <c r="O103" s="166">
        <f t="shared" si="141"/>
        <v>1465</v>
      </c>
      <c r="P103" s="166">
        <f t="shared" si="141"/>
        <v>790</v>
      </c>
      <c r="Q103" s="166">
        <f t="shared" si="141"/>
        <v>655</v>
      </c>
      <c r="R103" s="166">
        <f t="shared" si="141"/>
        <v>700</v>
      </c>
      <c r="S103" s="166">
        <f t="shared" si="141"/>
        <v>516</v>
      </c>
      <c r="T103" s="166">
        <f t="shared" si="141"/>
        <v>260</v>
      </c>
      <c r="U103" s="166">
        <f t="shared" si="141"/>
        <v>0</v>
      </c>
      <c r="V103" s="166">
        <f t="shared" si="141"/>
        <v>0</v>
      </c>
      <c r="W103" s="166">
        <f t="shared" si="141"/>
        <v>0</v>
      </c>
      <c r="X103" s="332"/>
      <c r="Y103" s="223"/>
      <c r="Z103" s="332"/>
      <c r="AA103" s="575">
        <f>+SUM(M103:W103)</f>
        <v>7399</v>
      </c>
      <c r="AB103" s="576"/>
      <c r="AC103" s="380"/>
      <c r="AD103" s="380"/>
      <c r="AE103" s="380"/>
      <c r="AF103" s="380"/>
      <c r="AG103" s="380"/>
      <c r="AH103" s="382"/>
      <c r="AI103" s="383"/>
      <c r="AJ103" s="383"/>
      <c r="AN103" s="385"/>
      <c r="AU103" s="394"/>
    </row>
    <row r="104" spans="2:63" s="384" customFormat="1" ht="91.5" customHeight="1" thickTop="1" thickBot="1" x14ac:dyDescent="0.95">
      <c r="B104" s="379"/>
      <c r="C104" s="379"/>
      <c r="D104" s="380"/>
      <c r="E104" s="380"/>
      <c r="F104" s="380"/>
      <c r="G104" s="380"/>
      <c r="H104" s="380"/>
      <c r="I104" s="380"/>
      <c r="J104" s="380"/>
      <c r="K104" s="380"/>
      <c r="L104" s="347"/>
      <c r="M104" s="344"/>
      <c r="N104" s="344"/>
      <c r="O104" s="344"/>
      <c r="P104" s="344"/>
      <c r="Q104" s="344"/>
      <c r="R104" s="344"/>
      <c r="S104" s="344"/>
      <c r="T104" s="344"/>
      <c r="U104" s="344"/>
      <c r="V104" s="344"/>
      <c r="W104" s="344"/>
      <c r="X104" s="332"/>
      <c r="Y104" s="344"/>
      <c r="Z104" s="332"/>
      <c r="AA104" s="332"/>
      <c r="AB104" s="332"/>
      <c r="AC104" s="380"/>
      <c r="AD104" s="380"/>
      <c r="AE104" s="380"/>
      <c r="AF104" s="380"/>
      <c r="AG104" s="380"/>
      <c r="AH104" s="382"/>
      <c r="AI104" s="383"/>
      <c r="AJ104" s="383"/>
      <c r="AN104" s="385"/>
      <c r="AU104" s="394"/>
    </row>
    <row r="105" spans="2:63" s="384" customFormat="1" ht="91.5" customHeight="1" thickTop="1" thickBot="1" x14ac:dyDescent="0.95">
      <c r="B105" s="379"/>
      <c r="C105" s="379"/>
      <c r="D105" s="380"/>
      <c r="E105" s="380"/>
      <c r="F105" s="380"/>
      <c r="G105" s="380"/>
      <c r="H105" s="380"/>
      <c r="I105" s="380"/>
      <c r="J105" s="380"/>
      <c r="K105" s="380"/>
      <c r="L105" s="346" t="s">
        <v>17</v>
      </c>
      <c r="M105" s="166">
        <f t="shared" ref="M105:W105" si="142">+SUMIF($L$6:$L$102,$L$105,M6:M102)</f>
        <v>959</v>
      </c>
      <c r="N105" s="166">
        <f t="shared" si="142"/>
        <v>941</v>
      </c>
      <c r="O105" s="166">
        <f t="shared" si="142"/>
        <v>945</v>
      </c>
      <c r="P105" s="166">
        <f t="shared" si="142"/>
        <v>955</v>
      </c>
      <c r="Q105" s="166">
        <f t="shared" si="142"/>
        <v>898</v>
      </c>
      <c r="R105" s="166">
        <f t="shared" si="142"/>
        <v>825</v>
      </c>
      <c r="S105" s="166">
        <f t="shared" si="142"/>
        <v>927</v>
      </c>
      <c r="T105" s="166">
        <f t="shared" si="142"/>
        <v>839</v>
      </c>
      <c r="U105" s="166">
        <f t="shared" si="142"/>
        <v>244</v>
      </c>
      <c r="V105" s="166">
        <f t="shared" si="142"/>
        <v>0</v>
      </c>
      <c r="W105" s="166">
        <f t="shared" si="142"/>
        <v>0</v>
      </c>
      <c r="X105" s="332"/>
      <c r="Y105" s="223"/>
      <c r="Z105" s="332"/>
      <c r="AA105" s="575">
        <f>+SUM(M105:W105)</f>
        <v>7533</v>
      </c>
      <c r="AB105" s="576"/>
      <c r="AC105" s="380"/>
      <c r="AD105" s="380"/>
      <c r="AE105" s="380"/>
      <c r="AF105" s="380"/>
      <c r="AG105" s="380"/>
      <c r="AH105" s="382"/>
      <c r="AI105" s="383"/>
      <c r="AJ105" s="383"/>
      <c r="AN105" s="385"/>
      <c r="AU105" s="394"/>
    </row>
    <row r="106" spans="2:63" s="384" customFormat="1" ht="91.5" customHeight="1" thickTop="1" thickBot="1" x14ac:dyDescent="0.95">
      <c r="B106" s="379"/>
      <c r="C106" s="379"/>
      <c r="D106" s="380"/>
      <c r="E106" s="380"/>
      <c r="F106" s="380"/>
      <c r="G106" s="380"/>
      <c r="H106" s="380"/>
      <c r="I106" s="380"/>
      <c r="J106" s="380"/>
      <c r="K106" s="380"/>
      <c r="L106" s="347"/>
      <c r="M106" s="344"/>
      <c r="N106" s="344"/>
      <c r="O106" s="344"/>
      <c r="P106" s="344"/>
      <c r="Q106" s="344"/>
      <c r="R106" s="344"/>
      <c r="S106" s="344"/>
      <c r="T106" s="344"/>
      <c r="U106" s="344"/>
      <c r="V106" s="344"/>
      <c r="W106" s="344"/>
      <c r="X106" s="332"/>
      <c r="Y106" s="344"/>
      <c r="Z106" s="332"/>
      <c r="AA106" s="332"/>
      <c r="AB106" s="332"/>
      <c r="AC106" s="380"/>
      <c r="AD106" s="380"/>
      <c r="AE106" s="380"/>
      <c r="AF106" s="380"/>
      <c r="AG106" s="380"/>
      <c r="AH106" s="382"/>
      <c r="AI106" s="383"/>
      <c r="AJ106" s="383"/>
      <c r="AN106" s="385"/>
      <c r="AU106" s="394"/>
    </row>
    <row r="107" spans="2:63" s="384" customFormat="1" ht="91.5" customHeight="1" thickTop="1" thickBot="1" x14ac:dyDescent="0.95">
      <c r="B107" s="379"/>
      <c r="C107" s="379"/>
      <c r="D107" s="387"/>
      <c r="E107" s="387"/>
      <c r="F107" s="387"/>
      <c r="G107" s="387"/>
      <c r="H107" s="387"/>
      <c r="I107" s="387"/>
      <c r="J107" s="388"/>
      <c r="K107" s="387"/>
      <c r="L107" s="346" t="s">
        <v>19</v>
      </c>
      <c r="M107" s="166">
        <f t="shared" ref="M107:W107" si="143">+SUMIF($L$6:$L$102,$L$107,M6:M102)</f>
        <v>16</v>
      </c>
      <c r="N107" s="166">
        <f t="shared" si="143"/>
        <v>16</v>
      </c>
      <c r="O107" s="166">
        <f t="shared" si="143"/>
        <v>16</v>
      </c>
      <c r="P107" s="166">
        <f t="shared" si="143"/>
        <v>18</v>
      </c>
      <c r="Q107" s="166">
        <f t="shared" si="143"/>
        <v>18</v>
      </c>
      <c r="R107" s="166">
        <f t="shared" si="143"/>
        <v>18</v>
      </c>
      <c r="S107" s="166">
        <f t="shared" si="143"/>
        <v>18</v>
      </c>
      <c r="T107" s="166">
        <f t="shared" si="143"/>
        <v>18</v>
      </c>
      <c r="U107" s="166">
        <f t="shared" si="143"/>
        <v>18</v>
      </c>
      <c r="V107" s="166">
        <f t="shared" si="143"/>
        <v>0</v>
      </c>
      <c r="W107" s="166">
        <f t="shared" si="143"/>
        <v>0</v>
      </c>
      <c r="X107" s="348"/>
      <c r="Y107" s="223"/>
      <c r="Z107" s="348"/>
      <c r="AA107" s="332"/>
      <c r="AB107" s="332"/>
      <c r="AC107" s="380"/>
      <c r="AD107" s="380"/>
      <c r="AE107" s="380"/>
      <c r="AF107" s="380"/>
      <c r="AG107" s="380"/>
      <c r="AH107" s="382"/>
      <c r="AI107" s="383"/>
      <c r="AJ107" s="383"/>
      <c r="AN107" s="385"/>
      <c r="AU107" s="394"/>
    </row>
    <row r="108" spans="2:63" s="384" customFormat="1" ht="62.25" customHeight="1" thickTop="1" x14ac:dyDescent="0.9">
      <c r="B108" s="379"/>
      <c r="C108" s="379"/>
      <c r="D108" s="387"/>
      <c r="E108" s="387"/>
      <c r="F108" s="387"/>
      <c r="G108" s="387"/>
      <c r="H108" s="387"/>
      <c r="I108" s="389"/>
      <c r="J108" s="388"/>
      <c r="K108" s="387"/>
      <c r="L108" s="347"/>
      <c r="M108" s="349"/>
      <c r="N108" s="345"/>
      <c r="O108" s="345"/>
      <c r="P108" s="345"/>
      <c r="Q108" s="345"/>
      <c r="R108" s="345"/>
      <c r="S108" s="345"/>
      <c r="T108" s="345"/>
      <c r="U108" s="345"/>
      <c r="V108" s="345"/>
      <c r="W108" s="345"/>
      <c r="X108" s="332"/>
      <c r="Y108" s="345"/>
      <c r="Z108" s="332"/>
      <c r="AA108" s="332"/>
      <c r="AB108" s="332"/>
      <c r="AC108" s="380"/>
      <c r="AD108" s="380"/>
      <c r="AE108" s="380"/>
      <c r="AF108" s="380"/>
      <c r="AG108" s="390"/>
      <c r="AH108" s="382"/>
      <c r="AI108" s="383"/>
      <c r="AJ108" s="383"/>
      <c r="AN108" s="385"/>
      <c r="AU108" s="394"/>
    </row>
    <row r="109" spans="2:63" s="98" customFormat="1" ht="62.25" customHeight="1" thickBot="1" x14ac:dyDescent="0.95">
      <c r="B109" s="94"/>
      <c r="C109" s="94"/>
      <c r="D109" s="92"/>
      <c r="E109" s="92"/>
      <c r="F109" s="92"/>
      <c r="G109" s="92"/>
      <c r="H109" s="92"/>
      <c r="I109" s="91"/>
      <c r="J109" s="93"/>
      <c r="K109" s="92"/>
      <c r="L109" s="350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63" s="98" customFormat="1" ht="88.5" customHeight="1" thickTop="1" thickBot="1" x14ac:dyDescent="0.95">
      <c r="B110" s="94"/>
      <c r="C110" s="94"/>
      <c r="D110" s="92"/>
      <c r="E110" s="92"/>
      <c r="F110" s="92"/>
      <c r="G110" s="92"/>
      <c r="H110" s="92"/>
      <c r="I110" s="91"/>
      <c r="J110" s="93"/>
      <c r="K110" s="212" t="s">
        <v>18</v>
      </c>
      <c r="L110" s="351" t="s">
        <v>180</v>
      </c>
      <c r="M110" s="166">
        <f t="shared" ref="M110:W110" si="144">+IF(M113=0,0,SUMIFS($J$6:$J$102,$L$6:$L$102,$K$110))</f>
        <v>6</v>
      </c>
      <c r="N110" s="166">
        <f t="shared" si="144"/>
        <v>6</v>
      </c>
      <c r="O110" s="166">
        <f t="shared" si="144"/>
        <v>6</v>
      </c>
      <c r="P110" s="166">
        <f t="shared" si="144"/>
        <v>6</v>
      </c>
      <c r="Q110" s="166">
        <f t="shared" si="144"/>
        <v>6</v>
      </c>
      <c r="R110" s="166">
        <f t="shared" si="144"/>
        <v>6</v>
      </c>
      <c r="S110" s="166">
        <f t="shared" si="144"/>
        <v>6</v>
      </c>
      <c r="T110" s="166">
        <f t="shared" si="144"/>
        <v>6</v>
      </c>
      <c r="U110" s="166">
        <f t="shared" si="144"/>
        <v>6</v>
      </c>
      <c r="V110" s="166">
        <f t="shared" si="144"/>
        <v>0</v>
      </c>
      <c r="W110" s="166">
        <f t="shared" si="144"/>
        <v>0</v>
      </c>
      <c r="X110" s="2"/>
      <c r="Y110" s="223"/>
      <c r="Z110" s="2"/>
      <c r="AA110" s="1"/>
      <c r="AB110" s="1"/>
      <c r="AC110" s="91"/>
      <c r="AD110" s="91"/>
      <c r="AE110" s="91"/>
      <c r="AF110" s="91"/>
      <c r="AG110" s="91"/>
      <c r="AH110" s="95"/>
      <c r="AI110" s="158"/>
      <c r="AJ110" s="158"/>
      <c r="AN110" s="183"/>
      <c r="AU110" s="393"/>
    </row>
    <row r="111" spans="2:63" s="98" customFormat="1" ht="62.25" customHeight="1" thickTop="1" x14ac:dyDescent="0.9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50"/>
      <c r="M111" s="352"/>
      <c r="N111" s="352"/>
      <c r="O111" s="352"/>
      <c r="P111" s="352"/>
      <c r="Q111" s="352"/>
      <c r="R111" s="352"/>
      <c r="S111" s="352"/>
      <c r="T111" s="352"/>
      <c r="U111" s="352"/>
      <c r="V111" s="352"/>
      <c r="W111" s="352"/>
      <c r="X111" s="1"/>
      <c r="Y111" s="352"/>
      <c r="Z111" s="1"/>
      <c r="AA111" s="1"/>
      <c r="AB111" s="1"/>
      <c r="AC111" s="91"/>
      <c r="AD111" s="91"/>
      <c r="AE111" s="91"/>
      <c r="AF111" s="91"/>
      <c r="AG111" s="91"/>
      <c r="AH111" s="95"/>
      <c r="AI111" s="158"/>
      <c r="AJ111" s="158"/>
      <c r="AN111" s="183"/>
      <c r="AU111" s="393"/>
    </row>
    <row r="112" spans="2:63" s="98" customFormat="1" ht="62.25" customHeight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212"/>
      <c r="L112" s="350"/>
      <c r="M112" s="1"/>
      <c r="N112" s="1"/>
      <c r="O112" s="1"/>
      <c r="P112" s="1"/>
      <c r="Q112" s="353"/>
      <c r="R112" s="353"/>
      <c r="S112" s="353"/>
      <c r="T112" s="353"/>
      <c r="U112" s="353"/>
      <c r="V112" s="353"/>
      <c r="W112" s="353"/>
      <c r="X112" s="1"/>
      <c r="Y112" s="353"/>
      <c r="Z112" s="1"/>
      <c r="AA112" s="1"/>
      <c r="AB112" s="1"/>
      <c r="AC112" s="91"/>
      <c r="AD112" s="91"/>
      <c r="AE112" s="91"/>
      <c r="AF112" s="91"/>
      <c r="AG112" s="91"/>
      <c r="AH112" s="95"/>
      <c r="AI112" s="158"/>
      <c r="AJ112" s="158"/>
      <c r="AN112" s="183"/>
      <c r="AU112" s="393"/>
    </row>
    <row r="113" spans="2:47" s="98" customFormat="1" ht="98.25" customHeight="1" thickTop="1" thickBot="1" x14ac:dyDescent="0.95">
      <c r="B113" s="94"/>
      <c r="C113" s="94"/>
      <c r="D113" s="92"/>
      <c r="E113" s="92"/>
      <c r="F113" s="92"/>
      <c r="G113" s="92"/>
      <c r="H113" s="92"/>
      <c r="I113" s="92"/>
      <c r="J113" s="93"/>
      <c r="K113" s="212"/>
      <c r="L113" s="351" t="s">
        <v>18</v>
      </c>
      <c r="M113" s="166">
        <f t="shared" ref="M113:W113" si="145">+SUMIF($L$6:$L$102,$L$113,M6:M102)</f>
        <v>749</v>
      </c>
      <c r="N113" s="166">
        <f t="shared" si="145"/>
        <v>749</v>
      </c>
      <c r="O113" s="166">
        <f t="shared" si="145"/>
        <v>749</v>
      </c>
      <c r="P113" s="166">
        <f t="shared" si="145"/>
        <v>749</v>
      </c>
      <c r="Q113" s="166">
        <f t="shared" si="145"/>
        <v>749</v>
      </c>
      <c r="R113" s="166">
        <f t="shared" si="145"/>
        <v>748</v>
      </c>
      <c r="S113" s="166">
        <f t="shared" si="145"/>
        <v>748</v>
      </c>
      <c r="T113" s="166">
        <f t="shared" si="145"/>
        <v>748</v>
      </c>
      <c r="U113" s="166">
        <f t="shared" si="145"/>
        <v>748</v>
      </c>
      <c r="V113" s="166">
        <f t="shared" si="145"/>
        <v>0</v>
      </c>
      <c r="W113" s="166">
        <f t="shared" si="145"/>
        <v>0</v>
      </c>
      <c r="X113" s="1"/>
      <c r="Y113" s="223"/>
      <c r="Z113" s="1"/>
      <c r="AA113" s="1"/>
      <c r="AB113" s="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s="98" customFormat="1" ht="62.25" customHeight="1" thickTop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212"/>
      <c r="L114" s="350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1"/>
      <c r="Y114" s="354"/>
      <c r="Z114" s="1"/>
      <c r="AA114" s="1"/>
      <c r="AB114" s="1"/>
      <c r="AC114" s="91"/>
      <c r="AD114" s="91"/>
      <c r="AE114" s="91"/>
      <c r="AF114" s="91"/>
      <c r="AG114" s="91"/>
      <c r="AH114" s="95"/>
      <c r="AI114" s="158"/>
      <c r="AJ114" s="158"/>
      <c r="AN114" s="183"/>
      <c r="AU114" s="393"/>
    </row>
    <row r="115" spans="2:47" s="98" customFormat="1" ht="62.25" customHeight="1" thickBot="1" x14ac:dyDescent="0.95">
      <c r="B115" s="94"/>
      <c r="C115" s="94"/>
      <c r="D115" s="92"/>
      <c r="E115" s="92"/>
      <c r="F115" s="92"/>
      <c r="G115" s="92"/>
      <c r="H115" s="92"/>
      <c r="I115" s="92"/>
      <c r="J115" s="93"/>
      <c r="K115" s="212"/>
      <c r="L115" s="350"/>
      <c r="M115" s="1"/>
      <c r="N115" s="1"/>
      <c r="O115" s="1"/>
      <c r="P115" s="1"/>
      <c r="Q115" s="353"/>
      <c r="R115" s="353"/>
      <c r="S115" s="353"/>
      <c r="T115" s="353"/>
      <c r="U115" s="353"/>
      <c r="V115" s="353"/>
      <c r="W115" s="353"/>
      <c r="X115" s="1"/>
      <c r="Y115" s="353"/>
      <c r="Z115" s="1"/>
      <c r="AA115" s="1"/>
      <c r="AB115" s="1"/>
      <c r="AC115" s="91"/>
      <c r="AD115" s="91"/>
      <c r="AE115" s="91"/>
      <c r="AF115" s="91"/>
      <c r="AG115" s="91"/>
      <c r="AH115" s="95"/>
      <c r="AI115" s="158"/>
      <c r="AJ115" s="158"/>
      <c r="AN115" s="183"/>
      <c r="AU115" s="393"/>
    </row>
    <row r="116" spans="2:47" s="98" customFormat="1" ht="94.5" customHeight="1" thickTop="1" thickBot="1" x14ac:dyDescent="0.95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351" t="s">
        <v>13</v>
      </c>
      <c r="M116" s="166">
        <f>+M113+M110+M107</f>
        <v>771</v>
      </c>
      <c r="N116" s="166">
        <f t="shared" ref="N116:W116" si="146">+N113+N110+N107</f>
        <v>771</v>
      </c>
      <c r="O116" s="166">
        <f t="shared" si="146"/>
        <v>771</v>
      </c>
      <c r="P116" s="166">
        <f t="shared" si="146"/>
        <v>773</v>
      </c>
      <c r="Q116" s="166">
        <f t="shared" si="146"/>
        <v>773</v>
      </c>
      <c r="R116" s="166">
        <f t="shared" si="146"/>
        <v>772</v>
      </c>
      <c r="S116" s="166">
        <f t="shared" si="146"/>
        <v>772</v>
      </c>
      <c r="T116" s="166">
        <f t="shared" si="146"/>
        <v>772</v>
      </c>
      <c r="U116" s="166">
        <f t="shared" si="146"/>
        <v>772</v>
      </c>
      <c r="V116" s="166">
        <f t="shared" si="146"/>
        <v>0</v>
      </c>
      <c r="W116" s="166">
        <f t="shared" si="146"/>
        <v>0</v>
      </c>
      <c r="X116" s="1"/>
      <c r="Y116" s="223"/>
      <c r="Z116" s="1"/>
      <c r="AA116" s="1"/>
      <c r="AB116" s="1"/>
      <c r="AC116" s="91"/>
      <c r="AD116" s="91"/>
      <c r="AE116" s="91"/>
      <c r="AF116" s="91"/>
      <c r="AG116" s="91"/>
      <c r="AH116" s="95"/>
      <c r="AI116" s="155"/>
      <c r="AJ116" s="155"/>
      <c r="AN116" s="183"/>
      <c r="AU116" s="393"/>
    </row>
    <row r="117" spans="2:47" s="98" customFormat="1" ht="62.25" thickTop="1" x14ac:dyDescent="0.9">
      <c r="B117" s="94"/>
      <c r="C117" s="94"/>
      <c r="D117" s="92"/>
      <c r="E117" s="92"/>
      <c r="F117" s="92"/>
      <c r="G117" s="92"/>
      <c r="H117" s="92"/>
      <c r="I117" s="92"/>
      <c r="J117" s="93"/>
      <c r="K117" s="92"/>
      <c r="L117" s="35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91"/>
      <c r="AD117" s="91"/>
      <c r="AE117" s="91"/>
      <c r="AF117" s="91"/>
      <c r="AG117" s="91"/>
      <c r="AH117" s="95"/>
      <c r="AI117" s="158"/>
      <c r="AJ117" s="158"/>
      <c r="AN117" s="183"/>
      <c r="AU117" s="393"/>
    </row>
    <row r="118" spans="2:47" x14ac:dyDescent="0.9">
      <c r="J118" s="91"/>
      <c r="K118" s="91"/>
      <c r="T118" s="544"/>
      <c r="U118" s="544"/>
      <c r="V118" s="544"/>
      <c r="AI118" s="158"/>
      <c r="AJ118" s="158"/>
    </row>
    <row r="119" spans="2:47" ht="105" customHeight="1" x14ac:dyDescent="0.9">
      <c r="B119" s="391"/>
      <c r="AI119" s="158"/>
      <c r="AJ119" s="158"/>
    </row>
    <row r="120" spans="2:47" s="98" customFormat="1" x14ac:dyDescent="0.9">
      <c r="B120" s="94"/>
      <c r="C120" s="94"/>
      <c r="D120" s="92"/>
      <c r="E120" s="92"/>
      <c r="F120" s="92"/>
      <c r="G120" s="92"/>
      <c r="H120" s="92"/>
      <c r="I120" s="92"/>
      <c r="J120" s="93"/>
      <c r="K120" s="92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8"/>
      <c r="AJ120" s="158"/>
      <c r="AN120" s="183"/>
      <c r="AU120" s="393"/>
    </row>
    <row r="121" spans="2:47" s="98" customFormat="1" x14ac:dyDescent="0.9">
      <c r="B121" s="94"/>
      <c r="C121" s="94"/>
      <c r="D121" s="92"/>
      <c r="E121" s="92"/>
      <c r="F121" s="92"/>
      <c r="G121" s="92"/>
      <c r="H121" s="92"/>
      <c r="I121" s="91"/>
      <c r="J121" s="93"/>
      <c r="K121" s="92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8"/>
      <c r="AJ121" s="158"/>
      <c r="AN121" s="183"/>
      <c r="AU121" s="393"/>
    </row>
    <row r="122" spans="2:47" s="98" customFormat="1" x14ac:dyDescent="0.9">
      <c r="B122" s="94"/>
      <c r="C122" s="94"/>
      <c r="D122" s="92"/>
      <c r="E122" s="92"/>
      <c r="F122" s="92"/>
      <c r="G122" s="92"/>
      <c r="H122" s="92"/>
      <c r="I122" s="92"/>
      <c r="J122" s="93"/>
      <c r="K122" s="92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8"/>
      <c r="AJ122" s="158"/>
      <c r="AN122" s="183"/>
      <c r="AU122" s="393"/>
    </row>
    <row r="123" spans="2:47" s="98" customFormat="1" ht="66" customHeight="1" x14ac:dyDescent="0.9">
      <c r="B123" s="94"/>
      <c r="C123" s="94"/>
      <c r="D123" s="92"/>
      <c r="E123" s="92"/>
      <c r="F123" s="92"/>
      <c r="G123" s="92"/>
      <c r="H123" s="92"/>
      <c r="I123" s="92"/>
      <c r="J123" s="93"/>
      <c r="K123" s="92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8"/>
      <c r="AJ123" s="158"/>
      <c r="AN123" s="183"/>
      <c r="AU123" s="393"/>
    </row>
    <row r="125" spans="2:47" s="92" customFormat="1" x14ac:dyDescent="0.7">
      <c r="B125" s="94"/>
      <c r="C125" s="94"/>
      <c r="D125" s="92">
        <v>2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6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7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8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34" spans="2:47" s="92" customFormat="1" x14ac:dyDescent="0.7">
      <c r="B134" s="94"/>
      <c r="C134" s="94"/>
      <c r="H134" s="92">
        <v>11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5"/>
      <c r="AI134" s="155"/>
      <c r="AJ134" s="155"/>
      <c r="AK134" s="98"/>
      <c r="AL134" s="98"/>
      <c r="AM134" s="98"/>
      <c r="AN134" s="183"/>
      <c r="AO134" s="91"/>
      <c r="AP134" s="91"/>
      <c r="AU134" s="243"/>
    </row>
    <row r="135" spans="2:47" s="92" customFormat="1" x14ac:dyDescent="0.7">
      <c r="B135" s="94"/>
      <c r="C135" s="94"/>
      <c r="H135" s="92">
        <v>12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5"/>
      <c r="AI135" s="155"/>
      <c r="AJ135" s="155"/>
      <c r="AK135" s="98"/>
      <c r="AL135" s="98"/>
      <c r="AM135" s="98"/>
      <c r="AN135" s="183"/>
      <c r="AO135" s="91"/>
      <c r="AP135" s="91"/>
      <c r="AU135" s="243"/>
    </row>
    <row r="136" spans="2:47" s="92" customFormat="1" x14ac:dyDescent="0.7">
      <c r="B136" s="94"/>
      <c r="C136" s="94"/>
      <c r="H136" s="92">
        <v>13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5"/>
      <c r="AI136" s="155"/>
      <c r="AJ136" s="155"/>
      <c r="AK136" s="98"/>
      <c r="AL136" s="98"/>
      <c r="AM136" s="98"/>
      <c r="AN136" s="183"/>
      <c r="AO136" s="91"/>
      <c r="AP136" s="91"/>
      <c r="AU136" s="243"/>
    </row>
    <row r="137" spans="2:47" s="92" customFormat="1" x14ac:dyDescent="0.7">
      <c r="B137" s="94"/>
      <c r="C137" s="94"/>
      <c r="H137" s="92">
        <v>14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5"/>
      <c r="AI137" s="155"/>
      <c r="AJ137" s="155"/>
      <c r="AK137" s="98"/>
      <c r="AL137" s="98"/>
      <c r="AM137" s="98"/>
      <c r="AN137" s="183"/>
      <c r="AO137" s="91"/>
      <c r="AP137" s="91"/>
      <c r="AU137" s="243"/>
    </row>
    <row r="138" spans="2:47" s="92" customFormat="1" x14ac:dyDescent="0.7">
      <c r="B138" s="94"/>
      <c r="C138" s="94"/>
      <c r="H138" s="92">
        <v>15</v>
      </c>
      <c r="J138" s="93"/>
      <c r="L138" s="99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5"/>
      <c r="AI138" s="155"/>
      <c r="AJ138" s="155"/>
      <c r="AK138" s="98"/>
      <c r="AL138" s="98"/>
      <c r="AM138" s="98"/>
      <c r="AN138" s="183"/>
      <c r="AO138" s="91"/>
      <c r="AP138" s="91"/>
      <c r="AU138" s="243"/>
    </row>
    <row r="139" spans="2:47" s="92" customFormat="1" x14ac:dyDescent="0.7">
      <c r="B139" s="94"/>
      <c r="C139" s="94"/>
      <c r="H139" s="92">
        <v>17</v>
      </c>
      <c r="J139" s="93"/>
      <c r="L139" s="99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5"/>
      <c r="AI139" s="155"/>
      <c r="AJ139" s="155"/>
      <c r="AK139" s="98"/>
      <c r="AL139" s="98"/>
      <c r="AM139" s="98"/>
      <c r="AN139" s="183"/>
      <c r="AO139" s="91"/>
      <c r="AP139" s="91"/>
      <c r="AU139" s="243"/>
    </row>
    <row r="140" spans="2:47" s="92" customFormat="1" x14ac:dyDescent="0.7">
      <c r="B140" s="94"/>
      <c r="C140" s="94"/>
      <c r="H140" s="92">
        <v>18</v>
      </c>
      <c r="J140" s="93"/>
      <c r="L140" s="99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5"/>
      <c r="AI140" s="155"/>
      <c r="AJ140" s="155"/>
      <c r="AK140" s="98"/>
      <c r="AL140" s="98"/>
      <c r="AM140" s="98"/>
      <c r="AN140" s="183"/>
      <c r="AO140" s="91"/>
      <c r="AP140" s="91"/>
      <c r="AU140" s="243"/>
    </row>
    <row r="141" spans="2:47" s="92" customFormat="1" x14ac:dyDescent="0.7">
      <c r="B141" s="94"/>
      <c r="C141" s="94"/>
      <c r="H141" s="92">
        <v>19</v>
      </c>
      <c r="J141" s="93"/>
      <c r="L141" s="99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5"/>
      <c r="AI141" s="155"/>
      <c r="AJ141" s="155"/>
      <c r="AK141" s="98"/>
      <c r="AL141" s="98"/>
      <c r="AM141" s="98"/>
      <c r="AN141" s="183"/>
      <c r="AO141" s="91"/>
      <c r="AP141" s="91"/>
      <c r="AU141" s="243"/>
    </row>
    <row r="197" spans="2:47" s="92" customFormat="1" x14ac:dyDescent="0.7">
      <c r="B197" s="94"/>
      <c r="C197" s="94"/>
      <c r="G197" s="92">
        <v>1</v>
      </c>
      <c r="J197" s="93"/>
      <c r="L197" s="99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5"/>
      <c r="AI197" s="155"/>
      <c r="AJ197" s="155"/>
      <c r="AK197" s="98"/>
      <c r="AL197" s="98"/>
      <c r="AM197" s="98"/>
      <c r="AN197" s="183"/>
      <c r="AO197" s="91"/>
      <c r="AP197" s="91"/>
      <c r="AU197" s="243"/>
    </row>
  </sheetData>
  <autoFilter ref="A5:CU93">
    <filterColumn colId="9" showButton="0"/>
  </autoFilter>
  <mergeCells count="69">
    <mergeCell ref="AG1:AH1"/>
    <mergeCell ref="AG2:AH3"/>
    <mergeCell ref="H3:I3"/>
    <mergeCell ref="K3:L3"/>
    <mergeCell ref="B4:G4"/>
    <mergeCell ref="K4:L4"/>
    <mergeCell ref="AG4:AH4"/>
    <mergeCell ref="J5:K5"/>
    <mergeCell ref="G6:G9"/>
    <mergeCell ref="AA6:AA8"/>
    <mergeCell ref="AZ7:BI7"/>
    <mergeCell ref="G10:G13"/>
    <mergeCell ref="AA10:AA12"/>
    <mergeCell ref="AZ11:BI11"/>
    <mergeCell ref="G30:G33"/>
    <mergeCell ref="AA30:AA32"/>
    <mergeCell ref="G14:G17"/>
    <mergeCell ref="AA14:AA16"/>
    <mergeCell ref="AZ15:BI15"/>
    <mergeCell ref="G18:G21"/>
    <mergeCell ref="AA18:AA20"/>
    <mergeCell ref="AZ19:BI19"/>
    <mergeCell ref="G22:G25"/>
    <mergeCell ref="AA22:AA24"/>
    <mergeCell ref="AZ23:BI23"/>
    <mergeCell ref="G26:G29"/>
    <mergeCell ref="AA26:AA28"/>
    <mergeCell ref="G54:G57"/>
    <mergeCell ref="AA54:AA56"/>
    <mergeCell ref="G34:G37"/>
    <mergeCell ref="AA34:AA36"/>
    <mergeCell ref="G38:G41"/>
    <mergeCell ref="AA38:AA40"/>
    <mergeCell ref="G42:G45"/>
    <mergeCell ref="AA42:AA44"/>
    <mergeCell ref="AZ43:BI43"/>
    <mergeCell ref="G46:G49"/>
    <mergeCell ref="AA46:AA48"/>
    <mergeCell ref="G50:G53"/>
    <mergeCell ref="AA50:AA52"/>
    <mergeCell ref="G78:G81"/>
    <mergeCell ref="AA78:AA80"/>
    <mergeCell ref="AZ79:BI79"/>
    <mergeCell ref="G58:G61"/>
    <mergeCell ref="AA58:AA60"/>
    <mergeCell ref="G62:G65"/>
    <mergeCell ref="AA62:AA64"/>
    <mergeCell ref="G66:G69"/>
    <mergeCell ref="AA66:AA68"/>
    <mergeCell ref="G70:G73"/>
    <mergeCell ref="AA70:AA72"/>
    <mergeCell ref="G74:G77"/>
    <mergeCell ref="AA74:AA76"/>
    <mergeCell ref="AZ75:BI75"/>
    <mergeCell ref="G82:G85"/>
    <mergeCell ref="AA82:AA84"/>
    <mergeCell ref="AZ83:BJ83"/>
    <mergeCell ref="G86:G89"/>
    <mergeCell ref="AA86:AA88"/>
    <mergeCell ref="AZ87:BJ87"/>
    <mergeCell ref="AA103:AB103"/>
    <mergeCell ref="AA105:AB105"/>
    <mergeCell ref="T118:V118"/>
    <mergeCell ref="G90:G93"/>
    <mergeCell ref="AA90:AA92"/>
    <mergeCell ref="G94:G97"/>
    <mergeCell ref="AA94:AA96"/>
    <mergeCell ref="G98:G101"/>
    <mergeCell ref="AA98:AA100"/>
  </mergeCells>
  <conditionalFormatting sqref="I8">
    <cfRule type="cellIs" dxfId="1748" priority="440" operator="greaterThan">
      <formula>0</formula>
    </cfRule>
  </conditionalFormatting>
  <conditionalFormatting sqref="I12">
    <cfRule type="cellIs" dxfId="1747" priority="216" operator="greaterThan">
      <formula>0</formula>
    </cfRule>
  </conditionalFormatting>
  <conditionalFormatting sqref="I16">
    <cfRule type="cellIs" dxfId="1746" priority="401" operator="greaterThan">
      <formula>0</formula>
    </cfRule>
  </conditionalFormatting>
  <conditionalFormatting sqref="I20">
    <cfRule type="cellIs" dxfId="1745" priority="61" operator="greaterThan">
      <formula>0</formula>
    </cfRule>
  </conditionalFormatting>
  <conditionalFormatting sqref="I24">
    <cfRule type="cellIs" dxfId="1744" priority="335" operator="greaterThan">
      <formula>0</formula>
    </cfRule>
  </conditionalFormatting>
  <conditionalFormatting sqref="I28">
    <cfRule type="cellIs" dxfId="1743" priority="411" operator="greaterThan">
      <formula>0</formula>
    </cfRule>
  </conditionalFormatting>
  <conditionalFormatting sqref="I32">
    <cfRule type="cellIs" dxfId="1742" priority="441" operator="greaterThan">
      <formula>0</formula>
    </cfRule>
  </conditionalFormatting>
  <conditionalFormatting sqref="I36">
    <cfRule type="cellIs" dxfId="1741" priority="461" operator="greaterThan">
      <formula>0</formula>
    </cfRule>
  </conditionalFormatting>
  <conditionalFormatting sqref="I40">
    <cfRule type="cellIs" dxfId="1740" priority="329" operator="greaterThan">
      <formula>0</formula>
    </cfRule>
  </conditionalFormatting>
  <conditionalFormatting sqref="I44">
    <cfRule type="cellIs" dxfId="1739" priority="298" operator="greaterThan">
      <formula>0</formula>
    </cfRule>
  </conditionalFormatting>
  <conditionalFormatting sqref="I48">
    <cfRule type="cellIs" dxfId="1738" priority="376" operator="greaterThan">
      <formula>0</formula>
    </cfRule>
  </conditionalFormatting>
  <conditionalFormatting sqref="I52">
    <cfRule type="cellIs" dxfId="1737" priority="453" operator="greaterThan">
      <formula>0</formula>
    </cfRule>
  </conditionalFormatting>
  <conditionalFormatting sqref="I56">
    <cfRule type="cellIs" dxfId="1736" priority="418" operator="greaterThan">
      <formula>0</formula>
    </cfRule>
  </conditionalFormatting>
  <conditionalFormatting sqref="I60">
    <cfRule type="cellIs" dxfId="1735" priority="389" operator="greaterThan">
      <formula>0</formula>
    </cfRule>
  </conditionalFormatting>
  <conditionalFormatting sqref="I64">
    <cfRule type="cellIs" dxfId="1734" priority="113" operator="greaterThan">
      <formula>0</formula>
    </cfRule>
  </conditionalFormatting>
  <conditionalFormatting sqref="I68">
    <cfRule type="cellIs" dxfId="1733" priority="317" operator="greaterThan">
      <formula>0</formula>
    </cfRule>
  </conditionalFormatting>
  <conditionalFormatting sqref="I72">
    <cfRule type="cellIs" dxfId="1732" priority="275" operator="greaterThan">
      <formula>0</formula>
    </cfRule>
  </conditionalFormatting>
  <conditionalFormatting sqref="I76">
    <cfRule type="cellIs" dxfId="1731" priority="392" operator="greaterThan">
      <formula>0</formula>
    </cfRule>
  </conditionalFormatting>
  <conditionalFormatting sqref="I80">
    <cfRule type="cellIs" dxfId="1730" priority="261" operator="greaterThan">
      <formula>0</formula>
    </cfRule>
  </conditionalFormatting>
  <conditionalFormatting sqref="I84">
    <cfRule type="cellIs" dxfId="1729" priority="309" operator="greaterThan">
      <formula>0</formula>
    </cfRule>
  </conditionalFormatting>
  <conditionalFormatting sqref="I88">
    <cfRule type="cellIs" dxfId="1728" priority="164" operator="greaterThan">
      <formula>0</formula>
    </cfRule>
  </conditionalFormatting>
  <conditionalFormatting sqref="I92">
    <cfRule type="cellIs" dxfId="1727" priority="382" operator="greaterThan">
      <formula>0</formula>
    </cfRule>
  </conditionalFormatting>
  <conditionalFormatting sqref="I96">
    <cfRule type="cellIs" dxfId="1726" priority="409" operator="greaterThan">
      <formula>0</formula>
    </cfRule>
  </conditionalFormatting>
  <conditionalFormatting sqref="I100">
    <cfRule type="cellIs" dxfId="1725" priority="285" operator="greaterThan">
      <formula>0</formula>
    </cfRule>
  </conditionalFormatting>
  <conditionalFormatting sqref="J8">
    <cfRule type="cellIs" dxfId="1724" priority="437" operator="greaterThan">
      <formula>0</formula>
    </cfRule>
  </conditionalFormatting>
  <conditionalFormatting sqref="J12">
    <cfRule type="cellIs" dxfId="1723" priority="1" operator="greaterThan">
      <formula>0</formula>
    </cfRule>
  </conditionalFormatting>
  <conditionalFormatting sqref="J16">
    <cfRule type="cellIs" dxfId="1722" priority="304" operator="greaterThan">
      <formula>0</formula>
    </cfRule>
  </conditionalFormatting>
  <conditionalFormatting sqref="J20">
    <cfRule type="cellIs" dxfId="1721" priority="57" operator="greaterThan">
      <formula>0</formula>
    </cfRule>
  </conditionalFormatting>
  <conditionalFormatting sqref="J24">
    <cfRule type="cellIs" dxfId="1720" priority="334" operator="greaterThan">
      <formula>0</formula>
    </cfRule>
  </conditionalFormatting>
  <conditionalFormatting sqref="J28">
    <cfRule type="cellIs" dxfId="1719" priority="412" operator="greaterThan">
      <formula>0</formula>
    </cfRule>
  </conditionalFormatting>
  <conditionalFormatting sqref="J32">
    <cfRule type="cellIs" dxfId="1718" priority="323" operator="greaterThan">
      <formula>0</formula>
    </cfRule>
  </conditionalFormatting>
  <conditionalFormatting sqref="J36">
    <cfRule type="cellIs" dxfId="1717" priority="456" operator="greaterThan">
      <formula>0</formula>
    </cfRule>
  </conditionalFormatting>
  <conditionalFormatting sqref="J40">
    <cfRule type="cellIs" dxfId="1716" priority="324" operator="greaterThan">
      <formula>0</formula>
    </cfRule>
  </conditionalFormatting>
  <conditionalFormatting sqref="J44">
    <cfRule type="cellIs" dxfId="1715" priority="293" operator="greaterThan">
      <formula>0</formula>
    </cfRule>
  </conditionalFormatting>
  <conditionalFormatting sqref="J48">
    <cfRule type="cellIs" dxfId="1714" priority="371" operator="greaterThan">
      <formula>0</formula>
    </cfRule>
  </conditionalFormatting>
  <conditionalFormatting sqref="J52">
    <cfRule type="cellIs" dxfId="1713" priority="448" operator="greaterThan">
      <formula>0</formula>
    </cfRule>
  </conditionalFormatting>
  <conditionalFormatting sqref="J56">
    <cfRule type="cellIs" dxfId="1712" priority="322" operator="greaterThan">
      <formula>0</formula>
    </cfRule>
  </conditionalFormatting>
  <conditionalFormatting sqref="J60">
    <cfRule type="cellIs" dxfId="1711" priority="369" operator="greaterThan">
      <formula>0</formula>
    </cfRule>
  </conditionalFormatting>
  <conditionalFormatting sqref="J64">
    <cfRule type="cellIs" dxfId="1710" priority="108" operator="greaterThan">
      <formula>0</formula>
    </cfRule>
  </conditionalFormatting>
  <conditionalFormatting sqref="J68">
    <cfRule type="cellIs" dxfId="1709" priority="312" operator="greaterThan">
      <formula>0</formula>
    </cfRule>
  </conditionalFormatting>
  <conditionalFormatting sqref="J72">
    <cfRule type="cellIs" dxfId="1708" priority="270" operator="greaterThan">
      <formula>0</formula>
    </cfRule>
  </conditionalFormatting>
  <conditionalFormatting sqref="J76">
    <cfRule type="cellIs" dxfId="1707" priority="368" operator="greaterThan">
      <formula>0</formula>
    </cfRule>
  </conditionalFormatting>
  <conditionalFormatting sqref="J80">
    <cfRule type="cellIs" dxfId="1706" priority="260" operator="greaterThan">
      <formula>0</formula>
    </cfRule>
  </conditionalFormatting>
  <conditionalFormatting sqref="J84">
    <cfRule type="cellIs" dxfId="1705" priority="305" operator="greaterThan">
      <formula>0</formula>
    </cfRule>
  </conditionalFormatting>
  <conditionalFormatting sqref="J88">
    <cfRule type="cellIs" dxfId="1704" priority="160" operator="greaterThan">
      <formula>0</formula>
    </cfRule>
  </conditionalFormatting>
  <conditionalFormatting sqref="J92">
    <cfRule type="cellIs" dxfId="1703" priority="370" operator="greaterThan">
      <formula>0</formula>
    </cfRule>
  </conditionalFormatting>
  <conditionalFormatting sqref="J96">
    <cfRule type="cellIs" dxfId="1702" priority="404" operator="greaterThan">
      <formula>0</formula>
    </cfRule>
  </conditionalFormatting>
  <conditionalFormatting sqref="J100">
    <cfRule type="cellIs" dxfId="1701" priority="280" operator="greaterThan">
      <formula>0</formula>
    </cfRule>
  </conditionalFormatting>
  <conditionalFormatting sqref="X6:X102">
    <cfRule type="cellIs" dxfId="1700" priority="2" operator="lessThan">
      <formula>0</formula>
    </cfRule>
  </conditionalFormatting>
  <conditionalFormatting sqref="X7">
    <cfRule type="iconSet" priority="12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699" priority="11" operator="lessThan">
      <formula>0</formula>
    </cfRule>
  </conditionalFormatting>
  <conditionalFormatting sqref="X11 X15 X19 X23 X27 X31 X35 X39 X43 X47 X51 X55 X59 X63 X67 X71 X75 X79 X83 X87 X91 X95 X99">
    <cfRule type="iconSet" priority="4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4 X88 X92 X96 X100">
    <cfRule type="cellIs" dxfId="1698" priority="3" operator="lessThan">
      <formula>0</formula>
    </cfRule>
  </conditionalFormatting>
  <conditionalFormatting sqref="Z6:Z102">
    <cfRule type="cellIs" dxfId="1697" priority="59" operator="lessThan">
      <formula>0</formula>
    </cfRule>
  </conditionalFormatting>
  <conditionalFormatting sqref="Z7">
    <cfRule type="iconSet" priority="438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696" priority="434" operator="lessThan">
      <formula>0</formula>
    </cfRule>
  </conditionalFormatting>
  <conditionalFormatting sqref="Z11">
    <cfRule type="iconSet" priority="214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695" priority="210" operator="lessThan">
      <formula>0</formula>
    </cfRule>
  </conditionalFormatting>
  <conditionalFormatting sqref="Z15">
    <cfRule type="iconSet" priority="402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694" priority="398" operator="lessThan">
      <formula>0</formula>
    </cfRule>
  </conditionalFormatting>
  <conditionalFormatting sqref="Z19">
    <cfRule type="iconSet" priority="62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693" priority="58" operator="lessThan">
      <formula>0</formula>
    </cfRule>
  </conditionalFormatting>
  <conditionalFormatting sqref="Z23">
    <cfRule type="iconSet" priority="337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692" priority="332" operator="lessThan">
      <formula>0</formula>
    </cfRule>
  </conditionalFormatting>
  <conditionalFormatting sqref="Z27">
    <cfRule type="iconSet" priority="417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691" priority="413" operator="lessThan">
      <formula>0</formula>
    </cfRule>
  </conditionalFormatting>
  <conditionalFormatting sqref="Z31">
    <cfRule type="iconSet" priority="445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690" priority="442" operator="lessThan">
      <formula>0</formula>
    </cfRule>
  </conditionalFormatting>
  <conditionalFormatting sqref="Z35">
    <cfRule type="iconSet" priority="460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689" priority="457" operator="lessThan">
      <formula>0</formula>
    </cfRule>
  </conditionalFormatting>
  <conditionalFormatting sqref="Z39">
    <cfRule type="iconSet" priority="328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688" priority="325" operator="lessThan">
      <formula>0</formula>
    </cfRule>
  </conditionalFormatting>
  <conditionalFormatting sqref="Z43">
    <cfRule type="iconSet" priority="297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687" priority="294" operator="lessThan">
      <formula>0</formula>
    </cfRule>
  </conditionalFormatting>
  <conditionalFormatting sqref="Z47">
    <cfRule type="iconSet" priority="378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686" priority="373" operator="lessThan">
      <formula>0</formula>
    </cfRule>
  </conditionalFormatting>
  <conditionalFormatting sqref="Z51">
    <cfRule type="iconSet" priority="455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685" priority="450" operator="lessThan">
      <formula>0</formula>
    </cfRule>
  </conditionalFormatting>
  <conditionalFormatting sqref="Z55">
    <cfRule type="iconSet" priority="422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684" priority="419" operator="lessThan">
      <formula>0</formula>
    </cfRule>
  </conditionalFormatting>
  <conditionalFormatting sqref="Z59">
    <cfRule type="iconSet" priority="390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683" priority="386" operator="lessThan">
      <formula>0</formula>
    </cfRule>
  </conditionalFormatting>
  <conditionalFormatting sqref="Z63">
    <cfRule type="iconSet" priority="114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682" priority="110" operator="lessThan">
      <formula>0</formula>
    </cfRule>
  </conditionalFormatting>
  <conditionalFormatting sqref="Z67">
    <cfRule type="iconSet" priority="316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681" priority="313" operator="lessThan">
      <formula>0</formula>
    </cfRule>
  </conditionalFormatting>
  <conditionalFormatting sqref="Z71">
    <cfRule type="iconSet" priority="274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680" priority="271" operator="lessThan">
      <formula>0</formula>
    </cfRule>
  </conditionalFormatting>
  <conditionalFormatting sqref="Z75">
    <cfRule type="iconSet" priority="397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679" priority="393" operator="lessThan">
      <formula>0</formula>
    </cfRule>
  </conditionalFormatting>
  <conditionalFormatting sqref="Z79">
    <cfRule type="iconSet" priority="266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678" priority="262" operator="lessThan">
      <formula>0</formula>
    </cfRule>
  </conditionalFormatting>
  <conditionalFormatting sqref="Z83">
    <cfRule type="iconSet" priority="311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677" priority="306" operator="lessThan">
      <formula>0</formula>
    </cfRule>
  </conditionalFormatting>
  <conditionalFormatting sqref="Z87">
    <cfRule type="iconSet" priority="166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1676" priority="161" operator="lessThan">
      <formula>0</formula>
    </cfRule>
  </conditionalFormatting>
  <conditionalFormatting sqref="Z91">
    <cfRule type="iconSet" priority="384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1675" priority="379" operator="lessThan">
      <formula>0</formula>
    </cfRule>
  </conditionalFormatting>
  <conditionalFormatting sqref="Z95">
    <cfRule type="iconSet" priority="408">
      <iconSet>
        <cfvo type="percent" val="0"/>
        <cfvo type="percent" val="&quot;$I$6&quot;"/>
        <cfvo type="percent" val="#REF!"/>
      </iconSet>
    </cfRule>
  </conditionalFormatting>
  <conditionalFormatting sqref="Z96">
    <cfRule type="cellIs" dxfId="1674" priority="405" operator="lessThan">
      <formula>0</formula>
    </cfRule>
  </conditionalFormatting>
  <conditionalFormatting sqref="Z99">
    <cfRule type="iconSet" priority="284">
      <iconSet>
        <cfvo type="percent" val="0"/>
        <cfvo type="percent" val="&quot;$I$6&quot;"/>
        <cfvo type="percent" val="#REF!"/>
      </iconSet>
    </cfRule>
  </conditionalFormatting>
  <conditionalFormatting sqref="Z100">
    <cfRule type="cellIs" dxfId="1673" priority="281" operator="lessThan">
      <formula>0</formula>
    </cfRule>
  </conditionalFormatting>
  <conditionalFormatting sqref="AA17">
    <cfRule type="cellIs" dxfId="1672" priority="303" operator="lessThan">
      <formula>0</formula>
    </cfRule>
  </conditionalFormatting>
  <conditionalFormatting sqref="AA21">
    <cfRule type="cellIs" dxfId="1671" priority="56" operator="lessThan">
      <formula>0</formula>
    </cfRule>
  </conditionalFormatting>
  <conditionalFormatting sqref="AA25">
    <cfRule type="cellIs" dxfId="1670" priority="302" operator="lessThan">
      <formula>0</formula>
    </cfRule>
  </conditionalFormatting>
  <conditionalFormatting sqref="AA33">
    <cfRule type="cellIs" dxfId="1669" priority="321" operator="lessThan">
      <formula>0</formula>
    </cfRule>
  </conditionalFormatting>
  <conditionalFormatting sqref="AA53">
    <cfRule type="cellIs" dxfId="1668" priority="301" operator="lessThan">
      <formula>0</formula>
    </cfRule>
  </conditionalFormatting>
  <conditionalFormatting sqref="AA57">
    <cfRule type="cellIs" dxfId="1667" priority="320" operator="lessThan">
      <formula>0</formula>
    </cfRule>
  </conditionalFormatting>
  <conditionalFormatting sqref="AA61">
    <cfRule type="cellIs" dxfId="1666" priority="300" operator="lessThan">
      <formula>0</formula>
    </cfRule>
  </conditionalFormatting>
  <conditionalFormatting sqref="AA65">
    <cfRule type="cellIs" dxfId="1665" priority="107" operator="lessThan">
      <formula>0</formula>
    </cfRule>
  </conditionalFormatting>
  <conditionalFormatting sqref="AA77">
    <cfRule type="cellIs" dxfId="1664" priority="319" operator="lessThan">
      <formula>0</formula>
    </cfRule>
  </conditionalFormatting>
  <conditionalFormatting sqref="AG2:AH3">
    <cfRule type="cellIs" dxfId="1663" priority="466" operator="lessThan">
      <formula>0.85</formula>
    </cfRule>
  </conditionalFormatting>
  <conditionalFormatting sqref="AP1:AP1048576">
    <cfRule type="cellIs" dxfId="1662" priority="60" operator="notEqual">
      <formula>0</formula>
    </cfRule>
  </conditionalFormatting>
  <conditionalFormatting sqref="AT6:AT104">
    <cfRule type="cellIs" dxfId="1661" priority="14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ignoredErrors>
    <ignoredError sqref="I8:J10 I14:J70 I11:I13 I72:J100 I7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39" id="{52C9CB70-0F2C-471B-9627-997AC7A118D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215" id="{B5ED622E-1575-4CAA-AD34-46C82149885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403" id="{5EE3A488-2A9F-43DA-99BC-7514FBA4094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63" id="{524C68A2-8C59-43F9-863A-6B201089D6D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336" id="{5613AEF8-70AB-439F-BB00-ECDEB2E662D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416" id="{B18D1BF8-4E14-4070-BE36-2427793A6E8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446" id="{510909C6-DCE8-4007-BFEB-3AB7016F798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462" id="{FEDADF15-5CC0-492B-9647-9A0656174AA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330" id="{F7FA330C-4141-4854-837E-F49EB9236E9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299" id="{85C2B1F7-E029-46B9-96D5-6C18511B752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377" id="{1103DB27-C8D8-483C-B5D6-806F3331A19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454" id="{9A521F79-1EAB-4E8A-AA95-06FA92441E2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423" id="{409D9B5B-7BA4-4FA9-840B-44A641973C8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391" id="{1161F11B-70EE-4302-9A08-07912F4431F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115" id="{042B0830-3353-4A08-95A9-8B5575C5807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318" id="{377B16D8-E8C3-40EA-935F-3C05A379DB8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276" id="{ECD422A6-6F86-47DE-AFA4-013635D02F5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396" id="{2FCE6C0D-E31E-457D-8B8C-17C1BA04E87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265" id="{A1797B77-6AA2-4D2A-8CAE-E9BF78E183A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310" id="{DC3F0263-7BA1-4D26-B9EA-58BCE81B0B3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65" id="{D75A4B4D-72C3-4FB9-AD10-4C3AC76933B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383" id="{77041BFF-0376-4921-A5FC-D20D00511BF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410" id="{9A3E16E1-F0CD-45EF-9B52-03D86DEC41F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AA94</xm:sqref>
        </x14:conditionalFormatting>
        <x14:conditionalFormatting xmlns:xm="http://schemas.microsoft.com/office/excel/2006/main">
          <x14:cfRule type="iconSet" priority="286" id="{EF7FCE61-EF57-46B6-AE1E-6D759726393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AA98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85"/>
  <sheetViews>
    <sheetView zoomScale="18" zoomScaleNormal="18" zoomScaleSheetLayoutView="18" workbookViewId="0">
      <pane xSplit="11" ySplit="1" topLeftCell="L5" activePane="bottomRight" state="frozen"/>
      <selection pane="topRight" activeCell="L1" sqref="L1"/>
      <selection pane="bottomLeft" activeCell="A2" sqref="A2"/>
      <selection pane="bottomRight" activeCell="J63" sqref="J63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hidden="1" customWidth="1"/>
    <col min="53" max="60" width="20.42578125" style="91" hidden="1" customWidth="1"/>
    <col min="61" max="61" width="9.140625" style="91" hidden="1" customWidth="1"/>
    <col min="62" max="62" width="9.140625" style="91" customWidth="1"/>
    <col min="63" max="63" width="35.28515625" style="91" hidden="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0.68669422064770902</v>
      </c>
      <c r="AH2" s="535"/>
      <c r="AK2" s="183">
        <f>+SUBTOTAL(9,AK6:AK107)</f>
        <v>393772.5</v>
      </c>
      <c r="AL2" s="183">
        <f>+SUBTOTAL(9,AL6:AL107)</f>
        <v>270401.3</v>
      </c>
      <c r="AW2" s="91">
        <v>0.59793648334624327</v>
      </c>
    </row>
    <row r="3" spans="2:64" ht="94.5" customHeight="1" x14ac:dyDescent="0.9">
      <c r="B3" s="363">
        <f>+AM4</f>
        <v>8.75</v>
      </c>
      <c r="C3" s="233"/>
      <c r="D3" s="233"/>
      <c r="E3" s="233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233"/>
      <c r="AD3" s="96"/>
      <c r="AE3" s="96"/>
      <c r="AF3" s="96"/>
      <c r="AG3" s="535"/>
      <c r="AH3" s="535"/>
      <c r="AK3" s="183"/>
      <c r="AL3" s="183"/>
      <c r="AT3" s="91">
        <v>8.75</v>
      </c>
    </row>
    <row r="4" spans="2:64" s="141" customFormat="1" ht="79.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+SUMIF($L$6:$L$90,AB3,$AB$6:$AB$90)</f>
        <v>7073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04-05-2026</v>
      </c>
      <c r="AH4" s="539"/>
      <c r="AI4" s="362">
        <f>+SUM(AI6:AI95)</f>
        <v>6562.875</v>
      </c>
      <c r="AJ4" s="362"/>
      <c r="AK4" s="98"/>
      <c r="AL4" s="98"/>
      <c r="AM4" s="363">
        <v>8.75</v>
      </c>
      <c r="AT4" s="396">
        <f>+SUBTOTAL(9,AT6:AT91)</f>
        <v>408.6875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77" t="s">
        <v>433</v>
      </c>
      <c r="H6" s="106"/>
      <c r="I6" s="106"/>
      <c r="J6" s="107" t="s">
        <v>20</v>
      </c>
      <c r="K6" s="108" t="s">
        <v>23</v>
      </c>
      <c r="L6" s="100" t="s">
        <v>21</v>
      </c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135" t="str">
        <f t="shared" ref="X6" si="0">IF(AT7="","",SUM(M6:W6)-(-(AT7-SUM(M6:W6))/$AT$3)*SUM($M$2:$W$2))</f>
        <v/>
      </c>
      <c r="Y6" s="438"/>
      <c r="Z6" s="400">
        <v>0.5</v>
      </c>
      <c r="AA6" s="540">
        <f>+X8</f>
        <v>0</v>
      </c>
      <c r="AB6" s="135">
        <f t="shared" ref="AB6:AB7" si="1">+SUM(L6:W6)</f>
        <v>0</v>
      </c>
      <c r="AC6" s="136">
        <f>+AD6+AB6</f>
        <v>7276</v>
      </c>
      <c r="AD6" s="136">
        <v>7276</v>
      </c>
      <c r="AE6" s="438"/>
      <c r="AF6" s="438"/>
      <c r="AG6" s="109"/>
      <c r="AH6" s="110"/>
      <c r="AI6" s="157"/>
      <c r="AJ6" s="161">
        <f t="shared" ref="AJ6:AJ81" si="2">TRUNC(AI6)+(AI6-TRUNC(AI6))*60/100</f>
        <v>0</v>
      </c>
      <c r="AK6" s="167">
        <f t="shared" ref="AK6:AK81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432</v>
      </c>
      <c r="E7" s="111"/>
      <c r="F7" s="111" t="s">
        <v>35</v>
      </c>
      <c r="G7" s="578" t="str">
        <f>+G6</f>
        <v>2843-709-800</v>
      </c>
      <c r="H7" s="450">
        <v>7300</v>
      </c>
      <c r="I7" s="111" t="s">
        <v>251</v>
      </c>
      <c r="J7" s="113">
        <v>50</v>
      </c>
      <c r="K7" s="130">
        <v>58</v>
      </c>
      <c r="L7" s="101" t="s">
        <v>17</v>
      </c>
      <c r="M7" s="214">
        <v>45</v>
      </c>
      <c r="N7" s="214">
        <v>45</v>
      </c>
      <c r="O7" s="214">
        <v>43</v>
      </c>
      <c r="P7" s="214">
        <v>46</v>
      </c>
      <c r="Q7" s="214">
        <v>45</v>
      </c>
      <c r="R7" s="214">
        <v>28</v>
      </c>
      <c r="S7" s="214"/>
      <c r="T7" s="214"/>
      <c r="U7" s="214"/>
      <c r="V7" s="214"/>
      <c r="W7" s="424"/>
      <c r="X7" s="123">
        <f>+IF(H8="s",0,IF(AB7=0,0,IF(COUNTA(M7:W7)=AN9+0.25,SUMIF($C:$C,B7,$AB:$AB)/AN9,SUMIF($C:$C,B7,$AB:$AB)/(COUNTA(M7:W7)))))</f>
        <v>0</v>
      </c>
      <c r="Y7" s="439"/>
      <c r="Z7" s="400"/>
      <c r="AA7" s="541"/>
      <c r="AB7" s="134">
        <f t="shared" si="1"/>
        <v>252</v>
      </c>
      <c r="AC7" s="137">
        <f>+AB7+AD7</f>
        <v>7276</v>
      </c>
      <c r="AD7" s="137">
        <v>7024</v>
      </c>
      <c r="AE7" s="439">
        <v>0</v>
      </c>
      <c r="AF7" s="439">
        <f>+AE7+Y7</f>
        <v>0</v>
      </c>
      <c r="AG7" s="140">
        <f>+AC6-AC7</f>
        <v>0</v>
      </c>
      <c r="AH7" s="131">
        <f>+IF(((AB8+(AB9/2))*60)=0,"",(J7*AB7)/((AB8+(AB9/2))*60))</f>
        <v>3.8181818181818183</v>
      </c>
      <c r="AI7" s="161">
        <f>+AB8+AB9/2</f>
        <v>55</v>
      </c>
      <c r="AJ7" s="161">
        <f t="shared" si="2"/>
        <v>55</v>
      </c>
      <c r="AK7" s="167">
        <f t="shared" si="3"/>
        <v>3300</v>
      </c>
      <c r="AL7" s="167">
        <f>+AB7*J7</f>
        <v>12600</v>
      </c>
      <c r="AM7" s="230">
        <f>+AB7-(AI7*K7/K9)</f>
        <v>192.92592592592592</v>
      </c>
      <c r="AN7" s="339"/>
      <c r="AO7" s="340"/>
      <c r="AP7" s="167"/>
      <c r="AQ7" s="167"/>
      <c r="AR7" s="167"/>
      <c r="AS7" s="167"/>
      <c r="AT7" s="433" t="str">
        <f t="shared" ref="AT7" si="4">IF(AU7=0,"",AW7-(($AT$3*K7)+($AT$3*K7)*AU7)+AB6)</f>
        <v/>
      </c>
      <c r="AU7" s="393"/>
      <c r="AW7" s="356">
        <v>252</v>
      </c>
      <c r="AY7" s="356">
        <f>+AW7-AG7</f>
        <v>252</v>
      </c>
      <c r="AZ7" s="581"/>
      <c r="BA7" s="581"/>
      <c r="BB7" s="581"/>
      <c r="BC7" s="581"/>
      <c r="BD7" s="581"/>
      <c r="BE7" s="581"/>
      <c r="BF7" s="581"/>
      <c r="BG7" s="581"/>
      <c r="BH7" s="581"/>
      <c r="BI7" s="581"/>
      <c r="BK7" s="452" t="e">
        <f>+I7-AD6</f>
        <v>#VALUE!</v>
      </c>
      <c r="BL7" s="452">
        <f>+J7-AE6</f>
        <v>50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78" t="str">
        <f>+G6</f>
        <v>2843-709-800</v>
      </c>
      <c r="H8" s="376" t="s">
        <v>465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11</v>
      </c>
      <c r="N8" s="215">
        <v>11</v>
      </c>
      <c r="O8" s="215">
        <v>9</v>
      </c>
      <c r="P8" s="215">
        <v>8</v>
      </c>
      <c r="Q8" s="215">
        <v>8</v>
      </c>
      <c r="R8" s="215">
        <v>3</v>
      </c>
      <c r="S8" s="215"/>
      <c r="T8" s="215"/>
      <c r="U8" s="215"/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541"/>
      <c r="AB8" s="443">
        <f t="shared" ref="AB8:AB9" si="5">+SUM(M8:W8)-U8*0.25</f>
        <v>50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50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79" t="str">
        <f>+G6</f>
        <v>2843-709-800</v>
      </c>
      <c r="H9" s="454">
        <f>+AC6-H7</f>
        <v>-24</v>
      </c>
      <c r="I9" s="397"/>
      <c r="J9" s="165">
        <f>+IF(K9="","",IF(K7=0,"",(K7*J7)/(K9*60)))</f>
        <v>0.89506172839506171</v>
      </c>
      <c r="K9" s="118">
        <v>54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/>
      <c r="S9" s="427"/>
      <c r="T9" s="427"/>
      <c r="U9" s="427"/>
      <c r="V9" s="428"/>
      <c r="W9" s="428"/>
      <c r="X9" s="173"/>
      <c r="Y9" s="441"/>
      <c r="Z9" s="401">
        <v>18.128413793103448</v>
      </c>
      <c r="AA9" s="169">
        <v>18.128413793103448</v>
      </c>
      <c r="AB9" s="444">
        <f t="shared" si="5"/>
        <v>10</v>
      </c>
      <c r="AC9" s="139"/>
      <c r="AD9" s="139"/>
      <c r="AE9" s="441"/>
      <c r="AF9" s="441"/>
      <c r="AG9" s="119">
        <f>+IFERROR(AG7/(K7*$AT$3),"")</f>
        <v>0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10</v>
      </c>
      <c r="AP9" s="167">
        <f>+AO9-AB9</f>
        <v>0</v>
      </c>
      <c r="AQ9" s="167"/>
      <c r="AR9" s="167"/>
      <c r="AS9" s="167"/>
      <c r="AT9" s="435"/>
      <c r="AU9" s="393"/>
      <c r="AW9" s="356">
        <v>0.49655172413793103</v>
      </c>
      <c r="AY9" s="356"/>
    </row>
    <row r="10" spans="2:64" s="98" customFormat="1" ht="62.25" customHeight="1" thickTop="1" x14ac:dyDescent="0.9">
      <c r="B10" s="97">
        <f>+B11</f>
        <v>1</v>
      </c>
      <c r="C10" s="370"/>
      <c r="D10" s="106"/>
      <c r="E10" s="106"/>
      <c r="F10" s="106"/>
      <c r="G10" s="577" t="s">
        <v>444</v>
      </c>
      <c r="H10" s="106"/>
      <c r="I10" s="106"/>
      <c r="J10" s="107" t="s">
        <v>20</v>
      </c>
      <c r="K10" s="108" t="s">
        <v>23</v>
      </c>
      <c r="L10" s="100" t="s">
        <v>21</v>
      </c>
      <c r="M10" s="423">
        <v>50</v>
      </c>
      <c r="N10" s="423">
        <v>50</v>
      </c>
      <c r="O10" s="423"/>
      <c r="P10" s="423">
        <v>50</v>
      </c>
      <c r="Q10" s="423"/>
      <c r="R10" s="423">
        <v>50</v>
      </c>
      <c r="S10" s="423">
        <v>50</v>
      </c>
      <c r="T10" s="423">
        <v>50</v>
      </c>
      <c r="U10" s="423"/>
      <c r="V10" s="423"/>
      <c r="W10" s="423"/>
      <c r="X10" s="135">
        <f t="shared" ref="X10:X62" si="6">IF(AT11="","",SUM(M10:W10)-(-(AT11-SUM(M10:W10))/$AT$3)*SUM($M$2:$W$2))</f>
        <v>300</v>
      </c>
      <c r="Y10" s="438"/>
      <c r="Z10" s="400">
        <v>0</v>
      </c>
      <c r="AA10" s="540">
        <f>+X12</f>
        <v>-130</v>
      </c>
      <c r="AB10" s="135">
        <f t="shared" ref="AB10:AB63" si="7">+SUM(L10:W10)</f>
        <v>300</v>
      </c>
      <c r="AC10" s="136">
        <f>+AD10+AB10</f>
        <v>1001</v>
      </c>
      <c r="AD10" s="136">
        <v>701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1</v>
      </c>
      <c r="C11" s="371">
        <f>+B11</f>
        <v>1</v>
      </c>
      <c r="D11" s="372" t="s">
        <v>443</v>
      </c>
      <c r="E11" s="111"/>
      <c r="F11" s="111" t="s">
        <v>35</v>
      </c>
      <c r="G11" s="578" t="str">
        <f>+G10</f>
        <v>2917-496-712</v>
      </c>
      <c r="H11" s="450">
        <v>6000</v>
      </c>
      <c r="I11" s="111" t="s">
        <v>33</v>
      </c>
      <c r="J11" s="113">
        <v>38.380000000000003</v>
      </c>
      <c r="K11" s="130">
        <v>60</v>
      </c>
      <c r="L11" s="101" t="s">
        <v>17</v>
      </c>
      <c r="M11" s="214"/>
      <c r="N11" s="214"/>
      <c r="O11" s="214"/>
      <c r="P11" s="214"/>
      <c r="Q11" s="214"/>
      <c r="R11" s="214"/>
      <c r="S11" s="214">
        <v>15</v>
      </c>
      <c r="T11" s="214">
        <v>20</v>
      </c>
      <c r="U11" s="214">
        <v>15</v>
      </c>
      <c r="V11" s="214"/>
      <c r="W11" s="424"/>
      <c r="X11" s="123">
        <f>+IF(H12="s",0,IF(AB11=0,0,IF(COUNTA(M11:W11)=AN13+0.25,SUMIF($C:$C,B11,$AB:$AB)/AN13,SUMIF($C:$C,B11,$AB:$AB)/(COUNTA(M11:W11)))))</f>
        <v>100.66666666666667</v>
      </c>
      <c r="Y11" s="439"/>
      <c r="Z11" s="400"/>
      <c r="AA11" s="541"/>
      <c r="AB11" s="134">
        <f t="shared" si="7"/>
        <v>50</v>
      </c>
      <c r="AC11" s="137">
        <f>+AB11+AD11</f>
        <v>50</v>
      </c>
      <c r="AD11" s="137">
        <v>0</v>
      </c>
      <c r="AE11" s="439">
        <v>0</v>
      </c>
      <c r="AF11" s="439">
        <f>+AE11+Y11</f>
        <v>0</v>
      </c>
      <c r="AG11" s="140">
        <f>+AC10-AC11</f>
        <v>951</v>
      </c>
      <c r="AH11" s="131">
        <f>+IF(((AB12+(AB13/2))*60)=0,"",(J11*AB11)/((AB12+(AB13/2))*60))</f>
        <v>7.995833333333334E-2</v>
      </c>
      <c r="AI11" s="161">
        <f>+AB12+AB13/2</f>
        <v>400</v>
      </c>
      <c r="AJ11" s="161">
        <f t="shared" si="2"/>
        <v>400</v>
      </c>
      <c r="AK11" s="167">
        <f t="shared" si="3"/>
        <v>24000</v>
      </c>
      <c r="AL11" s="167">
        <f>+AB11*J11</f>
        <v>1919.0000000000002</v>
      </c>
      <c r="AM11" s="230">
        <f>+AB11-(AI11*K11/K13)</f>
        <v>-439.79591836734693</v>
      </c>
      <c r="AN11" s="339"/>
      <c r="AO11" s="340"/>
      <c r="AP11" s="167"/>
      <c r="AQ11" s="167"/>
      <c r="AR11" s="167"/>
      <c r="AS11" s="167"/>
      <c r="AT11" s="433">
        <f>-300+AB10</f>
        <v>0</v>
      </c>
      <c r="AU11" s="393">
        <v>1.5</v>
      </c>
      <c r="AW11" s="356">
        <v>701</v>
      </c>
      <c r="AY11" s="356">
        <f>+AW11-AG11</f>
        <v>-250</v>
      </c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  <c r="BK11" s="452" t="e">
        <f>+I11-AD10</f>
        <v>#VALUE!</v>
      </c>
      <c r="BL11" s="452">
        <f>+J11-AE10</f>
        <v>38.380000000000003</v>
      </c>
    </row>
    <row r="12" spans="2:64" s="98" customFormat="1" ht="62.25" customHeight="1" x14ac:dyDescent="0.9">
      <c r="B12" s="125">
        <f>+B11</f>
        <v>1</v>
      </c>
      <c r="C12" s="373"/>
      <c r="D12" s="184"/>
      <c r="E12" s="111">
        <f>+B11</f>
        <v>1</v>
      </c>
      <c r="F12" s="374"/>
      <c r="G12" s="578" t="str">
        <f>+G10</f>
        <v>2917-496-712</v>
      </c>
      <c r="H12" s="376" t="s">
        <v>400</v>
      </c>
      <c r="I12" s="113">
        <f>+IFERROR(IF(K13=0,0,IF((LOOKUP(2,1/(M12:W12&lt;&gt;""),M12:W12)-K13)&lt;0,0,IF(K13=0,"",LOOKUP(2,1/(M12:W12&lt;&gt;""),M12:W12)-K13))),0)</f>
        <v>1</v>
      </c>
      <c r="J12" s="113"/>
      <c r="K12" s="114" t="s">
        <v>22</v>
      </c>
      <c r="L12" s="102" t="s">
        <v>18</v>
      </c>
      <c r="M12" s="215">
        <v>39</v>
      </c>
      <c r="N12" s="215">
        <v>39</v>
      </c>
      <c r="O12" s="215">
        <v>41</v>
      </c>
      <c r="P12" s="215">
        <v>42</v>
      </c>
      <c r="Q12" s="215">
        <v>42</v>
      </c>
      <c r="R12" s="215">
        <v>47</v>
      </c>
      <c r="S12" s="215">
        <v>50</v>
      </c>
      <c r="T12" s="215">
        <v>50</v>
      </c>
      <c r="U12" s="215">
        <v>50</v>
      </c>
      <c r="V12" s="426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-130</v>
      </c>
      <c r="Y12" s="440"/>
      <c r="Z12" s="400"/>
      <c r="AA12" s="541"/>
      <c r="AB12" s="443">
        <f t="shared" ref="AB12:AB65" si="8">+SUM(M12:W12)-U12*0.25</f>
        <v>387.5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387.5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1</v>
      </c>
      <c r="C13" s="375"/>
      <c r="D13" s="174" t="s">
        <v>77</v>
      </c>
      <c r="E13" s="175">
        <f>+E12+100</f>
        <v>101</v>
      </c>
      <c r="F13" s="175"/>
      <c r="G13" s="579" t="str">
        <f>+G10</f>
        <v>2917-496-712</v>
      </c>
      <c r="H13" s="454">
        <f>+AC10-H11</f>
        <v>-4999</v>
      </c>
      <c r="I13" s="397"/>
      <c r="J13" s="165">
        <v>0.91625000000000001</v>
      </c>
      <c r="K13" s="118">
        <v>49</v>
      </c>
      <c r="L13" s="104" t="s">
        <v>19</v>
      </c>
      <c r="M13" s="427">
        <v>2</v>
      </c>
      <c r="N13" s="427">
        <v>2</v>
      </c>
      <c r="O13" s="427">
        <v>2</v>
      </c>
      <c r="P13" s="427">
        <v>2</v>
      </c>
      <c r="Q13" s="427">
        <v>2</v>
      </c>
      <c r="R13" s="427">
        <v>4</v>
      </c>
      <c r="S13" s="427">
        <v>4</v>
      </c>
      <c r="T13" s="427">
        <v>4</v>
      </c>
      <c r="U13" s="427">
        <v>4</v>
      </c>
      <c r="V13" s="428"/>
      <c r="W13" s="428"/>
      <c r="X13" s="173"/>
      <c r="Y13" s="441"/>
      <c r="Z13" s="401"/>
      <c r="AA13" s="168">
        <f>+IF(COUNTA(M11:W11)=$AM$4+0.25,$AM$4-(AB11/K11),COUNTA(M11:W11)-(AB11/K11))+Z13</f>
        <v>2.1666666666666665</v>
      </c>
      <c r="AB13" s="444">
        <f t="shared" si="8"/>
        <v>25</v>
      </c>
      <c r="AC13" s="139"/>
      <c r="AD13" s="139"/>
      <c r="AE13" s="441"/>
      <c r="AF13" s="441"/>
      <c r="AG13" s="119">
        <f>+IFERROR(AG11/(K11*$AT$3),"")</f>
        <v>1.8114285714285714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25</v>
      </c>
      <c r="AP13" s="167">
        <f>+AO13-AB13</f>
        <v>0</v>
      </c>
      <c r="AQ13" s="167"/>
      <c r="AR13" s="167"/>
      <c r="AS13" s="167"/>
      <c r="AT13" s="435"/>
      <c r="AU13" s="393"/>
      <c r="AW13" s="356">
        <v>1.3352380952380953</v>
      </c>
      <c r="AY13" s="356"/>
    </row>
    <row r="14" spans="2:64" s="98" customFormat="1" ht="62.25" customHeight="1" thickTop="1" x14ac:dyDescent="0.9">
      <c r="B14" s="97">
        <f>+B15</f>
        <v>2</v>
      </c>
      <c r="C14" s="370"/>
      <c r="D14" s="106"/>
      <c r="E14" s="106"/>
      <c r="F14" s="106"/>
      <c r="G14" s="577" t="s">
        <v>437</v>
      </c>
      <c r="H14" s="106"/>
      <c r="I14" s="106"/>
      <c r="J14" s="107" t="s">
        <v>20</v>
      </c>
      <c r="K14" s="108" t="s">
        <v>23</v>
      </c>
      <c r="L14" s="100" t="s">
        <v>21</v>
      </c>
      <c r="M14" s="423"/>
      <c r="N14" s="423"/>
      <c r="O14" s="423"/>
      <c r="P14" s="423"/>
      <c r="Q14" s="423"/>
      <c r="R14" s="423"/>
      <c r="S14" s="423"/>
      <c r="T14" s="423"/>
      <c r="U14" s="423"/>
      <c r="V14" s="423"/>
      <c r="W14" s="423"/>
      <c r="X14" s="135" t="str">
        <f t="shared" si="6"/>
        <v/>
      </c>
      <c r="Y14" s="438"/>
      <c r="Z14" s="400">
        <v>-67.75</v>
      </c>
      <c r="AA14" s="540">
        <f>+X16</f>
        <v>-319.25</v>
      </c>
      <c r="AB14" s="135">
        <f t="shared" si="7"/>
        <v>0</v>
      </c>
      <c r="AC14" s="136">
        <f>+AD14+AB14</f>
        <v>6622</v>
      </c>
      <c r="AD14" s="136">
        <v>6622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2</v>
      </c>
      <c r="C15" s="371">
        <f>+B15</f>
        <v>2</v>
      </c>
      <c r="D15" s="372" t="s">
        <v>438</v>
      </c>
      <c r="E15" s="111"/>
      <c r="F15" s="111" t="s">
        <v>35</v>
      </c>
      <c r="G15" s="578" t="str">
        <f>+G14</f>
        <v>7696-837-802</v>
      </c>
      <c r="H15" s="450">
        <v>6622</v>
      </c>
      <c r="I15" s="111" t="s">
        <v>252</v>
      </c>
      <c r="J15" s="113">
        <v>29.06</v>
      </c>
      <c r="K15" s="130">
        <v>75</v>
      </c>
      <c r="L15" s="101" t="s">
        <v>17</v>
      </c>
      <c r="M15" s="214">
        <v>52</v>
      </c>
      <c r="N15" s="214">
        <v>33</v>
      </c>
      <c r="O15" s="214">
        <v>46</v>
      </c>
      <c r="P15" s="214">
        <v>51</v>
      </c>
      <c r="Q15" s="214">
        <v>47</v>
      </c>
      <c r="R15" s="214">
        <v>30</v>
      </c>
      <c r="S15" s="214">
        <v>22</v>
      </c>
      <c r="T15" s="214">
        <v>28</v>
      </c>
      <c r="U15" s="214">
        <v>28</v>
      </c>
      <c r="V15" s="214"/>
      <c r="W15" s="424"/>
      <c r="X15" s="123">
        <f>+IF(H16="s",0,IF(AB15=0,0,IF(COUNTA(M15:W15)=AN17+0.25,SUMIF($C:$C,B15,$AB:$AB)/AN17,SUMIF($C:$C,B15,$AB:$AB)/(COUNTA(M15:W15)))))</f>
        <v>38.514285714285712</v>
      </c>
      <c r="Y15" s="439"/>
      <c r="Z15" s="400"/>
      <c r="AA15" s="541"/>
      <c r="AB15" s="134">
        <f t="shared" si="7"/>
        <v>337</v>
      </c>
      <c r="AC15" s="137">
        <f>+AB15+AD15</f>
        <v>6473</v>
      </c>
      <c r="AD15" s="137">
        <v>6136</v>
      </c>
      <c r="AE15" s="439">
        <v>0</v>
      </c>
      <c r="AF15" s="439">
        <f>+AE15+Y15</f>
        <v>0</v>
      </c>
      <c r="AG15" s="140">
        <f>+AC14-AC15</f>
        <v>149</v>
      </c>
      <c r="AH15" s="131">
        <f>+IF(((AB16+(AB17/2))*60)=0,"",(J15*AB15)/((AB16+(AB17/2))*60))</f>
        <v>1.0991268237934904</v>
      </c>
      <c r="AI15" s="161">
        <f>+AB16+AB17/2</f>
        <v>148.5</v>
      </c>
      <c r="AJ15" s="161">
        <f t="shared" si="2"/>
        <v>148.30000000000001</v>
      </c>
      <c r="AK15" s="167">
        <f t="shared" si="3"/>
        <v>8910</v>
      </c>
      <c r="AL15" s="167">
        <f>+AB15*J15</f>
        <v>9793.2199999999993</v>
      </c>
      <c r="AM15" s="230">
        <f>+AB15-(AI15*K15/K17)</f>
        <v>65.353658536585385</v>
      </c>
      <c r="AN15" s="339"/>
      <c r="AO15" s="340"/>
      <c r="AP15" s="167"/>
      <c r="AQ15" s="167"/>
      <c r="AR15" s="167"/>
      <c r="AS15" s="167"/>
      <c r="AT15" s="433" t="str">
        <f t="shared" ref="AT15" si="9">IF(AU15=0,"",AW15-(($AT$3*K15)+($AT$3*K15)*AU15)+AB14)</f>
        <v/>
      </c>
      <c r="AU15" s="393"/>
      <c r="AW15" s="356">
        <v>486</v>
      </c>
      <c r="AY15" s="356">
        <f>+AW15-AG15</f>
        <v>337</v>
      </c>
      <c r="AZ15" s="581"/>
      <c r="BA15" s="581"/>
      <c r="BB15" s="581"/>
      <c r="BC15" s="581"/>
      <c r="BD15" s="581"/>
      <c r="BE15" s="581"/>
      <c r="BF15" s="581"/>
      <c r="BG15" s="581"/>
      <c r="BH15" s="581"/>
      <c r="BI15" s="581"/>
    </row>
    <row r="16" spans="2:64" s="98" customFormat="1" ht="62.25" customHeight="1" x14ac:dyDescent="0.9">
      <c r="B16" s="125">
        <f>+B15</f>
        <v>2</v>
      </c>
      <c r="C16" s="373"/>
      <c r="D16" s="184"/>
      <c r="E16" s="111"/>
      <c r="F16" s="374"/>
      <c r="G16" s="578" t="str">
        <f>+G14</f>
        <v>7696-837-802</v>
      </c>
      <c r="H16" s="376"/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215">
        <v>30</v>
      </c>
      <c r="N16" s="215">
        <v>28</v>
      </c>
      <c r="O16" s="215">
        <v>25</v>
      </c>
      <c r="P16" s="215">
        <v>15</v>
      </c>
      <c r="Q16" s="215">
        <v>15</v>
      </c>
      <c r="R16" s="215">
        <v>10</v>
      </c>
      <c r="S16" s="215">
        <v>10</v>
      </c>
      <c r="T16" s="215">
        <v>6</v>
      </c>
      <c r="U16" s="215">
        <v>6</v>
      </c>
      <c r="V16" s="215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-319.25</v>
      </c>
      <c r="Y16" s="440"/>
      <c r="Z16" s="400"/>
      <c r="AA16" s="541"/>
      <c r="AB16" s="443">
        <f t="shared" si="8"/>
        <v>143.5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143.5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61" s="98" customFormat="1" ht="62.25" customHeight="1" thickBot="1" x14ac:dyDescent="0.95">
      <c r="B17" s="126">
        <f>+B15</f>
        <v>2</v>
      </c>
      <c r="C17" s="375"/>
      <c r="D17" s="174" t="s">
        <v>404</v>
      </c>
      <c r="E17" s="175"/>
      <c r="F17" s="175"/>
      <c r="G17" s="579" t="str">
        <f>+G14</f>
        <v>7696-837-802</v>
      </c>
      <c r="H17" s="454">
        <f>+AC14-H15</f>
        <v>0</v>
      </c>
      <c r="I17" s="397"/>
      <c r="J17" s="165">
        <f>+IF(K17="","",IF(K15=0,"",(K15*J15)/(K17*60)))</f>
        <v>0.88597560975609757</v>
      </c>
      <c r="K17" s="429">
        <v>41</v>
      </c>
      <c r="L17" s="104" t="s">
        <v>19</v>
      </c>
      <c r="M17" s="427">
        <v>2</v>
      </c>
      <c r="N17" s="427">
        <v>2</v>
      </c>
      <c r="O17" s="427">
        <v>2</v>
      </c>
      <c r="P17" s="427">
        <v>2</v>
      </c>
      <c r="Q17" s="427">
        <v>2</v>
      </c>
      <c r="R17" s="427"/>
      <c r="S17" s="427"/>
      <c r="T17" s="427"/>
      <c r="U17" s="427"/>
      <c r="V17" s="427"/>
      <c r="W17" s="428"/>
      <c r="X17" s="173"/>
      <c r="Y17" s="441"/>
      <c r="Z17" s="401">
        <v>31.206233766233765</v>
      </c>
      <c r="AA17" s="448">
        <v>31.206233766233765</v>
      </c>
      <c r="AB17" s="444">
        <f t="shared" si="8"/>
        <v>10</v>
      </c>
      <c r="AC17" s="139"/>
      <c r="AD17" s="139"/>
      <c r="AE17" s="441"/>
      <c r="AF17" s="441"/>
      <c r="AG17" s="119">
        <f>+IFERROR(AG15/(K15*$AT$3),"")</f>
        <v>0.22704761904761905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10</v>
      </c>
      <c r="AP17" s="167">
        <f>+AO17-AB17</f>
        <v>0</v>
      </c>
      <c r="AQ17" s="167"/>
      <c r="AR17" s="167"/>
      <c r="AS17" s="167"/>
      <c r="AT17" s="435"/>
      <c r="AU17" s="393"/>
      <c r="AW17" s="356">
        <v>0.74057142857142855</v>
      </c>
      <c r="AY17" s="356"/>
    </row>
    <row r="18" spans="2:61" s="98" customFormat="1" ht="62.25" customHeight="1" thickTop="1" x14ac:dyDescent="0.9">
      <c r="B18" s="97">
        <f>+B19</f>
        <v>2</v>
      </c>
      <c r="C18" s="370"/>
      <c r="D18" s="106"/>
      <c r="E18" s="106"/>
      <c r="F18" s="106"/>
      <c r="G18" s="577" t="s">
        <v>440</v>
      </c>
      <c r="H18" s="106"/>
      <c r="I18" s="106"/>
      <c r="J18" s="107" t="s">
        <v>20</v>
      </c>
      <c r="K18" s="108" t="s">
        <v>23</v>
      </c>
      <c r="L18" s="100" t="s">
        <v>21</v>
      </c>
      <c r="M18" s="423">
        <v>50</v>
      </c>
      <c r="N18" s="423">
        <v>50</v>
      </c>
      <c r="O18" s="423">
        <v>50</v>
      </c>
      <c r="P18" s="423">
        <v>50</v>
      </c>
      <c r="Q18" s="423">
        <v>50</v>
      </c>
      <c r="R18" s="423">
        <v>50</v>
      </c>
      <c r="S18" s="423"/>
      <c r="T18" s="423"/>
      <c r="U18" s="423"/>
      <c r="V18" s="423"/>
      <c r="W18" s="423"/>
      <c r="X18" s="135">
        <f t="shared" si="6"/>
        <v>300</v>
      </c>
      <c r="Y18" s="438"/>
      <c r="Z18" s="400">
        <v>0</v>
      </c>
      <c r="AA18" s="540">
        <f>+X20</f>
        <v>-104</v>
      </c>
      <c r="AB18" s="135">
        <f t="shared" si="7"/>
        <v>300</v>
      </c>
      <c r="AC18" s="136">
        <f>+AD18+AB18</f>
        <v>525</v>
      </c>
      <c r="AD18" s="136">
        <v>225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61" s="98" customFormat="1" ht="62.25" customHeight="1" x14ac:dyDescent="1.35">
      <c r="B19" s="132">
        <v>2</v>
      </c>
      <c r="C19" s="371">
        <f>+B19</f>
        <v>2</v>
      </c>
      <c r="D19" s="372" t="s">
        <v>439</v>
      </c>
      <c r="E19" s="111"/>
      <c r="F19" s="111" t="s">
        <v>35</v>
      </c>
      <c r="G19" s="578" t="str">
        <f>+G18</f>
        <v>7740-876-052</v>
      </c>
      <c r="H19" s="450">
        <v>7000</v>
      </c>
      <c r="I19" s="111" t="s">
        <v>33</v>
      </c>
      <c r="J19" s="113">
        <v>55.78</v>
      </c>
      <c r="K19" s="130">
        <v>52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>
        <v>0</v>
      </c>
      <c r="U19" s="214">
        <v>0</v>
      </c>
      <c r="V19" s="214"/>
      <c r="W19" s="424"/>
      <c r="X19" s="123">
        <f>+IF(H20="s",0,IF(AB19=0,0,IF(COUNTA(M19:W19)=AN21+0.25,SUMIF($C:$C,B19,$AB:$AB)/AN21,SUMIF($C:$C,B19,$AB:$AB)/(COUNTA(M19:W19)))))</f>
        <v>0</v>
      </c>
      <c r="Y19" s="439"/>
      <c r="Z19" s="400"/>
      <c r="AA19" s="541"/>
      <c r="AB19" s="134">
        <f t="shared" si="7"/>
        <v>0</v>
      </c>
      <c r="AC19" s="137">
        <f>+AB19+AD19</f>
        <v>0</v>
      </c>
      <c r="AD19" s="137">
        <v>0</v>
      </c>
      <c r="AE19" s="439">
        <v>0</v>
      </c>
      <c r="AF19" s="439">
        <f>+AE19+Y19</f>
        <v>0</v>
      </c>
      <c r="AG19" s="140">
        <f>+AC18-AC19</f>
        <v>525</v>
      </c>
      <c r="AH19" s="131">
        <f>+IF(((AB20+(AB21/2))*60)=0,"",(J19*AB19)/((AB20+(AB21/2))*60))</f>
        <v>0</v>
      </c>
      <c r="AI19" s="161">
        <f>+AB20+AB21/2</f>
        <v>210.25</v>
      </c>
      <c r="AJ19" s="161">
        <f t="shared" si="2"/>
        <v>210.15</v>
      </c>
      <c r="AK19" s="167">
        <f t="shared" si="3"/>
        <v>12615</v>
      </c>
      <c r="AL19" s="167">
        <f>+AB19*J19</f>
        <v>0</v>
      </c>
      <c r="AM19" s="230" t="e">
        <f>+AB19-(AI19*K19/K21)</f>
        <v>#DIV/0!</v>
      </c>
      <c r="AN19" s="339"/>
      <c r="AO19" s="340"/>
      <c r="AP19" s="167"/>
      <c r="AQ19" s="167"/>
      <c r="AR19" s="167"/>
      <c r="AS19" s="167"/>
      <c r="AT19" s="433">
        <f>-300+AB18</f>
        <v>0</v>
      </c>
      <c r="AU19" s="393">
        <v>1.5</v>
      </c>
      <c r="AW19" s="356">
        <v>225</v>
      </c>
      <c r="AY19" s="356">
        <f>+AW19-AG19</f>
        <v>-300</v>
      </c>
      <c r="AZ19" s="581"/>
      <c r="BA19" s="581"/>
      <c r="BB19" s="581"/>
      <c r="BC19" s="581"/>
      <c r="BD19" s="581"/>
      <c r="BE19" s="581"/>
      <c r="BF19" s="581"/>
      <c r="BG19" s="581"/>
      <c r="BH19" s="581"/>
      <c r="BI19" s="581"/>
    </row>
    <row r="20" spans="2:61" s="98" customFormat="1" ht="62.25" customHeight="1" x14ac:dyDescent="0.9">
      <c r="B20" s="125">
        <f>+B19</f>
        <v>2</v>
      </c>
      <c r="C20" s="373"/>
      <c r="D20" s="184"/>
      <c r="E20" s="111"/>
      <c r="F20" s="374"/>
      <c r="G20" s="578" t="str">
        <f>+G18</f>
        <v>7740-876-052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215">
        <v>10</v>
      </c>
      <c r="N20" s="215">
        <v>12</v>
      </c>
      <c r="O20" s="215">
        <v>15</v>
      </c>
      <c r="P20" s="215">
        <v>25</v>
      </c>
      <c r="Q20" s="215">
        <v>25</v>
      </c>
      <c r="R20" s="215">
        <v>30</v>
      </c>
      <c r="S20" s="215">
        <v>30</v>
      </c>
      <c r="T20" s="215">
        <v>34</v>
      </c>
      <c r="U20" s="215">
        <v>34</v>
      </c>
      <c r="V20" s="215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-104</v>
      </c>
      <c r="Y20" s="440"/>
      <c r="Z20" s="400"/>
      <c r="AA20" s="541"/>
      <c r="AB20" s="443">
        <f t="shared" si="8"/>
        <v>206.5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206.5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61" s="98" customFormat="1" ht="62.25" customHeight="1" thickBot="1" x14ac:dyDescent="0.95">
      <c r="B21" s="126">
        <f>+B19</f>
        <v>2</v>
      </c>
      <c r="C21" s="375"/>
      <c r="D21" s="174" t="s">
        <v>404</v>
      </c>
      <c r="E21" s="175"/>
      <c r="F21" s="175"/>
      <c r="G21" s="579" t="str">
        <f>+G18</f>
        <v>7740-876-052</v>
      </c>
      <c r="H21" s="454">
        <f>+AC18-H19</f>
        <v>-6475</v>
      </c>
      <c r="I21" s="397"/>
      <c r="J21" s="165" t="str">
        <f>+IF(K21="","",IF(K19=0,"",(K19*J19)/(K21*60)))</f>
        <v/>
      </c>
      <c r="K21" s="429"/>
      <c r="L21" s="104" t="s">
        <v>19</v>
      </c>
      <c r="M21" s="427"/>
      <c r="N21" s="427"/>
      <c r="O21" s="427"/>
      <c r="P21" s="427"/>
      <c r="Q21" s="427"/>
      <c r="R21" s="427">
        <v>2</v>
      </c>
      <c r="S21" s="427">
        <v>2</v>
      </c>
      <c r="T21" s="427">
        <v>2</v>
      </c>
      <c r="U21" s="427">
        <v>2</v>
      </c>
      <c r="V21" s="427"/>
      <c r="W21" s="428"/>
      <c r="X21" s="173"/>
      <c r="Y21" s="441"/>
      <c r="Z21" s="401"/>
      <c r="AA21" s="168">
        <f>+IF(COUNTA(M19:W19)=$AM$4+0.25,$AM$4-(AB19/K19),COUNTA(M19:W19)-(AB19/K19))+Z21</f>
        <v>2</v>
      </c>
      <c r="AB21" s="444">
        <f t="shared" si="8"/>
        <v>7.5</v>
      </c>
      <c r="AC21" s="139"/>
      <c r="AD21" s="139"/>
      <c r="AE21" s="441"/>
      <c r="AF21" s="441"/>
      <c r="AG21" s="119">
        <f>+IFERROR(AG19/(K19*$AT$3),"")</f>
        <v>1.1538461538461537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+IF(AN21=7.75,SUM(M21:S21)+T21*0.75,IF(AN21=8,SUM(M21:T21),IF(AN21=7.25,SUM(M21:S21)+T21*0.25,IF(AN21=8.25,SUM(M21:T21)+U21*0.25,IF(AN21=8.75,SUM(M21:T21)+U21*0.75,0)))))</f>
        <v>7.5</v>
      </c>
      <c r="AP21" s="167">
        <f>+AO21-AB21</f>
        <v>0</v>
      </c>
      <c r="AQ21" s="167"/>
      <c r="AR21" s="167"/>
      <c r="AS21" s="167"/>
      <c r="AT21" s="435"/>
      <c r="AU21" s="393"/>
      <c r="AW21" s="356">
        <v>0.49450549450549453</v>
      </c>
      <c r="AY21" s="356"/>
    </row>
    <row r="22" spans="2:61" s="98" customFormat="1" ht="62.25" customHeight="1" thickTop="1" x14ac:dyDescent="0.9">
      <c r="B22" s="97">
        <f>+B23</f>
        <v>3</v>
      </c>
      <c r="C22" s="370"/>
      <c r="D22" s="106"/>
      <c r="E22" s="106"/>
      <c r="F22" s="106"/>
      <c r="G22" s="577" t="s">
        <v>440</v>
      </c>
      <c r="H22" s="106"/>
      <c r="I22" s="106"/>
      <c r="J22" s="107" t="s">
        <v>20</v>
      </c>
      <c r="K22" s="108" t="s">
        <v>23</v>
      </c>
      <c r="L22" s="100" t="s">
        <v>21</v>
      </c>
      <c r="M22" s="423"/>
      <c r="N22" s="423">
        <v>75</v>
      </c>
      <c r="O22" s="423"/>
      <c r="P22" s="423">
        <v>75</v>
      </c>
      <c r="Q22" s="423">
        <v>75</v>
      </c>
      <c r="R22" s="423">
        <v>75</v>
      </c>
      <c r="S22" s="423">
        <v>75</v>
      </c>
      <c r="T22" s="423"/>
      <c r="U22" s="423"/>
      <c r="V22" s="423"/>
      <c r="W22" s="423"/>
      <c r="X22" s="135">
        <f t="shared" si="6"/>
        <v>375</v>
      </c>
      <c r="Y22" s="438"/>
      <c r="Z22" s="400">
        <v>-22</v>
      </c>
      <c r="AA22" s="540">
        <f>+X24</f>
        <v>-127</v>
      </c>
      <c r="AB22" s="135">
        <f t="shared" si="7"/>
        <v>375</v>
      </c>
      <c r="AC22" s="136">
        <f>+AD22+AB22</f>
        <v>5055</v>
      </c>
      <c r="AD22" s="136">
        <v>4680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61" s="98" customFormat="1" ht="62.25" customHeight="1" x14ac:dyDescent="1.35">
      <c r="B23" s="132">
        <v>3</v>
      </c>
      <c r="C23" s="371">
        <v>3</v>
      </c>
      <c r="D23" s="372" t="s">
        <v>439</v>
      </c>
      <c r="E23" s="111"/>
      <c r="F23" s="111" t="s">
        <v>35</v>
      </c>
      <c r="G23" s="578" t="str">
        <f>+G22</f>
        <v>7740-876-052</v>
      </c>
      <c r="H23" s="450">
        <v>12000</v>
      </c>
      <c r="I23" s="111" t="s">
        <v>33</v>
      </c>
      <c r="J23" s="113">
        <v>55.78</v>
      </c>
      <c r="K23" s="130">
        <v>52</v>
      </c>
      <c r="L23" s="101" t="s">
        <v>17</v>
      </c>
      <c r="M23" s="214">
        <v>42</v>
      </c>
      <c r="N23" s="214">
        <v>42</v>
      </c>
      <c r="O23" s="214">
        <v>42</v>
      </c>
      <c r="P23" s="214">
        <v>37</v>
      </c>
      <c r="Q23" s="214">
        <v>18</v>
      </c>
      <c r="R23" s="214">
        <v>15</v>
      </c>
      <c r="S23" s="214">
        <v>52</v>
      </c>
      <c r="T23" s="214">
        <v>52</v>
      </c>
      <c r="U23" s="214">
        <v>28</v>
      </c>
      <c r="V23" s="214"/>
      <c r="W23" s="424"/>
      <c r="X23" s="123">
        <f>+IF(H24="s",0,IF(AB23=0,0,IF(COUNTA(M23:W23)=AN25+0.25,SUMIF($C:$C,B23,$AB:$AB)/AN25,SUMIF($C:$C,B23,$AB:$AB)/(COUNTA(M23:W23)))))</f>
        <v>37.485714285714288</v>
      </c>
      <c r="Y23" s="439"/>
      <c r="Z23" s="400"/>
      <c r="AA23" s="541"/>
      <c r="AB23" s="134">
        <f t="shared" si="7"/>
        <v>328</v>
      </c>
      <c r="AC23" s="137">
        <f>+AB23+AD23</f>
        <v>3891</v>
      </c>
      <c r="AD23" s="137">
        <v>3563</v>
      </c>
      <c r="AE23" s="439"/>
      <c r="AF23" s="439">
        <f>+AE23+Y23</f>
        <v>0</v>
      </c>
      <c r="AG23" s="140">
        <f>+AC22-AC23</f>
        <v>1164</v>
      </c>
      <c r="AH23" s="131">
        <f>+IF(((AB24+(AB25/2))*60)=0,"",(J23*AB23)/((AB24+(AB25/2))*60))</f>
        <v>0.65753243486073676</v>
      </c>
      <c r="AI23" s="161">
        <f>+AB24+AB25/2</f>
        <v>463.75</v>
      </c>
      <c r="AJ23" s="161">
        <f t="shared" si="2"/>
        <v>463.45</v>
      </c>
      <c r="AK23" s="167">
        <f t="shared" si="3"/>
        <v>27825</v>
      </c>
      <c r="AL23" s="167">
        <f>+AB23*J23</f>
        <v>18295.84</v>
      </c>
      <c r="AM23" s="230">
        <f>+AB23-(AI23*K23/K25)</f>
        <v>-102.625</v>
      </c>
      <c r="AN23" s="339"/>
      <c r="AO23" s="340"/>
      <c r="AP23" s="167"/>
      <c r="AQ23" s="167"/>
      <c r="AR23" s="167"/>
      <c r="AS23" s="167"/>
      <c r="AT23" s="433">
        <f>-375+AB22</f>
        <v>0</v>
      </c>
      <c r="AU23" s="393">
        <v>2.4</v>
      </c>
      <c r="AW23" s="356">
        <v>1117</v>
      </c>
      <c r="AY23" s="356">
        <f t="shared" ref="AY23" si="10">+AW23-AG23</f>
        <v>-47</v>
      </c>
      <c r="AZ23" s="581"/>
      <c r="BA23" s="581"/>
      <c r="BB23" s="581"/>
      <c r="BC23" s="581"/>
      <c r="BD23" s="581"/>
      <c r="BE23" s="581"/>
      <c r="BF23" s="581"/>
      <c r="BG23" s="581"/>
      <c r="BH23" s="581"/>
      <c r="BI23" s="581"/>
    </row>
    <row r="24" spans="2:61" s="98" customFormat="1" ht="62.25" customHeight="1" x14ac:dyDescent="0.9">
      <c r="B24" s="125">
        <f>+B23</f>
        <v>3</v>
      </c>
      <c r="C24" s="373"/>
      <c r="D24" s="184"/>
      <c r="E24" s="111">
        <f>+B23</f>
        <v>3</v>
      </c>
      <c r="F24" s="374"/>
      <c r="G24" s="578" t="str">
        <f>+G22</f>
        <v>7740-876-052</v>
      </c>
      <c r="H24" s="376"/>
      <c r="I24" s="113">
        <f>+IFERROR(IF(K25=0,0,IF((LOOKUP(2,1/(M24:W24&lt;&gt;""),M24:W24)-K25)&lt;0,0,IF(K25=0,"",LOOKUP(2,1/(M24:W24&lt;&gt;""),M24:W24)-K25))),0)</f>
        <v>0</v>
      </c>
      <c r="J24" s="113">
        <v>2</v>
      </c>
      <c r="K24" s="114" t="s">
        <v>22</v>
      </c>
      <c r="L24" s="102" t="s">
        <v>18</v>
      </c>
      <c r="M24" s="215">
        <v>52</v>
      </c>
      <c r="N24" s="215">
        <v>52</v>
      </c>
      <c r="O24" s="215">
        <v>52</v>
      </c>
      <c r="P24" s="215">
        <v>52</v>
      </c>
      <c r="Q24" s="215">
        <v>52</v>
      </c>
      <c r="R24" s="215">
        <v>52</v>
      </c>
      <c r="S24" s="215">
        <v>52</v>
      </c>
      <c r="T24" s="215">
        <v>52</v>
      </c>
      <c r="U24" s="215">
        <v>52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-127</v>
      </c>
      <c r="Y24" s="440"/>
      <c r="Z24" s="400"/>
      <c r="AA24" s="541"/>
      <c r="AB24" s="443">
        <f t="shared" si="8"/>
        <v>455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455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61" s="98" customFormat="1" ht="62.25" customHeight="1" thickBot="1" x14ac:dyDescent="0.95">
      <c r="B25" s="126">
        <f>+B23</f>
        <v>3</v>
      </c>
      <c r="C25" s="375"/>
      <c r="D25" s="174" t="s">
        <v>423</v>
      </c>
      <c r="E25" s="175">
        <f>+E24+100</f>
        <v>103</v>
      </c>
      <c r="F25" s="175"/>
      <c r="G25" s="579" t="str">
        <f>+G22</f>
        <v>7740-876-052</v>
      </c>
      <c r="H25" s="454">
        <f>+AC22-H23</f>
        <v>-6945</v>
      </c>
      <c r="I25" s="397"/>
      <c r="J25" s="165">
        <f>+IF(K25="","",IF(K23=0,"",(K23*J23)/(K25*60)))</f>
        <v>0.86326190476190479</v>
      </c>
      <c r="K25" s="118">
        <v>56</v>
      </c>
      <c r="L25" s="104" t="s">
        <v>19</v>
      </c>
      <c r="M25" s="427">
        <v>2</v>
      </c>
      <c r="N25" s="427">
        <v>2</v>
      </c>
      <c r="O25" s="427">
        <v>2</v>
      </c>
      <c r="P25" s="427">
        <v>2</v>
      </c>
      <c r="Q25" s="427">
        <v>2</v>
      </c>
      <c r="R25" s="427">
        <v>2</v>
      </c>
      <c r="S25" s="427">
        <v>2</v>
      </c>
      <c r="T25" s="427">
        <v>2</v>
      </c>
      <c r="U25" s="427">
        <v>2</v>
      </c>
      <c r="V25" s="428"/>
      <c r="W25" s="428"/>
      <c r="X25" s="173"/>
      <c r="Y25" s="441"/>
      <c r="Z25" s="401">
        <v>37.057412587412585</v>
      </c>
      <c r="AA25" s="401">
        <v>37.057412587412585</v>
      </c>
      <c r="AB25" s="444">
        <f t="shared" si="8"/>
        <v>17.5</v>
      </c>
      <c r="AC25" s="139"/>
      <c r="AD25" s="139"/>
      <c r="AE25" s="441"/>
      <c r="AF25" s="441"/>
      <c r="AG25" s="119">
        <f>+IFERROR(AG23/(K23*$AT$3),"")</f>
        <v>2.558241758241758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+IF(AN25=7.75,SUM(M25:S25)+T25*0.75,IF(AN25=8,SUM(M25:T25),IF(AN25=7.25,SUM(M25:S25)+T25*0.25,IF(AN25=8.25,SUM(M25:T25)+U25*0.25,IF(AN25=8.75,SUM(M25:T25)+U25*0.75,0)))))</f>
        <v>17.5</v>
      </c>
      <c r="AP25" s="167">
        <f>+AO25-AB25</f>
        <v>0</v>
      </c>
      <c r="AQ25" s="167"/>
      <c r="AR25" s="167"/>
      <c r="AS25" s="167"/>
      <c r="AT25" s="435"/>
      <c r="AU25" s="393"/>
      <c r="AW25" s="356">
        <v>2.4549450549450551</v>
      </c>
      <c r="AY25" s="356"/>
    </row>
    <row r="26" spans="2:61" s="98" customFormat="1" ht="62.25" customHeight="1" thickTop="1" x14ac:dyDescent="0.9">
      <c r="B26" s="97">
        <f>+B27</f>
        <v>4</v>
      </c>
      <c r="C26" s="370"/>
      <c r="D26" s="106"/>
      <c r="E26" s="106"/>
      <c r="F26" s="106"/>
      <c r="G26" s="582" t="s">
        <v>431</v>
      </c>
      <c r="H26" s="106"/>
      <c r="I26" s="106"/>
      <c r="J26" s="107" t="s">
        <v>20</v>
      </c>
      <c r="K26" s="108" t="s">
        <v>23</v>
      </c>
      <c r="L26" s="100" t="s">
        <v>21</v>
      </c>
      <c r="M26" s="423">
        <v>60</v>
      </c>
      <c r="N26" s="423">
        <v>60</v>
      </c>
      <c r="O26" s="423">
        <v>60</v>
      </c>
      <c r="P26" s="423">
        <v>60</v>
      </c>
      <c r="Q26" s="423">
        <v>60</v>
      </c>
      <c r="R26" s="423">
        <v>60</v>
      </c>
      <c r="S26" s="423">
        <v>60</v>
      </c>
      <c r="T26" s="423">
        <v>60</v>
      </c>
      <c r="U26" s="423"/>
      <c r="V26" s="423"/>
      <c r="W26" s="423"/>
      <c r="X26" s="135">
        <f t="shared" si="6"/>
        <v>480</v>
      </c>
      <c r="Y26" s="438"/>
      <c r="Z26" s="400">
        <v>-60.75</v>
      </c>
      <c r="AA26" s="540">
        <f>+X28</f>
        <v>-37.25</v>
      </c>
      <c r="AB26" s="135">
        <f t="shared" si="7"/>
        <v>480</v>
      </c>
      <c r="AC26" s="136">
        <f>+AD26+AB26</f>
        <v>8761</v>
      </c>
      <c r="AD26" s="136">
        <v>8281</v>
      </c>
      <c r="AE26" s="438"/>
      <c r="AF26" s="438"/>
      <c r="AG26" s="109"/>
      <c r="AH26" s="110"/>
      <c r="AI26" s="157"/>
      <c r="AJ26" s="161">
        <f t="shared" si="2"/>
        <v>0</v>
      </c>
      <c r="AK26" s="167">
        <f t="shared" si="3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61" s="98" customFormat="1" ht="62.25" customHeight="1" x14ac:dyDescent="0.9">
      <c r="B27" s="132">
        <v>4</v>
      </c>
      <c r="C27" s="371">
        <f>+B27</f>
        <v>4</v>
      </c>
      <c r="D27" s="372" t="s">
        <v>430</v>
      </c>
      <c r="E27" s="111"/>
      <c r="F27" s="111" t="s">
        <v>35</v>
      </c>
      <c r="G27" s="582" t="str">
        <f>+G26</f>
        <v xml:space="preserve">2878-556-700 </v>
      </c>
      <c r="H27" s="450">
        <v>9487</v>
      </c>
      <c r="I27" s="111" t="s">
        <v>251</v>
      </c>
      <c r="J27" s="113">
        <v>36.65</v>
      </c>
      <c r="K27" s="130">
        <v>75</v>
      </c>
      <c r="L27" s="101" t="s">
        <v>17</v>
      </c>
      <c r="M27" s="214">
        <v>63</v>
      </c>
      <c r="N27" s="214">
        <v>75</v>
      </c>
      <c r="O27" s="214">
        <v>80</v>
      </c>
      <c r="P27" s="214">
        <v>75</v>
      </c>
      <c r="Q27" s="214">
        <v>75</v>
      </c>
      <c r="R27" s="214">
        <v>75</v>
      </c>
      <c r="S27" s="214">
        <v>60</v>
      </c>
      <c r="T27" s="214">
        <v>66</v>
      </c>
      <c r="U27" s="214">
        <v>50</v>
      </c>
      <c r="V27" s="214"/>
      <c r="W27" s="424"/>
      <c r="X27" s="123">
        <f>+IF(H28="s",0,IF(AB27=0,0,IF(COUNTA(M27:W27)=AN29+0.25,SUMIF($C:$C,B27,$AB:$AB)/AN29,SUMIF($C:$C,B27,$AB:$AB)/(COUNTA(M27:W27)))))</f>
        <v>70.742857142857147</v>
      </c>
      <c r="Y27" s="439"/>
      <c r="Z27" s="400"/>
      <c r="AA27" s="541"/>
      <c r="AB27" s="134">
        <f t="shared" si="7"/>
        <v>619</v>
      </c>
      <c r="AC27" s="137">
        <f>+AB27+AD27</f>
        <v>7641</v>
      </c>
      <c r="AD27" s="137">
        <v>7022</v>
      </c>
      <c r="AE27" s="439">
        <v>0</v>
      </c>
      <c r="AF27" s="439">
        <f>+AE27+Y27</f>
        <v>0</v>
      </c>
      <c r="AG27" s="140">
        <f>+AC26-AC27</f>
        <v>1120</v>
      </c>
      <c r="AH27" s="131">
        <f>+IF(((AB28+(AB29/2))*60)=0,"",(J27*AB27)/((AB28+(AB29/2))*60))</f>
        <v>0.8909710358370152</v>
      </c>
      <c r="AI27" s="161">
        <f>+AB28+AB29/2</f>
        <v>424.375</v>
      </c>
      <c r="AJ27" s="161">
        <f t="shared" si="2"/>
        <v>424.22500000000002</v>
      </c>
      <c r="AK27" s="167">
        <f t="shared" si="3"/>
        <v>25462.5</v>
      </c>
      <c r="AL27" s="167">
        <f>+AB27*J27</f>
        <v>22686.35</v>
      </c>
      <c r="AM27" s="230">
        <f>+AB27-(AI27*K27/K29)</f>
        <v>-17.5625</v>
      </c>
      <c r="AN27" s="339"/>
      <c r="AO27" s="340"/>
      <c r="AP27" s="167"/>
      <c r="AQ27" s="167"/>
      <c r="AR27" s="167"/>
      <c r="AS27" s="167"/>
      <c r="AT27" s="433">
        <f>-480+AB26</f>
        <v>0</v>
      </c>
      <c r="AU27" s="393">
        <v>1.75</v>
      </c>
      <c r="AW27" s="356">
        <v>1259</v>
      </c>
      <c r="AY27" s="356">
        <f t="shared" ref="AY27" si="11">+AW27-AG27</f>
        <v>139</v>
      </c>
    </row>
    <row r="28" spans="2:61" s="98" customFormat="1" ht="62.25" customHeight="1" x14ac:dyDescent="0.9">
      <c r="B28" s="125">
        <f>+B27</f>
        <v>4</v>
      </c>
      <c r="C28" s="373"/>
      <c r="D28" s="184"/>
      <c r="E28" s="111">
        <f>+B27</f>
        <v>4</v>
      </c>
      <c r="F28" s="374"/>
      <c r="G28" s="582" t="str">
        <f>+G27</f>
        <v xml:space="preserve">2878-556-700 </v>
      </c>
      <c r="H28" s="376" t="s">
        <v>400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48</v>
      </c>
      <c r="N28" s="425">
        <v>48</v>
      </c>
      <c r="O28" s="425">
        <v>48</v>
      </c>
      <c r="P28" s="425">
        <v>48</v>
      </c>
      <c r="Q28" s="425">
        <v>48</v>
      </c>
      <c r="R28" s="425">
        <v>48</v>
      </c>
      <c r="S28" s="425">
        <v>48</v>
      </c>
      <c r="T28" s="425">
        <v>48</v>
      </c>
      <c r="U28" s="425">
        <v>48</v>
      </c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-37.25</v>
      </c>
      <c r="Y28" s="440"/>
      <c r="Z28" s="400"/>
      <c r="AA28" s="541"/>
      <c r="AB28" s="443">
        <f t="shared" si="8"/>
        <v>420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167">
        <f t="shared" si="3"/>
        <v>0</v>
      </c>
      <c r="AL28" s="167"/>
      <c r="AM28" s="167"/>
      <c r="AN28" s="339"/>
      <c r="AO28" s="340">
        <f>+IF(AN29=7.75,SUM(M28:S28)+T28*0.75,IF(AN29=8,SUM(M28:T28),IF(AN29=7.25,SUM(M28:S28)+T28*0.25,IF(AN29=8.25,SUM(M28:T28)+U28*0.25,IF(AN29=8.75,SUM(M28:T28)+U28*0.75,0)))))</f>
        <v>420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61" s="98" customFormat="1" ht="62.25" customHeight="1" thickBot="1" x14ac:dyDescent="0.95">
      <c r="B29" s="126">
        <f>+B27</f>
        <v>4</v>
      </c>
      <c r="C29" s="375"/>
      <c r="D29" s="174" t="s">
        <v>445</v>
      </c>
      <c r="E29" s="175">
        <f>+E28+100</f>
        <v>104</v>
      </c>
      <c r="F29" s="175"/>
      <c r="G29" s="582" t="str">
        <f>+G28</f>
        <v xml:space="preserve">2878-556-700 </v>
      </c>
      <c r="H29" s="454">
        <f>+AC26-H27</f>
        <v>-726</v>
      </c>
      <c r="I29" s="397"/>
      <c r="J29" s="165">
        <f>+IF(K29="","",IF(K27=0,"",(K27*J27)/(K29*60)))</f>
        <v>0.91625000000000001</v>
      </c>
      <c r="K29" s="118">
        <v>50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>
        <v>1</v>
      </c>
      <c r="V29" s="428"/>
      <c r="W29" s="428"/>
      <c r="X29" s="173"/>
      <c r="Y29" s="441"/>
      <c r="Z29" s="401">
        <v>29.116666666666667</v>
      </c>
      <c r="AA29" s="169">
        <v>29.116666666666667</v>
      </c>
      <c r="AB29" s="444">
        <f t="shared" si="8"/>
        <v>8.75</v>
      </c>
      <c r="AC29" s="139"/>
      <c r="AD29" s="139"/>
      <c r="AE29" s="441"/>
      <c r="AF29" s="441"/>
      <c r="AG29" s="119">
        <f>+IFERROR(AG27/(K27*$AT$3),"")</f>
        <v>1.7066666666666668</v>
      </c>
      <c r="AH29" s="162"/>
      <c r="AI29" s="161"/>
      <c r="AJ29" s="161">
        <f t="shared" si="2"/>
        <v>0</v>
      </c>
      <c r="AK29" s="167">
        <f t="shared" si="3"/>
        <v>0</v>
      </c>
      <c r="AL29" s="167"/>
      <c r="AM29" s="230"/>
      <c r="AN29" s="342">
        <f>+$AM$4</f>
        <v>8.75</v>
      </c>
      <c r="AO29" s="340">
        <f>+IF(AN29=7.75,SUM(N29:S29)+T29*0.75,IF(AN29=8,SUM(N29:T29),IF(AN29=7.25,SUM(N29:S29)+T29*0.25,IF(AN29=8.25,SUM(N29:T29)+U29*0.25,IF(AN29=8.75,SUM(N29:T29)+U29*0.75,0)))))</f>
        <v>7.75</v>
      </c>
      <c r="AP29" s="167">
        <f>+AO29-AB29</f>
        <v>-1</v>
      </c>
      <c r="AQ29" s="167"/>
      <c r="AR29" s="167"/>
      <c r="AS29" s="167"/>
      <c r="AT29" s="435"/>
      <c r="AU29" s="393"/>
      <c r="AW29" s="356">
        <v>1.9184761904761904</v>
      </c>
      <c r="AY29" s="356"/>
    </row>
    <row r="30" spans="2:61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77" t="s">
        <v>433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150</v>
      </c>
      <c r="N30" s="423">
        <v>150</v>
      </c>
      <c r="O30" s="423">
        <v>150</v>
      </c>
      <c r="P30" s="423"/>
      <c r="Q30" s="423"/>
      <c r="R30" s="423"/>
      <c r="S30" s="423"/>
      <c r="T30" s="423"/>
      <c r="U30" s="423"/>
      <c r="V30" s="423"/>
      <c r="W30" s="423"/>
      <c r="X30" s="135">
        <f t="shared" si="6"/>
        <v>450</v>
      </c>
      <c r="Y30" s="438"/>
      <c r="Z30" s="400">
        <v>43.5</v>
      </c>
      <c r="AA30" s="540">
        <f>+X32</f>
        <v>59.5</v>
      </c>
      <c r="AB30" s="135">
        <f t="shared" si="7"/>
        <v>450</v>
      </c>
      <c r="AC30" s="136">
        <f>+AD30+AB30</f>
        <v>9204</v>
      </c>
      <c r="AD30" s="136">
        <v>8754</v>
      </c>
      <c r="AE30" s="438"/>
      <c r="AF30" s="438"/>
      <c r="AG30" s="109"/>
      <c r="AH30" s="110"/>
      <c r="AI30" s="157"/>
      <c r="AJ30" s="161">
        <f t="shared" si="2"/>
        <v>0</v>
      </c>
      <c r="AK30" s="167">
        <f t="shared" si="3"/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61" s="98" customFormat="1" ht="62.25" customHeight="1" x14ac:dyDescent="0.9">
      <c r="B31" s="132">
        <v>5</v>
      </c>
      <c r="C31" s="371">
        <f>+B31</f>
        <v>5</v>
      </c>
      <c r="D31" s="372" t="s">
        <v>432</v>
      </c>
      <c r="E31" s="111"/>
      <c r="F31" s="111" t="s">
        <v>35</v>
      </c>
      <c r="G31" s="578" t="str">
        <f>+G30</f>
        <v>2843-709-800</v>
      </c>
      <c r="H31" s="450">
        <v>11700</v>
      </c>
      <c r="I31" s="111" t="s">
        <v>251</v>
      </c>
      <c r="J31" s="113">
        <v>50</v>
      </c>
      <c r="K31" s="130">
        <v>58</v>
      </c>
      <c r="L31" s="101" t="s">
        <v>17</v>
      </c>
      <c r="M31" s="214">
        <v>64</v>
      </c>
      <c r="N31" s="214">
        <v>65</v>
      </c>
      <c r="O31" s="214">
        <v>65</v>
      </c>
      <c r="P31" s="214">
        <v>65</v>
      </c>
      <c r="Q31" s="214">
        <v>65</v>
      </c>
      <c r="R31" s="214">
        <v>65</v>
      </c>
      <c r="S31" s="214">
        <v>65</v>
      </c>
      <c r="T31" s="214">
        <v>65</v>
      </c>
      <c r="U31" s="214">
        <v>48</v>
      </c>
      <c r="V31" s="214"/>
      <c r="W31" s="424"/>
      <c r="X31" s="123">
        <f>+IF(H32="s",0,IF(AB31=0,0,IF(COUNTA(M31:W31)=AN33+0.25,SUMIF($C:$C,B31,$AB:$AB)/AN33,SUMIF($C:$C,B31,$AB:$AB)/(COUNTA(M31:W31)))))</f>
        <v>64.8</v>
      </c>
      <c r="Y31" s="439"/>
      <c r="Z31" s="400"/>
      <c r="AA31" s="541"/>
      <c r="AB31" s="134">
        <f t="shared" si="7"/>
        <v>567</v>
      </c>
      <c r="AC31" s="137">
        <f>+AB31+AD31</f>
        <v>7609</v>
      </c>
      <c r="AD31" s="137">
        <v>7042</v>
      </c>
      <c r="AE31" s="439">
        <v>0</v>
      </c>
      <c r="AF31" s="439">
        <f>+AE31+Y31</f>
        <v>0</v>
      </c>
      <c r="AG31" s="140">
        <f>+AC30-AC31</f>
        <v>1595</v>
      </c>
      <c r="AH31" s="131">
        <f>+IF(((AB32+(AB33/2))*60)=0,"",(J31*AB31)/((AB32+(AB33/2))*60))</f>
        <v>0.99082568807339455</v>
      </c>
      <c r="AI31" s="161">
        <f>+AB32+AB33/2</f>
        <v>476.875</v>
      </c>
      <c r="AJ31" s="161">
        <f t="shared" si="2"/>
        <v>476.52499999999998</v>
      </c>
      <c r="AK31" s="167">
        <f t="shared" si="3"/>
        <v>28612.5</v>
      </c>
      <c r="AL31" s="167">
        <f>+AB31*J31</f>
        <v>28350</v>
      </c>
      <c r="AM31" s="230">
        <f>+AB31-(AI31*K31/K33)</f>
        <v>54.800925925925981</v>
      </c>
      <c r="AN31" s="339"/>
      <c r="AO31" s="340"/>
      <c r="AP31" s="167"/>
      <c r="AQ31" s="167"/>
      <c r="AR31" s="167"/>
      <c r="AS31" s="167"/>
      <c r="AT31" s="433">
        <f t="shared" ref="AT31" si="12">IF(AU31=0,"",AW31-(($AT$3*K31)+($AT$3*K31)*AU31)+AB30)</f>
        <v>5.125</v>
      </c>
      <c r="AU31" s="393">
        <v>3.25</v>
      </c>
      <c r="AW31" s="356">
        <v>1712</v>
      </c>
      <c r="AY31" s="356">
        <f t="shared" ref="AY31" si="13">+AW31-AG31</f>
        <v>117</v>
      </c>
    </row>
    <row r="32" spans="2:61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78" t="str">
        <f>+G30</f>
        <v>2843-709-800</v>
      </c>
      <c r="H32" s="376" t="s">
        <v>182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>
        <v>54</v>
      </c>
      <c r="N32" s="425">
        <v>54</v>
      </c>
      <c r="O32" s="425">
        <v>54</v>
      </c>
      <c r="P32" s="425">
        <v>54</v>
      </c>
      <c r="Q32" s="425">
        <v>54</v>
      </c>
      <c r="R32" s="425">
        <v>54</v>
      </c>
      <c r="S32" s="425">
        <v>54</v>
      </c>
      <c r="T32" s="425">
        <v>54</v>
      </c>
      <c r="U32" s="425">
        <v>54</v>
      </c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59.5</v>
      </c>
      <c r="Y32" s="440"/>
      <c r="Z32" s="400"/>
      <c r="AA32" s="541"/>
      <c r="AB32" s="443">
        <f t="shared" si="8"/>
        <v>472.5</v>
      </c>
      <c r="AC32" s="341"/>
      <c r="AD32" s="341"/>
      <c r="AE32" s="440"/>
      <c r="AF32" s="440"/>
      <c r="AG32" s="115"/>
      <c r="AH32" s="116"/>
      <c r="AI32" s="157"/>
      <c r="AJ32" s="161">
        <f t="shared" si="2"/>
        <v>0</v>
      </c>
      <c r="AK32" s="167">
        <f t="shared" si="3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472.5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79" t="str">
        <f>+G30</f>
        <v>2843-709-800</v>
      </c>
      <c r="H33" s="454">
        <f>+AC30-H31</f>
        <v>-2496</v>
      </c>
      <c r="I33" s="397" t="s">
        <v>182</v>
      </c>
      <c r="J33" s="165">
        <f>+IF(K33="","",IF(K31=0,"",(K31*J31)/(K33*60)))</f>
        <v>0.89506172839506171</v>
      </c>
      <c r="K33" s="118">
        <v>54</v>
      </c>
      <c r="L33" s="104" t="s">
        <v>19</v>
      </c>
      <c r="M33" s="427">
        <v>1</v>
      </c>
      <c r="N33" s="427">
        <v>1</v>
      </c>
      <c r="O33" s="427">
        <v>1</v>
      </c>
      <c r="P33" s="427">
        <v>1</v>
      </c>
      <c r="Q33" s="427">
        <v>1</v>
      </c>
      <c r="R33" s="427">
        <v>1</v>
      </c>
      <c r="S33" s="427">
        <v>1</v>
      </c>
      <c r="T33" s="427">
        <v>1</v>
      </c>
      <c r="U33" s="427">
        <v>1</v>
      </c>
      <c r="V33" s="428"/>
      <c r="W33" s="428"/>
      <c r="X33" s="173"/>
      <c r="Y33" s="441"/>
      <c r="Z33" s="401">
        <v>36.370689655172413</v>
      </c>
      <c r="AA33" s="401">
        <v>36.370689655172413</v>
      </c>
      <c r="AB33" s="444">
        <f t="shared" si="8"/>
        <v>8.75</v>
      </c>
      <c r="AC33" s="139"/>
      <c r="AD33" s="139"/>
      <c r="AE33" s="441"/>
      <c r="AF33" s="441"/>
      <c r="AG33" s="119">
        <f>+IFERROR(AG31/(K31*$AT$3),"")</f>
        <v>3.1428571428571428</v>
      </c>
      <c r="AH33" s="162"/>
      <c r="AI33" s="161"/>
      <c r="AJ33" s="161">
        <f t="shared" si="2"/>
        <v>0</v>
      </c>
      <c r="AK33" s="167">
        <f t="shared" si="3"/>
        <v>0</v>
      </c>
      <c r="AL33" s="167"/>
      <c r="AM33" s="230"/>
      <c r="AN33" s="342">
        <f>+$AM$4</f>
        <v>8.75</v>
      </c>
      <c r="AO33" s="340">
        <f>+IF(AN33=7.75,SUM(M33:S33)+T33*0.75,IF(AN33=8,SUM(M33:T33),IF(AN33=7.25,SUM(M33:S33)+T33*0.25,IF(AN33=8.25,SUM(M33:T33)+U33*0.25,IF(AN33=8.75,SUM(M33:T33)+U33*0.75,0)))))</f>
        <v>8.75</v>
      </c>
      <c r="AP33" s="167">
        <f>+AO33-AB33</f>
        <v>0</v>
      </c>
      <c r="AQ33" s="167"/>
      <c r="AR33" s="167"/>
      <c r="AS33" s="167"/>
      <c r="AT33" s="435"/>
      <c r="AU33" s="393"/>
      <c r="AW33" s="356">
        <v>3.3733990147783253</v>
      </c>
      <c r="AY33" s="356"/>
    </row>
    <row r="34" spans="2:61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77" t="s">
        <v>444</v>
      </c>
      <c r="H34" s="106"/>
      <c r="I34" s="111"/>
      <c r="J34" s="107" t="s">
        <v>20</v>
      </c>
      <c r="K34" s="108">
        <v>0</v>
      </c>
      <c r="L34" s="100" t="s">
        <v>21</v>
      </c>
      <c r="M34" s="423">
        <v>50</v>
      </c>
      <c r="N34" s="423">
        <v>50</v>
      </c>
      <c r="O34" s="423"/>
      <c r="P34" s="423">
        <v>50</v>
      </c>
      <c r="Q34" s="423">
        <v>50</v>
      </c>
      <c r="R34" s="423">
        <v>50</v>
      </c>
      <c r="S34" s="423">
        <v>50</v>
      </c>
      <c r="T34" s="423">
        <v>50</v>
      </c>
      <c r="U34" s="423"/>
      <c r="V34" s="423"/>
      <c r="W34" s="423"/>
      <c r="X34" s="135">
        <f t="shared" si="6"/>
        <v>350</v>
      </c>
      <c r="Y34" s="438"/>
      <c r="Z34" s="400">
        <v>-65.5</v>
      </c>
      <c r="AA34" s="540">
        <f>+X36</f>
        <v>-16.5</v>
      </c>
      <c r="AB34" s="135">
        <f t="shared" si="7"/>
        <v>350</v>
      </c>
      <c r="AC34" s="136">
        <f>+AD34+AB34</f>
        <v>3701</v>
      </c>
      <c r="AD34" s="136">
        <v>3351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0.9">
      <c r="B35" s="132">
        <v>6</v>
      </c>
      <c r="C35" s="371">
        <f>+B35</f>
        <v>6</v>
      </c>
      <c r="D35" s="372" t="s">
        <v>443</v>
      </c>
      <c r="E35" s="111"/>
      <c r="F35" s="111" t="s">
        <v>35</v>
      </c>
      <c r="G35" s="578" t="str">
        <f t="shared" ref="G35:G37" si="14">+G34</f>
        <v>2917-496-712</v>
      </c>
      <c r="H35" s="450">
        <v>7000</v>
      </c>
      <c r="I35" s="111" t="s">
        <v>33</v>
      </c>
      <c r="J35" s="113"/>
      <c r="K35" s="130">
        <v>50</v>
      </c>
      <c r="L35" s="101" t="s">
        <v>17</v>
      </c>
      <c r="M35" s="214">
        <v>31</v>
      </c>
      <c r="N35" s="214">
        <v>50</v>
      </c>
      <c r="O35" s="214">
        <v>40</v>
      </c>
      <c r="P35" s="214">
        <v>50</v>
      </c>
      <c r="Q35" s="214">
        <v>50</v>
      </c>
      <c r="R35" s="214">
        <v>50</v>
      </c>
      <c r="S35" s="214">
        <v>50</v>
      </c>
      <c r="T35" s="214">
        <v>50</v>
      </c>
      <c r="U35" s="214">
        <v>50</v>
      </c>
      <c r="V35" s="424"/>
      <c r="W35" s="424"/>
      <c r="X35" s="123">
        <f>+IF(H36="s",0,IF(AB35=0,0,IF(COUNTA(M35:W35)=AN37+0.25,SUMIF($C:$C,B35,$AB:$AB)/AN37,SUMIF($C:$C,B35,$AB:$AB)/(COUNTA(M35:W35)))))</f>
        <v>48.114285714285714</v>
      </c>
      <c r="Y35" s="439"/>
      <c r="Z35" s="400"/>
      <c r="AA35" s="541"/>
      <c r="AB35" s="134">
        <f t="shared" si="7"/>
        <v>421</v>
      </c>
      <c r="AC35" s="137">
        <f>+AB35+AD35</f>
        <v>2249</v>
      </c>
      <c r="AD35" s="137">
        <v>1828</v>
      </c>
      <c r="AE35" s="439"/>
      <c r="AF35" s="439">
        <f>+AE35+Y35</f>
        <v>0</v>
      </c>
      <c r="AG35" s="140">
        <f>+AC34-AC35</f>
        <v>1452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>
        <f>-350+AB34</f>
        <v>0</v>
      </c>
      <c r="AU35" s="393">
        <v>1.5</v>
      </c>
      <c r="AW35" s="356">
        <v>1523</v>
      </c>
      <c r="AY35" s="356">
        <f t="shared" ref="AY35" si="15">+AW35-AG35</f>
        <v>71</v>
      </c>
    </row>
    <row r="36" spans="2:61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78" t="str">
        <f t="shared" si="14"/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-16.5</v>
      </c>
      <c r="Y36" s="440"/>
      <c r="Z36" s="400"/>
      <c r="AA36" s="541"/>
      <c r="AB36" s="443">
        <f t="shared" si="8"/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79" t="str">
        <f t="shared" si="14"/>
        <v>2917-496-712</v>
      </c>
      <c r="H37" s="454">
        <f>+AC34-H35</f>
        <v>-3299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59.94</v>
      </c>
      <c r="AA37" s="168">
        <f>+IF(COUNTA(M35:W35)=$AM$4+0.25,$AM$4-(AB35/K35),COUNTA(M35:W35)-(AB35/K35))+Z37</f>
        <v>60.269999999999996</v>
      </c>
      <c r="AB37" s="444">
        <f t="shared" si="8"/>
        <v>0</v>
      </c>
      <c r="AC37" s="139"/>
      <c r="AD37" s="139"/>
      <c r="AE37" s="441"/>
      <c r="AF37" s="441"/>
      <c r="AG37" s="119">
        <f>+IFERROR(AG35/(K35*$AT$3),"")</f>
        <v>3.318857142857143</v>
      </c>
      <c r="AH37" s="162"/>
      <c r="AI37" s="161"/>
      <c r="AJ37" s="161"/>
      <c r="AK37" s="167"/>
      <c r="AL37" s="167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3.4811428571428573</v>
      </c>
      <c r="AY37" s="356"/>
    </row>
    <row r="38" spans="2:61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77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/>
      <c r="P38" s="423"/>
      <c r="Q38" s="423">
        <v>50</v>
      </c>
      <c r="R38" s="423">
        <v>50</v>
      </c>
      <c r="S38" s="423">
        <v>50</v>
      </c>
      <c r="T38" s="423">
        <v>50</v>
      </c>
      <c r="U38" s="423">
        <v>50</v>
      </c>
      <c r="V38" s="423"/>
      <c r="W38" s="423"/>
      <c r="X38" s="135">
        <f t="shared" si="6"/>
        <v>350</v>
      </c>
      <c r="Y38" s="438"/>
      <c r="Z38" s="400">
        <v>-145</v>
      </c>
      <c r="AA38" s="540">
        <f>+X40</f>
        <v>-132</v>
      </c>
      <c r="AB38" s="135">
        <f t="shared" si="7"/>
        <v>350</v>
      </c>
      <c r="AC38" s="136">
        <f>+AD38+AB38</f>
        <v>2051</v>
      </c>
      <c r="AD38" s="136">
        <v>1701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78" t="str">
        <f>+G38</f>
        <v>2917-496-712</v>
      </c>
      <c r="H39" s="450">
        <v>7000</v>
      </c>
      <c r="I39" s="111" t="s">
        <v>33</v>
      </c>
      <c r="J39" s="113">
        <v>38.380000000000003</v>
      </c>
      <c r="K39" s="130">
        <v>60</v>
      </c>
      <c r="L39" s="101" t="s">
        <v>17</v>
      </c>
      <c r="M39" s="214">
        <v>20</v>
      </c>
      <c r="N39" s="214">
        <v>46</v>
      </c>
      <c r="O39" s="214">
        <v>50</v>
      </c>
      <c r="P39" s="214">
        <v>50</v>
      </c>
      <c r="Q39" s="214">
        <v>55</v>
      </c>
      <c r="R39" s="214">
        <v>55</v>
      </c>
      <c r="S39" s="214">
        <v>41</v>
      </c>
      <c r="T39" s="214">
        <v>55</v>
      </c>
      <c r="U39" s="214">
        <v>21</v>
      </c>
      <c r="V39" s="424"/>
      <c r="W39" s="424"/>
      <c r="X39" s="123">
        <f>+IF(H40="s",0,IF(AB39=0,0,IF(COUNTA(M39:W39)=AN41+0.25,SUMIF($C:$C,B39,$AB:$AB)/AN41,SUMIF($C:$C,B39,$AB:$AB)/(COUNTA(M39:W39)))))</f>
        <v>44.914285714285711</v>
      </c>
      <c r="Y39" s="439"/>
      <c r="Z39" s="400"/>
      <c r="AA39" s="541"/>
      <c r="AB39" s="134">
        <f t="shared" si="7"/>
        <v>393</v>
      </c>
      <c r="AC39" s="137">
        <f>+AB39+AD39</f>
        <v>1143</v>
      </c>
      <c r="AD39" s="137">
        <v>750</v>
      </c>
      <c r="AE39" s="439">
        <v>0</v>
      </c>
      <c r="AF39" s="439">
        <f>+AE39+Y39</f>
        <v>0</v>
      </c>
      <c r="AG39" s="140">
        <f>+AC38-AC39</f>
        <v>908</v>
      </c>
      <c r="AH39" s="131">
        <f>+IF(((AB40+(AB41/2))*60)=0,"",(J39*AB39)/((AB40+(AB41/2))*60))</f>
        <v>0.58040750360750359</v>
      </c>
      <c r="AI39" s="161">
        <f>+AB40+AB41/2</f>
        <v>433.125</v>
      </c>
      <c r="AJ39" s="161">
        <f t="shared" si="2"/>
        <v>433.07499999999999</v>
      </c>
      <c r="AK39" s="167">
        <f t="shared" si="3"/>
        <v>25987.5</v>
      </c>
      <c r="AL39" s="167">
        <f>+AB39*J39</f>
        <v>15083.34</v>
      </c>
      <c r="AM39" s="230">
        <f>+AB39-(AI39*K39/K41)</f>
        <v>-137.35714285714289</v>
      </c>
      <c r="AN39" s="339"/>
      <c r="AO39" s="340"/>
      <c r="AP39" s="167"/>
      <c r="AQ39" s="167"/>
      <c r="AR39" s="167"/>
      <c r="AS39" s="167"/>
      <c r="AT39" s="433">
        <f>-350+AB38</f>
        <v>0</v>
      </c>
      <c r="AU39" s="393">
        <v>1.5</v>
      </c>
      <c r="AW39" s="356">
        <v>951</v>
      </c>
      <c r="AY39" s="356">
        <f t="shared" ref="AY39" si="16">+AW39-AG39</f>
        <v>43</v>
      </c>
      <c r="AZ39" s="581"/>
      <c r="BA39" s="581"/>
      <c r="BB39" s="581"/>
      <c r="BC39" s="581"/>
      <c r="BD39" s="581"/>
      <c r="BE39" s="581"/>
      <c r="BF39" s="581"/>
      <c r="BG39" s="581"/>
      <c r="BH39" s="581"/>
      <c r="BI39" s="581"/>
    </row>
    <row r="40" spans="2:61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78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49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-132</v>
      </c>
      <c r="Y40" s="440"/>
      <c r="Z40" s="400"/>
      <c r="AA40" s="541"/>
      <c r="AB40" s="443">
        <f t="shared" si="8"/>
        <v>428.75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428.75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79" t="str">
        <f>+G38</f>
        <v>2917-496-712</v>
      </c>
      <c r="H41" s="454">
        <f>+AC38-H39</f>
        <v>-4949</v>
      </c>
      <c r="I41" s="397"/>
      <c r="J41" s="165">
        <v>0.91625000000000001</v>
      </c>
      <c r="K41" s="118">
        <v>49</v>
      </c>
      <c r="L41" s="104" t="s">
        <v>19</v>
      </c>
      <c r="M41" s="427">
        <v>1</v>
      </c>
      <c r="N41" s="427">
        <v>1</v>
      </c>
      <c r="O41" s="427">
        <v>1</v>
      </c>
      <c r="P41" s="427">
        <v>1</v>
      </c>
      <c r="Q41" s="427">
        <v>1</v>
      </c>
      <c r="R41" s="427">
        <v>1</v>
      </c>
      <c r="S41" s="427">
        <v>1</v>
      </c>
      <c r="T41" s="427">
        <v>1</v>
      </c>
      <c r="U41" s="427">
        <v>1</v>
      </c>
      <c r="V41" s="428"/>
      <c r="W41" s="428"/>
      <c r="X41" s="173"/>
      <c r="Y41" s="441"/>
      <c r="Z41" s="401">
        <v>20.096666666666668</v>
      </c>
      <c r="AA41" s="168">
        <f>+IF(COUNTA(M39:W39)=$AM$4+0.25,$AM$4-(AB39/K39),COUNTA(M39:W39)-(AB39/K39))+Z41</f>
        <v>22.296666666666667</v>
      </c>
      <c r="AB41" s="444">
        <f t="shared" si="8"/>
        <v>8.75</v>
      </c>
      <c r="AC41" s="139"/>
      <c r="AD41" s="139"/>
      <c r="AE41" s="441"/>
      <c r="AF41" s="441"/>
      <c r="AG41" s="119">
        <f>+IFERROR(AG39/(K39*$AT$3),"")</f>
        <v>1.7295238095238095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8.75</v>
      </c>
      <c r="AP41" s="167">
        <f>+AO41-AB41</f>
        <v>0</v>
      </c>
      <c r="AQ41" s="167"/>
      <c r="AR41" s="167"/>
      <c r="AS41" s="167"/>
      <c r="AT41" s="435"/>
      <c r="AU41" s="393"/>
      <c r="AW41" s="356">
        <v>1.8114285714285714</v>
      </c>
      <c r="AY41" s="356"/>
    </row>
    <row r="42" spans="2:61" s="98" customFormat="1" ht="62.25" customHeight="1" thickTop="1" x14ac:dyDescent="0.9">
      <c r="B42" s="97">
        <f>+B43</f>
        <v>8</v>
      </c>
      <c r="C42" s="370"/>
      <c r="D42" s="106"/>
      <c r="E42" s="106"/>
      <c r="F42" s="106"/>
      <c r="G42" s="582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100</v>
      </c>
      <c r="N42" s="423">
        <v>100</v>
      </c>
      <c r="O42" s="423">
        <v>100</v>
      </c>
      <c r="P42" s="423"/>
      <c r="Q42" s="423"/>
      <c r="R42" s="423"/>
      <c r="S42" s="423"/>
      <c r="T42" s="423"/>
      <c r="U42" s="423"/>
      <c r="V42" s="423"/>
      <c r="W42" s="423"/>
      <c r="X42" s="135">
        <f t="shared" si="6"/>
        <v>300</v>
      </c>
      <c r="Y42" s="438"/>
      <c r="Z42" s="400">
        <v>0.5</v>
      </c>
      <c r="AA42" s="540">
        <f>+X44</f>
        <v>0.5</v>
      </c>
      <c r="AB42" s="135">
        <f t="shared" si="7"/>
        <v>300</v>
      </c>
      <c r="AC42" s="136">
        <f>+AD42+AB42</f>
        <v>4885</v>
      </c>
      <c r="AD42" s="136">
        <v>4585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8</v>
      </c>
      <c r="C43" s="371">
        <f>+B43</f>
        <v>8</v>
      </c>
      <c r="D43" s="372" t="s">
        <v>441</v>
      </c>
      <c r="E43" s="111"/>
      <c r="F43" s="111" t="s">
        <v>35</v>
      </c>
      <c r="G43" s="582" t="str">
        <f>+G42</f>
        <v>7741-793-052</v>
      </c>
      <c r="H43" s="450">
        <v>11500</v>
      </c>
      <c r="I43" s="111" t="s">
        <v>33</v>
      </c>
      <c r="J43" s="113">
        <v>55.14</v>
      </c>
      <c r="K43" s="130">
        <v>46</v>
      </c>
      <c r="L43" s="101" t="s">
        <v>17</v>
      </c>
      <c r="M43" s="214">
        <v>46</v>
      </c>
      <c r="N43" s="214">
        <v>46</v>
      </c>
      <c r="O43" s="214">
        <v>46</v>
      </c>
      <c r="P43" s="214">
        <v>46</v>
      </c>
      <c r="Q43" s="214">
        <v>46</v>
      </c>
      <c r="R43" s="214">
        <v>46</v>
      </c>
      <c r="S43" s="214">
        <v>46</v>
      </c>
      <c r="T43" s="214">
        <v>46</v>
      </c>
      <c r="U43" s="214">
        <v>35</v>
      </c>
      <c r="V43" s="424"/>
      <c r="W43" s="424"/>
      <c r="X43" s="123">
        <f>+IF(H44="s",0,IF(AB43=0,0,IF(COUNTA(M43:W43)=AN45+0.25,SUMIF($C:$C,B43,$AB:$AB)/AN45,SUMIF($C:$C,B43,$AB:$AB)/(COUNTA(M43:W43)))))</f>
        <v>46.057142857142857</v>
      </c>
      <c r="Y43" s="439"/>
      <c r="Z43" s="400"/>
      <c r="AA43" s="541"/>
      <c r="AB43" s="134">
        <f t="shared" si="7"/>
        <v>403</v>
      </c>
      <c r="AC43" s="137">
        <f>+AB43+AD43</f>
        <v>3741</v>
      </c>
      <c r="AD43" s="137">
        <v>3338</v>
      </c>
      <c r="AE43" s="439">
        <v>0</v>
      </c>
      <c r="AF43" s="439">
        <f>+AE43+Y43</f>
        <v>0</v>
      </c>
      <c r="AG43" s="140">
        <f>+AC42-AC43</f>
        <v>1144</v>
      </c>
      <c r="AH43" s="131">
        <f>+IF(((AB44+(AB45/2))*60)=0,"",(J43*AB43)/((AB44+(AB45/2))*60))</f>
        <v>0.87271163475699565</v>
      </c>
      <c r="AI43" s="161">
        <f>+AB44+AB45/2</f>
        <v>424.375</v>
      </c>
      <c r="AJ43" s="161">
        <f t="shared" si="2"/>
        <v>424.22500000000002</v>
      </c>
      <c r="AK43" s="167">
        <f t="shared" si="3"/>
        <v>25462.5</v>
      </c>
      <c r="AL43" s="167">
        <f>+AB43*J43</f>
        <v>22221.420000000002</v>
      </c>
      <c r="AM43" s="230">
        <f>+AB43-(AI43*K43/K45)</f>
        <v>4.6071428571428328</v>
      </c>
      <c r="AN43" s="339"/>
      <c r="AO43" s="340"/>
      <c r="AP43" s="167"/>
      <c r="AQ43" s="167"/>
      <c r="AR43" s="167"/>
      <c r="AS43" s="167"/>
      <c r="AT43" s="433">
        <f t="shared" ref="AT43" si="17">IF(AU43=0,"",AW43-(($AT$3*K43)+($AT$3*K43)*AU43)+AB42)</f>
        <v>17.5</v>
      </c>
      <c r="AU43" s="393">
        <v>2.8</v>
      </c>
      <c r="AW43" s="356">
        <v>1247</v>
      </c>
      <c r="AY43" s="356">
        <f t="shared" ref="AY43" si="18">+AW43-AG43</f>
        <v>103</v>
      </c>
    </row>
    <row r="44" spans="2:61" s="98" customFormat="1" ht="62.25" customHeight="1" x14ac:dyDescent="0.9">
      <c r="B44" s="125">
        <f>+B43</f>
        <v>8</v>
      </c>
      <c r="C44" s="373"/>
      <c r="D44" s="184"/>
      <c r="E44" s="111">
        <f>+B43</f>
        <v>8</v>
      </c>
      <c r="F44" s="374"/>
      <c r="G44" s="582" t="str">
        <f>+G43</f>
        <v>7741-793-052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48</v>
      </c>
      <c r="N44" s="425">
        <v>48</v>
      </c>
      <c r="O44" s="425">
        <v>48</v>
      </c>
      <c r="P44" s="425">
        <v>48</v>
      </c>
      <c r="Q44" s="425">
        <v>48</v>
      </c>
      <c r="R44" s="425">
        <v>48</v>
      </c>
      <c r="S44" s="425">
        <v>48</v>
      </c>
      <c r="T44" s="425">
        <v>48</v>
      </c>
      <c r="U44" s="425">
        <v>48</v>
      </c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0.5</v>
      </c>
      <c r="Y44" s="440"/>
      <c r="Z44" s="400"/>
      <c r="AA44" s="541"/>
      <c r="AB44" s="443">
        <f t="shared" si="8"/>
        <v>420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420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8</v>
      </c>
      <c r="C45" s="375"/>
      <c r="D45" s="174" t="s">
        <v>373</v>
      </c>
      <c r="E45" s="175">
        <f>+E44+100</f>
        <v>108</v>
      </c>
      <c r="F45" s="175"/>
      <c r="G45" s="582" t="str">
        <f>+G44</f>
        <v>7741-793-052</v>
      </c>
      <c r="H45" s="454">
        <f>+AC42-H43</f>
        <v>-6615</v>
      </c>
      <c r="I45" s="397"/>
      <c r="J45" s="165">
        <f>+IF(K45="","",IF(K43=0,"",(K43*J43)/(K45*60)))</f>
        <v>0.86273469387755108</v>
      </c>
      <c r="K45" s="118">
        <v>49</v>
      </c>
      <c r="L45" s="104" t="s">
        <v>19</v>
      </c>
      <c r="M45" s="427">
        <v>1</v>
      </c>
      <c r="N45" s="427">
        <v>1</v>
      </c>
      <c r="O45" s="427">
        <v>1</v>
      </c>
      <c r="P45" s="427">
        <v>1</v>
      </c>
      <c r="Q45" s="427">
        <v>1</v>
      </c>
      <c r="R45" s="427">
        <v>1</v>
      </c>
      <c r="S45" s="427">
        <v>1</v>
      </c>
      <c r="T45" s="427">
        <v>1</v>
      </c>
      <c r="U45" s="427">
        <v>1</v>
      </c>
      <c r="V45" s="428"/>
      <c r="W45" s="428"/>
      <c r="X45" s="173"/>
      <c r="Y45" s="441"/>
      <c r="Z45" s="401">
        <v>24.299090909090911</v>
      </c>
      <c r="AA45" s="169">
        <v>24.299090909090911</v>
      </c>
      <c r="AB45" s="444">
        <f t="shared" si="8"/>
        <v>8.75</v>
      </c>
      <c r="AC45" s="139"/>
      <c r="AD45" s="139"/>
      <c r="AE45" s="441"/>
      <c r="AF45" s="441"/>
      <c r="AG45" s="119">
        <f>+IFERROR(AG43/(K43*$AT$3),"")</f>
        <v>2.8422360248447207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8.75</v>
      </c>
      <c r="AP45" s="167">
        <f>+AO45-AB45</f>
        <v>0</v>
      </c>
      <c r="AQ45" s="167"/>
      <c r="AR45" s="167"/>
      <c r="AS45" s="167"/>
      <c r="AT45" s="435"/>
      <c r="AU45" s="393"/>
      <c r="AW45" s="356">
        <v>3.0981366459627329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77" t="s">
        <v>428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75</v>
      </c>
      <c r="N46" s="423">
        <v>75</v>
      </c>
      <c r="O46" s="423">
        <v>75</v>
      </c>
      <c r="P46" s="423">
        <v>75</v>
      </c>
      <c r="Q46" s="423">
        <v>75</v>
      </c>
      <c r="R46" s="423">
        <v>75</v>
      </c>
      <c r="S46" s="423"/>
      <c r="T46" s="423"/>
      <c r="U46" s="423"/>
      <c r="V46" s="423"/>
      <c r="W46" s="423"/>
      <c r="X46" s="135">
        <f t="shared" si="6"/>
        <v>450</v>
      </c>
      <c r="Y46" s="438"/>
      <c r="Z46" s="400">
        <v>-53.25</v>
      </c>
      <c r="AA46" s="540">
        <f>+X48</f>
        <v>-88.75</v>
      </c>
      <c r="AB46" s="135">
        <f t="shared" si="7"/>
        <v>450</v>
      </c>
      <c r="AC46" s="136">
        <f>+AD46+AB46</f>
        <v>9743</v>
      </c>
      <c r="AD46" s="136">
        <v>9293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427</v>
      </c>
      <c r="E47" s="111"/>
      <c r="F47" s="111" t="s">
        <v>426</v>
      </c>
      <c r="G47" s="578" t="str">
        <f>+G46</f>
        <v>NUDIE-301580</v>
      </c>
      <c r="H47" s="450">
        <v>10450</v>
      </c>
      <c r="I47" s="111" t="s">
        <v>425</v>
      </c>
      <c r="J47" s="113">
        <v>44.17</v>
      </c>
      <c r="K47" s="130">
        <v>65</v>
      </c>
      <c r="L47" s="101" t="s">
        <v>17</v>
      </c>
      <c r="M47" s="214">
        <v>40</v>
      </c>
      <c r="N47" s="214">
        <v>10</v>
      </c>
      <c r="O47" s="214">
        <v>55</v>
      </c>
      <c r="P47" s="214">
        <v>65</v>
      </c>
      <c r="Q47" s="214">
        <v>65</v>
      </c>
      <c r="R47" s="214">
        <v>65</v>
      </c>
      <c r="S47" s="214">
        <v>55</v>
      </c>
      <c r="T47" s="214">
        <v>65</v>
      </c>
      <c r="U47" s="214">
        <v>60</v>
      </c>
      <c r="V47" s="214"/>
      <c r="W47" s="424"/>
      <c r="X47" s="123">
        <f>+IF(H48="s",0,IF(AB47=0,0,IF(COUNTA(M47:W47)=AN49+0.25,SUMIF($C:$C,B47,$AB:$AB)/AN49,SUMIF($C:$C,B47,$AB:$AB)/(COUNTA(M47:W47)))))</f>
        <v>54.857142857142854</v>
      </c>
      <c r="Y47" s="439"/>
      <c r="Z47" s="400"/>
      <c r="AA47" s="541"/>
      <c r="AB47" s="134">
        <f t="shared" si="7"/>
        <v>480</v>
      </c>
      <c r="AC47" s="137">
        <f>+AB47+AD47</f>
        <v>8732</v>
      </c>
      <c r="AD47" s="137">
        <v>8252</v>
      </c>
      <c r="AE47" s="439">
        <v>0</v>
      </c>
      <c r="AF47" s="439">
        <f>+AE47+Y47</f>
        <v>0</v>
      </c>
      <c r="AG47" s="140">
        <f>+AC46-AC47</f>
        <v>1011</v>
      </c>
      <c r="AH47" s="131">
        <f>+IF(((AB48+(AB49/2))*60)=0,"",(J47*AB47)/((AB48+(AB49/2))*60))</f>
        <v>0.75423692636072581</v>
      </c>
      <c r="AI47" s="161">
        <f>+AB48+AB49/2</f>
        <v>468.5</v>
      </c>
      <c r="AJ47" s="161">
        <f t="shared" si="2"/>
        <v>468.3</v>
      </c>
      <c r="AK47" s="167">
        <f t="shared" si="3"/>
        <v>28110</v>
      </c>
      <c r="AL47" s="167">
        <f>+AB47*J47</f>
        <v>21201.600000000002</v>
      </c>
      <c r="AM47" s="230">
        <f>+AB47-(AI47*K47/K49)</f>
        <v>-83.935185185185219</v>
      </c>
      <c r="AN47" s="339"/>
      <c r="AO47" s="340"/>
      <c r="AP47" s="167"/>
      <c r="AQ47" s="167"/>
      <c r="AR47" s="167"/>
      <c r="AS47" s="167"/>
      <c r="AT47" s="433">
        <f>-450+AB46</f>
        <v>0</v>
      </c>
      <c r="AU47" s="393">
        <v>1.65</v>
      </c>
      <c r="AW47" s="356">
        <v>1041</v>
      </c>
      <c r="AY47" s="356">
        <f t="shared" ref="AY47" si="19">+AW47-AG47</f>
        <v>30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78" t="str">
        <f>+G47</f>
        <v>NUDIE-301580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50</v>
      </c>
      <c r="N48" s="425">
        <v>54</v>
      </c>
      <c r="O48" s="425">
        <v>54</v>
      </c>
      <c r="P48" s="425">
        <v>54</v>
      </c>
      <c r="Q48" s="425">
        <v>54</v>
      </c>
      <c r="R48" s="425">
        <v>54</v>
      </c>
      <c r="S48" s="425">
        <v>54</v>
      </c>
      <c r="T48" s="425">
        <v>54</v>
      </c>
      <c r="U48" s="425">
        <v>54</v>
      </c>
      <c r="V48" s="425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-88.75</v>
      </c>
      <c r="Y48" s="440"/>
      <c r="Z48" s="400"/>
      <c r="AA48" s="541"/>
      <c r="AB48" s="443">
        <f t="shared" si="8"/>
        <v>468.5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468.5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79" t="str">
        <f>+G48</f>
        <v>NUDIE-301580</v>
      </c>
      <c r="H49" s="454">
        <f>+AC46-H47</f>
        <v>-707</v>
      </c>
      <c r="I49" s="397"/>
      <c r="J49" s="165">
        <f>+IF(K49="","",IF(K47=0,"",(K47*J47)/(K49*60)))</f>
        <v>0.8861265432098766</v>
      </c>
      <c r="K49" s="118">
        <v>54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8"/>
        <v>0</v>
      </c>
      <c r="AC49" s="139"/>
      <c r="AD49" s="139"/>
      <c r="AE49" s="441"/>
      <c r="AF49" s="441"/>
      <c r="AG49" s="119">
        <f>+IFERROR(AG47/(K47*$AT$3),"")</f>
        <v>1.7775824175824175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1.8303296703296703</v>
      </c>
      <c r="AY49" s="356"/>
    </row>
    <row r="50" spans="2:51" s="98" customFormat="1" ht="62.25" customHeight="1" thickTop="1" x14ac:dyDescent="0.9">
      <c r="B50" s="97">
        <f>+B51</f>
        <v>12</v>
      </c>
      <c r="C50" s="370"/>
      <c r="D50" s="106"/>
      <c r="E50" s="106"/>
      <c r="F50" s="106"/>
      <c r="G50" s="577" t="s">
        <v>433</v>
      </c>
      <c r="H50" s="106"/>
      <c r="I50" s="111"/>
      <c r="J50" s="107" t="s">
        <v>20</v>
      </c>
      <c r="K50" s="108" t="s">
        <v>23</v>
      </c>
      <c r="L50" s="100" t="s">
        <v>21</v>
      </c>
      <c r="M50" s="423">
        <v>150</v>
      </c>
      <c r="N50" s="423">
        <v>150</v>
      </c>
      <c r="O50" s="423">
        <v>75</v>
      </c>
      <c r="P50" s="423">
        <v>75</v>
      </c>
      <c r="Q50" s="423">
        <v>75</v>
      </c>
      <c r="R50" s="423"/>
      <c r="S50" s="423"/>
      <c r="T50" s="423"/>
      <c r="U50" s="423"/>
      <c r="V50" s="423"/>
      <c r="W50" s="423"/>
      <c r="X50" s="135">
        <f t="shared" si="6"/>
        <v>525</v>
      </c>
      <c r="Y50" s="438"/>
      <c r="Z50" s="400">
        <v>0.5</v>
      </c>
      <c r="AA50" s="540">
        <f>+X52</f>
        <v>0.5</v>
      </c>
      <c r="AB50" s="135">
        <f t="shared" si="7"/>
        <v>525</v>
      </c>
      <c r="AC50" s="136">
        <f>+AD50+AB50</f>
        <v>8251</v>
      </c>
      <c r="AD50" s="136">
        <v>7726</v>
      </c>
      <c r="AE50" s="438"/>
      <c r="AF50" s="438"/>
      <c r="AG50" s="109"/>
      <c r="AH50" s="110"/>
      <c r="AI50" s="157"/>
      <c r="AJ50" s="161">
        <f t="shared" si="2"/>
        <v>0</v>
      </c>
      <c r="AK50" s="167">
        <f t="shared" si="3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12</v>
      </c>
      <c r="C51" s="371">
        <f>+B51</f>
        <v>12</v>
      </c>
      <c r="D51" s="372" t="s">
        <v>432</v>
      </c>
      <c r="E51" s="111"/>
      <c r="F51" s="111" t="s">
        <v>35</v>
      </c>
      <c r="G51" s="578" t="str">
        <f>+G50</f>
        <v>2843-709-800</v>
      </c>
      <c r="H51" s="450">
        <v>11080</v>
      </c>
      <c r="I51" s="111" t="s">
        <v>251</v>
      </c>
      <c r="J51" s="113">
        <v>50</v>
      </c>
      <c r="K51" s="130">
        <v>50</v>
      </c>
      <c r="L51" s="101" t="s">
        <v>17</v>
      </c>
      <c r="M51" s="214">
        <v>46</v>
      </c>
      <c r="N51" s="214">
        <v>50</v>
      </c>
      <c r="O51" s="214">
        <v>54</v>
      </c>
      <c r="P51" s="214">
        <v>50</v>
      </c>
      <c r="Q51" s="214">
        <v>50</v>
      </c>
      <c r="R51" s="214">
        <v>50</v>
      </c>
      <c r="S51" s="214">
        <v>50</v>
      </c>
      <c r="T51" s="214">
        <v>50</v>
      </c>
      <c r="U51" s="214">
        <v>38</v>
      </c>
      <c r="V51" s="214"/>
      <c r="W51" s="424"/>
      <c r="X51" s="123">
        <f>+IF(H52="s",0,IF(AB51=0,0,IF(COUNTA(M51:W51)=AN53+0.25,SUMIF($C:$C,B51,$AB:$AB)/AN53,SUMIF($C:$C,B51,$AB:$AB)/(COUNTA(M51:W51)))))</f>
        <v>50.057142857142857</v>
      </c>
      <c r="Y51" s="439"/>
      <c r="Z51" s="400"/>
      <c r="AA51" s="541"/>
      <c r="AB51" s="134">
        <f t="shared" si="7"/>
        <v>438</v>
      </c>
      <c r="AC51" s="137">
        <f>+AB51+AD51</f>
        <v>6957</v>
      </c>
      <c r="AD51" s="137">
        <v>6519</v>
      </c>
      <c r="AE51" s="439">
        <v>0</v>
      </c>
      <c r="AF51" s="439">
        <f>+AE51+Y51</f>
        <v>0</v>
      </c>
      <c r="AG51" s="140">
        <f>+AC50-AC51</f>
        <v>1294</v>
      </c>
      <c r="AH51" s="131">
        <f>+IF(((AB52+(AB53/2))*60)=0,"",(J51*AB51)/((AB52+(AB53/2))*60))</f>
        <v>0.8388394139615053</v>
      </c>
      <c r="AI51" s="161">
        <f>+AB52+AB53/2</f>
        <v>435.125</v>
      </c>
      <c r="AJ51" s="161">
        <f t="shared" si="2"/>
        <v>435.07499999999999</v>
      </c>
      <c r="AK51" s="167">
        <f t="shared" si="3"/>
        <v>26107.5</v>
      </c>
      <c r="AL51" s="167">
        <f>+AB51*J51</f>
        <v>21900</v>
      </c>
      <c r="AM51" s="230">
        <f>+AB51-(AI51*K51/K53)</f>
        <v>-6.0051020408163254</v>
      </c>
      <c r="AN51" s="339"/>
      <c r="AO51" s="340"/>
      <c r="AP51" s="167"/>
      <c r="AQ51" s="167"/>
      <c r="AR51" s="167"/>
      <c r="AS51" s="167"/>
      <c r="AT51" s="433">
        <f t="shared" ref="AT51" si="20">IF(AU51=0,"",AW51-(($AT$3*K51)+($AT$3*K51)*AU51)+AB50)</f>
        <v>244.5</v>
      </c>
      <c r="AU51" s="393">
        <v>2.4</v>
      </c>
      <c r="AW51" s="356">
        <v>1207</v>
      </c>
      <c r="AY51" s="356">
        <f t="shared" ref="AY51" si="21">+AW51-AG51</f>
        <v>-87</v>
      </c>
    </row>
    <row r="52" spans="2:51" s="98" customFormat="1" ht="62.25" customHeight="1" x14ac:dyDescent="0.9">
      <c r="B52" s="125">
        <f>B51</f>
        <v>12</v>
      </c>
      <c r="C52" s="373"/>
      <c r="D52" s="184"/>
      <c r="E52" s="111">
        <f>+B51</f>
        <v>12</v>
      </c>
      <c r="F52" s="377"/>
      <c r="G52" s="578" t="str">
        <f>+G50</f>
        <v>2843-709-800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50</v>
      </c>
      <c r="N52" s="425">
        <v>50</v>
      </c>
      <c r="O52" s="425">
        <v>49</v>
      </c>
      <c r="P52" s="425">
        <v>49</v>
      </c>
      <c r="Q52" s="425">
        <v>49</v>
      </c>
      <c r="R52" s="425">
        <v>49</v>
      </c>
      <c r="S52" s="425">
        <v>49</v>
      </c>
      <c r="T52" s="425">
        <v>49</v>
      </c>
      <c r="U52" s="425">
        <v>49</v>
      </c>
      <c r="V52" s="426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0.5</v>
      </c>
      <c r="Y52" s="440"/>
      <c r="Z52" s="400"/>
      <c r="AA52" s="541"/>
      <c r="AB52" s="443">
        <f t="shared" si="8"/>
        <v>430.75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167">
        <f t="shared" si="3"/>
        <v>0</v>
      </c>
      <c r="AL52" s="167"/>
      <c r="AM52" s="230"/>
      <c r="AN52" s="339"/>
      <c r="AO52" s="340">
        <f>+IF(AN53=7.75,SUM(M52:S52)+T52*0.75,IF(AN53=8,SUM(M52:T52),IF(AN53=7.25,SUM(M52:S52)+T52*0.25,IF(AN53=8.25,SUM(M52:T52)+U52*0.25,IF(AN53=8.75,SUM(M52:T52)+U52*0.75,0)))))</f>
        <v>430.75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B51</f>
        <v>12</v>
      </c>
      <c r="C53" s="375"/>
      <c r="D53" s="174" t="s">
        <v>366</v>
      </c>
      <c r="E53" s="175">
        <f>+E52+100</f>
        <v>112</v>
      </c>
      <c r="F53" s="175"/>
      <c r="G53" s="579" t="str">
        <f>+G50</f>
        <v>2843-709-800</v>
      </c>
      <c r="H53" s="454">
        <f>+AC50-H51</f>
        <v>-2829</v>
      </c>
      <c r="I53" s="397" t="s">
        <v>182</v>
      </c>
      <c r="J53" s="165">
        <f>+IF(K53="","",IF(K51=0,"",(K51*J51)/(K53*60)))</f>
        <v>0.85034013605442171</v>
      </c>
      <c r="K53" s="118">
        <v>49</v>
      </c>
      <c r="L53" s="104" t="s">
        <v>19</v>
      </c>
      <c r="M53" s="427">
        <v>1</v>
      </c>
      <c r="N53" s="427">
        <v>1</v>
      </c>
      <c r="O53" s="427">
        <v>1</v>
      </c>
      <c r="P53" s="427">
        <v>1</v>
      </c>
      <c r="Q53" s="427">
        <v>1</v>
      </c>
      <c r="R53" s="427">
        <v>1</v>
      </c>
      <c r="S53" s="427">
        <v>1</v>
      </c>
      <c r="T53" s="427">
        <v>1</v>
      </c>
      <c r="U53" s="427">
        <v>1</v>
      </c>
      <c r="V53" s="428"/>
      <c r="W53" s="428"/>
      <c r="X53" s="173"/>
      <c r="Y53" s="441"/>
      <c r="Z53" s="401">
        <v>20.200641379310341</v>
      </c>
      <c r="AA53" s="401">
        <v>20.200641379310341</v>
      </c>
      <c r="AB53" s="444">
        <f t="shared" si="8"/>
        <v>8.75</v>
      </c>
      <c r="AC53" s="139"/>
      <c r="AD53" s="139"/>
      <c r="AE53" s="441"/>
      <c r="AF53" s="441"/>
      <c r="AG53" s="119">
        <f>+IFERROR(AG51/(K51*$AT$3),"")</f>
        <v>2.9577142857142857</v>
      </c>
      <c r="AH53" s="162"/>
      <c r="AI53" s="161"/>
      <c r="AJ53" s="161">
        <f t="shared" si="2"/>
        <v>0</v>
      </c>
      <c r="AK53" s="167">
        <f t="shared" si="3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8.75</v>
      </c>
      <c r="AP53" s="167">
        <f>+AO53-AB53</f>
        <v>0</v>
      </c>
      <c r="AQ53" s="167"/>
      <c r="AR53" s="167"/>
      <c r="AS53" s="167"/>
      <c r="AT53" s="435"/>
      <c r="AU53" s="393"/>
      <c r="AW53" s="356">
        <v>2.3783251231527092</v>
      </c>
      <c r="AY53" s="356"/>
    </row>
    <row r="54" spans="2:51" s="98" customFormat="1" ht="62.25" customHeight="1" thickTop="1" x14ac:dyDescent="0.9">
      <c r="B54" s="97">
        <f>+B55</f>
        <v>13</v>
      </c>
      <c r="C54" s="370"/>
      <c r="D54" s="106"/>
      <c r="E54" s="106"/>
      <c r="F54" s="106"/>
      <c r="G54" s="577" t="s">
        <v>437</v>
      </c>
      <c r="H54" s="106"/>
      <c r="I54" s="106"/>
      <c r="J54" s="107" t="s">
        <v>20</v>
      </c>
      <c r="K54" s="108" t="s">
        <v>23</v>
      </c>
      <c r="L54" s="100" t="s">
        <v>21</v>
      </c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135" t="str">
        <f t="shared" si="6"/>
        <v/>
      </c>
      <c r="Y54" s="438"/>
      <c r="Z54" s="400">
        <v>-23</v>
      </c>
      <c r="AA54" s="540">
        <f>+X56</f>
        <v>-99</v>
      </c>
      <c r="AB54" s="135">
        <f t="shared" si="7"/>
        <v>0</v>
      </c>
      <c r="AC54" s="136">
        <f>+AD54+AB54</f>
        <v>6738</v>
      </c>
      <c r="AD54" s="136">
        <v>6738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13</v>
      </c>
      <c r="C55" s="371">
        <f>+B55</f>
        <v>13</v>
      </c>
      <c r="D55" s="372" t="s">
        <v>438</v>
      </c>
      <c r="E55" s="111"/>
      <c r="F55" s="111" t="s">
        <v>35</v>
      </c>
      <c r="G55" s="578" t="str">
        <f>+G54</f>
        <v>7696-837-802</v>
      </c>
      <c r="H55" s="450">
        <v>6738</v>
      </c>
      <c r="I55" s="111" t="s">
        <v>252</v>
      </c>
      <c r="J55" s="113">
        <v>29.06</v>
      </c>
      <c r="K55" s="130">
        <v>68</v>
      </c>
      <c r="L55" s="101" t="s">
        <v>17</v>
      </c>
      <c r="M55" s="214">
        <v>55</v>
      </c>
      <c r="N55" s="214">
        <v>73</v>
      </c>
      <c r="O55" s="214">
        <v>54</v>
      </c>
      <c r="P55" s="214">
        <v>74</v>
      </c>
      <c r="Q55" s="214">
        <v>56</v>
      </c>
      <c r="R55" s="214">
        <v>60</v>
      </c>
      <c r="S55" s="214">
        <v>43</v>
      </c>
      <c r="T55" s="214">
        <v>43</v>
      </c>
      <c r="U55" s="214">
        <v>38</v>
      </c>
      <c r="V55" s="214"/>
      <c r="W55" s="424"/>
      <c r="X55" s="123">
        <f>+IF(H56="s",0,IF(AB55=0,0,IF(COUNTA(M55:W55)=AN57+0.25,SUMIF($C:$C,B55,$AB:$AB)/AN57,SUMIF($C:$C,B55,$AB:$AB)/(COUNTA(M55:W55)))))</f>
        <v>56.685714285714283</v>
      </c>
      <c r="Y55" s="439"/>
      <c r="Z55" s="400"/>
      <c r="AA55" s="541"/>
      <c r="AB55" s="134">
        <f t="shared" si="7"/>
        <v>496</v>
      </c>
      <c r="AC55" s="137">
        <f>+AB55+AD55</f>
        <v>6677</v>
      </c>
      <c r="AD55" s="137">
        <v>6181</v>
      </c>
      <c r="AE55" s="439"/>
      <c r="AF55" s="439">
        <f>+AE55+Y55</f>
        <v>0</v>
      </c>
      <c r="AG55" s="140">
        <f>+AC54-AC55</f>
        <v>61</v>
      </c>
      <c r="AH55" s="131">
        <f>+IF(((AB56+(AB57/2))*60)=0,"",(J55*AB55)/((AB56+(AB57/2))*60))</f>
        <v>0.86180926756352771</v>
      </c>
      <c r="AI55" s="161">
        <f>+AB56+AB57/2</f>
        <v>278.75</v>
      </c>
      <c r="AJ55" s="161">
        <f t="shared" si="2"/>
        <v>278.45</v>
      </c>
      <c r="AK55" s="167">
        <f t="shared" si="3"/>
        <v>16725</v>
      </c>
      <c r="AL55" s="167">
        <f>+AB55*J55</f>
        <v>14413.76</v>
      </c>
      <c r="AM55" s="230">
        <f>+AB55-(AI55*K55/K57)</f>
        <v>-2.8157894736842195</v>
      </c>
      <c r="AN55" s="339"/>
      <c r="AO55" s="340"/>
      <c r="AP55" s="167"/>
      <c r="AQ55" s="167"/>
      <c r="AR55" s="167"/>
      <c r="AS55" s="167"/>
      <c r="AT55" s="433" t="str">
        <f t="shared" ref="AT55" si="22">IF(AU55=0,"",AW55-(($AT$3*K55)+($AT$3*K55)*AU55)+AB54)</f>
        <v/>
      </c>
      <c r="AU55" s="393"/>
      <c r="AW55" s="356">
        <v>557</v>
      </c>
      <c r="AY55" s="356">
        <f t="shared" ref="AY55" si="23">+AW55-AG55</f>
        <v>496</v>
      </c>
    </row>
    <row r="56" spans="2:51" s="98" customFormat="1" ht="62.25" customHeight="1" x14ac:dyDescent="0.9">
      <c r="B56" s="125">
        <f>+B55</f>
        <v>13</v>
      </c>
      <c r="C56" s="373"/>
      <c r="D56" s="184"/>
      <c r="E56" s="111">
        <f>+B55</f>
        <v>13</v>
      </c>
      <c r="F56" s="374"/>
      <c r="G56" s="578" t="str">
        <f>+G55</f>
        <v>7696-837-802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34</v>
      </c>
      <c r="N56" s="425">
        <v>36</v>
      </c>
      <c r="O56" s="425">
        <v>34</v>
      </c>
      <c r="P56" s="425">
        <v>34</v>
      </c>
      <c r="Q56" s="425">
        <v>30</v>
      </c>
      <c r="R56" s="425">
        <v>30</v>
      </c>
      <c r="S56" s="425">
        <v>30</v>
      </c>
      <c r="T56" s="425">
        <v>29</v>
      </c>
      <c r="U56" s="425">
        <v>29</v>
      </c>
      <c r="V56" s="425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-99</v>
      </c>
      <c r="Y56" s="440"/>
      <c r="Z56" s="400"/>
      <c r="AA56" s="541"/>
      <c r="AB56" s="443">
        <f t="shared" si="8"/>
        <v>278.75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167"/>
      <c r="AN56" s="339"/>
      <c r="AO56" s="340">
        <f>+IF(AN57=7.75,SUM(M56:S56)+T56*0.75,IF(AN57=8,SUM(M56:T56),IF(AN57=7.25,SUM(M56:S56)+T56*0.25,IF(AN57=8.25,SUM(M56:T56)+U56*0.25,IF(AN57=8.75,SUM(M56:T56)+U56*0.75,0)))))</f>
        <v>278.75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+B55</f>
        <v>13</v>
      </c>
      <c r="C57" s="375"/>
      <c r="D57" s="174" t="s">
        <v>455</v>
      </c>
      <c r="E57" s="175">
        <f>+E56+100</f>
        <v>113</v>
      </c>
      <c r="F57" s="175"/>
      <c r="G57" s="579" t="str">
        <f>+G56</f>
        <v>7696-837-802</v>
      </c>
      <c r="H57" s="454">
        <f>+AC54-H55</f>
        <v>0</v>
      </c>
      <c r="I57" s="397"/>
      <c r="J57" s="165">
        <f>+IF(K57="","",IF(K55=0,"",(K55*J55)/(K57*60)))</f>
        <v>0.86670175438596486</v>
      </c>
      <c r="K57" s="429">
        <v>38</v>
      </c>
      <c r="L57" s="104" t="s">
        <v>19</v>
      </c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8"/>
      <c r="X57" s="173"/>
      <c r="Y57" s="441"/>
      <c r="Z57" s="448">
        <v>32.431548484848484</v>
      </c>
      <c r="AA57" s="448">
        <v>32.431548484848484</v>
      </c>
      <c r="AB57" s="444">
        <f t="shared" si="8"/>
        <v>0</v>
      </c>
      <c r="AC57" s="139"/>
      <c r="AD57" s="139"/>
      <c r="AE57" s="441"/>
      <c r="AF57" s="441"/>
      <c r="AG57" s="119">
        <f>+IFERROR(AG55/(K55*$AT$3),"")</f>
        <v>0.10252100840336134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0</v>
      </c>
      <c r="AP57" s="167">
        <f>+AO57-AB57</f>
        <v>0</v>
      </c>
      <c r="AQ57" s="167"/>
      <c r="AR57" s="167"/>
      <c r="AS57" s="167"/>
      <c r="AT57" s="435"/>
      <c r="AU57" s="393"/>
      <c r="AW57" s="356">
        <v>0.93613445378151261</v>
      </c>
      <c r="AY57" s="356"/>
    </row>
    <row r="58" spans="2:51" s="98" customFormat="1" ht="62.25" customHeight="1" thickTop="1" x14ac:dyDescent="0.9">
      <c r="B58" s="97">
        <f>+B59</f>
        <v>13</v>
      </c>
      <c r="C58" s="370"/>
      <c r="D58" s="106"/>
      <c r="E58" s="106"/>
      <c r="F58" s="106"/>
      <c r="G58" s="577" t="s">
        <v>442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50</v>
      </c>
      <c r="N58" s="423">
        <v>50</v>
      </c>
      <c r="O58" s="423">
        <v>50</v>
      </c>
      <c r="P58" s="423"/>
      <c r="Q58" s="423">
        <v>50</v>
      </c>
      <c r="R58" s="423">
        <v>50</v>
      </c>
      <c r="S58" s="423">
        <v>50</v>
      </c>
      <c r="T58" s="423"/>
      <c r="U58" s="423"/>
      <c r="V58" s="423"/>
      <c r="W58" s="423"/>
      <c r="X58" s="135">
        <f t="shared" si="6"/>
        <v>300</v>
      </c>
      <c r="Y58" s="438"/>
      <c r="Z58" s="400">
        <v>0</v>
      </c>
      <c r="AA58" s="540">
        <f>+X60</f>
        <v>0</v>
      </c>
      <c r="AB58" s="135">
        <f t="shared" si="7"/>
        <v>300</v>
      </c>
      <c r="AC58" s="136">
        <f>+AD58+AB58</f>
        <v>600</v>
      </c>
      <c r="AD58" s="136">
        <v>300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62.25" customHeight="1" x14ac:dyDescent="0.9">
      <c r="B59" s="132">
        <v>13</v>
      </c>
      <c r="C59" s="371">
        <f>+B59</f>
        <v>13</v>
      </c>
      <c r="D59" s="372" t="s">
        <v>441</v>
      </c>
      <c r="E59" s="111"/>
      <c r="F59" s="111" t="s">
        <v>35</v>
      </c>
      <c r="G59" s="578" t="str">
        <f>+G58</f>
        <v>7741-793-052</v>
      </c>
      <c r="H59" s="450">
        <v>8500</v>
      </c>
      <c r="I59" s="111" t="s">
        <v>33</v>
      </c>
      <c r="J59" s="113">
        <v>55.14</v>
      </c>
      <c r="K59" s="130"/>
      <c r="L59" s="101" t="s">
        <v>17</v>
      </c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424"/>
      <c r="X59" s="123">
        <f>+IF(H60="s",0,IF(AB59=0,0,IF(COUNTA(M59:W59)=AN61+0.25,SUMIF($C:$C,B59,$AB:$AB)/AN61,SUMIF($C:$C,B59,$AB:$AB)/(COUNTA(M59:W59)))))</f>
        <v>0</v>
      </c>
      <c r="Y59" s="439"/>
      <c r="Z59" s="400"/>
      <c r="AA59" s="541"/>
      <c r="AB59" s="134">
        <f t="shared" si="7"/>
        <v>0</v>
      </c>
      <c r="AC59" s="137">
        <f>+AB59+AD59</f>
        <v>0</v>
      </c>
      <c r="AD59" s="137">
        <v>0</v>
      </c>
      <c r="AE59" s="439"/>
      <c r="AF59" s="439">
        <f>+AE59+Y59</f>
        <v>0</v>
      </c>
      <c r="AG59" s="140">
        <f>+AC58-AC59</f>
        <v>600</v>
      </c>
      <c r="AH59" s="131">
        <f>+IF(((AB60+(AB61/2))*60)=0,"",(J59*AB59)/((AB60+(AB61/2))*60))</f>
        <v>0</v>
      </c>
      <c r="AI59" s="161">
        <f>+AB60+AB61/2</f>
        <v>51.75</v>
      </c>
      <c r="AJ59" s="161">
        <f t="shared" si="2"/>
        <v>51.45</v>
      </c>
      <c r="AK59" s="167">
        <f t="shared" si="3"/>
        <v>3105</v>
      </c>
      <c r="AL59" s="167">
        <f>+AB59*J59</f>
        <v>0</v>
      </c>
      <c r="AM59" s="230" t="e">
        <f>+AB59-(AI59*K59/K61)</f>
        <v>#DIV/0!</v>
      </c>
      <c r="AN59" s="339"/>
      <c r="AO59" s="340"/>
      <c r="AP59" s="167"/>
      <c r="AQ59" s="167"/>
      <c r="AR59" s="167"/>
      <c r="AS59" s="167"/>
      <c r="AT59" s="433">
        <f>-300+AB58</f>
        <v>0</v>
      </c>
      <c r="AU59" s="393">
        <v>1.5</v>
      </c>
      <c r="AW59" s="356">
        <v>300</v>
      </c>
      <c r="AY59" s="356">
        <f t="shared" ref="AY59" si="24">+AW59-AG59</f>
        <v>-300</v>
      </c>
    </row>
    <row r="60" spans="2:51" s="98" customFormat="1" ht="62.25" customHeight="1" x14ac:dyDescent="0.9">
      <c r="B60" s="125">
        <f>+B59</f>
        <v>13</v>
      </c>
      <c r="C60" s="373"/>
      <c r="D60" s="184"/>
      <c r="E60" s="111">
        <f>+B59</f>
        <v>13</v>
      </c>
      <c r="F60" s="374"/>
      <c r="G60" s="578" t="str">
        <f>+G59</f>
        <v>7741-793-052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2</v>
      </c>
      <c r="N60" s="425">
        <v>2</v>
      </c>
      <c r="O60" s="425">
        <v>4</v>
      </c>
      <c r="P60" s="425">
        <v>4</v>
      </c>
      <c r="Q60" s="425">
        <v>8</v>
      </c>
      <c r="R60" s="425">
        <v>8</v>
      </c>
      <c r="S60" s="425">
        <v>8</v>
      </c>
      <c r="T60" s="425">
        <v>9</v>
      </c>
      <c r="U60" s="425">
        <v>9</v>
      </c>
      <c r="V60" s="425"/>
      <c r="W60" s="426"/>
      <c r="X60" s="160">
        <f>+IF(H60="l",IF(COUNTA(M59:W59)=AN61+0.25,AB59-K59*AN61,AB59-(K59*COUNTA(M59:W59))),IF(H60="s",0,IF(COUNTA(M59:W59)=AN61+0.25,SUMIF($C:$C,B59,$AB:$AB)-K59*AN61,SUMIF($C:$C,B59,$AB:$AB)-K59*COUNTA(M59:W59))))</f>
        <v>0</v>
      </c>
      <c r="Y60" s="440"/>
      <c r="Z60" s="400"/>
      <c r="AA60" s="541"/>
      <c r="AB60" s="443">
        <f t="shared" si="8"/>
        <v>51.75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51.75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62.25" customHeight="1" thickBot="1" x14ac:dyDescent="0.95">
      <c r="B61" s="126">
        <f>+B59</f>
        <v>13</v>
      </c>
      <c r="C61" s="375"/>
      <c r="D61" s="174" t="s">
        <v>468</v>
      </c>
      <c r="E61" s="175">
        <f>+E60+100</f>
        <v>113</v>
      </c>
      <c r="F61" s="175"/>
      <c r="G61" s="579" t="str">
        <f>+G60</f>
        <v>7741-793-052</v>
      </c>
      <c r="H61" s="454">
        <f>+AC58-H59</f>
        <v>-7900</v>
      </c>
      <c r="I61" s="397"/>
      <c r="J61" s="165" t="str">
        <f>+IF(K61="","",IF(K59=0,"",(K59*J59)/(K61*60)))</f>
        <v/>
      </c>
      <c r="K61" s="429"/>
      <c r="L61" s="104" t="s">
        <v>19</v>
      </c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8"/>
      <c r="X61" s="173"/>
      <c r="Y61" s="441"/>
      <c r="Z61" s="448"/>
      <c r="AA61" s="168" t="e">
        <f>+IF(COUNTA(M59:W59)=$AM$4+0.25,$AM$4-(AB59/K59),COUNTA(M59:W59)-(AB59/K59))+Z61</f>
        <v>#DIV/0!</v>
      </c>
      <c r="AB61" s="444">
        <f t="shared" si="8"/>
        <v>0</v>
      </c>
      <c r="AC61" s="139"/>
      <c r="AD61" s="139"/>
      <c r="AE61" s="441"/>
      <c r="AF61" s="441"/>
      <c r="AG61" s="119" t="str">
        <f>+IFERROR(AG59/(K59*$AT$3),"")</f>
        <v/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0</v>
      </c>
      <c r="AQ61" s="167"/>
      <c r="AR61" s="167"/>
      <c r="AS61" s="167"/>
      <c r="AT61" s="435"/>
      <c r="AU61" s="393"/>
      <c r="AW61" s="356" t="s">
        <v>429</v>
      </c>
      <c r="AY61" s="356"/>
    </row>
    <row r="62" spans="2:51" s="98" customFormat="1" ht="58.5" customHeight="1" thickTop="1" x14ac:dyDescent="0.9">
      <c r="B62" s="127">
        <f>+B63</f>
        <v>14</v>
      </c>
      <c r="C62" s="370"/>
      <c r="D62" s="106"/>
      <c r="E62" s="106"/>
      <c r="F62" s="106"/>
      <c r="G62" s="577" t="s">
        <v>456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120</v>
      </c>
      <c r="N62" s="423">
        <v>180</v>
      </c>
      <c r="O62" s="423">
        <v>120</v>
      </c>
      <c r="P62" s="423">
        <v>60</v>
      </c>
      <c r="Q62" s="423">
        <v>60</v>
      </c>
      <c r="R62" s="423">
        <v>60</v>
      </c>
      <c r="S62" s="423"/>
      <c r="T62" s="423"/>
      <c r="U62" s="423"/>
      <c r="V62" s="423"/>
      <c r="W62" s="423"/>
      <c r="X62" s="135">
        <f t="shared" si="6"/>
        <v>600</v>
      </c>
      <c r="Y62" s="438"/>
      <c r="Z62" s="400">
        <v>-184</v>
      </c>
      <c r="AA62" s="540">
        <f>+X64</f>
        <v>0</v>
      </c>
      <c r="AB62" s="135">
        <f t="shared" si="7"/>
        <v>600</v>
      </c>
      <c r="AC62" s="136">
        <f>+AD62+AB62</f>
        <v>1986</v>
      </c>
      <c r="AD62" s="136">
        <v>1386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58.5" customHeight="1" x14ac:dyDescent="0.9">
      <c r="B63" s="133">
        <v>14</v>
      </c>
      <c r="C63" s="371">
        <f>+B63</f>
        <v>14</v>
      </c>
      <c r="D63" s="372" t="s">
        <v>461</v>
      </c>
      <c r="E63" s="111"/>
      <c r="F63" s="111" t="s">
        <v>447</v>
      </c>
      <c r="G63" s="578" t="str">
        <f t="shared" ref="G63:G65" si="25">+G62</f>
        <v>DOT KEYHOLE</v>
      </c>
      <c r="H63" s="450">
        <v>6262</v>
      </c>
      <c r="I63" s="111" t="s">
        <v>252</v>
      </c>
      <c r="J63" s="113">
        <v>36.090000000000003</v>
      </c>
      <c r="K63" s="130">
        <v>80</v>
      </c>
      <c r="L63" s="101" t="s">
        <v>17</v>
      </c>
      <c r="M63" s="214">
        <v>80</v>
      </c>
      <c r="N63" s="214">
        <v>80</v>
      </c>
      <c r="O63" s="214">
        <v>80</v>
      </c>
      <c r="P63" s="214">
        <v>80</v>
      </c>
      <c r="Q63" s="214">
        <v>80</v>
      </c>
      <c r="R63" s="214">
        <v>80</v>
      </c>
      <c r="S63" s="214">
        <v>80</v>
      </c>
      <c r="T63" s="214">
        <v>80</v>
      </c>
      <c r="U63" s="214">
        <v>60</v>
      </c>
      <c r="V63" s="424"/>
      <c r="W63" s="424"/>
      <c r="X63" s="123">
        <f>+IF(H64="s",0,IF(AB63=0,0,IF(COUNTA(M63:W63)=AN65+0.25,SUMIF($C:$C,B63,$AB:$AB)/AN65,SUMIF($C:$C,B63,$AB:$AB)/(COUNTA(M63:W63)))))</f>
        <v>80</v>
      </c>
      <c r="Y63" s="439"/>
      <c r="Z63" s="400"/>
      <c r="AA63" s="541"/>
      <c r="AB63" s="134">
        <f t="shared" si="7"/>
        <v>700</v>
      </c>
      <c r="AC63" s="137">
        <f>+AB63+AD63</f>
        <v>833</v>
      </c>
      <c r="AD63" s="137">
        <v>133</v>
      </c>
      <c r="AE63" s="439"/>
      <c r="AF63" s="439">
        <f>+AE63+Y63</f>
        <v>0</v>
      </c>
      <c r="AG63" s="140">
        <f>+AC62-AC63</f>
        <v>1153</v>
      </c>
      <c r="AH63" s="131">
        <f>+IF(((AB64+(AB65/2))*60)=0,"",(J63*AB63)/((AB64+(AB65/2))*60))</f>
        <v>0.85168141592920366</v>
      </c>
      <c r="AI63" s="161">
        <f>+AB64+AB65/2</f>
        <v>494.375</v>
      </c>
      <c r="AJ63" s="161">
        <f t="shared" si="2"/>
        <v>494.22500000000002</v>
      </c>
      <c r="AK63" s="167">
        <f t="shared" si="3"/>
        <v>29662.5</v>
      </c>
      <c r="AL63" s="167">
        <f>+AB63*J63</f>
        <v>25263.000000000004</v>
      </c>
      <c r="AM63" s="230">
        <f>+AB63-(AI63*K63/K65)</f>
        <v>-6.25</v>
      </c>
      <c r="AN63" s="339"/>
      <c r="AO63" s="340"/>
      <c r="AP63" s="167"/>
      <c r="AQ63" s="167"/>
      <c r="AR63" s="167"/>
      <c r="AS63" s="167"/>
      <c r="AT63" s="433">
        <f>-600+AB62</f>
        <v>0</v>
      </c>
      <c r="AU63" s="393">
        <v>1.93</v>
      </c>
      <c r="AW63" s="356">
        <v>1253</v>
      </c>
      <c r="AY63" s="356">
        <f t="shared" ref="AY63" si="26">+AW63-AG63</f>
        <v>100</v>
      </c>
    </row>
    <row r="64" spans="2:51" s="98" customFormat="1" ht="58.5" customHeight="1" x14ac:dyDescent="0.9">
      <c r="B64" s="125">
        <f>+B63</f>
        <v>14</v>
      </c>
      <c r="C64" s="373"/>
      <c r="D64" s="184"/>
      <c r="E64" s="111">
        <f>+B63</f>
        <v>14</v>
      </c>
      <c r="F64" s="374"/>
      <c r="G64" s="578" t="str">
        <f t="shared" si="25"/>
        <v>DOT KEYHOLE</v>
      </c>
      <c r="H64" s="376"/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>
        <v>56</v>
      </c>
      <c r="N64" s="425">
        <v>56</v>
      </c>
      <c r="O64" s="425">
        <v>56</v>
      </c>
      <c r="P64" s="425">
        <v>56</v>
      </c>
      <c r="Q64" s="425">
        <v>56</v>
      </c>
      <c r="R64" s="425">
        <v>56</v>
      </c>
      <c r="S64" s="425">
        <v>56</v>
      </c>
      <c r="T64" s="425">
        <v>56</v>
      </c>
      <c r="U64" s="425">
        <v>56</v>
      </c>
      <c r="V64" s="426"/>
      <c r="W64" s="426"/>
      <c r="X64" s="160">
        <f>+IF(H64="l",IF(COUNTA(M63:W63)=AN65+0.25,AB63-K63*AN65,AB63-(K63*COUNTA(M63:W63))),IF(H64="s",0,IF(COUNTA(M63:W63)=AN65+0.25,SUMIF($C:$C,B63,$AB:$AB)-K63*AN65,SUMIF($C:$C,B63,$AB:$AB)-K63*COUNTA(M63:W63))))</f>
        <v>0</v>
      </c>
      <c r="Y64" s="440"/>
      <c r="Z64" s="400"/>
      <c r="AA64" s="541"/>
      <c r="AB64" s="443">
        <f t="shared" si="8"/>
        <v>490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490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58.5" customHeight="1" thickBot="1" x14ac:dyDescent="0.95">
      <c r="B65" s="126">
        <f>+B63</f>
        <v>14</v>
      </c>
      <c r="C65" s="375"/>
      <c r="D65" s="174" t="s">
        <v>112</v>
      </c>
      <c r="E65" s="175">
        <f>+E64+100</f>
        <v>114</v>
      </c>
      <c r="F65" s="175"/>
      <c r="G65" s="579" t="str">
        <f t="shared" si="25"/>
        <v>DOT KEYHOLE</v>
      </c>
      <c r="H65" s="454">
        <f>+AC62-H63</f>
        <v>-4276</v>
      </c>
      <c r="I65" s="397"/>
      <c r="J65" s="165">
        <f>+IF(K65="","",IF(K63=0,"",(K63*J63)/(K65*60)))</f>
        <v>0.85928571428571432</v>
      </c>
      <c r="K65" s="118">
        <v>56</v>
      </c>
      <c r="L65" s="104" t="s">
        <v>19</v>
      </c>
      <c r="M65" s="427">
        <v>1</v>
      </c>
      <c r="N65" s="427">
        <v>1</v>
      </c>
      <c r="O65" s="427">
        <v>1</v>
      </c>
      <c r="P65" s="427">
        <v>1</v>
      </c>
      <c r="Q65" s="427">
        <v>1</v>
      </c>
      <c r="R65" s="427">
        <v>1</v>
      </c>
      <c r="S65" s="427">
        <v>1</v>
      </c>
      <c r="T65" s="427">
        <v>1</v>
      </c>
      <c r="U65" s="427">
        <v>1</v>
      </c>
      <c r="V65" s="428"/>
      <c r="W65" s="428"/>
      <c r="X65" s="173"/>
      <c r="Y65" s="441"/>
      <c r="Z65" s="401">
        <v>41.23</v>
      </c>
      <c r="AA65" s="168">
        <f>+IF(COUNTA(M63:W63)=$AM$4+0.25,$AM$4-(AB63/K63),COUNTA(M63:W63)-(AB63/K63))+Z65</f>
        <v>41.23</v>
      </c>
      <c r="AB65" s="444">
        <f t="shared" si="8"/>
        <v>8.75</v>
      </c>
      <c r="AC65" s="139"/>
      <c r="AD65" s="139"/>
      <c r="AE65" s="441"/>
      <c r="AF65" s="441"/>
      <c r="AG65" s="119">
        <f>+IFERROR(AG63/(K63*$AT$3),"")</f>
        <v>1.6471428571428572</v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8.75</v>
      </c>
      <c r="AP65" s="167">
        <f>+AO65-AB65</f>
        <v>0</v>
      </c>
      <c r="AQ65" s="167"/>
      <c r="AR65" s="167"/>
      <c r="AS65" s="167"/>
      <c r="AT65" s="435"/>
      <c r="AU65" s="393"/>
      <c r="AW65" s="356">
        <v>1.79</v>
      </c>
      <c r="AY65" s="356"/>
    </row>
    <row r="66" spans="2:62" s="98" customFormat="1" ht="62.25" customHeight="1" thickTop="1" x14ac:dyDescent="0.9">
      <c r="B66" s="97">
        <f>+B67</f>
        <v>15</v>
      </c>
      <c r="C66" s="370"/>
      <c r="D66" s="106"/>
      <c r="E66" s="106"/>
      <c r="F66" s="106"/>
      <c r="G66" s="577" t="s">
        <v>440</v>
      </c>
      <c r="H66" s="106"/>
      <c r="I66" s="106"/>
      <c r="J66" s="107" t="s">
        <v>20</v>
      </c>
      <c r="K66" s="108" t="s">
        <v>23</v>
      </c>
      <c r="L66" s="100" t="s">
        <v>21</v>
      </c>
      <c r="M66" s="423">
        <v>75</v>
      </c>
      <c r="N66" s="423">
        <v>150</v>
      </c>
      <c r="O66" s="423">
        <v>150</v>
      </c>
      <c r="P66" s="423"/>
      <c r="Q66" s="423"/>
      <c r="R66" s="423"/>
      <c r="S66" s="423"/>
      <c r="T66" s="423"/>
      <c r="U66" s="423"/>
      <c r="V66" s="423"/>
      <c r="W66" s="423"/>
      <c r="X66" s="135">
        <f t="shared" ref="X66:X86" si="27">IF(AT67="","",SUM(M66:W66)-(-(AT67-SUM(M66:W66))/$AT$3)*SUM($M$2:$W$2))</f>
        <v>375</v>
      </c>
      <c r="Y66" s="438"/>
      <c r="Z66" s="400">
        <v>-260</v>
      </c>
      <c r="AA66" s="540">
        <f>+X68</f>
        <v>-362</v>
      </c>
      <c r="AB66" s="135">
        <f t="shared" ref="AB66:AB87" si="28">+SUM(L66:W66)</f>
        <v>375</v>
      </c>
      <c r="AC66" s="136">
        <f>+AD66+AB66</f>
        <v>1426</v>
      </c>
      <c r="AD66" s="136">
        <v>1051</v>
      </c>
      <c r="AE66" s="438"/>
      <c r="AF66" s="438"/>
      <c r="AG66" s="109"/>
      <c r="AH66" s="110"/>
      <c r="AI66" s="157"/>
      <c r="AJ66" s="161">
        <f t="shared" si="2"/>
        <v>0</v>
      </c>
      <c r="AK66" s="167">
        <f t="shared" si="3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1.35">
      <c r="B67" s="132">
        <v>15</v>
      </c>
      <c r="C67" s="371">
        <f>+B67</f>
        <v>15</v>
      </c>
      <c r="D67" s="372" t="s">
        <v>439</v>
      </c>
      <c r="E67" s="111"/>
      <c r="F67" s="111" t="s">
        <v>35</v>
      </c>
      <c r="G67" s="578" t="str">
        <f>+G66</f>
        <v>7740-876-052</v>
      </c>
      <c r="H67" s="450">
        <v>7700</v>
      </c>
      <c r="I67" s="111" t="s">
        <v>33</v>
      </c>
      <c r="J67" s="113">
        <v>55.78</v>
      </c>
      <c r="K67" s="130">
        <v>52</v>
      </c>
      <c r="L67" s="101" t="s">
        <v>17</v>
      </c>
      <c r="M67" s="214">
        <v>0</v>
      </c>
      <c r="N67" s="214">
        <v>0</v>
      </c>
      <c r="O67" s="214">
        <v>15</v>
      </c>
      <c r="P67" s="214">
        <v>20</v>
      </c>
      <c r="Q67" s="214">
        <v>11</v>
      </c>
      <c r="R67" s="214">
        <v>14</v>
      </c>
      <c r="S67" s="214">
        <v>10</v>
      </c>
      <c r="T67" s="214">
        <v>13</v>
      </c>
      <c r="U67" s="214">
        <v>10</v>
      </c>
      <c r="V67" s="424"/>
      <c r="W67" s="424"/>
      <c r="X67" s="123">
        <f>+IF(H68="s",0,IF(AB67=0,0,IF(COUNTA(M67:W67)=AN69+0.25,SUMIF($C:$C,B67,$AB:$AB)/AN69,SUMIF($C:$C,B67,$AB:$AB)/(COUNTA(M67:W67)))))</f>
        <v>10.628571428571428</v>
      </c>
      <c r="Y67" s="439"/>
      <c r="Z67" s="400"/>
      <c r="AA67" s="541"/>
      <c r="AB67" s="134">
        <f t="shared" si="28"/>
        <v>93</v>
      </c>
      <c r="AC67" s="137">
        <f>+AB67+AD67</f>
        <v>93</v>
      </c>
      <c r="AD67" s="137">
        <v>0</v>
      </c>
      <c r="AE67" s="439">
        <v>0</v>
      </c>
      <c r="AF67" s="439">
        <f>+AE67+Y67</f>
        <v>0</v>
      </c>
      <c r="AG67" s="140">
        <f>+AC66-AC67</f>
        <v>1333</v>
      </c>
      <c r="AH67" s="131">
        <f>+IF(((AB68+(AB69/2))*60)=0,"",(J67*AB67)/((AB68+(AB69/2))*60))</f>
        <v>0.19001978021978022</v>
      </c>
      <c r="AI67" s="161">
        <f>+AB68+AB69/2</f>
        <v>455</v>
      </c>
      <c r="AJ67" s="161">
        <f t="shared" si="2"/>
        <v>455</v>
      </c>
      <c r="AK67" s="167">
        <f t="shared" si="3"/>
        <v>27300</v>
      </c>
      <c r="AL67" s="167">
        <f>+AB67*J67</f>
        <v>5187.54</v>
      </c>
      <c r="AM67" s="230">
        <f>+AB67-(AI67*K67/K69)</f>
        <v>-329.5</v>
      </c>
      <c r="AN67" s="339"/>
      <c r="AO67" s="340"/>
      <c r="AP67" s="167"/>
      <c r="AQ67" s="167"/>
      <c r="AR67" s="167"/>
      <c r="AS67" s="167"/>
      <c r="AT67" s="433">
        <f>-300+AB66</f>
        <v>75</v>
      </c>
      <c r="AU67" s="393">
        <v>1.5</v>
      </c>
      <c r="AW67" s="356">
        <v>1051</v>
      </c>
      <c r="AY67" s="356">
        <f t="shared" ref="AY67" si="29">+AW67-AG67</f>
        <v>-282</v>
      </c>
      <c r="AZ67" s="581"/>
      <c r="BA67" s="581"/>
      <c r="BB67" s="581"/>
      <c r="BC67" s="581"/>
      <c r="BD67" s="581"/>
      <c r="BE67" s="581"/>
      <c r="BF67" s="581"/>
      <c r="BG67" s="581"/>
      <c r="BH67" s="581"/>
      <c r="BI67" s="581"/>
    </row>
    <row r="68" spans="2:62" s="98" customFormat="1" ht="62.25" customHeight="1" x14ac:dyDescent="0.9">
      <c r="B68" s="125">
        <f>+B67</f>
        <v>15</v>
      </c>
      <c r="C68" s="373"/>
      <c r="D68" s="184"/>
      <c r="E68" s="111">
        <f>+B67</f>
        <v>15</v>
      </c>
      <c r="F68" s="377"/>
      <c r="G68" s="578" t="str">
        <f>+G67</f>
        <v>7740-876-052</v>
      </c>
      <c r="H68" s="376" t="s">
        <v>399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>
        <v>51</v>
      </c>
      <c r="N68" s="425">
        <v>51</v>
      </c>
      <c r="O68" s="425">
        <v>51</v>
      </c>
      <c r="P68" s="425">
        <v>51</v>
      </c>
      <c r="Q68" s="425">
        <v>51</v>
      </c>
      <c r="R68" s="425">
        <v>51</v>
      </c>
      <c r="S68" s="425">
        <v>51</v>
      </c>
      <c r="T68" s="425">
        <v>51</v>
      </c>
      <c r="U68" s="425">
        <v>51</v>
      </c>
      <c r="V68" s="426"/>
      <c r="W68" s="426"/>
      <c r="X68" s="160">
        <f>+IF(H68="l",IF(COUNTA(M67:W67)=AN69+0.25,AB67-K67*AN69,AB67-(K67*COUNTA(M67:W67))),IF(H68="s",0,IF(COUNTA(M67:W67)=AN69+0.25,SUMIF($C:$C,B67,$AB:$AB)-K67*AN69,SUMIF($C:$C,B67,$AB:$AB)-K67*COUNTA(M67:W67))))</f>
        <v>-362</v>
      </c>
      <c r="Y68" s="440"/>
      <c r="Z68" s="400"/>
      <c r="AA68" s="541"/>
      <c r="AB68" s="443">
        <f t="shared" ref="AB68:AB89" si="30">+SUM(M68:W68)-U68*0.25</f>
        <v>446.25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167">
        <f t="shared" si="3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446.25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126">
        <f>+B67</f>
        <v>15</v>
      </c>
      <c r="C69" s="375"/>
      <c r="D69" s="174" t="s">
        <v>93</v>
      </c>
      <c r="E69" s="175">
        <f>+E68+100</f>
        <v>115</v>
      </c>
      <c r="F69" s="175"/>
      <c r="G69" s="579" t="str">
        <f>+G68</f>
        <v>7740-876-052</v>
      </c>
      <c r="H69" s="454">
        <f>+AC66-H67</f>
        <v>-6274</v>
      </c>
      <c r="I69" s="397"/>
      <c r="J69" s="165">
        <f>+IF(K69="","",IF(K67=0,"",(K67*J67)/(K69*60)))</f>
        <v>0.86326190476190479</v>
      </c>
      <c r="K69" s="118">
        <v>56</v>
      </c>
      <c r="L69" s="104" t="s">
        <v>19</v>
      </c>
      <c r="M69" s="427">
        <v>2</v>
      </c>
      <c r="N69" s="427">
        <v>2</v>
      </c>
      <c r="O69" s="427">
        <v>2</v>
      </c>
      <c r="P69" s="427">
        <v>2</v>
      </c>
      <c r="Q69" s="427">
        <v>2</v>
      </c>
      <c r="R69" s="427">
        <v>2</v>
      </c>
      <c r="S69" s="427">
        <v>2</v>
      </c>
      <c r="T69" s="427">
        <v>2</v>
      </c>
      <c r="U69" s="427">
        <v>2</v>
      </c>
      <c r="V69" s="428"/>
      <c r="W69" s="428"/>
      <c r="X69" s="173"/>
      <c r="Y69" s="441"/>
      <c r="Z69" s="401">
        <v>5</v>
      </c>
      <c r="AA69" s="168">
        <f>+IF(COUNTA(M67:W67)=$AM$4+0.25,$AM$4-(AB67/K67),COUNTA(M67:W67)-(AB67/K67))+Z69</f>
        <v>11.961538461538462</v>
      </c>
      <c r="AB69" s="444">
        <f t="shared" si="30"/>
        <v>17.5</v>
      </c>
      <c r="AC69" s="139"/>
      <c r="AD69" s="139"/>
      <c r="AE69" s="441"/>
      <c r="AF69" s="441"/>
      <c r="AG69" s="119">
        <f>+IFERROR(AG67/(K67*$AT$3),"")</f>
        <v>2.9296703296703295</v>
      </c>
      <c r="AH69" s="162"/>
      <c r="AI69" s="161"/>
      <c r="AJ69" s="161">
        <f t="shared" si="2"/>
        <v>0</v>
      </c>
      <c r="AK69" s="167">
        <f t="shared" si="3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17.5</v>
      </c>
      <c r="AP69" s="167">
        <f>+AO69-AB69</f>
        <v>0</v>
      </c>
      <c r="AQ69" s="167"/>
      <c r="AR69" s="167"/>
      <c r="AS69" s="167"/>
      <c r="AT69" s="435"/>
      <c r="AU69" s="393"/>
      <c r="AW69" s="356">
        <v>2.3098901098901097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77" t="s">
        <v>450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si="27"/>
        <v/>
      </c>
      <c r="Y70" s="438"/>
      <c r="Z70" s="400">
        <v>0.25</v>
      </c>
      <c r="AA70" s="540">
        <f>+X72</f>
        <v>-173</v>
      </c>
      <c r="AB70" s="135">
        <f t="shared" si="28"/>
        <v>0</v>
      </c>
      <c r="AC70" s="136">
        <f>+AD70+AB70</f>
        <v>3528</v>
      </c>
      <c r="AD70" s="136">
        <v>3528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449</v>
      </c>
      <c r="E71" s="111"/>
      <c r="F71" s="111" t="s">
        <v>422</v>
      </c>
      <c r="G71" s="578" t="str">
        <f>+G70</f>
        <v>PIANO-PURPLE</v>
      </c>
      <c r="H71" s="450">
        <v>5683</v>
      </c>
      <c r="I71" s="111" t="s">
        <v>451</v>
      </c>
      <c r="J71" s="113">
        <v>33.86</v>
      </c>
      <c r="K71" s="130">
        <v>75</v>
      </c>
      <c r="L71" s="101" t="s">
        <v>17</v>
      </c>
      <c r="M71" s="214">
        <v>30</v>
      </c>
      <c r="N71" s="214">
        <v>30</v>
      </c>
      <c r="O71" s="214">
        <v>42</v>
      </c>
      <c r="P71" s="214">
        <v>25</v>
      </c>
      <c r="Q71" s="214"/>
      <c r="R71" s="214"/>
      <c r="S71" s="214"/>
      <c r="T71" s="214"/>
      <c r="U71" s="214"/>
      <c r="V71" s="424"/>
      <c r="W71" s="424"/>
      <c r="X71" s="123">
        <f>+IF(H72="s",0,IF(AB71=0,0,IF(COUNTA(M71:W71)=AN73+0.25,SUMIF($C:$C,B71,$AB:$AB)/AN73,SUMIF($C:$C,B71,$AB:$AB)/(COUNTA(M71:W71)))))</f>
        <v>61.75</v>
      </c>
      <c r="Y71" s="439"/>
      <c r="Z71" s="400"/>
      <c r="AA71" s="541"/>
      <c r="AB71" s="134">
        <f t="shared" si="28"/>
        <v>127</v>
      </c>
      <c r="AC71" s="137">
        <f>+AB71+AD71</f>
        <v>3523</v>
      </c>
      <c r="AD71" s="137">
        <v>3396</v>
      </c>
      <c r="AE71" s="439"/>
      <c r="AF71" s="439">
        <f>+AE71+Y71</f>
        <v>0</v>
      </c>
      <c r="AG71" s="140">
        <f>+AC70-AC71</f>
        <v>5</v>
      </c>
      <c r="AH71" s="131">
        <f>+IF(((AB72+(AB73/2))*60)=0,"",(J71*AB71)/((AB72+(AB73/2))*60))</f>
        <v>0.3619713804713805</v>
      </c>
      <c r="AI71" s="161">
        <f>+AB72+AB73/2</f>
        <v>198</v>
      </c>
      <c r="AJ71" s="161">
        <f t="shared" si="2"/>
        <v>198</v>
      </c>
      <c r="AK71" s="167">
        <f t="shared" si="3"/>
        <v>11880</v>
      </c>
      <c r="AL71" s="167">
        <f>+AB71*J71</f>
        <v>4300.22</v>
      </c>
      <c r="AM71" s="230">
        <f>+AB71-(AI71*K71/K73)</f>
        <v>-158.57692307692309</v>
      </c>
      <c r="AN71" s="339"/>
      <c r="AO71" s="340"/>
      <c r="AP71" s="167"/>
      <c r="AQ71" s="167"/>
      <c r="AR71" s="167"/>
      <c r="AS71" s="167"/>
      <c r="AT71" s="433" t="str">
        <f t="shared" ref="AT71" si="31">IF(AU71=0,"",AW71-(($AT$3*K71)+($AT$3*K71)*AU71)+AB70)</f>
        <v/>
      </c>
      <c r="AU71" s="393"/>
      <c r="AW71" s="356">
        <v>132</v>
      </c>
      <c r="AY71" s="356">
        <f t="shared" ref="AY71" si="32">+AW71-AG71</f>
        <v>127</v>
      </c>
      <c r="AZ71" s="580"/>
      <c r="BA71" s="580"/>
      <c r="BB71" s="580"/>
      <c r="BC71" s="580"/>
      <c r="BD71" s="580"/>
      <c r="BE71" s="580"/>
      <c r="BF71" s="580"/>
      <c r="BG71" s="580"/>
      <c r="BH71" s="580"/>
      <c r="BI71" s="580"/>
      <c r="BJ71" s="580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78" t="str">
        <f>+G70</f>
        <v>PIANO-PURPLE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>
        <v>1</v>
      </c>
      <c r="K72" s="114" t="s">
        <v>22</v>
      </c>
      <c r="L72" s="102" t="s">
        <v>18</v>
      </c>
      <c r="M72" s="425">
        <v>49</v>
      </c>
      <c r="N72" s="425">
        <v>49</v>
      </c>
      <c r="O72" s="425">
        <v>49</v>
      </c>
      <c r="P72" s="425">
        <v>49</v>
      </c>
      <c r="Q72" s="425"/>
      <c r="R72" s="425"/>
      <c r="S72" s="425"/>
      <c r="T72" s="425"/>
      <c r="U72" s="425"/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-173</v>
      </c>
      <c r="Y72" s="440"/>
      <c r="Z72" s="400"/>
      <c r="AA72" s="541"/>
      <c r="AB72" s="443">
        <f t="shared" si="30"/>
        <v>196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196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79" t="str">
        <f>+G70</f>
        <v>PIANO-PURPLE</v>
      </c>
      <c r="H73" s="454">
        <f>+AC70-H71</f>
        <v>-2155</v>
      </c>
      <c r="I73" s="397"/>
      <c r="J73" s="165">
        <f>+IF(K73="","",IF(K71=0,"",(K71*J71)/(K73*60)))</f>
        <v>0.81394230769230769</v>
      </c>
      <c r="K73" s="118">
        <v>52</v>
      </c>
      <c r="L73" s="104" t="s">
        <v>19</v>
      </c>
      <c r="M73" s="427">
        <v>1</v>
      </c>
      <c r="N73" s="427">
        <v>1</v>
      </c>
      <c r="O73" s="427">
        <v>1</v>
      </c>
      <c r="P73" s="427">
        <v>1</v>
      </c>
      <c r="Q73" s="427"/>
      <c r="R73" s="427"/>
      <c r="S73" s="427"/>
      <c r="T73" s="427"/>
      <c r="U73" s="427"/>
      <c r="V73" s="428"/>
      <c r="W73" s="428"/>
      <c r="X73" s="173"/>
      <c r="Y73" s="441"/>
      <c r="Z73" s="401">
        <v>24.69285714285714</v>
      </c>
      <c r="AA73" s="168">
        <f>+IF(COUNTA(M71:W71)=$AM$4+0.25,$AM$4-(AB71/K71),COUNTA(M71:W71)-(AB71/K71))+Z73</f>
        <v>26.999523809523808</v>
      </c>
      <c r="AB73" s="444">
        <f t="shared" si="30"/>
        <v>4</v>
      </c>
      <c r="AC73" s="139"/>
      <c r="AD73" s="139"/>
      <c r="AE73" s="441"/>
      <c r="AF73" s="441"/>
      <c r="AG73" s="119">
        <f>+IFERROR(AG71/(K71*$AT$3),"")</f>
        <v>7.619047619047619E-3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4</v>
      </c>
      <c r="AP73" s="167">
        <f>+AO73-AB73</f>
        <v>0</v>
      </c>
      <c r="AQ73" s="167"/>
      <c r="AR73" s="167"/>
      <c r="AS73" s="167"/>
      <c r="AT73" s="435"/>
      <c r="AU73" s="393"/>
      <c r="AW73" s="356">
        <v>0.20114285714285715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77" t="s">
        <v>463</v>
      </c>
      <c r="H74" s="106"/>
      <c r="I74" s="106"/>
      <c r="J74" s="107" t="s">
        <v>20</v>
      </c>
      <c r="K74" s="108" t="s">
        <v>23</v>
      </c>
      <c r="L74" s="100" t="s">
        <v>21</v>
      </c>
      <c r="M74" s="423">
        <v>60</v>
      </c>
      <c r="N74" s="423">
        <v>60</v>
      </c>
      <c r="O74" s="423">
        <v>120</v>
      </c>
      <c r="P74" s="423">
        <v>60</v>
      </c>
      <c r="Q74" s="423">
        <v>120</v>
      </c>
      <c r="R74" s="423">
        <v>60</v>
      </c>
      <c r="S74" s="423"/>
      <c r="T74" s="423"/>
      <c r="U74" s="423"/>
      <c r="V74" s="423"/>
      <c r="W74" s="423"/>
      <c r="X74" s="135">
        <f t="shared" si="27"/>
        <v>480</v>
      </c>
      <c r="Y74" s="438"/>
      <c r="Z74" s="400">
        <v>0</v>
      </c>
      <c r="AA74" s="540">
        <f>+X76</f>
        <v>-255</v>
      </c>
      <c r="AB74" s="135">
        <f t="shared" si="28"/>
        <v>480</v>
      </c>
      <c r="AC74" s="136">
        <f>+AD74+AB74</f>
        <v>1441</v>
      </c>
      <c r="AD74" s="136">
        <v>961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462</v>
      </c>
      <c r="E75" s="111"/>
      <c r="F75" s="111" t="s">
        <v>422</v>
      </c>
      <c r="G75" s="578" t="str">
        <f>+G74</f>
        <v>PIANO-Turquaz</v>
      </c>
      <c r="H75" s="450">
        <v>5683</v>
      </c>
      <c r="I75" s="111" t="s">
        <v>451</v>
      </c>
      <c r="J75" s="113">
        <v>33.86</v>
      </c>
      <c r="K75" s="130">
        <v>75</v>
      </c>
      <c r="L75" s="101" t="s">
        <v>17</v>
      </c>
      <c r="M75" s="214"/>
      <c r="N75" s="214"/>
      <c r="O75" s="214"/>
      <c r="P75" s="214"/>
      <c r="Q75" s="214">
        <v>0</v>
      </c>
      <c r="R75" s="214">
        <v>0</v>
      </c>
      <c r="S75" s="214">
        <v>0</v>
      </c>
      <c r="T75" s="214">
        <v>80</v>
      </c>
      <c r="U75" s="214">
        <v>40</v>
      </c>
      <c r="V75" s="424"/>
      <c r="W75" s="424"/>
      <c r="X75" s="123">
        <f>+IF(H76="s",0,IF(AB75=0,0,IF(COUNTA(M75:W75)=AN77+0.25,SUMIF($C:$C,B75,$AB:$AB)/AN77,SUMIF($C:$C,B75,$AB:$AB)/(COUNTA(M75:W75)))))</f>
        <v>49.4</v>
      </c>
      <c r="Y75" s="439"/>
      <c r="Z75" s="400"/>
      <c r="AA75" s="541"/>
      <c r="AB75" s="134">
        <f t="shared" si="28"/>
        <v>120</v>
      </c>
      <c r="AC75" s="137">
        <f>+AB75+AD75</f>
        <v>120</v>
      </c>
      <c r="AD75" s="137">
        <v>0</v>
      </c>
      <c r="AE75" s="439"/>
      <c r="AF75" s="439">
        <f>+AE75+Y75</f>
        <v>0</v>
      </c>
      <c r="AG75" s="140">
        <f>+AC74-AC75</f>
        <v>1321</v>
      </c>
      <c r="AH75" s="131">
        <f>+IF(((AB76+(AB77/2))*60)=0,"",(J75*AB75)/((AB76+(AB77/2))*60))</f>
        <v>0.2880170122275385</v>
      </c>
      <c r="AI75" s="161">
        <f>+AB76+AB77/2</f>
        <v>235.125</v>
      </c>
      <c r="AJ75" s="161">
        <f t="shared" si="2"/>
        <v>235.07499999999999</v>
      </c>
      <c r="AK75" s="167">
        <f t="shared" si="3"/>
        <v>14107.5</v>
      </c>
      <c r="AL75" s="167">
        <f>+AB75*J75</f>
        <v>4063.2</v>
      </c>
      <c r="AM75" s="230">
        <f>+AB75-(AI75*K75/K77)</f>
        <v>-232.6875</v>
      </c>
      <c r="AN75" s="339"/>
      <c r="AO75" s="340"/>
      <c r="AP75" s="167"/>
      <c r="AQ75" s="167"/>
      <c r="AR75" s="167"/>
      <c r="AS75" s="167"/>
      <c r="AT75" s="433">
        <f>-480+AB74</f>
        <v>0</v>
      </c>
      <c r="AU75" s="393">
        <v>1.5</v>
      </c>
      <c r="AW75" s="356">
        <v>961</v>
      </c>
      <c r="AY75" s="356">
        <f t="shared" ref="AY75" si="33">+AW75-AG75</f>
        <v>-360</v>
      </c>
      <c r="AZ75" s="580"/>
      <c r="BA75" s="580"/>
      <c r="BB75" s="580"/>
      <c r="BC75" s="580"/>
      <c r="BD75" s="580"/>
      <c r="BE75" s="580"/>
      <c r="BF75" s="580"/>
      <c r="BG75" s="580"/>
      <c r="BH75" s="580"/>
      <c r="BI75" s="580"/>
      <c r="BJ75" s="580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78" t="str">
        <f>+G74</f>
        <v>PIANO-Turquaz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/>
      <c r="N76" s="425"/>
      <c r="O76" s="425"/>
      <c r="P76" s="425"/>
      <c r="Q76" s="425">
        <v>49</v>
      </c>
      <c r="R76" s="425">
        <v>49</v>
      </c>
      <c r="S76" s="425">
        <v>49</v>
      </c>
      <c r="T76" s="425">
        <v>49</v>
      </c>
      <c r="U76" s="425">
        <v>49</v>
      </c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-255</v>
      </c>
      <c r="Y76" s="440"/>
      <c r="Z76" s="400"/>
      <c r="AA76" s="541"/>
      <c r="AB76" s="443">
        <f t="shared" si="30"/>
        <v>232.75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232.75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79" t="str">
        <f>+G74</f>
        <v>PIANO-Turquaz</v>
      </c>
      <c r="H77" s="454">
        <f>+AC74-H75</f>
        <v>-4242</v>
      </c>
      <c r="I77" s="397"/>
      <c r="J77" s="165">
        <f>+IF(K77="","",IF(K75=0,"",(K75*J75)/(K77*60)))</f>
        <v>0.84650000000000003</v>
      </c>
      <c r="K77" s="118">
        <v>50</v>
      </c>
      <c r="L77" s="104" t="s">
        <v>19</v>
      </c>
      <c r="M77" s="427"/>
      <c r="N77" s="427"/>
      <c r="O77" s="427"/>
      <c r="P77" s="427"/>
      <c r="Q77" s="427">
        <v>1</v>
      </c>
      <c r="R77" s="427">
        <v>1</v>
      </c>
      <c r="S77" s="427">
        <v>1</v>
      </c>
      <c r="T77" s="427">
        <v>1</v>
      </c>
      <c r="U77" s="427">
        <v>1</v>
      </c>
      <c r="V77" s="428"/>
      <c r="W77" s="428"/>
      <c r="X77" s="173"/>
      <c r="Y77" s="441"/>
      <c r="Z77" s="401"/>
      <c r="AA77" s="168">
        <f>+IF(COUNTA(M75:W75)=$AM$4+0.25,$AM$4-(AB75/K75),COUNTA(M75:W75)-(AB75/K75))+Z77</f>
        <v>3.4</v>
      </c>
      <c r="AB77" s="444">
        <f t="shared" si="30"/>
        <v>4.75</v>
      </c>
      <c r="AC77" s="139"/>
      <c r="AD77" s="139"/>
      <c r="AE77" s="441"/>
      <c r="AF77" s="441"/>
      <c r="AG77" s="119">
        <f>+IFERROR(AG75/(K75*$AT$3),"")</f>
        <v>2.012952380952381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4.75</v>
      </c>
      <c r="AP77" s="167">
        <f>+AO77-AB77</f>
        <v>0</v>
      </c>
      <c r="AQ77" s="167"/>
      <c r="AR77" s="167"/>
      <c r="AS77" s="167"/>
      <c r="AT77" s="435"/>
      <c r="AU77" s="393"/>
      <c r="AW77" s="356">
        <v>1.4643809523809523</v>
      </c>
      <c r="AY77" s="356"/>
    </row>
    <row r="78" spans="2:62" s="98" customFormat="1" ht="62.25" customHeight="1" thickTop="1" x14ac:dyDescent="0.9">
      <c r="B78" s="97">
        <f>+B79</f>
        <v>17</v>
      </c>
      <c r="C78" s="370"/>
      <c r="D78" s="106"/>
      <c r="E78" s="106"/>
      <c r="F78" s="106"/>
      <c r="G78" s="577" t="s">
        <v>436</v>
      </c>
      <c r="H78" s="106"/>
      <c r="I78" s="111"/>
      <c r="J78" s="107" t="s">
        <v>20</v>
      </c>
      <c r="K78" s="108" t="s">
        <v>23</v>
      </c>
      <c r="L78" s="100" t="s">
        <v>21</v>
      </c>
      <c r="M78" s="423">
        <v>120</v>
      </c>
      <c r="N78" s="423">
        <v>60</v>
      </c>
      <c r="O78" s="423">
        <v>60</v>
      </c>
      <c r="P78" s="423">
        <v>60</v>
      </c>
      <c r="Q78" s="423">
        <v>60</v>
      </c>
      <c r="R78" s="423">
        <v>60</v>
      </c>
      <c r="S78" s="423">
        <v>60</v>
      </c>
      <c r="T78" s="423"/>
      <c r="U78" s="423"/>
      <c r="V78" s="423"/>
      <c r="W78" s="423"/>
      <c r="X78" s="135">
        <f t="shared" si="27"/>
        <v>480</v>
      </c>
      <c r="Y78" s="438"/>
      <c r="Z78" s="400">
        <v>0.75</v>
      </c>
      <c r="AA78" s="540">
        <f>+X80</f>
        <v>-18.75</v>
      </c>
      <c r="AB78" s="135">
        <f t="shared" si="28"/>
        <v>480</v>
      </c>
      <c r="AC78" s="136">
        <f>+AD78+AB78</f>
        <v>5581</v>
      </c>
      <c r="AD78" s="136">
        <v>5101</v>
      </c>
      <c r="AE78" s="438"/>
      <c r="AF78" s="438"/>
      <c r="AG78" s="109"/>
      <c r="AH78" s="110"/>
      <c r="AI78" s="157"/>
      <c r="AJ78" s="161">
        <f t="shared" si="2"/>
        <v>0</v>
      </c>
      <c r="AK78" s="167">
        <f t="shared" si="3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2">
        <v>17</v>
      </c>
      <c r="C79" s="371">
        <f>+B79</f>
        <v>17</v>
      </c>
      <c r="D79" s="372" t="s">
        <v>435</v>
      </c>
      <c r="E79" s="111"/>
      <c r="F79" s="111" t="s">
        <v>35</v>
      </c>
      <c r="G79" s="578" t="str">
        <f>+G78</f>
        <v>2628-510-630</v>
      </c>
      <c r="H79" s="450">
        <v>10010</v>
      </c>
      <c r="I79" s="111" t="s">
        <v>33</v>
      </c>
      <c r="J79" s="113">
        <v>43.49</v>
      </c>
      <c r="K79" s="130">
        <v>57</v>
      </c>
      <c r="L79" s="101" t="s">
        <v>17</v>
      </c>
      <c r="M79" s="447">
        <v>31</v>
      </c>
      <c r="N79" s="447">
        <v>35</v>
      </c>
      <c r="O79" s="447">
        <v>66</v>
      </c>
      <c r="P79" s="447">
        <v>66</v>
      </c>
      <c r="Q79" s="447">
        <v>62</v>
      </c>
      <c r="R79" s="447">
        <v>57</v>
      </c>
      <c r="S79" s="447">
        <v>57</v>
      </c>
      <c r="T79" s="447">
        <v>63</v>
      </c>
      <c r="U79" s="447">
        <v>43</v>
      </c>
      <c r="V79" s="214"/>
      <c r="W79" s="424"/>
      <c r="X79" s="123">
        <f>+IF(H80="s",0,IF(AB79=0,0,IF(COUNTA(M79:W79)=AN81+0.25,SUMIF($C:$C,B79,$AB:$AB)/AN81,SUMIF($C:$C,B79,$AB:$AB)/(COUNTA(M79:W79)))))</f>
        <v>54.857142857142854</v>
      </c>
      <c r="Y79" s="439"/>
      <c r="Z79" s="400"/>
      <c r="AA79" s="541"/>
      <c r="AB79" s="134">
        <f t="shared" si="28"/>
        <v>480</v>
      </c>
      <c r="AC79" s="137">
        <f>+AB79+AD79</f>
        <v>4624</v>
      </c>
      <c r="AD79" s="137">
        <v>4144</v>
      </c>
      <c r="AE79" s="439">
        <v>0</v>
      </c>
      <c r="AF79" s="439">
        <f>+AE79+Y79</f>
        <v>0</v>
      </c>
      <c r="AG79" s="140">
        <f>+AC78-AC79</f>
        <v>957</v>
      </c>
      <c r="AH79" s="131">
        <f>+IF(((AB80+(AB81/2))*60)=0,"",(J79*AB79)/((AB80+(AB81/2))*60))</f>
        <v>0.87389638932496083</v>
      </c>
      <c r="AI79" s="161">
        <f>+AB80+AB81/2</f>
        <v>398.125</v>
      </c>
      <c r="AJ79" s="161">
        <f t="shared" si="2"/>
        <v>398.07499999999999</v>
      </c>
      <c r="AK79" s="167">
        <f t="shared" si="3"/>
        <v>23887.5</v>
      </c>
      <c r="AL79" s="167">
        <f>+AB79*J79</f>
        <v>20875.2</v>
      </c>
      <c r="AM79" s="230">
        <f>+AB79-(AI79*K79/K81)</f>
        <v>-2.8324468085106105</v>
      </c>
      <c r="AN79" s="339"/>
      <c r="AO79" s="340"/>
      <c r="AP79" s="167"/>
      <c r="AQ79" s="167"/>
      <c r="AR79" s="167"/>
      <c r="AS79" s="167"/>
      <c r="AT79" s="433">
        <f t="shared" ref="AT79" si="34">IF(AU79=0,"",AW79-(($AT$3*K79)+($AT$3*K79)*AU79)+AB78)</f>
        <v>15.5625</v>
      </c>
      <c r="AU79" s="393">
        <v>1.85</v>
      </c>
      <c r="AW79" s="356">
        <v>957</v>
      </c>
      <c r="AY79" s="356">
        <f t="shared" ref="AY79" si="35">+AW79-AG79</f>
        <v>0</v>
      </c>
    </row>
    <row r="80" spans="2:62" s="98" customFormat="1" ht="62.25" customHeight="1" x14ac:dyDescent="0.9">
      <c r="B80" s="125">
        <f>+B79</f>
        <v>17</v>
      </c>
      <c r="C80" s="373"/>
      <c r="D80" s="184"/>
      <c r="E80" s="111">
        <f>+B79</f>
        <v>17</v>
      </c>
      <c r="F80" s="374"/>
      <c r="G80" s="578" t="str">
        <f>+G78</f>
        <v>2628-510-630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>
        <v>1</v>
      </c>
      <c r="K80" s="114" t="s">
        <v>22</v>
      </c>
      <c r="L80" s="102" t="s">
        <v>18</v>
      </c>
      <c r="M80" s="425">
        <v>45</v>
      </c>
      <c r="N80" s="425">
        <v>45</v>
      </c>
      <c r="O80" s="425">
        <v>45</v>
      </c>
      <c r="P80" s="425">
        <v>45</v>
      </c>
      <c r="Q80" s="425">
        <v>45</v>
      </c>
      <c r="R80" s="425">
        <v>45</v>
      </c>
      <c r="S80" s="425">
        <v>45</v>
      </c>
      <c r="T80" s="425">
        <v>45</v>
      </c>
      <c r="U80" s="425">
        <v>45</v>
      </c>
      <c r="V80" s="426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-18.75</v>
      </c>
      <c r="Y80" s="440"/>
      <c r="Z80" s="400"/>
      <c r="AA80" s="541"/>
      <c r="AB80" s="443">
        <f t="shared" si="30"/>
        <v>393.75</v>
      </c>
      <c r="AC80" s="341"/>
      <c r="AD80" s="341"/>
      <c r="AE80" s="440"/>
      <c r="AF80" s="440"/>
      <c r="AG80" s="115"/>
      <c r="AH80" s="116"/>
      <c r="AI80" s="157"/>
      <c r="AJ80" s="161">
        <f t="shared" si="2"/>
        <v>0</v>
      </c>
      <c r="AK80" s="167">
        <f t="shared" si="3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393.75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126">
        <f>+B79</f>
        <v>17</v>
      </c>
      <c r="C81" s="375"/>
      <c r="D81" s="174" t="s">
        <v>379</v>
      </c>
      <c r="E81" s="175">
        <f>+E80+100</f>
        <v>117</v>
      </c>
      <c r="F81" s="175"/>
      <c r="G81" s="579" t="str">
        <f>+G78</f>
        <v>2628-510-630</v>
      </c>
      <c r="H81" s="454">
        <f>+AC78-H79</f>
        <v>-4429</v>
      </c>
      <c r="I81" s="397"/>
      <c r="J81" s="165">
        <f>+IF(K81="","",IF(K79=0,"",(K79*J79)/(K81*60)))</f>
        <v>0.87905319148936178</v>
      </c>
      <c r="K81" s="118">
        <v>47</v>
      </c>
      <c r="L81" s="104" t="s">
        <v>19</v>
      </c>
      <c r="M81" s="427">
        <v>1</v>
      </c>
      <c r="N81" s="427">
        <v>1</v>
      </c>
      <c r="O81" s="427">
        <v>1</v>
      </c>
      <c r="P81" s="427">
        <v>1</v>
      </c>
      <c r="Q81" s="427">
        <v>1</v>
      </c>
      <c r="R81" s="427">
        <v>1</v>
      </c>
      <c r="S81" s="427">
        <v>1</v>
      </c>
      <c r="T81" s="427">
        <v>1</v>
      </c>
      <c r="U81" s="427">
        <v>1</v>
      </c>
      <c r="V81" s="428"/>
      <c r="W81" s="428"/>
      <c r="X81" s="173"/>
      <c r="Y81" s="441"/>
      <c r="Z81" s="401">
        <v>41.323268679526997</v>
      </c>
      <c r="AA81" s="169">
        <v>41.323268679526997</v>
      </c>
      <c r="AB81" s="444">
        <f t="shared" si="30"/>
        <v>8.75</v>
      </c>
      <c r="AC81" s="139"/>
      <c r="AD81" s="139"/>
      <c r="AE81" s="441"/>
      <c r="AF81" s="441"/>
      <c r="AG81" s="119">
        <f>+IFERROR(AG79/(K79*$AT$3),"")</f>
        <v>1.9187969924812029</v>
      </c>
      <c r="AH81" s="162"/>
      <c r="AI81" s="161"/>
      <c r="AJ81" s="161">
        <f t="shared" si="2"/>
        <v>0</v>
      </c>
      <c r="AK81" s="167">
        <f t="shared" si="3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8.75</v>
      </c>
      <c r="AP81" s="167">
        <f>+AO81-AB81</f>
        <v>0</v>
      </c>
      <c r="AQ81" s="167"/>
      <c r="AR81" s="167"/>
      <c r="AS81" s="167"/>
      <c r="AT81" s="435"/>
      <c r="AU81" s="393"/>
      <c r="AW81" s="356">
        <v>1.9187969924812029</v>
      </c>
      <c r="AY81" s="356"/>
    </row>
    <row r="82" spans="2:51" s="98" customFormat="1" ht="62.25" customHeight="1" thickTop="1" x14ac:dyDescent="0.9">
      <c r="B82" s="127">
        <f>+B83</f>
        <v>18</v>
      </c>
      <c r="C82" s="370"/>
      <c r="D82" s="106"/>
      <c r="E82" s="106"/>
      <c r="F82" s="106"/>
      <c r="G82" s="577" t="s">
        <v>436</v>
      </c>
      <c r="H82" s="106"/>
      <c r="I82" s="106"/>
      <c r="J82" s="107" t="s">
        <v>20</v>
      </c>
      <c r="K82" s="108" t="s">
        <v>23</v>
      </c>
      <c r="L82" s="100" t="s">
        <v>21</v>
      </c>
      <c r="M82" s="423">
        <v>60</v>
      </c>
      <c r="N82" s="423">
        <v>60</v>
      </c>
      <c r="O82" s="423">
        <v>60</v>
      </c>
      <c r="P82" s="423">
        <v>60</v>
      </c>
      <c r="Q82" s="423">
        <v>60</v>
      </c>
      <c r="R82" s="423">
        <v>60</v>
      </c>
      <c r="S82" s="423"/>
      <c r="T82" s="423"/>
      <c r="U82" s="423"/>
      <c r="V82" s="423"/>
      <c r="W82" s="423"/>
      <c r="X82" s="135">
        <f t="shared" si="27"/>
        <v>360</v>
      </c>
      <c r="Y82" s="438"/>
      <c r="Z82" s="400">
        <v>0.5</v>
      </c>
      <c r="AA82" s="540">
        <f>+X84</f>
        <v>-108.5</v>
      </c>
      <c r="AB82" s="135">
        <f t="shared" si="28"/>
        <v>360</v>
      </c>
      <c r="AC82" s="136">
        <f>+AD82+AB82</f>
        <v>6385</v>
      </c>
      <c r="AD82" s="136">
        <v>6025</v>
      </c>
      <c r="AE82" s="438"/>
      <c r="AF82" s="438"/>
      <c r="AG82" s="109"/>
      <c r="AH82" s="110"/>
      <c r="AI82" s="157"/>
      <c r="AJ82" s="161">
        <f t="shared" ref="AJ82:AJ89" si="36">TRUNC(AI82)+(AI82-TRUNC(AI82))*60/100</f>
        <v>0</v>
      </c>
      <c r="AK82" s="167">
        <f t="shared" ref="AK82:AK89" si="37">+AI82*60</f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3">
        <v>18</v>
      </c>
      <c r="C83" s="371">
        <f>+B83</f>
        <v>18</v>
      </c>
      <c r="D83" s="372" t="s">
        <v>435</v>
      </c>
      <c r="E83" s="111"/>
      <c r="F83" s="111" t="s">
        <v>35</v>
      </c>
      <c r="G83" s="578" t="str">
        <f t="shared" ref="G83:G89" si="38">+G82</f>
        <v>2628-510-630</v>
      </c>
      <c r="H83" s="450">
        <v>10800</v>
      </c>
      <c r="I83" s="111" t="s">
        <v>33</v>
      </c>
      <c r="J83" s="113">
        <v>43.49</v>
      </c>
      <c r="K83" s="402">
        <v>58</v>
      </c>
      <c r="L83" s="101" t="s">
        <v>17</v>
      </c>
      <c r="M83" s="449">
        <v>47</v>
      </c>
      <c r="N83" s="449">
        <v>25</v>
      </c>
      <c r="O83" s="449">
        <v>57</v>
      </c>
      <c r="P83" s="449">
        <v>30</v>
      </c>
      <c r="Q83" s="449">
        <v>67</v>
      </c>
      <c r="R83" s="449">
        <v>57</v>
      </c>
      <c r="S83" s="449">
        <v>38</v>
      </c>
      <c r="T83" s="449">
        <v>40</v>
      </c>
      <c r="U83" s="449">
        <v>38</v>
      </c>
      <c r="V83" s="424"/>
      <c r="W83" s="424"/>
      <c r="X83" s="123">
        <f>+IF(H84="s",0,IF(AB83=0,0,IF(COUNTA(M83:W83)=AN85+0.25,SUMIF($C:$C,B83,$AB:$AB)/AN85,SUMIF($C:$C,B83,$AB:$AB)/(COUNTA(M83:W83)))))</f>
        <v>45.6</v>
      </c>
      <c r="Y83" s="439"/>
      <c r="Z83" s="400"/>
      <c r="AA83" s="541"/>
      <c r="AB83" s="134">
        <f t="shared" si="28"/>
        <v>399</v>
      </c>
      <c r="AC83" s="137">
        <f>+AB83+AD83</f>
        <v>5606</v>
      </c>
      <c r="AD83" s="137">
        <v>5207</v>
      </c>
      <c r="AE83" s="439">
        <v>0</v>
      </c>
      <c r="AF83" s="439">
        <f>+AE83+Y83</f>
        <v>0</v>
      </c>
      <c r="AG83" s="140">
        <f>+AC82-AC83</f>
        <v>779</v>
      </c>
      <c r="AH83" s="131">
        <f>+IF(((AB84+(AB85/2))*60)=0,"",(J83*AB83)/((AB84+(AB85/2))*60))</f>
        <v>0.68149278350515474</v>
      </c>
      <c r="AI83" s="161">
        <f>+AB84+AB85/2</f>
        <v>424.375</v>
      </c>
      <c r="AJ83" s="161">
        <f t="shared" si="36"/>
        <v>424.22500000000002</v>
      </c>
      <c r="AK83" s="167">
        <f t="shared" si="37"/>
        <v>25462.5</v>
      </c>
      <c r="AL83" s="167">
        <f>+AB83*J83</f>
        <v>17352.510000000002</v>
      </c>
      <c r="AM83" s="230">
        <f>+AB83-(AI83*K83/K85)</f>
        <v>-124.69680851063833</v>
      </c>
      <c r="AN83" s="339"/>
      <c r="AO83" s="340"/>
      <c r="AP83" s="167"/>
      <c r="AQ83" s="167"/>
      <c r="AR83" s="167"/>
      <c r="AS83" s="167"/>
      <c r="AT83" s="433">
        <f>-360+AB82</f>
        <v>0</v>
      </c>
      <c r="AU83" s="393">
        <v>1.78</v>
      </c>
      <c r="AW83" s="356">
        <v>818</v>
      </c>
      <c r="AY83" s="356">
        <f t="shared" ref="AY83" si="39">+AW83-AG83</f>
        <v>39</v>
      </c>
    </row>
    <row r="84" spans="2:51" s="98" customFormat="1" ht="62.25" customHeight="1" x14ac:dyDescent="0.9">
      <c r="B84" s="125">
        <f>+B83</f>
        <v>18</v>
      </c>
      <c r="C84" s="373"/>
      <c r="D84" s="184"/>
      <c r="E84" s="111">
        <f>+B83</f>
        <v>18</v>
      </c>
      <c r="F84" s="374"/>
      <c r="G84" s="578" t="str">
        <f t="shared" si="38"/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1</v>
      </c>
      <c r="J84" s="113"/>
      <c r="K84" s="114" t="s">
        <v>22</v>
      </c>
      <c r="L84" s="102" t="s">
        <v>18</v>
      </c>
      <c r="M84" s="425">
        <v>48</v>
      </c>
      <c r="N84" s="425">
        <v>48</v>
      </c>
      <c r="O84" s="425">
        <v>48</v>
      </c>
      <c r="P84" s="425">
        <v>48</v>
      </c>
      <c r="Q84" s="425">
        <v>48</v>
      </c>
      <c r="R84" s="425">
        <v>48</v>
      </c>
      <c r="S84" s="425">
        <v>48</v>
      </c>
      <c r="T84" s="425">
        <v>48</v>
      </c>
      <c r="U84" s="425">
        <v>48</v>
      </c>
      <c r="V84" s="425"/>
      <c r="W84" s="425"/>
      <c r="X84" s="160">
        <f>+IF(H84="l",IF(COUNTA(M83:W83)=AN85+0.25,AB83-K83*AN85,AB83-(K83*COUNTA(M83:W83))),IF(H84="s",0,IF(COUNTA(M83:W83)=AN85+0.25,SUMIF($C:$C,B83,$AB:$AB)-K83*AN85,SUMIF($C:$C,B83,$AB:$AB)-K83*COUNTA(M83:W83))))</f>
        <v>-108.5</v>
      </c>
      <c r="Y84" s="440"/>
      <c r="Z84" s="400"/>
      <c r="AA84" s="541"/>
      <c r="AB84" s="443">
        <f t="shared" si="30"/>
        <v>420</v>
      </c>
      <c r="AC84" s="138"/>
      <c r="AD84" s="138"/>
      <c r="AE84" s="442"/>
      <c r="AF84" s="440"/>
      <c r="AG84" s="115"/>
      <c r="AH84" s="116"/>
      <c r="AI84" s="157"/>
      <c r="AJ84" s="161">
        <f t="shared" si="36"/>
        <v>0</v>
      </c>
      <c r="AK84" s="167">
        <f t="shared" si="37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420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343">
        <f>+B83</f>
        <v>18</v>
      </c>
      <c r="C85" s="375"/>
      <c r="D85" s="378" t="s">
        <v>406</v>
      </c>
      <c r="E85" s="175">
        <f>+E84+100</f>
        <v>118</v>
      </c>
      <c r="F85" s="175"/>
      <c r="G85" s="579" t="str">
        <f t="shared" si="38"/>
        <v>2628-510-630</v>
      </c>
      <c r="H85" s="454">
        <f>+AC82-H83</f>
        <v>-4415</v>
      </c>
      <c r="I85" s="397"/>
      <c r="J85" s="165">
        <f>+IF(K85="","",IF(K83=0,"",(K83*J83)/(K85*60)))</f>
        <v>0.89447517730496462</v>
      </c>
      <c r="K85" s="118">
        <v>47</v>
      </c>
      <c r="L85" s="104" t="s">
        <v>19</v>
      </c>
      <c r="M85" s="428">
        <v>1</v>
      </c>
      <c r="N85" s="428">
        <v>1</v>
      </c>
      <c r="O85" s="428">
        <v>1</v>
      </c>
      <c r="P85" s="428">
        <v>1</v>
      </c>
      <c r="Q85" s="428">
        <v>1</v>
      </c>
      <c r="R85" s="428">
        <v>1</v>
      </c>
      <c r="S85" s="428">
        <v>1</v>
      </c>
      <c r="T85" s="428">
        <v>1</v>
      </c>
      <c r="U85" s="428">
        <v>1</v>
      </c>
      <c r="V85" s="428"/>
      <c r="W85" s="428"/>
      <c r="X85" s="173"/>
      <c r="Y85" s="441"/>
      <c r="Z85" s="401">
        <v>39.084672496287737</v>
      </c>
      <c r="AA85" s="168">
        <f>+IF(COUNTA(M83:W83)=$AM$4+0.25,$AM$4-(AB83/K83),COUNTA(M83:W83)-(AB83/K83))+Z85</f>
        <v>40.95536215146015</v>
      </c>
      <c r="AB85" s="444">
        <f t="shared" si="30"/>
        <v>8.75</v>
      </c>
      <c r="AC85" s="139"/>
      <c r="AD85" s="139"/>
      <c r="AE85" s="441"/>
      <c r="AF85" s="441"/>
      <c r="AG85" s="119">
        <f>+IFERROR(AG83/(K83*$AT$3),"")</f>
        <v>1.5349753694581281</v>
      </c>
      <c r="AH85" s="162"/>
      <c r="AI85" s="161"/>
      <c r="AJ85" s="161">
        <f t="shared" si="36"/>
        <v>0</v>
      </c>
      <c r="AK85" s="167">
        <f t="shared" si="37"/>
        <v>0</v>
      </c>
      <c r="AL85" s="167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8.75</v>
      </c>
      <c r="AP85" s="167">
        <f>+AO85-AB85</f>
        <v>0</v>
      </c>
      <c r="AQ85" s="167"/>
      <c r="AR85" s="167"/>
      <c r="AS85" s="167"/>
      <c r="AT85" s="435"/>
      <c r="AU85" s="393"/>
      <c r="AW85" s="356">
        <v>1.6118226600985222</v>
      </c>
      <c r="AY85" s="356"/>
    </row>
    <row r="86" spans="2:51" s="98" customFormat="1" ht="62.25" customHeight="1" thickTop="1" x14ac:dyDescent="0.9">
      <c r="B86" s="127">
        <f>+B87</f>
        <v>20</v>
      </c>
      <c r="C86" s="370"/>
      <c r="D86" s="106"/>
      <c r="E86" s="106"/>
      <c r="F86" s="106"/>
      <c r="G86" s="577" t="s">
        <v>459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75</v>
      </c>
      <c r="N86" s="423">
        <v>75</v>
      </c>
      <c r="O86" s="423">
        <v>75</v>
      </c>
      <c r="P86" s="423">
        <v>75</v>
      </c>
      <c r="Q86" s="423">
        <v>75</v>
      </c>
      <c r="R86" s="423">
        <v>75</v>
      </c>
      <c r="S86" s="423">
        <v>101</v>
      </c>
      <c r="T86" s="423"/>
      <c r="U86" s="423"/>
      <c r="V86" s="423"/>
      <c r="W86" s="423"/>
      <c r="X86" s="135">
        <f t="shared" si="27"/>
        <v>551</v>
      </c>
      <c r="Y86" s="438"/>
      <c r="Z86" s="400">
        <v>-29.75</v>
      </c>
      <c r="AA86" s="540">
        <f>+X88</f>
        <v>63.75</v>
      </c>
      <c r="AB86" s="135">
        <f t="shared" si="28"/>
        <v>551</v>
      </c>
      <c r="AC86" s="136">
        <f>+AD86+AB86</f>
        <v>2719</v>
      </c>
      <c r="AD86" s="136">
        <v>2168</v>
      </c>
      <c r="AE86" s="438"/>
      <c r="AF86" s="438"/>
      <c r="AG86" s="109"/>
      <c r="AH86" s="110"/>
      <c r="AI86" s="157"/>
      <c r="AJ86" s="161">
        <f t="shared" si="36"/>
        <v>0</v>
      </c>
      <c r="AK86" s="167">
        <f t="shared" si="37"/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20</v>
      </c>
      <c r="C87" s="371">
        <f>+B87</f>
        <v>20</v>
      </c>
      <c r="D87" s="372" t="s">
        <v>460</v>
      </c>
      <c r="E87" s="111"/>
      <c r="F87" s="111" t="s">
        <v>422</v>
      </c>
      <c r="G87" s="578" t="str">
        <f t="shared" si="38"/>
        <v>ADA-PURPLE</v>
      </c>
      <c r="H87" s="450">
        <v>5014</v>
      </c>
      <c r="I87" s="111" t="s">
        <v>252</v>
      </c>
      <c r="J87" s="113">
        <v>13.23</v>
      </c>
      <c r="K87" s="130">
        <v>35</v>
      </c>
      <c r="L87" s="101" t="s">
        <v>17</v>
      </c>
      <c r="M87" s="214">
        <v>40</v>
      </c>
      <c r="N87" s="214">
        <v>35</v>
      </c>
      <c r="O87" s="214">
        <v>35</v>
      </c>
      <c r="P87" s="214">
        <v>35</v>
      </c>
      <c r="Q87" s="214">
        <v>35</v>
      </c>
      <c r="R87" s="214">
        <v>35</v>
      </c>
      <c r="S87" s="214">
        <v>35</v>
      </c>
      <c r="T87" s="214">
        <v>56</v>
      </c>
      <c r="U87" s="214">
        <v>64</v>
      </c>
      <c r="V87" s="424"/>
      <c r="W87" s="424"/>
      <c r="X87" s="123">
        <f>+IF(H88="s",0,IF(AB87=0,0,IF(COUNTA(M87:W87)=AN89+0.25,SUMIF($C:$C,B87,$AB:$AB)/AN89,SUMIF($C:$C,B87,$AB:$AB)/(COUNTA(M87:W87)))))</f>
        <v>42.285714285714285</v>
      </c>
      <c r="Y87" s="439"/>
      <c r="Z87" s="400"/>
      <c r="AA87" s="541"/>
      <c r="AB87" s="134">
        <f t="shared" si="28"/>
        <v>370</v>
      </c>
      <c r="AC87" s="137">
        <f>+AB87+AD87</f>
        <v>1179</v>
      </c>
      <c r="AD87" s="137">
        <v>809</v>
      </c>
      <c r="AE87" s="439">
        <v>0</v>
      </c>
      <c r="AF87" s="439">
        <f>+AE87+Y87</f>
        <v>0</v>
      </c>
      <c r="AG87" s="140">
        <f>+AC86-AC87</f>
        <v>1540</v>
      </c>
      <c r="AH87" s="131">
        <f>+IF(((AB88+(AB89/2))*60)=0,"",(J87*AB87)/((AB88+(AB89/2))*60))</f>
        <v>0.93240000000000012</v>
      </c>
      <c r="AI87" s="161">
        <f>+AB88+AB89/2</f>
        <v>87.5</v>
      </c>
      <c r="AJ87" s="161">
        <f t="shared" si="36"/>
        <v>87.3</v>
      </c>
      <c r="AK87" s="167">
        <f t="shared" si="37"/>
        <v>5250</v>
      </c>
      <c r="AL87" s="167">
        <f>+AB87*J87</f>
        <v>4895.1000000000004</v>
      </c>
      <c r="AM87" s="230">
        <f>+AB87-(AI87*K87/K89)</f>
        <v>29.722222222222229</v>
      </c>
      <c r="AN87" s="339"/>
      <c r="AO87" s="340"/>
      <c r="AP87" s="167"/>
      <c r="AQ87" s="167"/>
      <c r="AR87" s="167"/>
      <c r="AS87" s="167"/>
      <c r="AT87" s="433">
        <f>-500+AB86</f>
        <v>51</v>
      </c>
      <c r="AU87" s="393">
        <v>1.5</v>
      </c>
      <c r="AW87" s="356">
        <v>1359</v>
      </c>
      <c r="AY87" s="356">
        <f t="shared" ref="AY87" si="40">+AW87-AG87</f>
        <v>-181</v>
      </c>
    </row>
    <row r="88" spans="2:51" s="98" customFormat="1" ht="62.25" customHeight="1" x14ac:dyDescent="0.9">
      <c r="B88" s="125">
        <f>+B87</f>
        <v>20</v>
      </c>
      <c r="C88" s="373"/>
      <c r="D88" s="184"/>
      <c r="E88" s="111">
        <f>+B87</f>
        <v>20</v>
      </c>
      <c r="F88" s="374"/>
      <c r="G88" s="578" t="str">
        <f t="shared" si="38"/>
        <v>ADA-PURPLE</v>
      </c>
      <c r="H88" s="376" t="s">
        <v>400</v>
      </c>
      <c r="I88" s="113">
        <f>+IFERROR(IF(K89=0,0,IF((LOOKUP(2,1/(M88:W88&lt;&gt;""),M88:W88)-K89)&lt;0,0,IF(K89=0,"",LOOKUP(2,1/(M88:W88&lt;&gt;""),M88:W88)-K89))),0)</f>
        <v>1</v>
      </c>
      <c r="J88" s="113"/>
      <c r="K88" s="114" t="s">
        <v>22</v>
      </c>
      <c r="L88" s="102" t="s">
        <v>18</v>
      </c>
      <c r="M88" s="451">
        <v>10</v>
      </c>
      <c r="N88" s="451">
        <v>10</v>
      </c>
      <c r="O88" s="451">
        <v>10</v>
      </c>
      <c r="P88" s="451">
        <v>10</v>
      </c>
      <c r="Q88" s="451">
        <v>10</v>
      </c>
      <c r="R88" s="451">
        <v>10</v>
      </c>
      <c r="S88" s="451">
        <v>10</v>
      </c>
      <c r="T88" s="451">
        <v>10</v>
      </c>
      <c r="U88" s="451">
        <v>10</v>
      </c>
      <c r="V88" s="425"/>
      <c r="W88" s="425"/>
      <c r="X88" s="160">
        <f>+IF(H88="l",IF(COUNTA(M87:W87)=AN89+0.25,AB87-K87*AN89,AB87-(K87*COUNTA(M87:W87))),IF(H88="s",0,IF(COUNTA(M87:W87)=AN89+0.25,SUMIF($C:$C,B87,$AB:$AB)-K87*AN89,SUMIF($C:$C,B87,$AB:$AB)-K87*COUNTA(M87:W87))))</f>
        <v>63.75</v>
      </c>
      <c r="Y88" s="440"/>
      <c r="Z88" s="400"/>
      <c r="AA88" s="541"/>
      <c r="AB88" s="443">
        <f t="shared" si="30"/>
        <v>87.5</v>
      </c>
      <c r="AC88" s="138"/>
      <c r="AD88" s="138"/>
      <c r="AE88" s="442"/>
      <c r="AF88" s="440"/>
      <c r="AG88" s="115"/>
      <c r="AH88" s="116"/>
      <c r="AI88" s="157"/>
      <c r="AJ88" s="161">
        <f t="shared" si="36"/>
        <v>0</v>
      </c>
      <c r="AK88" s="167">
        <f t="shared" si="37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87.5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20</v>
      </c>
      <c r="C89" s="375"/>
      <c r="D89" s="378" t="s">
        <v>78</v>
      </c>
      <c r="E89" s="175">
        <f>+E88+100</f>
        <v>120</v>
      </c>
      <c r="F89" s="175"/>
      <c r="G89" s="579" t="str">
        <f t="shared" si="38"/>
        <v>ADA-PURPLE</v>
      </c>
      <c r="H89" s="454">
        <f>+AC86-H87</f>
        <v>-2295</v>
      </c>
      <c r="I89" s="397"/>
      <c r="J89" s="165">
        <f>+IF(K89="","",IF(K87=0,"",(K87*J87)/(K89*60)))</f>
        <v>0.85750000000000004</v>
      </c>
      <c r="K89" s="118">
        <v>9</v>
      </c>
      <c r="L89" s="104" t="s">
        <v>19</v>
      </c>
      <c r="M89" s="428"/>
      <c r="N89" s="428"/>
      <c r="O89" s="428"/>
      <c r="P89" s="428"/>
      <c r="Q89" s="428"/>
      <c r="R89" s="428"/>
      <c r="S89" s="428"/>
      <c r="T89" s="428"/>
      <c r="U89" s="428"/>
      <c r="V89" s="428"/>
      <c r="W89" s="428"/>
      <c r="X89" s="173"/>
      <c r="Y89" s="441"/>
      <c r="Z89" s="401">
        <v>19.29</v>
      </c>
      <c r="AA89" s="169">
        <v>19.29</v>
      </c>
      <c r="AB89" s="444">
        <f t="shared" si="30"/>
        <v>0</v>
      </c>
      <c r="AC89" s="139"/>
      <c r="AD89" s="139"/>
      <c r="AE89" s="441"/>
      <c r="AF89" s="441"/>
      <c r="AG89" s="119">
        <f>+IFERROR(AG87/(K87*$AT$3),"")</f>
        <v>5.0285714285714285</v>
      </c>
      <c r="AH89" s="162"/>
      <c r="AI89" s="161"/>
      <c r="AJ89" s="161">
        <f t="shared" si="36"/>
        <v>0</v>
      </c>
      <c r="AK89" s="167">
        <f t="shared" si="37"/>
        <v>0</v>
      </c>
      <c r="AL89" s="167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0</v>
      </c>
      <c r="AP89" s="167">
        <f>+AO89-AB89</f>
        <v>0</v>
      </c>
      <c r="AQ89" s="167"/>
      <c r="AR89" s="167"/>
      <c r="AS89" s="167"/>
      <c r="AT89" s="435"/>
      <c r="AU89" s="393"/>
      <c r="AW89" s="356">
        <v>4.4375510204081632</v>
      </c>
      <c r="AY89" s="356"/>
    </row>
    <row r="90" spans="2:51" s="384" customFormat="1" ht="91.5" customHeight="1" thickTop="1" thickBot="1" x14ac:dyDescent="0.95">
      <c r="B90" s="379"/>
      <c r="C90" s="379"/>
      <c r="D90" s="380"/>
      <c r="E90" s="380"/>
      <c r="F90" s="380"/>
      <c r="G90" s="380"/>
      <c r="H90" s="380"/>
      <c r="I90" s="380"/>
      <c r="J90" s="380"/>
      <c r="K90" s="380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0"/>
      <c r="Y90" s="381"/>
      <c r="Z90" s="380"/>
      <c r="AA90" s="380"/>
      <c r="AB90" s="380"/>
      <c r="AC90" s="380"/>
      <c r="AD90" s="380"/>
      <c r="AE90" s="380"/>
      <c r="AF90" s="380"/>
      <c r="AG90" s="380"/>
      <c r="AH90" s="382"/>
      <c r="AI90" s="383"/>
      <c r="AJ90" s="383"/>
      <c r="AN90" s="385"/>
      <c r="AO90" s="386"/>
      <c r="AU90" s="394"/>
    </row>
    <row r="91" spans="2:51" s="384" customFormat="1" ht="91.5" customHeight="1" thickTop="1" thickBot="1" x14ac:dyDescent="0.95">
      <c r="B91" s="379"/>
      <c r="C91" s="379"/>
      <c r="D91" s="380"/>
      <c r="E91" s="380"/>
      <c r="F91" s="380"/>
      <c r="G91" s="380"/>
      <c r="H91" s="380"/>
      <c r="I91" s="380"/>
      <c r="J91" s="380"/>
      <c r="K91" s="380"/>
      <c r="L91" s="346" t="s">
        <v>21</v>
      </c>
      <c r="M91" s="166">
        <f t="shared" ref="M91:W91" si="41">+SUMIF($L$6:$L$90,$L$91,M6:M90)</f>
        <v>1295</v>
      </c>
      <c r="N91" s="166">
        <f t="shared" si="41"/>
        <v>1445</v>
      </c>
      <c r="O91" s="166">
        <f t="shared" si="41"/>
        <v>1145</v>
      </c>
      <c r="P91" s="166">
        <f t="shared" si="41"/>
        <v>750</v>
      </c>
      <c r="Q91" s="166">
        <f t="shared" si="41"/>
        <v>860</v>
      </c>
      <c r="R91" s="166">
        <f t="shared" si="41"/>
        <v>775</v>
      </c>
      <c r="S91" s="166">
        <f t="shared" si="41"/>
        <v>496</v>
      </c>
      <c r="T91" s="166">
        <f t="shared" si="41"/>
        <v>210</v>
      </c>
      <c r="U91" s="166">
        <f t="shared" si="41"/>
        <v>50</v>
      </c>
      <c r="V91" s="166">
        <f t="shared" si="41"/>
        <v>0</v>
      </c>
      <c r="W91" s="166">
        <f t="shared" si="41"/>
        <v>0</v>
      </c>
      <c r="X91" s="332"/>
      <c r="Y91" s="223"/>
      <c r="Z91" s="332"/>
      <c r="AA91" s="575">
        <f>+SUM(M91:W91)</f>
        <v>7026</v>
      </c>
      <c r="AB91" s="576"/>
      <c r="AC91" s="380"/>
      <c r="AD91" s="380"/>
      <c r="AE91" s="380"/>
      <c r="AF91" s="380"/>
      <c r="AG91" s="380"/>
      <c r="AH91" s="382"/>
      <c r="AI91" s="383"/>
      <c r="AJ91" s="383"/>
      <c r="AN91" s="385"/>
      <c r="AU91" s="394"/>
    </row>
    <row r="92" spans="2:51" s="384" customFormat="1" ht="91.5" customHeight="1" thickTop="1" thickBot="1" x14ac:dyDescent="0.95">
      <c r="B92" s="379"/>
      <c r="C92" s="379"/>
      <c r="D92" s="380"/>
      <c r="E92" s="380"/>
      <c r="F92" s="380"/>
      <c r="G92" s="380"/>
      <c r="H92" s="380"/>
      <c r="I92" s="380"/>
      <c r="J92" s="380"/>
      <c r="K92" s="380"/>
      <c r="L92" s="347"/>
      <c r="M92" s="344"/>
      <c r="N92" s="344"/>
      <c r="O92" s="344"/>
      <c r="P92" s="344"/>
      <c r="Q92" s="344"/>
      <c r="R92" s="344"/>
      <c r="S92" s="344"/>
      <c r="T92" s="344"/>
      <c r="U92" s="344"/>
      <c r="V92" s="344"/>
      <c r="W92" s="344"/>
      <c r="X92" s="332"/>
      <c r="Y92" s="344"/>
      <c r="Z92" s="332"/>
      <c r="AA92" s="332"/>
      <c r="AB92" s="332"/>
      <c r="AC92" s="380"/>
      <c r="AD92" s="380"/>
      <c r="AE92" s="380"/>
      <c r="AF92" s="380"/>
      <c r="AG92" s="380"/>
      <c r="AH92" s="382"/>
      <c r="AI92" s="383"/>
      <c r="AJ92" s="383"/>
      <c r="AN92" s="385"/>
      <c r="AU92" s="394"/>
    </row>
    <row r="93" spans="2:51" s="384" customFormat="1" ht="91.5" customHeight="1" thickTop="1" thickBot="1" x14ac:dyDescent="0.95">
      <c r="B93" s="379"/>
      <c r="C93" s="379"/>
      <c r="D93" s="380"/>
      <c r="E93" s="380"/>
      <c r="F93" s="380"/>
      <c r="G93" s="380"/>
      <c r="H93" s="380"/>
      <c r="I93" s="380"/>
      <c r="J93" s="380"/>
      <c r="K93" s="380"/>
      <c r="L93" s="346" t="s">
        <v>17</v>
      </c>
      <c r="M93" s="166">
        <f t="shared" ref="M93:W93" si="42">+SUMIF($L$6:$L$90,$L$93,M6:M90)</f>
        <v>732</v>
      </c>
      <c r="N93" s="166">
        <f t="shared" si="42"/>
        <v>740</v>
      </c>
      <c r="O93" s="166">
        <f t="shared" si="42"/>
        <v>870</v>
      </c>
      <c r="P93" s="166">
        <f t="shared" si="42"/>
        <v>865</v>
      </c>
      <c r="Q93" s="166">
        <f t="shared" si="42"/>
        <v>827</v>
      </c>
      <c r="R93" s="166">
        <f t="shared" si="42"/>
        <v>782</v>
      </c>
      <c r="S93" s="166">
        <f t="shared" si="42"/>
        <v>719</v>
      </c>
      <c r="T93" s="166">
        <f t="shared" si="42"/>
        <v>872</v>
      </c>
      <c r="U93" s="166">
        <f t="shared" si="42"/>
        <v>666</v>
      </c>
      <c r="V93" s="166">
        <f t="shared" si="42"/>
        <v>0</v>
      </c>
      <c r="W93" s="166">
        <f t="shared" si="42"/>
        <v>0</v>
      </c>
      <c r="X93" s="332"/>
      <c r="Y93" s="223"/>
      <c r="Z93" s="332"/>
      <c r="AA93" s="575">
        <f>+SUM(M93:W93)</f>
        <v>7073</v>
      </c>
      <c r="AB93" s="576"/>
      <c r="AC93" s="380"/>
      <c r="AD93" s="380"/>
      <c r="AE93" s="380"/>
      <c r="AF93" s="380"/>
      <c r="AG93" s="380"/>
      <c r="AH93" s="382"/>
      <c r="AI93" s="383"/>
      <c r="AJ93" s="383"/>
      <c r="AN93" s="385"/>
      <c r="AU93" s="394"/>
    </row>
    <row r="94" spans="2:51" s="384" customFormat="1" ht="91.5" customHeight="1" thickTop="1" thickBot="1" x14ac:dyDescent="0.95">
      <c r="B94" s="379"/>
      <c r="C94" s="379"/>
      <c r="D94" s="380"/>
      <c r="E94" s="380"/>
      <c r="F94" s="380"/>
      <c r="G94" s="380"/>
      <c r="H94" s="380"/>
      <c r="I94" s="380"/>
      <c r="J94" s="380"/>
      <c r="K94" s="380"/>
      <c r="L94" s="347"/>
      <c r="M94" s="344"/>
      <c r="N94" s="344"/>
      <c r="O94" s="344"/>
      <c r="P94" s="344"/>
      <c r="Q94" s="344"/>
      <c r="R94" s="344"/>
      <c r="S94" s="344"/>
      <c r="T94" s="344"/>
      <c r="U94" s="344"/>
      <c r="V94" s="344"/>
      <c r="W94" s="344"/>
      <c r="X94" s="332"/>
      <c r="Y94" s="344"/>
      <c r="Z94" s="332"/>
      <c r="AA94" s="332"/>
      <c r="AB94" s="332"/>
      <c r="AC94" s="380"/>
      <c r="AD94" s="380"/>
      <c r="AE94" s="380"/>
      <c r="AF94" s="380"/>
      <c r="AG94" s="380"/>
      <c r="AH94" s="382"/>
      <c r="AI94" s="383"/>
      <c r="AJ94" s="383"/>
      <c r="AN94" s="385"/>
      <c r="AU94" s="394"/>
    </row>
    <row r="95" spans="2:51" s="384" customFormat="1" ht="91.5" customHeight="1" thickTop="1" thickBot="1" x14ac:dyDescent="0.95">
      <c r="B95" s="379"/>
      <c r="C95" s="379"/>
      <c r="D95" s="387"/>
      <c r="E95" s="387"/>
      <c r="F95" s="387"/>
      <c r="G95" s="387"/>
      <c r="H95" s="387"/>
      <c r="I95" s="387"/>
      <c r="J95" s="388"/>
      <c r="K95" s="387"/>
      <c r="L95" s="346" t="s">
        <v>19</v>
      </c>
      <c r="M95" s="166">
        <f t="shared" ref="M95:W95" si="43">+SUMIF($L$6:$L$90,$L$95,M6:M90)</f>
        <v>19</v>
      </c>
      <c r="N95" s="166">
        <f t="shared" si="43"/>
        <v>19</v>
      </c>
      <c r="O95" s="166">
        <f t="shared" si="43"/>
        <v>19</v>
      </c>
      <c r="P95" s="166">
        <f t="shared" si="43"/>
        <v>19</v>
      </c>
      <c r="Q95" s="166">
        <f t="shared" si="43"/>
        <v>19</v>
      </c>
      <c r="R95" s="166">
        <f t="shared" si="43"/>
        <v>19</v>
      </c>
      <c r="S95" s="166">
        <f t="shared" si="43"/>
        <v>19</v>
      </c>
      <c r="T95" s="166">
        <f t="shared" si="43"/>
        <v>19</v>
      </c>
      <c r="U95" s="166">
        <f t="shared" si="43"/>
        <v>19</v>
      </c>
      <c r="V95" s="166">
        <f t="shared" si="43"/>
        <v>0</v>
      </c>
      <c r="W95" s="166">
        <f t="shared" si="43"/>
        <v>0</v>
      </c>
      <c r="X95" s="348"/>
      <c r="Y95" s="223"/>
      <c r="Z95" s="348"/>
      <c r="AA95" s="332"/>
      <c r="AB95" s="332"/>
      <c r="AC95" s="380"/>
      <c r="AD95" s="380"/>
      <c r="AE95" s="380"/>
      <c r="AF95" s="380"/>
      <c r="AG95" s="380"/>
      <c r="AH95" s="382"/>
      <c r="AI95" s="383"/>
      <c r="AJ95" s="383"/>
      <c r="AN95" s="385"/>
      <c r="AU95" s="394"/>
    </row>
    <row r="96" spans="2:51" s="384" customFormat="1" ht="62.25" customHeight="1" thickTop="1" x14ac:dyDescent="0.9">
      <c r="B96" s="379"/>
      <c r="C96" s="379"/>
      <c r="D96" s="387"/>
      <c r="E96" s="387"/>
      <c r="F96" s="387"/>
      <c r="G96" s="387"/>
      <c r="H96" s="387"/>
      <c r="I96" s="389"/>
      <c r="J96" s="388"/>
      <c r="K96" s="387"/>
      <c r="L96" s="347"/>
      <c r="M96" s="349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32"/>
      <c r="Y96" s="345"/>
      <c r="Z96" s="332"/>
      <c r="AA96" s="332"/>
      <c r="AB96" s="332"/>
      <c r="AC96" s="380"/>
      <c r="AD96" s="380"/>
      <c r="AE96" s="380"/>
      <c r="AF96" s="380"/>
      <c r="AG96" s="390"/>
      <c r="AH96" s="382"/>
      <c r="AI96" s="383"/>
      <c r="AJ96" s="383"/>
      <c r="AN96" s="385"/>
      <c r="AU96" s="394"/>
    </row>
    <row r="97" spans="2:47" s="98" customFormat="1" ht="62.25" customHeight="1" thickBot="1" x14ac:dyDescent="0.95">
      <c r="B97" s="94"/>
      <c r="C97" s="94"/>
      <c r="D97" s="92"/>
      <c r="E97" s="92"/>
      <c r="F97" s="92"/>
      <c r="G97" s="92"/>
      <c r="H97" s="92"/>
      <c r="I97" s="91"/>
      <c r="J97" s="93"/>
      <c r="K97" s="92"/>
      <c r="L97" s="350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91"/>
      <c r="AD97" s="91"/>
      <c r="AE97" s="91"/>
      <c r="AF97" s="91"/>
      <c r="AG97" s="91"/>
      <c r="AH97" s="95"/>
      <c r="AI97" s="158"/>
      <c r="AJ97" s="158"/>
      <c r="AN97" s="183"/>
      <c r="AU97" s="393"/>
    </row>
    <row r="98" spans="2:47" s="98" customFormat="1" ht="88.5" customHeight="1" thickTop="1" thickBot="1" x14ac:dyDescent="0.95">
      <c r="B98" s="94"/>
      <c r="C98" s="94"/>
      <c r="D98" s="92"/>
      <c r="E98" s="92"/>
      <c r="F98" s="92"/>
      <c r="G98" s="92"/>
      <c r="H98" s="92"/>
      <c r="I98" s="91"/>
      <c r="J98" s="93"/>
      <c r="K98" s="212" t="s">
        <v>18</v>
      </c>
      <c r="L98" s="351" t="s">
        <v>180</v>
      </c>
      <c r="M98" s="166">
        <f t="shared" ref="M98:W98" si="44">+IF(M101=0,0,SUMIFS($J$6:$J$90,$L$6:$L$90,$K$98))</f>
        <v>4</v>
      </c>
      <c r="N98" s="166">
        <f t="shared" si="44"/>
        <v>4</v>
      </c>
      <c r="O98" s="166">
        <f t="shared" si="44"/>
        <v>4</v>
      </c>
      <c r="P98" s="166">
        <f t="shared" si="44"/>
        <v>4</v>
      </c>
      <c r="Q98" s="166">
        <f t="shared" si="44"/>
        <v>4</v>
      </c>
      <c r="R98" s="166">
        <f t="shared" si="44"/>
        <v>4</v>
      </c>
      <c r="S98" s="166">
        <f t="shared" si="44"/>
        <v>4</v>
      </c>
      <c r="T98" s="166">
        <f t="shared" si="44"/>
        <v>4</v>
      </c>
      <c r="U98" s="166">
        <f t="shared" si="44"/>
        <v>4</v>
      </c>
      <c r="V98" s="166">
        <f t="shared" si="44"/>
        <v>0</v>
      </c>
      <c r="W98" s="166">
        <f t="shared" si="44"/>
        <v>0</v>
      </c>
      <c r="X98" s="2"/>
      <c r="Y98" s="223"/>
      <c r="Z98" s="2"/>
      <c r="AA98" s="1"/>
      <c r="AB98" s="1"/>
      <c r="AC98" s="91"/>
      <c r="AD98" s="91"/>
      <c r="AE98" s="91"/>
      <c r="AF98" s="91"/>
      <c r="AG98" s="91"/>
      <c r="AH98" s="95"/>
      <c r="AI98" s="158"/>
      <c r="AJ98" s="158"/>
      <c r="AN98" s="183"/>
      <c r="AU98" s="393"/>
    </row>
    <row r="99" spans="2:47" s="98" customFormat="1" ht="62.25" customHeight="1" thickTop="1" x14ac:dyDescent="0.9">
      <c r="B99" s="94"/>
      <c r="C99" s="94"/>
      <c r="D99" s="92"/>
      <c r="E99" s="92"/>
      <c r="F99" s="92"/>
      <c r="G99" s="92"/>
      <c r="H99" s="92"/>
      <c r="I99" s="92"/>
      <c r="J99" s="93"/>
      <c r="K99" s="212"/>
      <c r="L99" s="350"/>
      <c r="M99" s="352"/>
      <c r="N99" s="352"/>
      <c r="O99" s="352"/>
      <c r="P99" s="352"/>
      <c r="Q99" s="352"/>
      <c r="R99" s="352"/>
      <c r="S99" s="352"/>
      <c r="T99" s="352"/>
      <c r="U99" s="352"/>
      <c r="V99" s="352"/>
      <c r="W99" s="352"/>
      <c r="X99" s="1"/>
      <c r="Y99" s="352"/>
      <c r="Z99" s="1"/>
      <c r="AA99" s="1"/>
      <c r="AB99" s="1"/>
      <c r="AC99" s="91"/>
      <c r="AD99" s="91"/>
      <c r="AE99" s="91"/>
      <c r="AF99" s="91"/>
      <c r="AG99" s="91"/>
      <c r="AH99" s="95"/>
      <c r="AI99" s="158"/>
      <c r="AJ99" s="158"/>
      <c r="AN99" s="183"/>
      <c r="AU99" s="393"/>
    </row>
    <row r="100" spans="2:47" s="98" customFormat="1" ht="62.25" customHeight="1" thickBot="1" x14ac:dyDescent="0.95">
      <c r="B100" s="94"/>
      <c r="C100" s="94"/>
      <c r="D100" s="92"/>
      <c r="E100" s="92"/>
      <c r="F100" s="92"/>
      <c r="G100" s="92"/>
      <c r="H100" s="92"/>
      <c r="I100" s="92"/>
      <c r="J100" s="93"/>
      <c r="K100" s="212"/>
      <c r="L100" s="350"/>
      <c r="M100" s="1"/>
      <c r="N100" s="1"/>
      <c r="O100" s="1"/>
      <c r="P100" s="1"/>
      <c r="Q100" s="353"/>
      <c r="R100" s="353"/>
      <c r="S100" s="353"/>
      <c r="T100" s="353"/>
      <c r="U100" s="353"/>
      <c r="V100" s="353"/>
      <c r="W100" s="353"/>
      <c r="X100" s="1"/>
      <c r="Y100" s="353"/>
      <c r="Z100" s="1"/>
      <c r="AA100" s="1"/>
      <c r="AB100" s="1"/>
      <c r="AC100" s="91"/>
      <c r="AD100" s="91"/>
      <c r="AE100" s="91"/>
      <c r="AF100" s="91"/>
      <c r="AG100" s="91"/>
      <c r="AH100" s="95"/>
      <c r="AI100" s="158"/>
      <c r="AJ100" s="158"/>
      <c r="AN100" s="183"/>
      <c r="AU100" s="393"/>
    </row>
    <row r="101" spans="2:47" s="98" customFormat="1" ht="98.25" customHeight="1" thickTop="1" thickBot="1" x14ac:dyDescent="0.95">
      <c r="B101" s="94"/>
      <c r="C101" s="94"/>
      <c r="D101" s="92"/>
      <c r="E101" s="92"/>
      <c r="F101" s="92"/>
      <c r="G101" s="92"/>
      <c r="H101" s="92"/>
      <c r="I101" s="92"/>
      <c r="J101" s="93"/>
      <c r="K101" s="212"/>
      <c r="L101" s="351" t="s">
        <v>18</v>
      </c>
      <c r="M101" s="166">
        <f t="shared" ref="M101:W101" si="45">+SUMIF($L$6:$L$90,$L$101,M6:M90)</f>
        <v>736</v>
      </c>
      <c r="N101" s="166">
        <f t="shared" si="45"/>
        <v>742</v>
      </c>
      <c r="O101" s="166">
        <f t="shared" si="45"/>
        <v>741</v>
      </c>
      <c r="P101" s="166">
        <f t="shared" si="45"/>
        <v>741</v>
      </c>
      <c r="Q101" s="166">
        <f t="shared" si="45"/>
        <v>741</v>
      </c>
      <c r="R101" s="166">
        <f t="shared" si="45"/>
        <v>741</v>
      </c>
      <c r="S101" s="166">
        <f t="shared" si="45"/>
        <v>741</v>
      </c>
      <c r="T101" s="166">
        <f t="shared" si="45"/>
        <v>741</v>
      </c>
      <c r="U101" s="166">
        <f t="shared" si="45"/>
        <v>741</v>
      </c>
      <c r="V101" s="166">
        <f t="shared" si="45"/>
        <v>0</v>
      </c>
      <c r="W101" s="166">
        <f t="shared" si="45"/>
        <v>0</v>
      </c>
      <c r="X101" s="1"/>
      <c r="Y101" s="223"/>
      <c r="Z101" s="1"/>
      <c r="AA101" s="1"/>
      <c r="AB101" s="1"/>
      <c r="AC101" s="91"/>
      <c r="AD101" s="91"/>
      <c r="AE101" s="91"/>
      <c r="AF101" s="91"/>
      <c r="AG101" s="91"/>
      <c r="AH101" s="95"/>
      <c r="AI101" s="158"/>
      <c r="AJ101" s="158"/>
      <c r="AN101" s="183"/>
      <c r="AU101" s="393"/>
    </row>
    <row r="102" spans="2:47" s="98" customFormat="1" ht="62.25" customHeight="1" thickTop="1" x14ac:dyDescent="0.9">
      <c r="B102" s="94"/>
      <c r="C102" s="94"/>
      <c r="D102" s="92"/>
      <c r="E102" s="92"/>
      <c r="F102" s="92"/>
      <c r="G102" s="92"/>
      <c r="H102" s="92"/>
      <c r="I102" s="92"/>
      <c r="J102" s="93"/>
      <c r="K102" s="212"/>
      <c r="L102" s="350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1"/>
      <c r="Y102" s="354"/>
      <c r="Z102" s="1"/>
      <c r="AA102" s="1"/>
      <c r="AB102" s="1"/>
      <c r="AC102" s="91"/>
      <c r="AD102" s="91"/>
      <c r="AE102" s="91"/>
      <c r="AF102" s="91"/>
      <c r="AG102" s="91"/>
      <c r="AH102" s="95"/>
      <c r="AI102" s="158"/>
      <c r="AJ102" s="158"/>
      <c r="AN102" s="183"/>
      <c r="AU102" s="393"/>
    </row>
    <row r="103" spans="2:47" s="98" customFormat="1" ht="62.25" customHeight="1" thickBot="1" x14ac:dyDescent="0.95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50"/>
      <c r="M103" s="1"/>
      <c r="N103" s="1"/>
      <c r="O103" s="1"/>
      <c r="P103" s="1"/>
      <c r="Q103" s="353"/>
      <c r="R103" s="353"/>
      <c r="S103" s="353"/>
      <c r="T103" s="353"/>
      <c r="U103" s="353"/>
      <c r="V103" s="353"/>
      <c r="W103" s="353"/>
      <c r="X103" s="1"/>
      <c r="Y103" s="353"/>
      <c r="Z103" s="1"/>
      <c r="AA103" s="1"/>
      <c r="AB103" s="1"/>
      <c r="AC103" s="91"/>
      <c r="AD103" s="91"/>
      <c r="AE103" s="91"/>
      <c r="AF103" s="91"/>
      <c r="AG103" s="91"/>
      <c r="AH103" s="95"/>
      <c r="AI103" s="158"/>
      <c r="AJ103" s="158"/>
      <c r="AN103" s="183"/>
      <c r="AU103" s="393"/>
    </row>
    <row r="104" spans="2:47" s="98" customFormat="1" ht="94.5" customHeight="1" thickTop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92"/>
      <c r="L104" s="351" t="s">
        <v>13</v>
      </c>
      <c r="M104" s="166">
        <f>+M101+M98+M95</f>
        <v>759</v>
      </c>
      <c r="N104" s="166">
        <f t="shared" ref="N104:W104" si="46">+N101+N98+N95</f>
        <v>765</v>
      </c>
      <c r="O104" s="166">
        <f t="shared" si="46"/>
        <v>764</v>
      </c>
      <c r="P104" s="166">
        <f t="shared" si="46"/>
        <v>764</v>
      </c>
      <c r="Q104" s="166">
        <f t="shared" si="46"/>
        <v>764</v>
      </c>
      <c r="R104" s="166">
        <f t="shared" si="46"/>
        <v>764</v>
      </c>
      <c r="S104" s="166">
        <f t="shared" si="46"/>
        <v>764</v>
      </c>
      <c r="T104" s="166">
        <f t="shared" si="46"/>
        <v>764</v>
      </c>
      <c r="U104" s="166">
        <f t="shared" si="46"/>
        <v>764</v>
      </c>
      <c r="V104" s="166">
        <f t="shared" si="46"/>
        <v>0</v>
      </c>
      <c r="W104" s="166">
        <f t="shared" si="46"/>
        <v>0</v>
      </c>
      <c r="X104" s="1"/>
      <c r="Y104" s="223"/>
      <c r="Z104" s="1"/>
      <c r="AA104" s="1"/>
      <c r="AB104" s="1"/>
      <c r="AC104" s="91"/>
      <c r="AD104" s="91"/>
      <c r="AE104" s="91"/>
      <c r="AF104" s="91"/>
      <c r="AG104" s="91"/>
      <c r="AH104" s="95"/>
      <c r="AI104" s="155"/>
      <c r="AJ104" s="155"/>
      <c r="AN104" s="183"/>
      <c r="AU104" s="393"/>
    </row>
    <row r="105" spans="2:47" s="98" customFormat="1" ht="62.25" thickTop="1" x14ac:dyDescent="0.9">
      <c r="B105" s="94"/>
      <c r="C105" s="94"/>
      <c r="D105" s="92"/>
      <c r="E105" s="92"/>
      <c r="F105" s="92"/>
      <c r="G105" s="92"/>
      <c r="H105" s="92"/>
      <c r="I105" s="92"/>
      <c r="J105" s="93"/>
      <c r="K105" s="92"/>
      <c r="L105" s="35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47" x14ac:dyDescent="0.9">
      <c r="J106" s="91"/>
      <c r="K106" s="91"/>
      <c r="T106" s="544"/>
      <c r="U106" s="544"/>
      <c r="V106" s="544"/>
      <c r="AI106" s="158"/>
      <c r="AJ106" s="158"/>
    </row>
    <row r="107" spans="2:47" ht="105" customHeight="1" x14ac:dyDescent="0.9">
      <c r="B107" s="391"/>
      <c r="AI107" s="158"/>
      <c r="AJ107" s="158"/>
    </row>
    <row r="108" spans="2:47" s="98" customFormat="1" x14ac:dyDescent="0.9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99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5"/>
      <c r="AI108" s="158"/>
      <c r="AJ108" s="158"/>
      <c r="AN108" s="183"/>
      <c r="AU108" s="393"/>
    </row>
    <row r="109" spans="2:47" s="98" customFormat="1" x14ac:dyDescent="0.9">
      <c r="B109" s="94"/>
      <c r="C109" s="94"/>
      <c r="D109" s="92"/>
      <c r="E109" s="92"/>
      <c r="F109" s="92"/>
      <c r="G109" s="92"/>
      <c r="H109" s="92"/>
      <c r="I109" s="91"/>
      <c r="J109" s="93"/>
      <c r="K109" s="92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47" s="98" customFormat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92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5"/>
      <c r="AI110" s="158"/>
      <c r="AJ110" s="158"/>
      <c r="AN110" s="183"/>
      <c r="AU110" s="393"/>
    </row>
    <row r="111" spans="2:47" s="98" customFormat="1" ht="66" customHeight="1" x14ac:dyDescent="0.9">
      <c r="B111" s="94"/>
      <c r="C111" s="94"/>
      <c r="D111" s="92"/>
      <c r="E111" s="92"/>
      <c r="F111" s="92"/>
      <c r="G111" s="92"/>
      <c r="H111" s="92"/>
      <c r="I111" s="92"/>
      <c r="J111" s="93"/>
      <c r="K111" s="92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5"/>
      <c r="AI111" s="158"/>
      <c r="AJ111" s="158"/>
      <c r="AN111" s="183"/>
      <c r="AU111" s="393"/>
    </row>
    <row r="113" spans="2:47" s="92" customFormat="1" x14ac:dyDescent="0.7">
      <c r="B113" s="94"/>
      <c r="C113" s="94"/>
      <c r="D113" s="92">
        <v>2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5"/>
      <c r="AI113" s="155"/>
      <c r="AJ113" s="155"/>
      <c r="AK113" s="98"/>
      <c r="AL113" s="98"/>
      <c r="AM113" s="98"/>
      <c r="AN113" s="183"/>
      <c r="AO113" s="91"/>
      <c r="AP113" s="91"/>
      <c r="AU113" s="243"/>
    </row>
    <row r="114" spans="2:47" s="92" customFormat="1" x14ac:dyDescent="0.7">
      <c r="B114" s="94"/>
      <c r="C114" s="94"/>
      <c r="H114" s="92">
        <v>1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5"/>
      <c r="AI114" s="155"/>
      <c r="AJ114" s="155"/>
      <c r="AK114" s="98"/>
      <c r="AL114" s="98"/>
      <c r="AM114" s="98"/>
      <c r="AN114" s="183"/>
      <c r="AO114" s="91"/>
      <c r="AP114" s="91"/>
      <c r="AU114" s="243"/>
    </row>
    <row r="115" spans="2:47" s="92" customFormat="1" x14ac:dyDescent="0.7">
      <c r="B115" s="94"/>
      <c r="C115" s="94"/>
      <c r="H115" s="92">
        <v>2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5"/>
      <c r="AI115" s="155"/>
      <c r="AJ115" s="155"/>
      <c r="AK115" s="98"/>
      <c r="AL115" s="98"/>
      <c r="AM115" s="98"/>
      <c r="AN115" s="183"/>
      <c r="AO115" s="91"/>
      <c r="AP115" s="91"/>
      <c r="AU115" s="243"/>
    </row>
    <row r="116" spans="2:47" s="92" customFormat="1" x14ac:dyDescent="0.7">
      <c r="B116" s="94"/>
      <c r="C116" s="94"/>
      <c r="H116" s="92">
        <v>3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5"/>
      <c r="AI116" s="155"/>
      <c r="AJ116" s="155"/>
      <c r="AK116" s="98"/>
      <c r="AL116" s="98"/>
      <c r="AM116" s="98"/>
      <c r="AN116" s="183"/>
      <c r="AO116" s="91"/>
      <c r="AP116" s="91"/>
      <c r="AU116" s="243"/>
    </row>
    <row r="117" spans="2:47" s="92" customFormat="1" x14ac:dyDescent="0.7">
      <c r="B117" s="94"/>
      <c r="C117" s="94"/>
      <c r="H117" s="92">
        <v>4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5"/>
      <c r="AJ117" s="155"/>
      <c r="AK117" s="98"/>
      <c r="AL117" s="98"/>
      <c r="AM117" s="98"/>
      <c r="AN117" s="183"/>
      <c r="AO117" s="91"/>
      <c r="AP117" s="91"/>
      <c r="AU117" s="243"/>
    </row>
    <row r="118" spans="2:47" s="92" customFormat="1" x14ac:dyDescent="0.7">
      <c r="B118" s="94"/>
      <c r="C118" s="94"/>
      <c r="H118" s="92">
        <v>5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5"/>
      <c r="AJ118" s="155"/>
      <c r="AK118" s="98"/>
      <c r="AL118" s="98"/>
      <c r="AM118" s="98"/>
      <c r="AN118" s="183"/>
      <c r="AO118" s="91"/>
      <c r="AP118" s="91"/>
      <c r="AU118" s="243"/>
    </row>
    <row r="119" spans="2:47" s="92" customFormat="1" x14ac:dyDescent="0.7">
      <c r="B119" s="94"/>
      <c r="C119" s="94"/>
      <c r="H119" s="92">
        <v>6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5"/>
      <c r="AJ119" s="155"/>
      <c r="AK119" s="98"/>
      <c r="AL119" s="98"/>
      <c r="AM119" s="98"/>
      <c r="AN119" s="183"/>
      <c r="AO119" s="91"/>
      <c r="AP119" s="91"/>
      <c r="AU119" s="243"/>
    </row>
    <row r="120" spans="2:47" s="92" customFormat="1" x14ac:dyDescent="0.7">
      <c r="B120" s="94"/>
      <c r="C120" s="94"/>
      <c r="H120" s="92">
        <v>7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5"/>
      <c r="AJ120" s="155"/>
      <c r="AK120" s="98"/>
      <c r="AL120" s="98"/>
      <c r="AM120" s="98"/>
      <c r="AN120" s="183"/>
      <c r="AO120" s="91"/>
      <c r="AP120" s="91"/>
      <c r="AU120" s="243"/>
    </row>
    <row r="121" spans="2:47" s="92" customFormat="1" x14ac:dyDescent="0.7">
      <c r="B121" s="94"/>
      <c r="C121" s="94"/>
      <c r="H121" s="92">
        <v>8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11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12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13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14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15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17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18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19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85" spans="2:47" s="92" customFormat="1" x14ac:dyDescent="0.7">
      <c r="B185" s="94"/>
      <c r="C185" s="94"/>
      <c r="G185" s="92">
        <v>1</v>
      </c>
      <c r="J185" s="93"/>
      <c r="L185" s="99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5"/>
      <c r="AI185" s="155"/>
      <c r="AJ185" s="155"/>
      <c r="AK185" s="98"/>
      <c r="AL185" s="98"/>
      <c r="AM185" s="98"/>
      <c r="AN185" s="183"/>
      <c r="AO185" s="91"/>
      <c r="AP185" s="91"/>
      <c r="AU185" s="243"/>
    </row>
  </sheetData>
  <autoFilter ref="A5:CT81">
    <filterColumn colId="9" showButton="0"/>
  </autoFilter>
  <mergeCells count="62">
    <mergeCell ref="AA91:AB91"/>
    <mergeCell ref="AA93:AB93"/>
    <mergeCell ref="T106:V106"/>
    <mergeCell ref="G78:G81"/>
    <mergeCell ref="AA78:AA80"/>
    <mergeCell ref="G82:G85"/>
    <mergeCell ref="AA82:AA84"/>
    <mergeCell ref="G86:G89"/>
    <mergeCell ref="AA86:AA88"/>
    <mergeCell ref="G70:G73"/>
    <mergeCell ref="AA70:AA72"/>
    <mergeCell ref="AZ71:BJ71"/>
    <mergeCell ref="G74:G77"/>
    <mergeCell ref="AA74:AA76"/>
    <mergeCell ref="AZ75:BJ75"/>
    <mergeCell ref="G66:G69"/>
    <mergeCell ref="AA66:AA68"/>
    <mergeCell ref="AZ67:BI67"/>
    <mergeCell ref="G54:G57"/>
    <mergeCell ref="AA54:AA56"/>
    <mergeCell ref="G58:G61"/>
    <mergeCell ref="AA58:AA60"/>
    <mergeCell ref="G62:G65"/>
    <mergeCell ref="AA62:AA64"/>
    <mergeCell ref="AZ39:BI39"/>
    <mergeCell ref="G42:G45"/>
    <mergeCell ref="AA42:AA44"/>
    <mergeCell ref="G46:G49"/>
    <mergeCell ref="AA46:AA48"/>
    <mergeCell ref="G50:G53"/>
    <mergeCell ref="AA50:AA52"/>
    <mergeCell ref="G34:G37"/>
    <mergeCell ref="AA34:AA36"/>
    <mergeCell ref="G38:G41"/>
    <mergeCell ref="AA38:AA40"/>
    <mergeCell ref="G30:G33"/>
    <mergeCell ref="AA30:AA32"/>
    <mergeCell ref="G14:G17"/>
    <mergeCell ref="AA14:AA16"/>
    <mergeCell ref="AZ15:BI15"/>
    <mergeCell ref="G18:G21"/>
    <mergeCell ref="AA18:AA20"/>
    <mergeCell ref="AZ19:BI19"/>
    <mergeCell ref="G22:G25"/>
    <mergeCell ref="AA22:AA24"/>
    <mergeCell ref="AZ23:BI23"/>
    <mergeCell ref="G26:G29"/>
    <mergeCell ref="AA26:AA28"/>
    <mergeCell ref="J5:K5"/>
    <mergeCell ref="G6:G9"/>
    <mergeCell ref="AA6:AA8"/>
    <mergeCell ref="AZ7:BI7"/>
    <mergeCell ref="G10:G13"/>
    <mergeCell ref="AA10:AA12"/>
    <mergeCell ref="AZ11:BI11"/>
    <mergeCell ref="AG1:AH1"/>
    <mergeCell ref="AG2:AH3"/>
    <mergeCell ref="H3:I3"/>
    <mergeCell ref="K3:L3"/>
    <mergeCell ref="B4:G4"/>
    <mergeCell ref="K4:L4"/>
    <mergeCell ref="AG4:AH4"/>
  </mergeCells>
  <conditionalFormatting sqref="I8">
    <cfRule type="cellIs" dxfId="1660" priority="414" operator="greaterThan">
      <formula>0</formula>
    </cfRule>
  </conditionalFormatting>
  <conditionalFormatting sqref="I12">
    <cfRule type="cellIs" dxfId="1659" priority="205" operator="greaterThan">
      <formula>0</formula>
    </cfRule>
  </conditionalFormatting>
  <conditionalFormatting sqref="I16">
    <cfRule type="cellIs" dxfId="1658" priority="375" operator="greaterThan">
      <formula>0</formula>
    </cfRule>
  </conditionalFormatting>
  <conditionalFormatting sqref="I20">
    <cfRule type="cellIs" dxfId="1657" priority="61" operator="greaterThan">
      <formula>0</formula>
    </cfRule>
  </conditionalFormatting>
  <conditionalFormatting sqref="I24">
    <cfRule type="cellIs" dxfId="1656" priority="309" operator="greaterThan">
      <formula>0</formula>
    </cfRule>
  </conditionalFormatting>
  <conditionalFormatting sqref="I28">
    <cfRule type="cellIs" dxfId="1655" priority="385" operator="greaterThan">
      <formula>0</formula>
    </cfRule>
  </conditionalFormatting>
  <conditionalFormatting sqref="I32">
    <cfRule type="cellIs" dxfId="1654" priority="415" operator="greaterThan">
      <formula>0</formula>
    </cfRule>
  </conditionalFormatting>
  <conditionalFormatting sqref="I36">
    <cfRule type="cellIs" dxfId="1653" priority="303" operator="greaterThan">
      <formula>0</formula>
    </cfRule>
  </conditionalFormatting>
  <conditionalFormatting sqref="I40">
    <cfRule type="cellIs" dxfId="1652" priority="272" operator="greaterThan">
      <formula>0</formula>
    </cfRule>
  </conditionalFormatting>
  <conditionalFormatting sqref="I44">
    <cfRule type="cellIs" dxfId="1651" priority="350" operator="greaterThan">
      <formula>0</formula>
    </cfRule>
  </conditionalFormatting>
  <conditionalFormatting sqref="I48">
    <cfRule type="cellIs" dxfId="1650" priority="427" operator="greaterThan">
      <formula>0</formula>
    </cfRule>
  </conditionalFormatting>
  <conditionalFormatting sqref="I52">
    <cfRule type="cellIs" dxfId="1649" priority="392" operator="greaterThan">
      <formula>0</formula>
    </cfRule>
  </conditionalFormatting>
  <conditionalFormatting sqref="I56">
    <cfRule type="cellIs" dxfId="1648" priority="363" operator="greaterThan">
      <formula>0</formula>
    </cfRule>
  </conditionalFormatting>
  <conditionalFormatting sqref="I60">
    <cfRule type="cellIs" dxfId="1647" priority="110" operator="greaterThan">
      <formula>0</formula>
    </cfRule>
  </conditionalFormatting>
  <conditionalFormatting sqref="I64">
    <cfRule type="cellIs" dxfId="1646" priority="258" operator="greaterThan">
      <formula>0</formula>
    </cfRule>
  </conditionalFormatting>
  <conditionalFormatting sqref="I68">
    <cfRule type="cellIs" dxfId="1645" priority="247" operator="greaterThan">
      <formula>0</formula>
    </cfRule>
  </conditionalFormatting>
  <conditionalFormatting sqref="I72">
    <cfRule type="cellIs" dxfId="1644" priority="283" operator="greaterThan">
      <formula>0</formula>
    </cfRule>
  </conditionalFormatting>
  <conditionalFormatting sqref="I76">
    <cfRule type="cellIs" dxfId="1643" priority="157" operator="greaterThan">
      <formula>0</formula>
    </cfRule>
  </conditionalFormatting>
  <conditionalFormatting sqref="I80">
    <cfRule type="cellIs" dxfId="1642" priority="356" operator="greaterThan">
      <formula>0</formula>
    </cfRule>
  </conditionalFormatting>
  <conditionalFormatting sqref="I84">
    <cfRule type="cellIs" dxfId="1641" priority="383" operator="greaterThan">
      <formula>0</formula>
    </cfRule>
  </conditionalFormatting>
  <conditionalFormatting sqref="I88">
    <cfRule type="cellIs" dxfId="1640" priority="265" operator="greaterThan">
      <formula>0</formula>
    </cfRule>
  </conditionalFormatting>
  <conditionalFormatting sqref="J8">
    <cfRule type="cellIs" dxfId="1639" priority="411" operator="greaterThan">
      <formula>0</formula>
    </cfRule>
  </conditionalFormatting>
  <conditionalFormatting sqref="J12">
    <cfRule type="cellIs" dxfId="1638" priority="7" operator="greaterThan">
      <formula>0</formula>
    </cfRule>
  </conditionalFormatting>
  <conditionalFormatting sqref="J16">
    <cfRule type="cellIs" dxfId="1637" priority="278" operator="greaterThan">
      <formula>0</formula>
    </cfRule>
  </conditionalFormatting>
  <conditionalFormatting sqref="J20">
    <cfRule type="cellIs" dxfId="1636" priority="57" operator="greaterThan">
      <formula>0</formula>
    </cfRule>
  </conditionalFormatting>
  <conditionalFormatting sqref="J24">
    <cfRule type="cellIs" dxfId="1635" priority="308" operator="greaterThan">
      <formula>0</formula>
    </cfRule>
  </conditionalFormatting>
  <conditionalFormatting sqref="J28">
    <cfRule type="cellIs" dxfId="1634" priority="386" operator="greaterThan">
      <formula>0</formula>
    </cfRule>
  </conditionalFormatting>
  <conditionalFormatting sqref="J32">
    <cfRule type="cellIs" dxfId="1633" priority="297" operator="greaterThan">
      <formula>0</formula>
    </cfRule>
  </conditionalFormatting>
  <conditionalFormatting sqref="J36">
    <cfRule type="cellIs" dxfId="1632" priority="298" operator="greaterThan">
      <formula>0</formula>
    </cfRule>
  </conditionalFormatting>
  <conditionalFormatting sqref="J40">
    <cfRule type="cellIs" dxfId="1631" priority="267" operator="greaterThan">
      <formula>0</formula>
    </cfRule>
  </conditionalFormatting>
  <conditionalFormatting sqref="J44">
    <cfRule type="cellIs" dxfId="1630" priority="345" operator="greaterThan">
      <formula>0</formula>
    </cfRule>
  </conditionalFormatting>
  <conditionalFormatting sqref="J48">
    <cfRule type="cellIs" dxfId="1629" priority="422" operator="greaterThan">
      <formula>0</formula>
    </cfRule>
  </conditionalFormatting>
  <conditionalFormatting sqref="J52">
    <cfRule type="cellIs" dxfId="1628" priority="296" operator="greaterThan">
      <formula>0</formula>
    </cfRule>
  </conditionalFormatting>
  <conditionalFormatting sqref="J56">
    <cfRule type="cellIs" dxfId="1627" priority="343" operator="greaterThan">
      <formula>0</formula>
    </cfRule>
  </conditionalFormatting>
  <conditionalFormatting sqref="J60">
    <cfRule type="cellIs" dxfId="1626" priority="105" operator="greaterThan">
      <formula>0</formula>
    </cfRule>
  </conditionalFormatting>
  <conditionalFormatting sqref="J64">
    <cfRule type="cellIs" dxfId="1625" priority="253" operator="greaterThan">
      <formula>0</formula>
    </cfRule>
  </conditionalFormatting>
  <conditionalFormatting sqref="J68">
    <cfRule type="cellIs" dxfId="1624" priority="246" operator="greaterThan">
      <formula>0</formula>
    </cfRule>
  </conditionalFormatting>
  <conditionalFormatting sqref="J72">
    <cfRule type="cellIs" dxfId="1623" priority="279" operator="greaterThan">
      <formula>0</formula>
    </cfRule>
  </conditionalFormatting>
  <conditionalFormatting sqref="J76">
    <cfRule type="cellIs" dxfId="1622" priority="153" operator="greaterThan">
      <formula>0</formula>
    </cfRule>
  </conditionalFormatting>
  <conditionalFormatting sqref="J80">
    <cfRule type="cellIs" dxfId="1621" priority="344" operator="greaterThan">
      <formula>0</formula>
    </cfRule>
  </conditionalFormatting>
  <conditionalFormatting sqref="J84">
    <cfRule type="cellIs" dxfId="1620" priority="378" operator="greaterThan">
      <formula>0</formula>
    </cfRule>
  </conditionalFormatting>
  <conditionalFormatting sqref="J88">
    <cfRule type="cellIs" dxfId="1619" priority="260" operator="greaterThan">
      <formula>0</formula>
    </cfRule>
  </conditionalFormatting>
  <conditionalFormatting sqref="X6:X90">
    <cfRule type="cellIs" dxfId="1618" priority="6" operator="lessThan">
      <formula>0</formula>
    </cfRule>
  </conditionalFormatting>
  <conditionalFormatting sqref="X7">
    <cfRule type="iconSet" priority="5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617" priority="4" operator="lessThan">
      <formula>0</formula>
    </cfRule>
  </conditionalFormatting>
  <conditionalFormatting sqref="X12 X16 X20 X24 X28 X32 X36 X40 X44 X48 X52 X56 X60 X64 X68 X72 X76 X80 X84 X88">
    <cfRule type="cellIs" dxfId="1616" priority="1" operator="lessThan">
      <formula>0</formula>
    </cfRule>
  </conditionalFormatting>
  <conditionalFormatting sqref="X67 X63 X11 X15 X19 X23 X27 X31 X35 X39 X43 X47 X51 X55 X59 X71 X75 X79 X83 X87">
    <cfRule type="iconSet" priority="2">
      <iconSet>
        <cfvo type="percent" val="0"/>
        <cfvo type="percent" val="&quot;$I$6&quot;"/>
        <cfvo type="percent" val="#REF!"/>
      </iconSet>
    </cfRule>
  </conditionalFormatting>
  <conditionalFormatting sqref="Z6:Z90">
    <cfRule type="cellIs" dxfId="1615" priority="59" operator="lessThan">
      <formula>0</formula>
    </cfRule>
  </conditionalFormatting>
  <conditionalFormatting sqref="Z7">
    <cfRule type="iconSet" priority="412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614" priority="408" operator="lessThan">
      <formula>0</formula>
    </cfRule>
  </conditionalFormatting>
  <conditionalFormatting sqref="Z11">
    <cfRule type="iconSet" priority="203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613" priority="200" operator="lessThan">
      <formula>0</formula>
    </cfRule>
  </conditionalFormatting>
  <conditionalFormatting sqref="Z15">
    <cfRule type="iconSet" priority="376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612" priority="372" operator="lessThan">
      <formula>0</formula>
    </cfRule>
  </conditionalFormatting>
  <conditionalFormatting sqref="Z19">
    <cfRule type="iconSet" priority="62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611" priority="58" operator="lessThan">
      <formula>0</formula>
    </cfRule>
  </conditionalFormatting>
  <conditionalFormatting sqref="Z23">
    <cfRule type="iconSet" priority="311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610" priority="306" operator="lessThan">
      <formula>0</formula>
    </cfRule>
  </conditionalFormatting>
  <conditionalFormatting sqref="Z27">
    <cfRule type="iconSet" priority="391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609" priority="387" operator="lessThan">
      <formula>0</formula>
    </cfRule>
  </conditionalFormatting>
  <conditionalFormatting sqref="Z31">
    <cfRule type="iconSet" priority="419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608" priority="416" operator="lessThan">
      <formula>0</formula>
    </cfRule>
  </conditionalFormatting>
  <conditionalFormatting sqref="Z35">
    <cfRule type="iconSet" priority="302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607" priority="299" operator="lessThan">
      <formula>0</formula>
    </cfRule>
  </conditionalFormatting>
  <conditionalFormatting sqref="Z39">
    <cfRule type="iconSet" priority="271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606" priority="268" operator="lessThan">
      <formula>0</formula>
    </cfRule>
  </conditionalFormatting>
  <conditionalFormatting sqref="Z43">
    <cfRule type="iconSet" priority="352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605" priority="347" operator="lessThan">
      <formula>0</formula>
    </cfRule>
  </conditionalFormatting>
  <conditionalFormatting sqref="Z47">
    <cfRule type="iconSet" priority="429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604" priority="424" operator="lessThan">
      <formula>0</formula>
    </cfRule>
  </conditionalFormatting>
  <conditionalFormatting sqref="Z51">
    <cfRule type="iconSet" priority="396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603" priority="393" operator="lessThan">
      <formula>0</formula>
    </cfRule>
  </conditionalFormatting>
  <conditionalFormatting sqref="Z55">
    <cfRule type="iconSet" priority="364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602" priority="360" operator="lessThan">
      <formula>0</formula>
    </cfRule>
  </conditionalFormatting>
  <conditionalFormatting sqref="Z59">
    <cfRule type="iconSet" priority="111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601" priority="107" operator="lessThan">
      <formula>0</formula>
    </cfRule>
  </conditionalFormatting>
  <conditionalFormatting sqref="Z63">
    <cfRule type="iconSet" priority="257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600" priority="254" operator="lessThan">
      <formula>0</formula>
    </cfRule>
  </conditionalFormatting>
  <conditionalFormatting sqref="Z67">
    <cfRule type="iconSet" priority="252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599" priority="248" operator="lessThan">
      <formula>0</formula>
    </cfRule>
  </conditionalFormatting>
  <conditionalFormatting sqref="Z71">
    <cfRule type="iconSet" priority="285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598" priority="280" operator="lessThan">
      <formula>0</formula>
    </cfRule>
  </conditionalFormatting>
  <conditionalFormatting sqref="Z75">
    <cfRule type="iconSet" priority="159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597" priority="154" operator="lessThan">
      <formula>0</formula>
    </cfRule>
  </conditionalFormatting>
  <conditionalFormatting sqref="Z79">
    <cfRule type="iconSet" priority="358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596" priority="353" operator="lessThan">
      <formula>0</formula>
    </cfRule>
  </conditionalFormatting>
  <conditionalFormatting sqref="Z83">
    <cfRule type="iconSet" priority="382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595" priority="379" operator="lessThan">
      <formula>0</formula>
    </cfRule>
  </conditionalFormatting>
  <conditionalFormatting sqref="Z87">
    <cfRule type="iconSet" priority="264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1594" priority="261" operator="lessThan">
      <formula>0</formula>
    </cfRule>
  </conditionalFormatting>
  <conditionalFormatting sqref="AA17">
    <cfRule type="cellIs" dxfId="1593" priority="277" operator="lessThan">
      <formula>0</formula>
    </cfRule>
  </conditionalFormatting>
  <conditionalFormatting sqref="AA25">
    <cfRule type="cellIs" dxfId="1592" priority="276" operator="lessThan">
      <formula>0</formula>
    </cfRule>
  </conditionalFormatting>
  <conditionalFormatting sqref="AA33">
    <cfRule type="cellIs" dxfId="1591" priority="295" operator="lessThan">
      <formula>0</formula>
    </cfRule>
  </conditionalFormatting>
  <conditionalFormatting sqref="AA49">
    <cfRule type="cellIs" dxfId="1590" priority="275" operator="lessThan">
      <formula>0</formula>
    </cfRule>
  </conditionalFormatting>
  <conditionalFormatting sqref="AA53">
    <cfRule type="cellIs" dxfId="1589" priority="294" operator="lessThan">
      <formula>0</formula>
    </cfRule>
  </conditionalFormatting>
  <conditionalFormatting sqref="AA57">
    <cfRule type="cellIs" dxfId="1588" priority="274" operator="lessThan">
      <formula>0</formula>
    </cfRule>
  </conditionalFormatting>
  <conditionalFormatting sqref="AG2:AH3">
    <cfRule type="cellIs" dxfId="1587" priority="440" operator="lessThan">
      <formula>0.85</formula>
    </cfRule>
  </conditionalFormatting>
  <conditionalFormatting sqref="AP1:AP1048576">
    <cfRule type="cellIs" dxfId="1586" priority="60" operator="notEqual">
      <formula>0</formula>
    </cfRule>
  </conditionalFormatting>
  <conditionalFormatting sqref="AT6:AT92">
    <cfRule type="cellIs" dxfId="1585" priority="16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13" id="{6B97385D-83BF-4488-889D-E38EA769B56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204" id="{D384FEBF-5125-41E4-9837-E2B135D7148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377" id="{217EF89B-3269-4EAB-A0E6-F55EFD73EB7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63" id="{49EF3CFE-B08A-4F68-8943-B5DDDEA0671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310" id="{345961A8-DF77-48E0-A693-8E876D9E707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390" id="{99518FA3-B08F-49BA-A13E-2788A05F8CE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420" id="{F815E17C-A76C-4044-9CF9-4DEB075F47B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304" id="{C997BF4F-F671-4C55-8661-1257F6ACC21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273" id="{647676D2-14E7-4F32-836A-D741323EC2B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351" id="{267DCF9E-4C03-47E5-91E4-B867232B5C8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428" id="{CD36FB83-E838-4487-A56D-7CFFF35D4AC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397" id="{1903F777-75D5-4585-AC59-1488DD6590D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365" id="{426F7032-A4C8-4FAA-8F5A-839C3CEE741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112" id="{BE4E6ACC-5A7E-47E9-9821-275DEBC1175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259" id="{6CE14F28-EB39-47D3-B817-A6A07686E91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251" id="{C4D02393-C176-4008-91FF-02D7DA5D6FA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284" id="{5D7B9934-BE6E-40FD-AFBA-57DEFC70E11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158" id="{0561899F-8637-45FE-B722-8ED0E6D99C1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357" id="{3D44E55D-749B-4DCD-B527-972FB5487F3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384" id="{35698D10-1B52-42E3-A24E-0DAC18CD78E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266" id="{AAA591BF-3536-46F6-B04B-D7FD553A8A9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81"/>
  <sheetViews>
    <sheetView zoomScale="18" zoomScaleNormal="18" zoomScaleSheetLayoutView="18" workbookViewId="0">
      <pane xSplit="11" ySplit="1" topLeftCell="L23" activePane="bottomRight" state="frozen"/>
      <selection pane="topRight" activeCell="L1" sqref="L1"/>
      <selection pane="bottomLeft" activeCell="A2" sqref="A2"/>
      <selection pane="bottomRight" activeCell="AZ35" sqref="AZ35:BI35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hidden="1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0.75113239049302682</v>
      </c>
      <c r="AH2" s="535"/>
      <c r="AK2" s="183">
        <f>+SUBTOTAL(9,AK6:AK103)</f>
        <v>407280</v>
      </c>
      <c r="AL2" s="183">
        <f>+SUBTOTAL(9,AL6:AL103)</f>
        <v>305921.19999999995</v>
      </c>
      <c r="AW2" s="91">
        <v>0.59793648334624327</v>
      </c>
    </row>
    <row r="3" spans="2:64" ht="94.5" customHeight="1" x14ac:dyDescent="0.9">
      <c r="B3" s="363">
        <f>+AM4</f>
        <v>8.75</v>
      </c>
      <c r="C3" s="233"/>
      <c r="D3" s="233"/>
      <c r="E3" s="233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233"/>
      <c r="AD3" s="96"/>
      <c r="AE3" s="96"/>
      <c r="AF3" s="96"/>
      <c r="AG3" s="535"/>
      <c r="AH3" s="535"/>
      <c r="AK3" s="183"/>
      <c r="AL3" s="183"/>
      <c r="AT3" s="91">
        <v>8.75</v>
      </c>
    </row>
    <row r="4" spans="2:64" s="141" customFormat="1" ht="79.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+SUMIF($L$6:$L$86,AB3,$AB$6:$AB$86)</f>
        <v>7576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05-05-2026</v>
      </c>
      <c r="AH4" s="539"/>
      <c r="AI4" s="362">
        <f>+SUM(AI6:AI91)</f>
        <v>6788</v>
      </c>
      <c r="AJ4" s="362"/>
      <c r="AK4" s="98"/>
      <c r="AL4" s="98"/>
      <c r="AM4" s="363">
        <v>8.75</v>
      </c>
      <c r="AT4" s="396">
        <f>+SUBTOTAL(9,AT6:AT87)</f>
        <v>180.6875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77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/>
      <c r="O6" s="423">
        <v>50</v>
      </c>
      <c r="P6" s="423"/>
      <c r="Q6" s="423">
        <v>50</v>
      </c>
      <c r="R6" s="423">
        <v>50</v>
      </c>
      <c r="S6" s="423">
        <v>50</v>
      </c>
      <c r="T6" s="423">
        <v>50</v>
      </c>
      <c r="U6" s="423">
        <v>50</v>
      </c>
      <c r="V6" s="423"/>
      <c r="W6" s="423"/>
      <c r="X6" s="135">
        <f t="shared" ref="X6:X58" si="0">IF(AT7="","",SUM(M6:W6)-(-(AT7-SUM(M6:W6))/$AT$3)*SUM($M$2:$W$2))</f>
        <v>350</v>
      </c>
      <c r="Y6" s="438"/>
      <c r="Z6" s="400">
        <v>-130</v>
      </c>
      <c r="AA6" s="540">
        <f>+X8</f>
        <v>0</v>
      </c>
      <c r="AB6" s="135">
        <f t="shared" ref="AB6:AB59" si="1">+SUM(L6:W6)</f>
        <v>350</v>
      </c>
      <c r="AC6" s="136">
        <f>+AD6+AB6</f>
        <v>1351</v>
      </c>
      <c r="AD6" s="136">
        <v>1001</v>
      </c>
      <c r="AE6" s="438"/>
      <c r="AF6" s="438"/>
      <c r="AG6" s="109"/>
      <c r="AH6" s="110"/>
      <c r="AI6" s="157"/>
      <c r="AJ6" s="161">
        <f t="shared" ref="AJ6:AJ77" si="2">TRUNC(AI6)+(AI6-TRUNC(AI6))*60/100</f>
        <v>0</v>
      </c>
      <c r="AK6" s="167">
        <f t="shared" ref="AK6:AK77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78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45</v>
      </c>
      <c r="N7" s="214">
        <v>50</v>
      </c>
      <c r="O7" s="214">
        <v>50</v>
      </c>
      <c r="P7" s="214">
        <v>60</v>
      </c>
      <c r="Q7" s="214">
        <v>65</v>
      </c>
      <c r="R7" s="214">
        <v>65</v>
      </c>
      <c r="S7" s="214">
        <v>65</v>
      </c>
      <c r="T7" s="214">
        <v>65</v>
      </c>
      <c r="U7" s="214">
        <v>60</v>
      </c>
      <c r="V7" s="214"/>
      <c r="W7" s="424"/>
      <c r="X7" s="123">
        <f>+IF(H8="s",0,IF(AB7=0,0,IF(COUNTA(M7:W7)=AN9+0.25,SUMIF($C:$C,B7,$AB:$AB)/AN9,SUMIF($C:$C,B7,$AB:$AB)/(COUNTA(M7:W7)))))</f>
        <v>60</v>
      </c>
      <c r="Y7" s="439"/>
      <c r="Z7" s="400"/>
      <c r="AA7" s="541"/>
      <c r="AB7" s="134">
        <f t="shared" si="1"/>
        <v>525</v>
      </c>
      <c r="AC7" s="137">
        <f>+AB7+AD7</f>
        <v>575</v>
      </c>
      <c r="AD7" s="137">
        <v>50</v>
      </c>
      <c r="AE7" s="439">
        <v>0</v>
      </c>
      <c r="AF7" s="439">
        <f>+AE7+Y7</f>
        <v>0</v>
      </c>
      <c r="AG7" s="140">
        <f>+AC6-AC7</f>
        <v>776</v>
      </c>
      <c r="AH7" s="131">
        <f>+IF(((AB8+(AB9/2))*60)=0,"",(J7*AB7)/((AB8+(AB9/2))*60))</f>
        <v>0.89249999999999996</v>
      </c>
      <c r="AI7" s="161">
        <f>+AB8+AB9/2</f>
        <v>420</v>
      </c>
      <c r="AJ7" s="161">
        <f t="shared" si="2"/>
        <v>420</v>
      </c>
      <c r="AK7" s="167">
        <f t="shared" si="3"/>
        <v>25200</v>
      </c>
      <c r="AL7" s="167">
        <f>+AB7*J7</f>
        <v>22491</v>
      </c>
      <c r="AM7" s="230">
        <f>+AB7-(AI7*K7/K9)</f>
        <v>10.714285714285666</v>
      </c>
      <c r="AN7" s="339"/>
      <c r="AO7" s="340"/>
      <c r="AP7" s="167"/>
      <c r="AQ7" s="167"/>
      <c r="AR7" s="167"/>
      <c r="AS7" s="167"/>
      <c r="AT7" s="433">
        <f t="shared" ref="AT7" si="4">IF(AU7=0,"",AW7-(($AT$3*K7)+($AT$3*K7)*AU7)+AB6)</f>
        <v>-90.25</v>
      </c>
      <c r="AU7" s="393">
        <v>1.65</v>
      </c>
      <c r="AW7" s="356">
        <v>951</v>
      </c>
      <c r="AY7" s="356">
        <f>+AW7-AG7</f>
        <v>175</v>
      </c>
      <c r="AZ7" s="581" t="s">
        <v>471</v>
      </c>
      <c r="BA7" s="581"/>
      <c r="BB7" s="581"/>
      <c r="BC7" s="581"/>
      <c r="BD7" s="581"/>
      <c r="BE7" s="581"/>
      <c r="BF7" s="581"/>
      <c r="BG7" s="581"/>
      <c r="BH7" s="581"/>
      <c r="BI7" s="58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78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47</v>
      </c>
      <c r="N8" s="215">
        <v>47</v>
      </c>
      <c r="O8" s="215">
        <v>47</v>
      </c>
      <c r="P8" s="215">
        <v>47</v>
      </c>
      <c r="Q8" s="215">
        <v>47</v>
      </c>
      <c r="R8" s="215">
        <v>47</v>
      </c>
      <c r="S8" s="215">
        <v>47</v>
      </c>
      <c r="T8" s="215">
        <v>47</v>
      </c>
      <c r="U8" s="215">
        <v>47</v>
      </c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541"/>
      <c r="AB8" s="443">
        <f t="shared" ref="AB8:AB61" si="5">+SUM(M8:W8)-U8*0.25</f>
        <v>411.25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411.25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79" t="str">
        <f>+G6</f>
        <v>2917-496-712</v>
      </c>
      <c r="H9" s="454">
        <f>+AC6-H7</f>
        <v>-4649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8">
        <f>+IF(COUNTA(M7:W7)=$AM$4+0.25,$AM$4-(AB7/K7),COUNTA(M7:W7)-(AB7/K7))+Z9</f>
        <v>4.4051999999999998</v>
      </c>
      <c r="AB9" s="444">
        <f t="shared" si="5"/>
        <v>17.5</v>
      </c>
      <c r="AC9" s="139"/>
      <c r="AD9" s="139"/>
      <c r="AE9" s="441"/>
      <c r="AF9" s="441"/>
      <c r="AG9" s="119">
        <f>+IFERROR(AG7/(K7*$AT$3),"")</f>
        <v>1.4780952380952381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17.5</v>
      </c>
      <c r="AP9" s="167">
        <f>+AO9-AB9</f>
        <v>0</v>
      </c>
      <c r="AQ9" s="167"/>
      <c r="AR9" s="167"/>
      <c r="AS9" s="167"/>
      <c r="AT9" s="435"/>
      <c r="AU9" s="393"/>
      <c r="AW9" s="356">
        <v>1.8114285714285714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77" t="s">
        <v>437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/>
      <c r="P10" s="423"/>
      <c r="Q10" s="423"/>
      <c r="R10" s="423"/>
      <c r="S10" s="423"/>
      <c r="T10" s="423"/>
      <c r="U10" s="423"/>
      <c r="V10" s="423"/>
      <c r="W10" s="423"/>
      <c r="X10" s="135" t="str">
        <f t="shared" si="0"/>
        <v/>
      </c>
      <c r="Y10" s="438"/>
      <c r="Z10" s="400">
        <v>-319.25</v>
      </c>
      <c r="AA10" s="540">
        <f>+X12</f>
        <v>0</v>
      </c>
      <c r="AB10" s="135">
        <f t="shared" si="1"/>
        <v>0</v>
      </c>
      <c r="AC10" s="136">
        <f>+AD10+AB10</f>
        <v>6622</v>
      </c>
      <c r="AD10" s="136">
        <v>6622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438</v>
      </c>
      <c r="E11" s="111"/>
      <c r="F11" s="111" t="s">
        <v>35</v>
      </c>
      <c r="G11" s="578" t="str">
        <f>+G10</f>
        <v>7696-837-802</v>
      </c>
      <c r="H11" s="450">
        <v>6622</v>
      </c>
      <c r="I11" s="111" t="s">
        <v>252</v>
      </c>
      <c r="J11" s="113">
        <v>29.06</v>
      </c>
      <c r="K11" s="130">
        <v>75</v>
      </c>
      <c r="L11" s="101" t="s">
        <v>17</v>
      </c>
      <c r="M11" s="214">
        <v>11</v>
      </c>
      <c r="N11" s="214">
        <v>40</v>
      </c>
      <c r="O11" s="214">
        <v>12</v>
      </c>
      <c r="P11" s="214">
        <v>0</v>
      </c>
      <c r="Q11" s="214">
        <v>15</v>
      </c>
      <c r="R11" s="214">
        <v>12</v>
      </c>
      <c r="S11" s="214">
        <v>5</v>
      </c>
      <c r="T11" s="214">
        <v>5</v>
      </c>
      <c r="U11" s="214">
        <v>14</v>
      </c>
      <c r="V11" s="214"/>
      <c r="W11" s="424"/>
      <c r="X11" s="123">
        <f>+IF(H12="s",0,IF(AB11=0,0,IF(COUNTA(M11:W11)=AN13+0.25,SUMIF($C:$C,B11,$AB:$AB)/AN13,SUMIF($C:$C,B11,$AB:$AB)/(COUNTA(M11:W11)))))</f>
        <v>0</v>
      </c>
      <c r="Y11" s="439"/>
      <c r="Z11" s="400"/>
      <c r="AA11" s="541"/>
      <c r="AB11" s="134">
        <f t="shared" si="1"/>
        <v>114</v>
      </c>
      <c r="AC11" s="137">
        <f>+AB11+AD11</f>
        <v>6587</v>
      </c>
      <c r="AD11" s="137">
        <v>6473</v>
      </c>
      <c r="AE11" s="439">
        <v>0</v>
      </c>
      <c r="AF11" s="439">
        <f>+AE11+Y11</f>
        <v>0</v>
      </c>
      <c r="AG11" s="140">
        <f>+AC10-AC11</f>
        <v>35</v>
      </c>
      <c r="AH11" s="131">
        <f>+IF(((AB12+(AB13/2))*60)=0,"",(J11*AB11)/((AB12+(AB13/2))*60))</f>
        <v>2.1652549019607843</v>
      </c>
      <c r="AI11" s="161">
        <f>+AB12+AB13/2</f>
        <v>25.5</v>
      </c>
      <c r="AJ11" s="161">
        <f t="shared" si="2"/>
        <v>25.3</v>
      </c>
      <c r="AK11" s="167">
        <f t="shared" si="3"/>
        <v>1530</v>
      </c>
      <c r="AL11" s="167">
        <f>+AB11*J11</f>
        <v>3312.8399999999997</v>
      </c>
      <c r="AM11" s="230">
        <f>+AB11-(AI11*K11/K13)</f>
        <v>67.353658536585357</v>
      </c>
      <c r="AN11" s="339"/>
      <c r="AO11" s="340"/>
      <c r="AP11" s="167"/>
      <c r="AQ11" s="167"/>
      <c r="AR11" s="167"/>
      <c r="AS11" s="167"/>
      <c r="AT11" s="433" t="str">
        <f t="shared" ref="AT11" si="6">IF(AU11=0,"",AW11-(($AT$3*K11)+($AT$3*K11)*AU11)+AB10)</f>
        <v/>
      </c>
      <c r="AU11" s="393"/>
      <c r="AW11" s="356">
        <v>149</v>
      </c>
      <c r="AY11" s="356">
        <f>+AW11-AG11</f>
        <v>114</v>
      </c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78" t="str">
        <f>+G10</f>
        <v>7696-837-802</v>
      </c>
      <c r="H12" s="376" t="s">
        <v>465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4</v>
      </c>
      <c r="N12" s="215">
        <v>4</v>
      </c>
      <c r="O12" s="215">
        <v>4</v>
      </c>
      <c r="P12" s="215">
        <v>4</v>
      </c>
      <c r="Q12" s="215">
        <v>2</v>
      </c>
      <c r="R12" s="215">
        <v>2</v>
      </c>
      <c r="S12" s="215">
        <v>2</v>
      </c>
      <c r="T12" s="215">
        <v>2</v>
      </c>
      <c r="U12" s="215">
        <v>2</v>
      </c>
      <c r="V12" s="215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0</v>
      </c>
      <c r="Y12" s="440"/>
      <c r="Z12" s="400"/>
      <c r="AA12" s="541"/>
      <c r="AB12" s="443">
        <f t="shared" si="5"/>
        <v>25.5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25.5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79" t="str">
        <f>+G10</f>
        <v>7696-837-802</v>
      </c>
      <c r="H13" s="454">
        <f>+AC10-H11</f>
        <v>0</v>
      </c>
      <c r="I13" s="397"/>
      <c r="J13" s="165">
        <f>+IF(K13="","",IF(K11=0,"",(K11*J11)/(K13*60)))</f>
        <v>0.88597560975609757</v>
      </c>
      <c r="K13" s="429">
        <v>41</v>
      </c>
      <c r="L13" s="104" t="s">
        <v>19</v>
      </c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8"/>
      <c r="X13" s="173"/>
      <c r="Y13" s="441"/>
      <c r="Z13" s="401">
        <v>31.206233766233765</v>
      </c>
      <c r="AA13" s="448">
        <v>31.206233766233765</v>
      </c>
      <c r="AB13" s="444">
        <f t="shared" si="5"/>
        <v>0</v>
      </c>
      <c r="AC13" s="139"/>
      <c r="AD13" s="139"/>
      <c r="AE13" s="441"/>
      <c r="AF13" s="441"/>
      <c r="AG13" s="119">
        <f>+IFERROR(AG11/(K11*$AT$3),"")</f>
        <v>5.3333333333333337E-2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0</v>
      </c>
      <c r="AP13" s="167">
        <f>+AO13-AB13</f>
        <v>0</v>
      </c>
      <c r="AQ13" s="167"/>
      <c r="AR13" s="167"/>
      <c r="AS13" s="167"/>
      <c r="AT13" s="435"/>
      <c r="AU13" s="393"/>
      <c r="AW13" s="356">
        <v>0.22704761904761905</v>
      </c>
      <c r="AY13" s="356"/>
    </row>
    <row r="14" spans="2:64" s="98" customFormat="1" ht="62.25" customHeight="1" thickTop="1" x14ac:dyDescent="0.9">
      <c r="B14" s="97">
        <f>+B15</f>
        <v>2</v>
      </c>
      <c r="C14" s="370"/>
      <c r="D14" s="106"/>
      <c r="E14" s="106"/>
      <c r="F14" s="106"/>
      <c r="G14" s="577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>
        <v>100</v>
      </c>
      <c r="N14" s="423">
        <v>50</v>
      </c>
      <c r="O14" s="423">
        <v>50</v>
      </c>
      <c r="P14" s="423">
        <v>50</v>
      </c>
      <c r="Q14" s="423">
        <v>50</v>
      </c>
      <c r="R14" s="423">
        <v>50</v>
      </c>
      <c r="S14" s="423">
        <v>50</v>
      </c>
      <c r="T14" s="423">
        <v>50</v>
      </c>
      <c r="U14" s="423"/>
      <c r="V14" s="423"/>
      <c r="W14" s="423"/>
      <c r="X14" s="135">
        <f t="shared" si="0"/>
        <v>450</v>
      </c>
      <c r="Y14" s="438"/>
      <c r="Z14" s="400">
        <v>-104</v>
      </c>
      <c r="AA14" s="540">
        <f>+X16</f>
        <v>-455</v>
      </c>
      <c r="AB14" s="135">
        <f t="shared" si="1"/>
        <v>450</v>
      </c>
      <c r="AC14" s="136">
        <f>+AD14+AB14</f>
        <v>975</v>
      </c>
      <c r="AD14" s="136">
        <v>525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2</v>
      </c>
      <c r="C15" s="371">
        <f>+B15</f>
        <v>2</v>
      </c>
      <c r="D15" s="372" t="s">
        <v>439</v>
      </c>
      <c r="E15" s="111"/>
      <c r="F15" s="111" t="s">
        <v>35</v>
      </c>
      <c r="G15" s="578" t="str">
        <f>+G14</f>
        <v>7740-876-052</v>
      </c>
      <c r="H15" s="450">
        <v>7000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  <c r="U15" s="214">
        <v>0</v>
      </c>
      <c r="V15" s="214"/>
      <c r="W15" s="424"/>
      <c r="X15" s="123">
        <f>+IF(H16="s",0,IF(AB15=0,0,IF(COUNTA(M15:W15)=AN17+0.25,SUMIF($C:$C,B15,$AB:$AB)/AN17,SUMIF($C:$C,B15,$AB:$AB)/(COUNTA(M15:W15)))))</f>
        <v>0</v>
      </c>
      <c r="Y15" s="439"/>
      <c r="Z15" s="400"/>
      <c r="AA15" s="541"/>
      <c r="AB15" s="134">
        <f t="shared" si="1"/>
        <v>0</v>
      </c>
      <c r="AC15" s="137">
        <f>+AB15+AD15</f>
        <v>0</v>
      </c>
      <c r="AD15" s="137">
        <v>0</v>
      </c>
      <c r="AE15" s="439">
        <v>0</v>
      </c>
      <c r="AF15" s="439">
        <f>+AE15+Y15</f>
        <v>0</v>
      </c>
      <c r="AG15" s="140">
        <f>+AC14-AC15</f>
        <v>975</v>
      </c>
      <c r="AH15" s="131">
        <f>+IF(((AB16+(AB17/2))*60)=0,"",(J15*AB15)/((AB16+(AB17/2))*60))</f>
        <v>0</v>
      </c>
      <c r="AI15" s="161">
        <f>+AB16+AB17/2</f>
        <v>430.25</v>
      </c>
      <c r="AJ15" s="161">
        <f t="shared" si="2"/>
        <v>430.15</v>
      </c>
      <c r="AK15" s="167">
        <f t="shared" si="3"/>
        <v>25815</v>
      </c>
      <c r="AL15" s="167">
        <f>+AB15*J15</f>
        <v>0</v>
      </c>
      <c r="AM15" s="230" t="e">
        <f>+AB15-(AI15*K15/K17)</f>
        <v>#DIV/0!</v>
      </c>
      <c r="AN15" s="339"/>
      <c r="AO15" s="340"/>
      <c r="AP15" s="167"/>
      <c r="AQ15" s="167"/>
      <c r="AR15" s="167"/>
      <c r="AS15" s="167"/>
      <c r="AT15" s="433">
        <f>-450+AB14</f>
        <v>0</v>
      </c>
      <c r="AU15" s="393">
        <v>1.25</v>
      </c>
      <c r="AW15" s="356">
        <v>525</v>
      </c>
      <c r="AY15" s="356">
        <f>+AW15-AG15</f>
        <v>-450</v>
      </c>
      <c r="AZ15" s="581"/>
      <c r="BA15" s="581"/>
      <c r="BB15" s="581"/>
      <c r="BC15" s="581"/>
      <c r="BD15" s="581"/>
      <c r="BE15" s="581"/>
      <c r="BF15" s="581"/>
      <c r="BG15" s="581"/>
      <c r="BH15" s="581"/>
      <c r="BI15" s="581"/>
    </row>
    <row r="16" spans="2:64" s="98" customFormat="1" ht="62.25" customHeight="1" x14ac:dyDescent="0.9">
      <c r="B16" s="125">
        <f>+B15</f>
        <v>2</v>
      </c>
      <c r="C16" s="373"/>
      <c r="D16" s="184"/>
      <c r="E16" s="111"/>
      <c r="F16" s="374"/>
      <c r="G16" s="578" t="str">
        <f>+G14</f>
        <v>7740-876-052</v>
      </c>
      <c r="H16" s="376" t="s">
        <v>400</v>
      </c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215">
        <v>45</v>
      </c>
      <c r="N16" s="215">
        <v>45</v>
      </c>
      <c r="O16" s="215">
        <v>49</v>
      </c>
      <c r="P16" s="215">
        <v>49</v>
      </c>
      <c r="Q16" s="215">
        <v>51</v>
      </c>
      <c r="R16" s="215">
        <v>51</v>
      </c>
      <c r="S16" s="215">
        <v>51</v>
      </c>
      <c r="T16" s="215">
        <v>51</v>
      </c>
      <c r="U16" s="215">
        <v>51</v>
      </c>
      <c r="V16" s="215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-455</v>
      </c>
      <c r="Y16" s="440"/>
      <c r="Z16" s="400"/>
      <c r="AA16" s="541"/>
      <c r="AB16" s="443">
        <f t="shared" si="5"/>
        <v>430.25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430.25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61" s="98" customFormat="1" ht="62.25" customHeight="1" thickBot="1" x14ac:dyDescent="0.95">
      <c r="B17" s="126">
        <f>+B15</f>
        <v>2</v>
      </c>
      <c r="C17" s="375"/>
      <c r="D17" s="174" t="s">
        <v>404</v>
      </c>
      <c r="E17" s="175"/>
      <c r="F17" s="175"/>
      <c r="G17" s="579" t="str">
        <f>+G14</f>
        <v>7740-876-052</v>
      </c>
      <c r="H17" s="454">
        <f>+AC14-H15</f>
        <v>-6025</v>
      </c>
      <c r="I17" s="397"/>
      <c r="J17" s="165" t="str">
        <f>+IF(K17="","",IF(K15=0,"",(K15*J15)/(K17*60)))</f>
        <v/>
      </c>
      <c r="K17" s="429"/>
      <c r="L17" s="104" t="s">
        <v>19</v>
      </c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8"/>
      <c r="X17" s="173"/>
      <c r="Y17" s="441"/>
      <c r="Z17" s="401">
        <v>2.27</v>
      </c>
      <c r="AA17" s="168">
        <f>+IF(COUNTA(M15:W15)=$AM$4+0.25,$AM$4-(AB15/K15),COUNTA(M15:W15)-(AB15/K15))+Z17</f>
        <v>11.02</v>
      </c>
      <c r="AB17" s="444">
        <f t="shared" si="5"/>
        <v>0</v>
      </c>
      <c r="AC17" s="139"/>
      <c r="AD17" s="139"/>
      <c r="AE17" s="441"/>
      <c r="AF17" s="441"/>
      <c r="AG17" s="119">
        <f>+IFERROR(AG15/(K15*$AT$3),"")</f>
        <v>2.1428571428571428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0</v>
      </c>
      <c r="AP17" s="167">
        <f>+AO17-AB17</f>
        <v>0</v>
      </c>
      <c r="AQ17" s="167"/>
      <c r="AR17" s="167"/>
      <c r="AS17" s="167"/>
      <c r="AT17" s="435"/>
      <c r="AU17" s="393"/>
      <c r="AW17" s="356">
        <v>1.1538461538461537</v>
      </c>
      <c r="AY17" s="356"/>
    </row>
    <row r="18" spans="2:61" s="98" customFormat="1" ht="62.25" customHeight="1" thickTop="1" x14ac:dyDescent="0.9">
      <c r="B18" s="97">
        <f>+B19</f>
        <v>3</v>
      </c>
      <c r="C18" s="370"/>
      <c r="D18" s="106"/>
      <c r="E18" s="106"/>
      <c r="F18" s="106"/>
      <c r="G18" s="577" t="s">
        <v>440</v>
      </c>
      <c r="H18" s="106"/>
      <c r="I18" s="106"/>
      <c r="J18" s="107" t="s">
        <v>20</v>
      </c>
      <c r="K18" s="108" t="s">
        <v>23</v>
      </c>
      <c r="L18" s="100" t="s">
        <v>21</v>
      </c>
      <c r="M18" s="423">
        <v>75</v>
      </c>
      <c r="N18" s="423">
        <v>75</v>
      </c>
      <c r="O18" s="423">
        <v>75</v>
      </c>
      <c r="P18" s="423"/>
      <c r="Q18" s="423">
        <v>75</v>
      </c>
      <c r="R18" s="423"/>
      <c r="S18" s="423">
        <v>75</v>
      </c>
      <c r="T18" s="423"/>
      <c r="U18" s="423"/>
      <c r="V18" s="423"/>
      <c r="W18" s="423"/>
      <c r="X18" s="135">
        <f t="shared" si="0"/>
        <v>375</v>
      </c>
      <c r="Y18" s="438"/>
      <c r="Z18" s="400">
        <v>-127</v>
      </c>
      <c r="AA18" s="540">
        <f>+X20</f>
        <v>-27</v>
      </c>
      <c r="AB18" s="135">
        <f t="shared" si="1"/>
        <v>375</v>
      </c>
      <c r="AC18" s="136">
        <f>+AD18+AB18</f>
        <v>5430</v>
      </c>
      <c r="AD18" s="136">
        <v>5055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61" s="98" customFormat="1" ht="62.25" customHeight="1" x14ac:dyDescent="1.35">
      <c r="B19" s="132">
        <v>3</v>
      </c>
      <c r="C19" s="371">
        <v>3</v>
      </c>
      <c r="D19" s="372" t="s">
        <v>439</v>
      </c>
      <c r="E19" s="111"/>
      <c r="F19" s="111" t="s">
        <v>35</v>
      </c>
      <c r="G19" s="578" t="str">
        <f>+G18</f>
        <v>7740-876-052</v>
      </c>
      <c r="H19" s="450">
        <v>12000</v>
      </c>
      <c r="I19" s="111" t="s">
        <v>33</v>
      </c>
      <c r="J19" s="113">
        <v>55.78</v>
      </c>
      <c r="K19" s="130">
        <v>52</v>
      </c>
      <c r="L19" s="101" t="s">
        <v>17</v>
      </c>
      <c r="M19" s="214">
        <v>52</v>
      </c>
      <c r="N19" s="214">
        <v>52</v>
      </c>
      <c r="O19" s="214">
        <v>30</v>
      </c>
      <c r="P19" s="214">
        <v>52</v>
      </c>
      <c r="Q19" s="214">
        <v>52</v>
      </c>
      <c r="R19" s="214">
        <v>52</v>
      </c>
      <c r="S19" s="214">
        <v>52</v>
      </c>
      <c r="T19" s="214">
        <v>52</v>
      </c>
      <c r="U19" s="214">
        <v>34</v>
      </c>
      <c r="V19" s="214"/>
      <c r="W19" s="424"/>
      <c r="X19" s="123">
        <f>+IF(H20="s",0,IF(AB19=0,0,IF(COUNTA(M19:W19)=AN21+0.25,SUMIF($C:$C,B19,$AB:$AB)/AN21,SUMIF($C:$C,B19,$AB:$AB)/(COUNTA(M19:W19)))))</f>
        <v>48.914285714285711</v>
      </c>
      <c r="Y19" s="439"/>
      <c r="Z19" s="400"/>
      <c r="AA19" s="541"/>
      <c r="AB19" s="134">
        <f t="shared" si="1"/>
        <v>428</v>
      </c>
      <c r="AC19" s="137">
        <f>+AB19+AD19</f>
        <v>4319</v>
      </c>
      <c r="AD19" s="137">
        <v>3891</v>
      </c>
      <c r="AE19" s="439"/>
      <c r="AF19" s="439">
        <f>+AE19+Y19</f>
        <v>0</v>
      </c>
      <c r="AG19" s="140">
        <f>+AC18-AC19</f>
        <v>1111</v>
      </c>
      <c r="AH19" s="131">
        <f>+IF(((AB20+(AB21/2))*60)=0,"",(J19*AB19)/((AB20+(AB21/2))*60))</f>
        <v>0.85431526212202546</v>
      </c>
      <c r="AI19" s="161">
        <f>+AB20+AB21/2</f>
        <v>465.75</v>
      </c>
      <c r="AJ19" s="161">
        <f t="shared" si="2"/>
        <v>465.45</v>
      </c>
      <c r="AK19" s="167">
        <f t="shared" si="3"/>
        <v>27945</v>
      </c>
      <c r="AL19" s="167">
        <f>+AB19*J19</f>
        <v>23873.84</v>
      </c>
      <c r="AM19" s="230">
        <f>+AB19-(AI19*K19/K21)</f>
        <v>-4.4821428571428328</v>
      </c>
      <c r="AN19" s="339"/>
      <c r="AO19" s="340"/>
      <c r="AP19" s="167"/>
      <c r="AQ19" s="167"/>
      <c r="AR19" s="167"/>
      <c r="AS19" s="167"/>
      <c r="AT19" s="433">
        <f t="shared" ref="AT19" si="7">IF(AU19=0,"",AW19-(($AT$3*K19)+($AT$3*K19)*AU19)+AB18)</f>
        <v>14.75</v>
      </c>
      <c r="AU19" s="393">
        <v>2.35</v>
      </c>
      <c r="AW19" s="356">
        <v>1164</v>
      </c>
      <c r="AY19" s="356">
        <f t="shared" ref="AY19" si="8">+AW19-AG19</f>
        <v>53</v>
      </c>
      <c r="AZ19" s="581"/>
      <c r="BA19" s="581"/>
      <c r="BB19" s="581"/>
      <c r="BC19" s="581"/>
      <c r="BD19" s="581"/>
      <c r="BE19" s="581"/>
      <c r="BF19" s="581"/>
      <c r="BG19" s="581"/>
      <c r="BH19" s="581"/>
      <c r="BI19" s="581"/>
    </row>
    <row r="20" spans="2:61" s="98" customFormat="1" ht="62.25" customHeight="1" x14ac:dyDescent="0.9">
      <c r="B20" s="125">
        <f>+B19</f>
        <v>3</v>
      </c>
      <c r="C20" s="373"/>
      <c r="D20" s="184"/>
      <c r="E20" s="111">
        <f>+B19</f>
        <v>3</v>
      </c>
      <c r="F20" s="374"/>
      <c r="G20" s="578" t="str">
        <f>+G18</f>
        <v>7740-876-052</v>
      </c>
      <c r="H20" s="376"/>
      <c r="I20" s="113">
        <f>+IFERROR(IF(K21=0,0,IF((LOOKUP(2,1/(M20:W20&lt;&gt;""),M20:W20)-K21)&lt;0,0,IF(K21=0,"",LOOKUP(2,1/(M20:W20&lt;&gt;""),M20:W20)-K21))),0)</f>
        <v>0</v>
      </c>
      <c r="J20" s="113">
        <v>2</v>
      </c>
      <c r="K20" s="114" t="s">
        <v>22</v>
      </c>
      <c r="L20" s="102" t="s">
        <v>18</v>
      </c>
      <c r="M20" s="215">
        <v>53</v>
      </c>
      <c r="N20" s="215">
        <v>53</v>
      </c>
      <c r="O20" s="215">
        <v>52</v>
      </c>
      <c r="P20" s="215">
        <v>52</v>
      </c>
      <c r="Q20" s="215">
        <v>52</v>
      </c>
      <c r="R20" s="215">
        <v>52</v>
      </c>
      <c r="S20" s="215">
        <v>52</v>
      </c>
      <c r="T20" s="215">
        <v>52</v>
      </c>
      <c r="U20" s="215">
        <v>52</v>
      </c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-27</v>
      </c>
      <c r="Y20" s="440"/>
      <c r="Z20" s="400"/>
      <c r="AA20" s="541"/>
      <c r="AB20" s="443">
        <f t="shared" si="5"/>
        <v>457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457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61" s="98" customFormat="1" ht="62.25" customHeight="1" thickBot="1" x14ac:dyDescent="0.95">
      <c r="B21" s="126">
        <f>+B19</f>
        <v>3</v>
      </c>
      <c r="C21" s="375"/>
      <c r="D21" s="174" t="s">
        <v>423</v>
      </c>
      <c r="E21" s="175">
        <f>+E20+100</f>
        <v>103</v>
      </c>
      <c r="F21" s="175"/>
      <c r="G21" s="579" t="str">
        <f>+G18</f>
        <v>7740-876-052</v>
      </c>
      <c r="H21" s="454">
        <f>+AC18-H19</f>
        <v>-6570</v>
      </c>
      <c r="I21" s="397"/>
      <c r="J21" s="165">
        <f>+IF(K21="","",IF(K19=0,"",(K19*J19)/(K21*60)))</f>
        <v>0.86326190476190479</v>
      </c>
      <c r="K21" s="118">
        <v>56</v>
      </c>
      <c r="L21" s="104" t="s">
        <v>19</v>
      </c>
      <c r="M21" s="427">
        <v>2</v>
      </c>
      <c r="N21" s="427">
        <v>2</v>
      </c>
      <c r="O21" s="427">
        <v>2</v>
      </c>
      <c r="P21" s="427">
        <v>2</v>
      </c>
      <c r="Q21" s="427">
        <v>2</v>
      </c>
      <c r="R21" s="427">
        <v>2</v>
      </c>
      <c r="S21" s="427">
        <v>2</v>
      </c>
      <c r="T21" s="427">
        <v>2</v>
      </c>
      <c r="U21" s="427">
        <v>2</v>
      </c>
      <c r="V21" s="428"/>
      <c r="W21" s="428"/>
      <c r="X21" s="173"/>
      <c r="Y21" s="441"/>
      <c r="Z21" s="401">
        <v>37.057412587412585</v>
      </c>
      <c r="AA21" s="401">
        <v>37.057412587412585</v>
      </c>
      <c r="AB21" s="444">
        <f t="shared" si="5"/>
        <v>17.5</v>
      </c>
      <c r="AC21" s="139"/>
      <c r="AD21" s="139"/>
      <c r="AE21" s="441"/>
      <c r="AF21" s="441"/>
      <c r="AG21" s="119">
        <f>+IFERROR(AG19/(K19*$AT$3),"")</f>
        <v>2.441758241758242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+IF(AN21=7.75,SUM(M21:S21)+T21*0.75,IF(AN21=8,SUM(M21:T21),IF(AN21=7.25,SUM(M21:S21)+T21*0.25,IF(AN21=8.25,SUM(M21:T21)+U21*0.25,IF(AN21=8.75,SUM(M21:T21)+U21*0.75,0)))))</f>
        <v>17.5</v>
      </c>
      <c r="AP21" s="167">
        <f>+AO21-AB21</f>
        <v>0</v>
      </c>
      <c r="AQ21" s="167"/>
      <c r="AR21" s="167"/>
      <c r="AS21" s="167"/>
      <c r="AT21" s="435"/>
      <c r="AU21" s="393"/>
      <c r="AW21" s="356">
        <v>2.558241758241758</v>
      </c>
      <c r="AY21" s="356"/>
    </row>
    <row r="22" spans="2:6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82" t="s">
        <v>431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60</v>
      </c>
      <c r="N22" s="423">
        <v>60</v>
      </c>
      <c r="O22" s="423">
        <v>60</v>
      </c>
      <c r="P22" s="423">
        <v>60</v>
      </c>
      <c r="Q22" s="423">
        <v>60</v>
      </c>
      <c r="R22" s="423">
        <v>60</v>
      </c>
      <c r="S22" s="423">
        <v>60</v>
      </c>
      <c r="T22" s="423">
        <v>60</v>
      </c>
      <c r="U22" s="423"/>
      <c r="V22" s="423"/>
      <c r="W22" s="423"/>
      <c r="X22" s="135">
        <f t="shared" si="0"/>
        <v>480</v>
      </c>
      <c r="Y22" s="438"/>
      <c r="Z22" s="400">
        <v>-37.25</v>
      </c>
      <c r="AA22" s="540">
        <f>+X24</f>
        <v>0.75</v>
      </c>
      <c r="AB22" s="135">
        <f t="shared" si="1"/>
        <v>480</v>
      </c>
      <c r="AC22" s="136">
        <f>+AD22+AB22</f>
        <v>9241</v>
      </c>
      <c r="AD22" s="136">
        <v>8761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61" s="98" customFormat="1" ht="62.25" customHeight="1" x14ac:dyDescent="0.9">
      <c r="B23" s="132">
        <v>4</v>
      </c>
      <c r="C23" s="371">
        <f>+B23</f>
        <v>4</v>
      </c>
      <c r="D23" s="372" t="s">
        <v>430</v>
      </c>
      <c r="E23" s="111"/>
      <c r="F23" s="111" t="s">
        <v>35</v>
      </c>
      <c r="G23" s="582" t="str">
        <f>+G22</f>
        <v xml:space="preserve">2878-556-700 </v>
      </c>
      <c r="H23" s="450">
        <v>9487</v>
      </c>
      <c r="I23" s="111" t="s">
        <v>251</v>
      </c>
      <c r="J23" s="113">
        <v>36.65</v>
      </c>
      <c r="K23" s="130">
        <v>75</v>
      </c>
      <c r="L23" s="101" t="s">
        <v>17</v>
      </c>
      <c r="M23" s="214">
        <v>75</v>
      </c>
      <c r="N23" s="214">
        <v>75</v>
      </c>
      <c r="O23" s="214">
        <v>75</v>
      </c>
      <c r="P23" s="214">
        <v>75</v>
      </c>
      <c r="Q23" s="214">
        <v>75</v>
      </c>
      <c r="R23" s="214">
        <v>60</v>
      </c>
      <c r="S23" s="214">
        <v>80</v>
      </c>
      <c r="T23" s="214">
        <v>75</v>
      </c>
      <c r="U23" s="214">
        <v>67</v>
      </c>
      <c r="V23" s="214"/>
      <c r="W23" s="424"/>
      <c r="X23" s="123">
        <f>+IF(H24="s",0,IF(AB23=0,0,IF(COUNTA(M23:W23)=AN25+0.25,SUMIF($C:$C,B23,$AB:$AB)/AN25,SUMIF($C:$C,B23,$AB:$AB)/(COUNTA(M23:W23)))))</f>
        <v>75.085714285714289</v>
      </c>
      <c r="Y23" s="439"/>
      <c r="Z23" s="400"/>
      <c r="AA23" s="541"/>
      <c r="AB23" s="134">
        <f t="shared" si="1"/>
        <v>657</v>
      </c>
      <c r="AC23" s="137">
        <f>+AB23+AD23</f>
        <v>8298</v>
      </c>
      <c r="AD23" s="137">
        <v>7641</v>
      </c>
      <c r="AE23" s="439">
        <v>0</v>
      </c>
      <c r="AF23" s="439">
        <f>+AE23+Y23</f>
        <v>0</v>
      </c>
      <c r="AG23" s="140">
        <f>+AC22-AC23</f>
        <v>943</v>
      </c>
      <c r="AH23" s="131">
        <f>+IF(((AB24+(AB25/2))*60)=0,"",(J23*AB23)/((AB24+(AB25/2))*60))</f>
        <v>0.92656277056277059</v>
      </c>
      <c r="AI23" s="161">
        <f>+AB24+AB25/2</f>
        <v>433.125</v>
      </c>
      <c r="AJ23" s="161">
        <f t="shared" si="2"/>
        <v>433.07499999999999</v>
      </c>
      <c r="AK23" s="167">
        <f t="shared" si="3"/>
        <v>25987.5</v>
      </c>
      <c r="AL23" s="167">
        <f>+AB23*J23</f>
        <v>24079.05</v>
      </c>
      <c r="AM23" s="230">
        <f>+AB23-(AI23*K23/K25)</f>
        <v>7.3125</v>
      </c>
      <c r="AN23" s="339"/>
      <c r="AO23" s="340"/>
      <c r="AP23" s="167"/>
      <c r="AQ23" s="167"/>
      <c r="AR23" s="167"/>
      <c r="AS23" s="167"/>
      <c r="AT23" s="433">
        <f>-480+AB22</f>
        <v>0</v>
      </c>
      <c r="AU23" s="393">
        <v>1.7</v>
      </c>
      <c r="AW23" s="356">
        <v>1120</v>
      </c>
      <c r="AY23" s="356">
        <f t="shared" ref="AY23" si="9">+AW23-AG23</f>
        <v>177</v>
      </c>
    </row>
    <row r="24" spans="2:6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82" t="str">
        <f>+G23</f>
        <v xml:space="preserve">2878-556-700 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49</v>
      </c>
      <c r="N24" s="425">
        <v>49</v>
      </c>
      <c r="O24" s="425">
        <v>49</v>
      </c>
      <c r="P24" s="425">
        <v>49</v>
      </c>
      <c r="Q24" s="425">
        <v>49</v>
      </c>
      <c r="R24" s="425">
        <v>49</v>
      </c>
      <c r="S24" s="425">
        <v>49</v>
      </c>
      <c r="T24" s="425">
        <v>49</v>
      </c>
      <c r="U24" s="425">
        <v>49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0.75</v>
      </c>
      <c r="Y24" s="440"/>
      <c r="Z24" s="400"/>
      <c r="AA24" s="541"/>
      <c r="AB24" s="443">
        <f t="shared" si="5"/>
        <v>428.75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428.75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6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82" t="str">
        <f>+G24</f>
        <v xml:space="preserve">2878-556-700 </v>
      </c>
      <c r="H25" s="454">
        <f>+AC22-H23</f>
        <v>-246</v>
      </c>
      <c r="I25" s="397"/>
      <c r="J25" s="165">
        <f>+IF(K25="","",IF(K23=0,"",(K23*J23)/(K25*60)))</f>
        <v>0.91625000000000001</v>
      </c>
      <c r="K25" s="118">
        <v>50</v>
      </c>
      <c r="L25" s="104" t="s">
        <v>19</v>
      </c>
      <c r="M25" s="427">
        <v>1</v>
      </c>
      <c r="N25" s="427">
        <v>1</v>
      </c>
      <c r="O25" s="427">
        <v>1</v>
      </c>
      <c r="P25" s="427">
        <v>1</v>
      </c>
      <c r="Q25" s="427">
        <v>1</v>
      </c>
      <c r="R25" s="427">
        <v>1</v>
      </c>
      <c r="S25" s="427">
        <v>1</v>
      </c>
      <c r="T25" s="427">
        <v>1</v>
      </c>
      <c r="U25" s="427">
        <v>1</v>
      </c>
      <c r="V25" s="428"/>
      <c r="W25" s="428"/>
      <c r="X25" s="173"/>
      <c r="Y25" s="441"/>
      <c r="Z25" s="401">
        <v>29.116666666666667</v>
      </c>
      <c r="AA25" s="169">
        <v>29.116666666666667</v>
      </c>
      <c r="AB25" s="444">
        <f t="shared" si="5"/>
        <v>8.75</v>
      </c>
      <c r="AC25" s="139"/>
      <c r="AD25" s="139"/>
      <c r="AE25" s="441"/>
      <c r="AF25" s="441"/>
      <c r="AG25" s="119">
        <f>+IFERROR(AG23/(K23*$AT$3),"")</f>
        <v>1.436952380952381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7.75</v>
      </c>
      <c r="AP25" s="167">
        <f>+AO25-AB25</f>
        <v>-1</v>
      </c>
      <c r="AQ25" s="167"/>
      <c r="AR25" s="167"/>
      <c r="AS25" s="167"/>
      <c r="AT25" s="435"/>
      <c r="AU25" s="393"/>
      <c r="AW25" s="356">
        <v>1.7066666666666668</v>
      </c>
      <c r="AY25" s="356"/>
    </row>
    <row r="26" spans="2:6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77" t="s">
        <v>433</v>
      </c>
      <c r="H26" s="106"/>
      <c r="I26" s="111"/>
      <c r="J26" s="107" t="s">
        <v>20</v>
      </c>
      <c r="K26" s="108" t="s">
        <v>23</v>
      </c>
      <c r="L26" s="100" t="s">
        <v>21</v>
      </c>
      <c r="M26" s="423">
        <v>75</v>
      </c>
      <c r="N26" s="423">
        <v>150</v>
      </c>
      <c r="O26" s="423">
        <v>150</v>
      </c>
      <c r="P26" s="423">
        <v>75</v>
      </c>
      <c r="Q26" s="423"/>
      <c r="R26" s="423"/>
      <c r="S26" s="423"/>
      <c r="T26" s="423">
        <v>75</v>
      </c>
      <c r="U26" s="423"/>
      <c r="V26" s="423"/>
      <c r="W26" s="423"/>
      <c r="X26" s="135">
        <f t="shared" si="0"/>
        <v>525</v>
      </c>
      <c r="Y26" s="438"/>
      <c r="Z26" s="400">
        <v>59.5</v>
      </c>
      <c r="AA26" s="540">
        <f>+X28</f>
        <v>59.5</v>
      </c>
      <c r="AB26" s="135">
        <f t="shared" si="1"/>
        <v>525</v>
      </c>
      <c r="AC26" s="136">
        <f>+AD26+AB26</f>
        <v>9729</v>
      </c>
      <c r="AD26" s="136">
        <v>9204</v>
      </c>
      <c r="AE26" s="438"/>
      <c r="AF26" s="438"/>
      <c r="AG26" s="109"/>
      <c r="AH26" s="110"/>
      <c r="AI26" s="157"/>
      <c r="AJ26" s="161">
        <f t="shared" si="2"/>
        <v>0</v>
      </c>
      <c r="AK26" s="167">
        <f t="shared" si="3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61" s="98" customFormat="1" ht="62.25" customHeight="1" x14ac:dyDescent="0.9">
      <c r="B27" s="132">
        <v>5</v>
      </c>
      <c r="C27" s="371">
        <f>+B27</f>
        <v>5</v>
      </c>
      <c r="D27" s="372" t="s">
        <v>432</v>
      </c>
      <c r="E27" s="111"/>
      <c r="F27" s="111" t="s">
        <v>35</v>
      </c>
      <c r="G27" s="578" t="str">
        <f>+G26</f>
        <v>2843-709-800</v>
      </c>
      <c r="H27" s="450">
        <v>11700</v>
      </c>
      <c r="I27" s="111" t="s">
        <v>251</v>
      </c>
      <c r="J27" s="113">
        <v>50</v>
      </c>
      <c r="K27" s="130">
        <v>58</v>
      </c>
      <c r="L27" s="101" t="s">
        <v>17</v>
      </c>
      <c r="M27" s="214">
        <v>65</v>
      </c>
      <c r="N27" s="214">
        <v>65</v>
      </c>
      <c r="O27" s="214">
        <v>65</v>
      </c>
      <c r="P27" s="214">
        <v>65</v>
      </c>
      <c r="Q27" s="214">
        <v>65</v>
      </c>
      <c r="R27" s="214">
        <v>65</v>
      </c>
      <c r="S27" s="214">
        <v>65</v>
      </c>
      <c r="T27" s="214">
        <v>65</v>
      </c>
      <c r="U27" s="214">
        <v>47</v>
      </c>
      <c r="V27" s="214"/>
      <c r="W27" s="424"/>
      <c r="X27" s="123">
        <f>+IF(H28="s",0,IF(AB27=0,0,IF(COUNTA(M27:W27)=AN29+0.25,SUMIF($C:$C,B27,$AB:$AB)/AN29,SUMIF($C:$C,B27,$AB:$AB)/(COUNTA(M27:W27)))))</f>
        <v>64.8</v>
      </c>
      <c r="Y27" s="439"/>
      <c r="Z27" s="400"/>
      <c r="AA27" s="541"/>
      <c r="AB27" s="134">
        <f t="shared" si="1"/>
        <v>567</v>
      </c>
      <c r="AC27" s="137">
        <f>+AB27+AD27</f>
        <v>8176</v>
      </c>
      <c r="AD27" s="137">
        <v>7609</v>
      </c>
      <c r="AE27" s="439">
        <v>0</v>
      </c>
      <c r="AF27" s="439">
        <f>+AE27+Y27</f>
        <v>0</v>
      </c>
      <c r="AG27" s="140">
        <f>+AC26-AC27</f>
        <v>1553</v>
      </c>
      <c r="AH27" s="131">
        <f>+IF(((AB28+(AB29/2))*60)=0,"",(J27*AB27)/((AB28+(AB29/2))*60))</f>
        <v>0.99082568807339455</v>
      </c>
      <c r="AI27" s="161">
        <f>+AB28+AB29/2</f>
        <v>476.875</v>
      </c>
      <c r="AJ27" s="161">
        <f t="shared" si="2"/>
        <v>476.52499999999998</v>
      </c>
      <c r="AK27" s="167">
        <f t="shared" si="3"/>
        <v>28612.5</v>
      </c>
      <c r="AL27" s="167">
        <f>+AB27*J27</f>
        <v>28350</v>
      </c>
      <c r="AM27" s="230">
        <f>+AB27-(AI27*K27/K29)</f>
        <v>54.800925925925981</v>
      </c>
      <c r="AN27" s="339"/>
      <c r="AO27" s="340"/>
      <c r="AP27" s="167"/>
      <c r="AQ27" s="167"/>
      <c r="AR27" s="167"/>
      <c r="AS27" s="167"/>
      <c r="AT27" s="433">
        <f t="shared" ref="AT27" si="10">IF(AU27=0,"",AW27-(($AT$3*K27)+($AT$3*K27)*AU27)+AB26)</f>
        <v>90</v>
      </c>
      <c r="AU27" s="393">
        <v>3</v>
      </c>
      <c r="AW27" s="356">
        <v>1595</v>
      </c>
      <c r="AY27" s="356">
        <f t="shared" ref="AY27" si="11">+AW27-AG27</f>
        <v>42</v>
      </c>
    </row>
    <row r="28" spans="2:6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78" t="str">
        <f>+G26</f>
        <v>2843-709-800</v>
      </c>
      <c r="H28" s="376" t="s">
        <v>182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54</v>
      </c>
      <c r="N28" s="425">
        <v>54</v>
      </c>
      <c r="O28" s="425">
        <v>54</v>
      </c>
      <c r="P28" s="425">
        <v>54</v>
      </c>
      <c r="Q28" s="425">
        <v>54</v>
      </c>
      <c r="R28" s="425">
        <v>54</v>
      </c>
      <c r="S28" s="425">
        <v>54</v>
      </c>
      <c r="T28" s="425">
        <v>54</v>
      </c>
      <c r="U28" s="425">
        <v>54</v>
      </c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59.5</v>
      </c>
      <c r="Y28" s="440"/>
      <c r="Z28" s="400"/>
      <c r="AA28" s="541"/>
      <c r="AB28" s="443">
        <f t="shared" si="5"/>
        <v>472.5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167">
        <f t="shared" si="3"/>
        <v>0</v>
      </c>
      <c r="AL28" s="167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472.5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6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79" t="str">
        <f>+G26</f>
        <v>2843-709-800</v>
      </c>
      <c r="H29" s="454">
        <f>+AC26-H27</f>
        <v>-1971</v>
      </c>
      <c r="I29" s="397" t="s">
        <v>182</v>
      </c>
      <c r="J29" s="165">
        <f>+IF(K29="","",IF(K27=0,"",(K27*J27)/(K29*60)))</f>
        <v>0.89506172839506171</v>
      </c>
      <c r="K29" s="118">
        <v>54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>
        <v>1</v>
      </c>
      <c r="V29" s="428"/>
      <c r="W29" s="428"/>
      <c r="X29" s="173"/>
      <c r="Y29" s="441"/>
      <c r="Z29" s="401">
        <v>36.370689655172413</v>
      </c>
      <c r="AA29" s="401">
        <v>36.370689655172413</v>
      </c>
      <c r="AB29" s="444">
        <f t="shared" si="5"/>
        <v>8.75</v>
      </c>
      <c r="AC29" s="139"/>
      <c r="AD29" s="139"/>
      <c r="AE29" s="441"/>
      <c r="AF29" s="441"/>
      <c r="AG29" s="119">
        <f>+IFERROR(AG27/(K27*$AT$3),"")</f>
        <v>3.0600985221674879</v>
      </c>
      <c r="AH29" s="162"/>
      <c r="AI29" s="161"/>
      <c r="AJ29" s="161">
        <f t="shared" si="2"/>
        <v>0</v>
      </c>
      <c r="AK29" s="167">
        <f t="shared" si="3"/>
        <v>0</v>
      </c>
      <c r="AL29" s="167"/>
      <c r="AM29" s="230"/>
      <c r="AN29" s="342">
        <f>+$AM$4</f>
        <v>8.75</v>
      </c>
      <c r="AO29" s="340">
        <f>+IF(AN29=7.75,SUM(M29:S29)+T29*0.75,IF(AN29=8,SUM(M29:T29),IF(AN29=7.25,SUM(M29:S29)+T29*0.25,IF(AN29=8.25,SUM(M29:T29)+U29*0.25,IF(AN29=8.75,SUM(M29:T29)+U29*0.75,0)))))</f>
        <v>8.75</v>
      </c>
      <c r="AP29" s="167">
        <f>+AO29-AB29</f>
        <v>0</v>
      </c>
      <c r="AQ29" s="167"/>
      <c r="AR29" s="167"/>
      <c r="AS29" s="167"/>
      <c r="AT29" s="435"/>
      <c r="AU29" s="393"/>
      <c r="AW29" s="356">
        <v>3.1428571428571428</v>
      </c>
      <c r="AY29" s="356"/>
    </row>
    <row r="30" spans="2:61" s="98" customFormat="1" ht="62.25" customHeight="1" thickTop="1" x14ac:dyDescent="0.9">
      <c r="B30" s="97">
        <f>+B31</f>
        <v>6</v>
      </c>
      <c r="C30" s="370"/>
      <c r="D30" s="106"/>
      <c r="E30" s="106"/>
      <c r="F30" s="106"/>
      <c r="G30" s="577" t="s">
        <v>444</v>
      </c>
      <c r="H30" s="106"/>
      <c r="I30" s="111"/>
      <c r="J30" s="107" t="s">
        <v>20</v>
      </c>
      <c r="K30" s="108">
        <v>0</v>
      </c>
      <c r="L30" s="100" t="s">
        <v>21</v>
      </c>
      <c r="M30" s="423">
        <v>50</v>
      </c>
      <c r="N30" s="423">
        <v>50</v>
      </c>
      <c r="O30" s="423">
        <v>50</v>
      </c>
      <c r="P30" s="423">
        <v>50</v>
      </c>
      <c r="Q30" s="423">
        <v>50</v>
      </c>
      <c r="R30" s="423">
        <v>50</v>
      </c>
      <c r="S30" s="423">
        <v>50</v>
      </c>
      <c r="T30" s="423"/>
      <c r="U30" s="423">
        <v>50</v>
      </c>
      <c r="V30" s="423"/>
      <c r="W30" s="423"/>
      <c r="X30" s="135">
        <f t="shared" si="0"/>
        <v>400</v>
      </c>
      <c r="Y30" s="438"/>
      <c r="Z30" s="400">
        <v>-16.5</v>
      </c>
      <c r="AA30" s="540">
        <f>+X32</f>
        <v>-76.25</v>
      </c>
      <c r="AB30" s="135">
        <f t="shared" si="1"/>
        <v>400</v>
      </c>
      <c r="AC30" s="136">
        <f>+AD30+AB30</f>
        <v>4101</v>
      </c>
      <c r="AD30" s="136">
        <v>3701</v>
      </c>
      <c r="AE30" s="438"/>
      <c r="AF30" s="438"/>
      <c r="AG30" s="109"/>
      <c r="AH30" s="110"/>
      <c r="AI30" s="157"/>
      <c r="AJ30" s="161"/>
      <c r="AK30" s="167"/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61" s="98" customFormat="1" ht="62.25" customHeight="1" x14ac:dyDescent="0.9">
      <c r="B31" s="132">
        <v>6</v>
      </c>
      <c r="C31" s="371">
        <f>+B31</f>
        <v>6</v>
      </c>
      <c r="D31" s="372" t="s">
        <v>443</v>
      </c>
      <c r="E31" s="111"/>
      <c r="F31" s="111" t="s">
        <v>35</v>
      </c>
      <c r="G31" s="578" t="str">
        <f t="shared" ref="G31:G33" si="12">+G30</f>
        <v>2917-496-712</v>
      </c>
      <c r="H31" s="450">
        <v>7000</v>
      </c>
      <c r="I31" s="111" t="s">
        <v>33</v>
      </c>
      <c r="J31" s="113"/>
      <c r="K31" s="130">
        <v>55</v>
      </c>
      <c r="L31" s="101" t="s">
        <v>17</v>
      </c>
      <c r="M31" s="214">
        <v>31</v>
      </c>
      <c r="N31" s="214">
        <v>50</v>
      </c>
      <c r="O31" s="214">
        <v>55</v>
      </c>
      <c r="P31" s="214">
        <v>52</v>
      </c>
      <c r="Q31" s="214">
        <v>53</v>
      </c>
      <c r="R31" s="214">
        <v>50</v>
      </c>
      <c r="S31" s="214">
        <v>50</v>
      </c>
      <c r="T31" s="214">
        <v>50</v>
      </c>
      <c r="U31" s="214">
        <v>14</v>
      </c>
      <c r="V31" s="424"/>
      <c r="W31" s="424"/>
      <c r="X31" s="123">
        <f>+IF(H32="s",0,IF(AB31=0,0,IF(COUNTA(M31:W31)=AN33+0.25,SUMIF($C:$C,B31,$AB:$AB)/AN33,SUMIF($C:$C,B31,$AB:$AB)/(COUNTA(M31:W31)))))</f>
        <v>46.285714285714285</v>
      </c>
      <c r="Y31" s="439"/>
      <c r="Z31" s="400"/>
      <c r="AA31" s="541"/>
      <c r="AB31" s="134">
        <f t="shared" si="1"/>
        <v>405</v>
      </c>
      <c r="AC31" s="137">
        <f>+AB31+AD31</f>
        <v>2654</v>
      </c>
      <c r="AD31" s="137">
        <v>2249</v>
      </c>
      <c r="AE31" s="439"/>
      <c r="AF31" s="439">
        <f>+AE31+Y31</f>
        <v>0</v>
      </c>
      <c r="AG31" s="140">
        <f>+AC30-AC31</f>
        <v>1447</v>
      </c>
      <c r="AH31" s="131" t="str">
        <f>+IF(((AB32+(AB33/2))*60)=0,"",(J31*AB31)/((AB32+(AB33/2))*60))</f>
        <v/>
      </c>
      <c r="AI31" s="161"/>
      <c r="AJ31" s="161"/>
      <c r="AK31" s="167"/>
      <c r="AL31" s="167"/>
      <c r="AM31" s="230"/>
      <c r="AN31" s="339"/>
      <c r="AO31" s="340"/>
      <c r="AP31" s="167"/>
      <c r="AQ31" s="167"/>
      <c r="AR31" s="167"/>
      <c r="AS31" s="167"/>
      <c r="AT31" s="433">
        <f>-400+AB30</f>
        <v>0</v>
      </c>
      <c r="AU31" s="393">
        <v>1.5</v>
      </c>
      <c r="AW31" s="356">
        <v>1452</v>
      </c>
      <c r="AY31" s="356">
        <f t="shared" ref="AY31" si="13">+AW31-AG31</f>
        <v>5</v>
      </c>
    </row>
    <row r="32" spans="2:61" s="98" customFormat="1" ht="62.25" customHeight="1" x14ac:dyDescent="0.9">
      <c r="B32" s="125">
        <f>B31</f>
        <v>6</v>
      </c>
      <c r="C32" s="373"/>
      <c r="D32" s="184"/>
      <c r="E32" s="111">
        <f>+B31</f>
        <v>6</v>
      </c>
      <c r="F32" s="374"/>
      <c r="G32" s="578" t="str">
        <f t="shared" si="12"/>
        <v>2917-496-712</v>
      </c>
      <c r="H32" s="376" t="s">
        <v>400</v>
      </c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215"/>
      <c r="N32" s="215"/>
      <c r="O32" s="215"/>
      <c r="P32" s="215"/>
      <c r="Q32" s="215"/>
      <c r="R32" s="215"/>
      <c r="S32" s="215"/>
      <c r="T32" s="215"/>
      <c r="U32" s="215"/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-76.25</v>
      </c>
      <c r="Y32" s="440"/>
      <c r="Z32" s="400"/>
      <c r="AA32" s="541"/>
      <c r="AB32" s="443">
        <f t="shared" si="5"/>
        <v>0</v>
      </c>
      <c r="AC32" s="341"/>
      <c r="AD32" s="341"/>
      <c r="AE32" s="440"/>
      <c r="AF32" s="440"/>
      <c r="AG32" s="115"/>
      <c r="AH32" s="116"/>
      <c r="AI32" s="157"/>
      <c r="AJ32" s="161"/>
      <c r="AK32" s="167"/>
      <c r="AL32" s="167"/>
      <c r="AM32" s="230"/>
      <c r="AN32" s="339"/>
      <c r="AO32" s="340"/>
      <c r="AP32" s="167"/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6</v>
      </c>
      <c r="C33" s="375"/>
      <c r="D33" s="174" t="s">
        <v>93</v>
      </c>
      <c r="E33" s="175">
        <f>+E32+100</f>
        <v>106</v>
      </c>
      <c r="F33" s="175"/>
      <c r="G33" s="579" t="str">
        <f t="shared" si="12"/>
        <v>2917-496-712</v>
      </c>
      <c r="H33" s="454">
        <f>+AC30-H31</f>
        <v>-2899</v>
      </c>
      <c r="I33" s="397"/>
      <c r="J33" s="165" t="str">
        <f>+IF(K33="","",IF(K31=0,"",(K31*J31)/(K33*60)))</f>
        <v/>
      </c>
      <c r="K33" s="118"/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>
        <v>60.269999999999996</v>
      </c>
      <c r="AA33" s="168">
        <f>+IF(COUNTA(M31:W31)=$AM$4+0.25,$AM$4-(AB31/K31),COUNTA(M31:W31)-(AB31/K31))+Z33</f>
        <v>61.656363636363636</v>
      </c>
      <c r="AB33" s="444">
        <f t="shared" si="5"/>
        <v>0</v>
      </c>
      <c r="AC33" s="139"/>
      <c r="AD33" s="139"/>
      <c r="AE33" s="441"/>
      <c r="AF33" s="441"/>
      <c r="AG33" s="119">
        <f>+IFERROR(AG31/(K31*$AT$3),"")</f>
        <v>3.006753246753247</v>
      </c>
      <c r="AH33" s="162"/>
      <c r="AI33" s="161"/>
      <c r="AJ33" s="161"/>
      <c r="AK33" s="167"/>
      <c r="AL33" s="167"/>
      <c r="AM33" s="230"/>
      <c r="AN33" s="342">
        <f>+$AM$4</f>
        <v>8.75</v>
      </c>
      <c r="AO33" s="340"/>
      <c r="AP33" s="167"/>
      <c r="AQ33" s="167"/>
      <c r="AR33" s="167"/>
      <c r="AS33" s="167"/>
      <c r="AT33" s="435"/>
      <c r="AU33" s="393"/>
      <c r="AW33" s="356">
        <v>3.318857142857143</v>
      </c>
      <c r="AY33" s="356"/>
    </row>
    <row r="34" spans="2:61" s="98" customFormat="1" ht="62.25" customHeight="1" thickTop="1" x14ac:dyDescent="0.9">
      <c r="B34" s="97">
        <f>+B35</f>
        <v>7</v>
      </c>
      <c r="C34" s="370"/>
      <c r="D34" s="106"/>
      <c r="E34" s="106"/>
      <c r="F34" s="106"/>
      <c r="G34" s="577" t="s">
        <v>444</v>
      </c>
      <c r="H34" s="106"/>
      <c r="I34" s="106"/>
      <c r="J34" s="107" t="s">
        <v>20</v>
      </c>
      <c r="K34" s="108" t="s">
        <v>23</v>
      </c>
      <c r="L34" s="100" t="s">
        <v>21</v>
      </c>
      <c r="M34" s="423">
        <v>50</v>
      </c>
      <c r="N34" s="423">
        <v>50</v>
      </c>
      <c r="O34" s="423">
        <v>50</v>
      </c>
      <c r="P34" s="423"/>
      <c r="Q34" s="423">
        <v>50</v>
      </c>
      <c r="R34" s="423">
        <v>50</v>
      </c>
      <c r="S34" s="423">
        <v>50</v>
      </c>
      <c r="T34" s="423">
        <v>50</v>
      </c>
      <c r="U34" s="423">
        <v>50</v>
      </c>
      <c r="V34" s="423"/>
      <c r="W34" s="423"/>
      <c r="X34" s="135">
        <f t="shared" si="0"/>
        <v>400</v>
      </c>
      <c r="Y34" s="438"/>
      <c r="Z34" s="400">
        <v>-132</v>
      </c>
      <c r="AA34" s="540">
        <f>+X36</f>
        <v>-49</v>
      </c>
      <c r="AB34" s="135">
        <f t="shared" si="1"/>
        <v>400</v>
      </c>
      <c r="AC34" s="136">
        <f>+AD34+AB34</f>
        <v>2451</v>
      </c>
      <c r="AD34" s="136">
        <v>2051</v>
      </c>
      <c r="AE34" s="438"/>
      <c r="AF34" s="438"/>
      <c r="AG34" s="109"/>
      <c r="AH34" s="110"/>
      <c r="AI34" s="157"/>
      <c r="AJ34" s="161">
        <f t="shared" si="2"/>
        <v>0</v>
      </c>
      <c r="AK34" s="167">
        <f t="shared" si="3"/>
        <v>0</v>
      </c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1.35">
      <c r="B35" s="132">
        <v>7</v>
      </c>
      <c r="C35" s="371">
        <f>+B35</f>
        <v>7</v>
      </c>
      <c r="D35" s="372" t="s">
        <v>443</v>
      </c>
      <c r="E35" s="111"/>
      <c r="F35" s="111" t="s">
        <v>35</v>
      </c>
      <c r="G35" s="578" t="str">
        <f>+G34</f>
        <v>2917-496-712</v>
      </c>
      <c r="H35" s="450">
        <v>7000</v>
      </c>
      <c r="I35" s="111" t="s">
        <v>33</v>
      </c>
      <c r="J35" s="113">
        <v>42.84</v>
      </c>
      <c r="K35" s="130">
        <v>60</v>
      </c>
      <c r="L35" s="101" t="s">
        <v>17</v>
      </c>
      <c r="M35" s="214">
        <v>55</v>
      </c>
      <c r="N35" s="214">
        <v>55</v>
      </c>
      <c r="O35" s="214">
        <v>55</v>
      </c>
      <c r="P35" s="214">
        <v>31</v>
      </c>
      <c r="Q35" s="214">
        <v>60</v>
      </c>
      <c r="R35" s="214">
        <v>60</v>
      </c>
      <c r="S35" s="214">
        <v>60</v>
      </c>
      <c r="T35" s="214">
        <v>60</v>
      </c>
      <c r="U35" s="214">
        <v>40</v>
      </c>
      <c r="V35" s="424"/>
      <c r="W35" s="424"/>
      <c r="X35" s="123">
        <f>+IF(H36="s",0,IF(AB35=0,0,IF(COUNTA(M35:W35)=AN37+0.25,SUMIF($C:$C,B35,$AB:$AB)/AN37,SUMIF($C:$C,B35,$AB:$AB)/(COUNTA(M35:W35)))))</f>
        <v>54.4</v>
      </c>
      <c r="Y35" s="439"/>
      <c r="Z35" s="400"/>
      <c r="AA35" s="541"/>
      <c r="AB35" s="134">
        <f t="shared" si="1"/>
        <v>476</v>
      </c>
      <c r="AC35" s="137">
        <f>+AB35+AD35</f>
        <v>1619</v>
      </c>
      <c r="AD35" s="137">
        <v>1143</v>
      </c>
      <c r="AE35" s="439">
        <v>0</v>
      </c>
      <c r="AF35" s="439">
        <f>+AE35+Y35</f>
        <v>0</v>
      </c>
      <c r="AG35" s="140">
        <f>+AC34-AC35</f>
        <v>832</v>
      </c>
      <c r="AH35" s="131">
        <f>+IF(((AB36+(AB37/2))*60)=0,"",(J35*AB35)/((AB36+(AB37/2))*60))</f>
        <v>0.76914059405940594</v>
      </c>
      <c r="AI35" s="161">
        <f>+AB36+AB37/2</f>
        <v>441.875</v>
      </c>
      <c r="AJ35" s="161">
        <f t="shared" si="2"/>
        <v>441.52499999999998</v>
      </c>
      <c r="AK35" s="167">
        <f t="shared" si="3"/>
        <v>26512.5</v>
      </c>
      <c r="AL35" s="167">
        <f>+AB35*J35</f>
        <v>20391.84</v>
      </c>
      <c r="AM35" s="230">
        <f>+AB35-(AI35*K35/K37)</f>
        <v>-65.071428571428555</v>
      </c>
      <c r="AN35" s="339"/>
      <c r="AO35" s="340"/>
      <c r="AP35" s="167"/>
      <c r="AQ35" s="167"/>
      <c r="AR35" s="167"/>
      <c r="AS35" s="167"/>
      <c r="AT35" s="433">
        <f t="shared" ref="AT35" si="14">IF(AU35=0,"",AW35-(($AT$3*K35)+($AT$3*K35)*AU35)+AB34)</f>
        <v>-83.25</v>
      </c>
      <c r="AU35" s="393">
        <v>1.65</v>
      </c>
      <c r="AW35" s="356">
        <v>908</v>
      </c>
      <c r="AY35" s="356">
        <f t="shared" ref="AY35" si="15">+AW35-AG35</f>
        <v>76</v>
      </c>
      <c r="AZ35" s="581" t="s">
        <v>471</v>
      </c>
      <c r="BA35" s="581"/>
      <c r="BB35" s="581"/>
      <c r="BC35" s="581"/>
      <c r="BD35" s="581"/>
      <c r="BE35" s="581"/>
      <c r="BF35" s="581"/>
      <c r="BG35" s="581"/>
      <c r="BH35" s="581"/>
      <c r="BI35" s="581"/>
    </row>
    <row r="36" spans="2:61" s="98" customFormat="1" ht="62.25" customHeight="1" x14ac:dyDescent="0.9">
      <c r="B36" s="125">
        <f>B35</f>
        <v>7</v>
      </c>
      <c r="C36" s="373"/>
      <c r="D36" s="184"/>
      <c r="E36" s="111">
        <f>+B35</f>
        <v>7</v>
      </c>
      <c r="F36" s="374"/>
      <c r="G36" s="578" t="str">
        <f>+G34</f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1</v>
      </c>
      <c r="J36" s="113"/>
      <c r="K36" s="114" t="s">
        <v>22</v>
      </c>
      <c r="L36" s="102" t="s">
        <v>18</v>
      </c>
      <c r="M36" s="425">
        <v>50</v>
      </c>
      <c r="N36" s="425">
        <v>50</v>
      </c>
      <c r="O36" s="425">
        <v>50</v>
      </c>
      <c r="P36" s="425">
        <v>50</v>
      </c>
      <c r="Q36" s="425">
        <v>50</v>
      </c>
      <c r="R36" s="425">
        <v>50</v>
      </c>
      <c r="S36" s="425">
        <v>50</v>
      </c>
      <c r="T36" s="425">
        <v>50</v>
      </c>
      <c r="U36" s="425">
        <v>50</v>
      </c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-49</v>
      </c>
      <c r="Y36" s="440"/>
      <c r="Z36" s="400"/>
      <c r="AA36" s="541"/>
      <c r="AB36" s="443">
        <f t="shared" si="5"/>
        <v>437.5</v>
      </c>
      <c r="AC36" s="341"/>
      <c r="AD36" s="341"/>
      <c r="AE36" s="440"/>
      <c r="AF36" s="440"/>
      <c r="AG36" s="115"/>
      <c r="AH36" s="116"/>
      <c r="AI36" s="157"/>
      <c r="AJ36" s="161">
        <f t="shared" si="2"/>
        <v>0</v>
      </c>
      <c r="AK36" s="167">
        <f t="shared" si="3"/>
        <v>0</v>
      </c>
      <c r="AL36" s="167"/>
      <c r="AM36" s="167"/>
      <c r="AN36" s="339"/>
      <c r="AO36" s="340">
        <f>+IF(AN37=7.75,SUM(M36:S36)+T36*0.75,IF(AN37=8,SUM(M36:T36),IF(AN37=7.25,SUM(M36:S36)+T36*0.25,IF(AN37=8.25,SUM(M36:T36)+U36*0.25,IF(AN37=8.75,SUM(M36:T36)+U36*0.75,0)))))</f>
        <v>437.5</v>
      </c>
      <c r="AP36" s="167">
        <f>+AO36-AB36</f>
        <v>0</v>
      </c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9">
        <f>B35</f>
        <v>7</v>
      </c>
      <c r="C37" s="375"/>
      <c r="D37" s="174" t="s">
        <v>93</v>
      </c>
      <c r="E37" s="175">
        <f>+E36+100</f>
        <v>107</v>
      </c>
      <c r="F37" s="175"/>
      <c r="G37" s="579" t="str">
        <f>+G34</f>
        <v>2917-496-712</v>
      </c>
      <c r="H37" s="454">
        <f>+AC34-H35</f>
        <v>-4549</v>
      </c>
      <c r="I37" s="397"/>
      <c r="J37" s="165">
        <v>0.91625000000000001</v>
      </c>
      <c r="K37" s="118">
        <v>49</v>
      </c>
      <c r="L37" s="104" t="s">
        <v>19</v>
      </c>
      <c r="M37" s="427">
        <v>1</v>
      </c>
      <c r="N37" s="427">
        <v>1</v>
      </c>
      <c r="O37" s="427">
        <v>1</v>
      </c>
      <c r="P37" s="427">
        <v>1</v>
      </c>
      <c r="Q37" s="427">
        <v>1</v>
      </c>
      <c r="R37" s="427">
        <v>1</v>
      </c>
      <c r="S37" s="427">
        <v>1</v>
      </c>
      <c r="T37" s="427">
        <v>1</v>
      </c>
      <c r="U37" s="427">
        <v>1</v>
      </c>
      <c r="V37" s="428"/>
      <c r="W37" s="428"/>
      <c r="X37" s="173"/>
      <c r="Y37" s="441"/>
      <c r="Z37" s="401">
        <v>22.296666666666667</v>
      </c>
      <c r="AA37" s="168">
        <f>+IF(COUNTA(M35:W35)=$AM$4+0.25,$AM$4-(AB35/K35),COUNTA(M35:W35)-(AB35/K35))+Z37</f>
        <v>23.113333333333333</v>
      </c>
      <c r="AB37" s="444">
        <f t="shared" si="5"/>
        <v>8.75</v>
      </c>
      <c r="AC37" s="139"/>
      <c r="AD37" s="139"/>
      <c r="AE37" s="441"/>
      <c r="AF37" s="441"/>
      <c r="AG37" s="119">
        <f>+IFERROR(AG35/(K35*$AT$3),"")</f>
        <v>1.5847619047619048</v>
      </c>
      <c r="AH37" s="162"/>
      <c r="AI37" s="161"/>
      <c r="AJ37" s="161">
        <f t="shared" si="2"/>
        <v>0</v>
      </c>
      <c r="AK37" s="167">
        <f t="shared" si="3"/>
        <v>0</v>
      </c>
      <c r="AL37" s="167"/>
      <c r="AM37" s="230"/>
      <c r="AN37" s="342">
        <f>+$AM$4</f>
        <v>8.75</v>
      </c>
      <c r="AO37" s="340">
        <f>+IF(AN37=7.75,SUM(M37:S37)+T37*0.75,IF(AN37=8,SUM(M37:T37),IF(AN37=7.25,SUM(M37:S37)+T37*0.25,IF(AN37=8.25,SUM(M37:T37)+U37*0.25,IF(AN37=8.75,SUM(M37:T37)+U37*0.75,0)))))</f>
        <v>8.75</v>
      </c>
      <c r="AP37" s="167">
        <f>+AO37-AB37</f>
        <v>0</v>
      </c>
      <c r="AQ37" s="167"/>
      <c r="AR37" s="167"/>
      <c r="AS37" s="167"/>
      <c r="AT37" s="435"/>
      <c r="AU37" s="393"/>
      <c r="AW37" s="356">
        <v>1.7295238095238095</v>
      </c>
      <c r="AY37" s="356"/>
    </row>
    <row r="38" spans="2:61" s="98" customFormat="1" ht="62.25" customHeight="1" thickTop="1" x14ac:dyDescent="0.9">
      <c r="B38" s="97">
        <f>+B39</f>
        <v>8</v>
      </c>
      <c r="C38" s="370"/>
      <c r="D38" s="106"/>
      <c r="E38" s="106"/>
      <c r="F38" s="106"/>
      <c r="G38" s="582" t="s">
        <v>442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100</v>
      </c>
      <c r="N38" s="423">
        <v>50</v>
      </c>
      <c r="O38" s="423">
        <v>100</v>
      </c>
      <c r="P38" s="423">
        <v>50</v>
      </c>
      <c r="Q38" s="423"/>
      <c r="R38" s="423">
        <v>50</v>
      </c>
      <c r="S38" s="423">
        <v>50</v>
      </c>
      <c r="T38" s="423"/>
      <c r="U38" s="423"/>
      <c r="V38" s="423"/>
      <c r="W38" s="423"/>
      <c r="X38" s="135">
        <f t="shared" si="0"/>
        <v>400</v>
      </c>
      <c r="Y38" s="438"/>
      <c r="Z38" s="400">
        <v>0.5</v>
      </c>
      <c r="AA38" s="540">
        <f>+X40</f>
        <v>0.5</v>
      </c>
      <c r="AB38" s="135">
        <f t="shared" si="1"/>
        <v>400</v>
      </c>
      <c r="AC38" s="136">
        <f>+AD38+AB38</f>
        <v>5285</v>
      </c>
      <c r="AD38" s="136">
        <v>4885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0.9">
      <c r="B39" s="132">
        <v>8</v>
      </c>
      <c r="C39" s="371">
        <f>+B39</f>
        <v>8</v>
      </c>
      <c r="D39" s="372" t="s">
        <v>441</v>
      </c>
      <c r="E39" s="111"/>
      <c r="F39" s="111" t="s">
        <v>35</v>
      </c>
      <c r="G39" s="582" t="str">
        <f>+G38</f>
        <v>7741-793-052</v>
      </c>
      <c r="H39" s="450">
        <v>11500</v>
      </c>
      <c r="I39" s="111" t="s">
        <v>33</v>
      </c>
      <c r="J39" s="113">
        <v>55.14</v>
      </c>
      <c r="K39" s="130">
        <v>46</v>
      </c>
      <c r="L39" s="101" t="s">
        <v>17</v>
      </c>
      <c r="M39" s="214">
        <v>46</v>
      </c>
      <c r="N39" s="214">
        <v>46</v>
      </c>
      <c r="O39" s="214">
        <v>46</v>
      </c>
      <c r="P39" s="214">
        <v>46</v>
      </c>
      <c r="Q39" s="214">
        <v>46</v>
      </c>
      <c r="R39" s="214">
        <v>46</v>
      </c>
      <c r="S39" s="214">
        <v>46</v>
      </c>
      <c r="T39" s="214">
        <v>46</v>
      </c>
      <c r="U39" s="214">
        <v>35</v>
      </c>
      <c r="V39" s="424"/>
      <c r="W39" s="424"/>
      <c r="X39" s="123">
        <f>+IF(H40="s",0,IF(AB39=0,0,IF(COUNTA(M39:W39)=AN41+0.25,SUMIF($C:$C,B39,$AB:$AB)/AN41,SUMIF($C:$C,B39,$AB:$AB)/(COUNTA(M39:W39)))))</f>
        <v>46.057142857142857</v>
      </c>
      <c r="Y39" s="439"/>
      <c r="Z39" s="400"/>
      <c r="AA39" s="541"/>
      <c r="AB39" s="134">
        <f t="shared" si="1"/>
        <v>403</v>
      </c>
      <c r="AC39" s="137">
        <f>+AB39+AD39</f>
        <v>4144</v>
      </c>
      <c r="AD39" s="137">
        <v>3741</v>
      </c>
      <c r="AE39" s="439">
        <v>0</v>
      </c>
      <c r="AF39" s="439">
        <f>+AE39+Y39</f>
        <v>0</v>
      </c>
      <c r="AG39" s="140">
        <f>+AC38-AC39</f>
        <v>1141</v>
      </c>
      <c r="AH39" s="131">
        <f>+IF(((AB40+(AB41/2))*60)=0,"",(J39*AB39)/((AB40+(AB41/2))*60))</f>
        <v>0.86380641399416913</v>
      </c>
      <c r="AI39" s="161">
        <f>+AB40+AB41/2</f>
        <v>428.75</v>
      </c>
      <c r="AJ39" s="161">
        <f t="shared" si="2"/>
        <v>428.45</v>
      </c>
      <c r="AK39" s="167">
        <f t="shared" si="3"/>
        <v>25725</v>
      </c>
      <c r="AL39" s="167">
        <f>+AB39*J39</f>
        <v>22221.420000000002</v>
      </c>
      <c r="AM39" s="230">
        <f>+AB39-(AI39*K39/K41)</f>
        <v>0.5</v>
      </c>
      <c r="AN39" s="339"/>
      <c r="AO39" s="340"/>
      <c r="AP39" s="167"/>
      <c r="AQ39" s="167"/>
      <c r="AR39" s="167"/>
      <c r="AS39" s="167"/>
      <c r="AT39" s="433">
        <f t="shared" ref="AT39" si="16">IF(AU39=0,"",AW39-(($AT$3*K39)+($AT$3*K39)*AU39)+AB38)</f>
        <v>14.5</v>
      </c>
      <c r="AU39" s="393">
        <v>2.8</v>
      </c>
      <c r="AW39" s="356">
        <v>1144</v>
      </c>
      <c r="AY39" s="356">
        <f t="shared" ref="AY39" si="17">+AW39-AG39</f>
        <v>3</v>
      </c>
    </row>
    <row r="40" spans="2:61" s="98" customFormat="1" ht="62.25" customHeight="1" x14ac:dyDescent="0.9">
      <c r="B40" s="125">
        <f>+B39</f>
        <v>8</v>
      </c>
      <c r="C40" s="373"/>
      <c r="D40" s="184"/>
      <c r="E40" s="111">
        <f>+B39</f>
        <v>8</v>
      </c>
      <c r="F40" s="374"/>
      <c r="G40" s="582" t="str">
        <f>+G39</f>
        <v>7741-793-052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49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0.5</v>
      </c>
      <c r="Y40" s="440"/>
      <c r="Z40" s="400"/>
      <c r="AA40" s="541"/>
      <c r="AB40" s="443">
        <f t="shared" si="5"/>
        <v>428.75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428.75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6">
        <f>+B39</f>
        <v>8</v>
      </c>
      <c r="C41" s="375"/>
      <c r="D41" s="174" t="s">
        <v>373</v>
      </c>
      <c r="E41" s="175">
        <f>+E40+100</f>
        <v>108</v>
      </c>
      <c r="F41" s="175"/>
      <c r="G41" s="582" t="str">
        <f>+G40</f>
        <v>7741-793-052</v>
      </c>
      <c r="H41" s="454">
        <f>+AC38-H39</f>
        <v>-6215</v>
      </c>
      <c r="I41" s="397"/>
      <c r="J41" s="165">
        <f>+IF(K41="","",IF(K39=0,"",(K39*J39)/(K41*60)))</f>
        <v>0.86273469387755108</v>
      </c>
      <c r="K41" s="118">
        <v>49</v>
      </c>
      <c r="L41" s="104" t="s">
        <v>19</v>
      </c>
      <c r="M41" s="427"/>
      <c r="N41" s="427"/>
      <c r="O41" s="427"/>
      <c r="P41" s="427"/>
      <c r="Q41" s="427"/>
      <c r="R41" s="427"/>
      <c r="S41" s="427"/>
      <c r="T41" s="427"/>
      <c r="U41" s="427"/>
      <c r="V41" s="428"/>
      <c r="W41" s="428"/>
      <c r="X41" s="173"/>
      <c r="Y41" s="441"/>
      <c r="Z41" s="401">
        <v>24.299090909090911</v>
      </c>
      <c r="AA41" s="169">
        <v>24.299090909090911</v>
      </c>
      <c r="AB41" s="444">
        <f t="shared" si="5"/>
        <v>0</v>
      </c>
      <c r="AC41" s="139"/>
      <c r="AD41" s="139"/>
      <c r="AE41" s="441"/>
      <c r="AF41" s="441"/>
      <c r="AG41" s="119">
        <f>+IFERROR(AG39/(K39*$AT$3),"")</f>
        <v>2.8347826086956522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0</v>
      </c>
      <c r="AP41" s="167">
        <f>+AO41-AB41</f>
        <v>0</v>
      </c>
      <c r="AQ41" s="167"/>
      <c r="AR41" s="167"/>
      <c r="AS41" s="167"/>
      <c r="AT41" s="435"/>
      <c r="AU41" s="393"/>
      <c r="AW41" s="356">
        <v>2.8422360248447207</v>
      </c>
      <c r="AY41" s="356"/>
    </row>
    <row r="42" spans="2:61" s="98" customFormat="1" ht="62.25" customHeight="1" thickTop="1" x14ac:dyDescent="0.9">
      <c r="B42" s="97">
        <f>+B43</f>
        <v>11</v>
      </c>
      <c r="C42" s="370"/>
      <c r="D42" s="106"/>
      <c r="E42" s="106"/>
      <c r="F42" s="106"/>
      <c r="G42" s="577" t="s">
        <v>428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150</v>
      </c>
      <c r="N42" s="423">
        <v>75</v>
      </c>
      <c r="O42" s="423">
        <v>150</v>
      </c>
      <c r="P42" s="423">
        <v>75</v>
      </c>
      <c r="Q42" s="423"/>
      <c r="R42" s="423"/>
      <c r="S42" s="423"/>
      <c r="T42" s="423"/>
      <c r="U42" s="423"/>
      <c r="V42" s="423"/>
      <c r="W42" s="423"/>
      <c r="X42" s="135">
        <f t="shared" si="0"/>
        <v>450</v>
      </c>
      <c r="Y42" s="438"/>
      <c r="Z42" s="400">
        <v>-88.75</v>
      </c>
      <c r="AA42" s="540">
        <f>+X44</f>
        <v>0.25</v>
      </c>
      <c r="AB42" s="135">
        <f t="shared" si="1"/>
        <v>450</v>
      </c>
      <c r="AC42" s="136">
        <f>+AD42+AB42</f>
        <v>10193</v>
      </c>
      <c r="AD42" s="136">
        <v>9743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11</v>
      </c>
      <c r="C43" s="371">
        <v>11</v>
      </c>
      <c r="D43" s="372" t="s">
        <v>427</v>
      </c>
      <c r="E43" s="111"/>
      <c r="F43" s="111" t="s">
        <v>426</v>
      </c>
      <c r="G43" s="578" t="str">
        <f>+G42</f>
        <v>NUDIE-301580</v>
      </c>
      <c r="H43" s="450">
        <v>10450</v>
      </c>
      <c r="I43" s="111" t="s">
        <v>425</v>
      </c>
      <c r="J43" s="113">
        <v>44.17</v>
      </c>
      <c r="K43" s="130">
        <v>65</v>
      </c>
      <c r="L43" s="101" t="s">
        <v>17</v>
      </c>
      <c r="M43" s="214">
        <v>65</v>
      </c>
      <c r="N43" s="214">
        <v>65</v>
      </c>
      <c r="O43" s="214">
        <v>65</v>
      </c>
      <c r="P43" s="214">
        <v>65</v>
      </c>
      <c r="Q43" s="214">
        <v>65</v>
      </c>
      <c r="R43" s="214">
        <v>65</v>
      </c>
      <c r="S43" s="214">
        <v>65</v>
      </c>
      <c r="T43" s="214">
        <v>65</v>
      </c>
      <c r="U43" s="214">
        <v>49</v>
      </c>
      <c r="V43" s="214"/>
      <c r="W43" s="424"/>
      <c r="X43" s="123">
        <f>+IF(H44="s",0,IF(AB43=0,0,IF(COUNTA(M43:W43)=AN45+0.25,SUMIF($C:$C,B43,$AB:$AB)/AN45,SUMIF($C:$C,B43,$AB:$AB)/(COUNTA(M43:W43)))))</f>
        <v>65.028571428571425</v>
      </c>
      <c r="Y43" s="439"/>
      <c r="Z43" s="400"/>
      <c r="AA43" s="541"/>
      <c r="AB43" s="134">
        <f t="shared" si="1"/>
        <v>569</v>
      </c>
      <c r="AC43" s="137">
        <f>+AB43+AD43</f>
        <v>9301</v>
      </c>
      <c r="AD43" s="137">
        <v>8732</v>
      </c>
      <c r="AE43" s="439">
        <v>0</v>
      </c>
      <c r="AF43" s="439">
        <f>+AE43+Y43</f>
        <v>0</v>
      </c>
      <c r="AG43" s="140">
        <f>+AC42-AC43</f>
        <v>892</v>
      </c>
      <c r="AH43" s="131">
        <f>+IF(((AB44+(AB45/2))*60)=0,"",(J43*AB43)/((AB44+(AB45/2))*60))</f>
        <v>0.89408502312344362</v>
      </c>
      <c r="AI43" s="161">
        <f>+AB44+AB45/2</f>
        <v>468.5</v>
      </c>
      <c r="AJ43" s="161">
        <f t="shared" si="2"/>
        <v>468.3</v>
      </c>
      <c r="AK43" s="167">
        <f t="shared" si="3"/>
        <v>28110</v>
      </c>
      <c r="AL43" s="167">
        <f>+AB43*J43</f>
        <v>25132.73</v>
      </c>
      <c r="AM43" s="230">
        <f>+AB43-(AI43*K43/K45)</f>
        <v>5.0648148148147811</v>
      </c>
      <c r="AN43" s="339"/>
      <c r="AO43" s="340"/>
      <c r="AP43" s="167"/>
      <c r="AQ43" s="167"/>
      <c r="AR43" s="167"/>
      <c r="AS43" s="167"/>
      <c r="AT43" s="433">
        <f>-450+AB42</f>
        <v>0</v>
      </c>
      <c r="AU43" s="393">
        <v>1.65</v>
      </c>
      <c r="AW43" s="356">
        <v>1011</v>
      </c>
      <c r="AY43" s="356">
        <f t="shared" ref="AY43" si="18">+AW43-AG43</f>
        <v>119</v>
      </c>
    </row>
    <row r="44" spans="2:61" s="98" customFormat="1" ht="62.25" customHeight="1" x14ac:dyDescent="0.9">
      <c r="B44" s="125">
        <f>+B43</f>
        <v>11</v>
      </c>
      <c r="C44" s="373"/>
      <c r="D44" s="184"/>
      <c r="E44" s="111">
        <f>+B43</f>
        <v>11</v>
      </c>
      <c r="F44" s="374"/>
      <c r="G44" s="578" t="str">
        <f>+G43</f>
        <v>NUDIE-301580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>
        <v>1</v>
      </c>
      <c r="K44" s="114" t="s">
        <v>22</v>
      </c>
      <c r="L44" s="102" t="s">
        <v>18</v>
      </c>
      <c r="M44" s="425">
        <v>50</v>
      </c>
      <c r="N44" s="425">
        <v>54</v>
      </c>
      <c r="O44" s="425">
        <v>54</v>
      </c>
      <c r="P44" s="425">
        <v>54</v>
      </c>
      <c r="Q44" s="425">
        <v>54</v>
      </c>
      <c r="R44" s="425">
        <v>54</v>
      </c>
      <c r="S44" s="425">
        <v>54</v>
      </c>
      <c r="T44" s="425">
        <v>54</v>
      </c>
      <c r="U44" s="425">
        <v>54</v>
      </c>
      <c r="V44" s="425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0.25</v>
      </c>
      <c r="Y44" s="440"/>
      <c r="Z44" s="400"/>
      <c r="AA44" s="541"/>
      <c r="AB44" s="443">
        <f t="shared" si="5"/>
        <v>468.5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468.5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11</v>
      </c>
      <c r="C45" s="375"/>
      <c r="D45" s="174" t="s">
        <v>403</v>
      </c>
      <c r="E45" s="175">
        <f>+E44+100</f>
        <v>111</v>
      </c>
      <c r="F45" s="175"/>
      <c r="G45" s="579" t="str">
        <f>+G44</f>
        <v>NUDIE-301580</v>
      </c>
      <c r="H45" s="454">
        <f>+AC42-H43</f>
        <v>-257</v>
      </c>
      <c r="I45" s="397"/>
      <c r="J45" s="165">
        <f>+IF(K45="","",IF(K43=0,"",(K43*J43)/(K45*60)))</f>
        <v>0.8861265432098766</v>
      </c>
      <c r="K45" s="118">
        <v>54</v>
      </c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8"/>
      <c r="X45" s="173"/>
      <c r="Y45" s="441"/>
      <c r="Z45" s="401">
        <v>46.941105769230759</v>
      </c>
      <c r="AA45" s="401">
        <v>46.941105769230759</v>
      </c>
      <c r="AB45" s="444">
        <f t="shared" si="5"/>
        <v>0</v>
      </c>
      <c r="AC45" s="139"/>
      <c r="AD45" s="139"/>
      <c r="AE45" s="441"/>
      <c r="AF45" s="441"/>
      <c r="AG45" s="119">
        <f>+IFERROR(AG43/(K43*$AT$3),"")</f>
        <v>1.5683516483516484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1.7775824175824175</v>
      </c>
      <c r="AY45" s="356"/>
    </row>
    <row r="46" spans="2:61" s="98" customFormat="1" ht="62.25" customHeight="1" thickTop="1" x14ac:dyDescent="0.9">
      <c r="B46" s="97">
        <f>+B47</f>
        <v>12</v>
      </c>
      <c r="C46" s="370"/>
      <c r="D46" s="106"/>
      <c r="E46" s="106"/>
      <c r="F46" s="106"/>
      <c r="G46" s="577" t="s">
        <v>433</v>
      </c>
      <c r="H46" s="106"/>
      <c r="I46" s="111"/>
      <c r="J46" s="107" t="s">
        <v>20</v>
      </c>
      <c r="K46" s="108" t="s">
        <v>23</v>
      </c>
      <c r="L46" s="100" t="s">
        <v>21</v>
      </c>
      <c r="M46" s="423">
        <v>75</v>
      </c>
      <c r="N46" s="423">
        <v>150</v>
      </c>
      <c r="O46" s="423">
        <v>75</v>
      </c>
      <c r="P46" s="423">
        <v>150</v>
      </c>
      <c r="Q46" s="423"/>
      <c r="R46" s="423"/>
      <c r="S46" s="423"/>
      <c r="T46" s="423"/>
      <c r="U46" s="423"/>
      <c r="V46" s="423"/>
      <c r="W46" s="423"/>
      <c r="X46" s="135">
        <f t="shared" si="0"/>
        <v>450</v>
      </c>
      <c r="Y46" s="438"/>
      <c r="Z46" s="400">
        <v>0.5</v>
      </c>
      <c r="AA46" s="540">
        <f>+X48</f>
        <v>0.5</v>
      </c>
      <c r="AB46" s="135">
        <f t="shared" si="1"/>
        <v>450</v>
      </c>
      <c r="AC46" s="136">
        <f>+AD46+AB46</f>
        <v>8701</v>
      </c>
      <c r="AD46" s="136">
        <v>8251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12</v>
      </c>
      <c r="C47" s="371">
        <f>+B47</f>
        <v>12</v>
      </c>
      <c r="D47" s="372" t="s">
        <v>432</v>
      </c>
      <c r="E47" s="111"/>
      <c r="F47" s="111" t="s">
        <v>35</v>
      </c>
      <c r="G47" s="578" t="str">
        <f>+G46</f>
        <v>2843-709-800</v>
      </c>
      <c r="H47" s="450">
        <v>11080</v>
      </c>
      <c r="I47" s="111" t="s">
        <v>251</v>
      </c>
      <c r="J47" s="113">
        <v>50</v>
      </c>
      <c r="K47" s="130">
        <v>50</v>
      </c>
      <c r="L47" s="101" t="s">
        <v>17</v>
      </c>
      <c r="M47" s="214">
        <v>50</v>
      </c>
      <c r="N47" s="214">
        <v>50</v>
      </c>
      <c r="O47" s="214">
        <v>50</v>
      </c>
      <c r="P47" s="214">
        <v>50</v>
      </c>
      <c r="Q47" s="214">
        <v>50</v>
      </c>
      <c r="R47" s="214">
        <v>50</v>
      </c>
      <c r="S47" s="214">
        <v>50</v>
      </c>
      <c r="T47" s="214">
        <v>50</v>
      </c>
      <c r="U47" s="214">
        <v>38</v>
      </c>
      <c r="V47" s="214"/>
      <c r="W47" s="424"/>
      <c r="X47" s="123">
        <f>+IF(H48="s",0,IF(AB47=0,0,IF(COUNTA(M47:W47)=AN49+0.25,SUMIF($C:$C,B47,$AB:$AB)/AN49,SUMIF($C:$C,B47,$AB:$AB)/(COUNTA(M47:W47)))))</f>
        <v>50.057142857142857</v>
      </c>
      <c r="Y47" s="439"/>
      <c r="Z47" s="400"/>
      <c r="AA47" s="541"/>
      <c r="AB47" s="134">
        <f t="shared" si="1"/>
        <v>438</v>
      </c>
      <c r="AC47" s="137">
        <f>+AB47+AD47</f>
        <v>7395</v>
      </c>
      <c r="AD47" s="137">
        <v>6957</v>
      </c>
      <c r="AE47" s="439">
        <v>0</v>
      </c>
      <c r="AF47" s="439">
        <f>+AE47+Y47</f>
        <v>0</v>
      </c>
      <c r="AG47" s="140">
        <f>+AC46-AC47</f>
        <v>1306</v>
      </c>
      <c r="AH47" s="131">
        <f>+IF(((AB48+(AB49/2))*60)=0,"",(J47*AB47)/((AB48+(AB49/2))*60))</f>
        <v>0.86008836524300447</v>
      </c>
      <c r="AI47" s="161">
        <f>+AB48+AB49/2</f>
        <v>424.375</v>
      </c>
      <c r="AJ47" s="161">
        <f t="shared" si="2"/>
        <v>424.22500000000002</v>
      </c>
      <c r="AK47" s="167">
        <f t="shared" si="3"/>
        <v>25462.5</v>
      </c>
      <c r="AL47" s="167">
        <f>+AB47*J47</f>
        <v>21900</v>
      </c>
      <c r="AM47" s="230">
        <f>+AB47-(AI47*K47/K49)</f>
        <v>4.9642857142857224</v>
      </c>
      <c r="AN47" s="339"/>
      <c r="AO47" s="340"/>
      <c r="AP47" s="167"/>
      <c r="AQ47" s="167"/>
      <c r="AR47" s="167"/>
      <c r="AS47" s="167"/>
      <c r="AT47" s="433">
        <f t="shared" ref="AT47" si="19">IF(AU47=0,"",AW47-(($AT$3*K47)+($AT$3*K47)*AU47)+AB46)</f>
        <v>2.75</v>
      </c>
      <c r="AU47" s="393">
        <v>2.98</v>
      </c>
      <c r="AW47" s="356">
        <v>1294</v>
      </c>
      <c r="AY47" s="356">
        <f t="shared" ref="AY47" si="20">+AW47-AG47</f>
        <v>-12</v>
      </c>
    </row>
    <row r="48" spans="2:61" s="98" customFormat="1" ht="62.25" customHeight="1" x14ac:dyDescent="0.9">
      <c r="B48" s="125">
        <f>B47</f>
        <v>12</v>
      </c>
      <c r="C48" s="373"/>
      <c r="D48" s="184"/>
      <c r="E48" s="111">
        <f>+B47</f>
        <v>12</v>
      </c>
      <c r="F48" s="377"/>
      <c r="G48" s="578" t="str">
        <f>+G46</f>
        <v>2843-709-800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48</v>
      </c>
      <c r="N48" s="425">
        <v>48</v>
      </c>
      <c r="O48" s="425">
        <v>48</v>
      </c>
      <c r="P48" s="425">
        <v>48</v>
      </c>
      <c r="Q48" s="425">
        <v>48</v>
      </c>
      <c r="R48" s="425">
        <v>48</v>
      </c>
      <c r="S48" s="425">
        <v>48</v>
      </c>
      <c r="T48" s="425">
        <v>48</v>
      </c>
      <c r="U48" s="425">
        <v>48</v>
      </c>
      <c r="V48" s="426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0.5</v>
      </c>
      <c r="Y48" s="440"/>
      <c r="Z48" s="400"/>
      <c r="AA48" s="541"/>
      <c r="AB48" s="443">
        <f t="shared" si="5"/>
        <v>420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230"/>
      <c r="AN48" s="339"/>
      <c r="AO48" s="340">
        <f>+IF(AN49=7.75,SUM(M48:S48)+T48*0.75,IF(AN49=8,SUM(M48:T48),IF(AN49=7.25,SUM(M48:S48)+T48*0.25,IF(AN49=8.25,SUM(M48:T48)+U48*0.25,IF(AN49=8.75,SUM(M48:T48)+U48*0.75,0)))))</f>
        <v>420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61" s="98" customFormat="1" ht="62.25" customHeight="1" thickBot="1" x14ac:dyDescent="0.95">
      <c r="B49" s="126">
        <f>B47</f>
        <v>12</v>
      </c>
      <c r="C49" s="375"/>
      <c r="D49" s="174" t="s">
        <v>366</v>
      </c>
      <c r="E49" s="175">
        <f>+E48+100</f>
        <v>112</v>
      </c>
      <c r="F49" s="175"/>
      <c r="G49" s="579" t="str">
        <f>+G46</f>
        <v>2843-709-800</v>
      </c>
      <c r="H49" s="454">
        <f>+AC46-H47</f>
        <v>-2379</v>
      </c>
      <c r="I49" s="397" t="s">
        <v>182</v>
      </c>
      <c r="J49" s="165">
        <f>+IF(K49="","",IF(K47=0,"",(K47*J47)/(K49*60)))</f>
        <v>0.85034013605442171</v>
      </c>
      <c r="K49" s="118">
        <v>49</v>
      </c>
      <c r="L49" s="104" t="s">
        <v>19</v>
      </c>
      <c r="M49" s="427">
        <v>1</v>
      </c>
      <c r="N49" s="427">
        <v>1</v>
      </c>
      <c r="O49" s="427">
        <v>1</v>
      </c>
      <c r="P49" s="427">
        <v>1</v>
      </c>
      <c r="Q49" s="427">
        <v>1</v>
      </c>
      <c r="R49" s="427">
        <v>1</v>
      </c>
      <c r="S49" s="427">
        <v>1</v>
      </c>
      <c r="T49" s="427">
        <v>1</v>
      </c>
      <c r="U49" s="427">
        <v>1</v>
      </c>
      <c r="V49" s="428"/>
      <c r="W49" s="428"/>
      <c r="X49" s="173"/>
      <c r="Y49" s="441"/>
      <c r="Z49" s="401">
        <v>20.200641379310341</v>
      </c>
      <c r="AA49" s="401">
        <v>20.200641379310341</v>
      </c>
      <c r="AB49" s="444">
        <f t="shared" si="5"/>
        <v>8.75</v>
      </c>
      <c r="AC49" s="139"/>
      <c r="AD49" s="139"/>
      <c r="AE49" s="441"/>
      <c r="AF49" s="441"/>
      <c r="AG49" s="119">
        <f>+IFERROR(AG47/(K47*$AT$3),"")</f>
        <v>2.9851428571428573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8.75</v>
      </c>
      <c r="AP49" s="167">
        <f>+AO49-AB49</f>
        <v>0</v>
      </c>
      <c r="AQ49" s="167"/>
      <c r="AR49" s="167"/>
      <c r="AS49" s="167"/>
      <c r="AT49" s="435"/>
      <c r="AU49" s="393"/>
      <c r="AW49" s="356">
        <v>2.9577142857142857</v>
      </c>
      <c r="AY49" s="356"/>
    </row>
    <row r="50" spans="2:61" s="98" customFormat="1" ht="62.25" customHeight="1" thickTop="1" x14ac:dyDescent="0.9">
      <c r="B50" s="97">
        <f>+B51</f>
        <v>13</v>
      </c>
      <c r="C50" s="370"/>
      <c r="D50" s="106"/>
      <c r="E50" s="106"/>
      <c r="F50" s="106"/>
      <c r="G50" s="577" t="s">
        <v>437</v>
      </c>
      <c r="H50" s="106"/>
      <c r="I50" s="106"/>
      <c r="J50" s="107" t="s">
        <v>20</v>
      </c>
      <c r="K50" s="108" t="s">
        <v>23</v>
      </c>
      <c r="L50" s="100" t="s">
        <v>21</v>
      </c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135" t="str">
        <f t="shared" si="0"/>
        <v/>
      </c>
      <c r="Y50" s="438"/>
      <c r="Z50" s="400">
        <v>-99</v>
      </c>
      <c r="AA50" s="540">
        <f>+X52</f>
        <v>0</v>
      </c>
      <c r="AB50" s="135">
        <f t="shared" si="1"/>
        <v>0</v>
      </c>
      <c r="AC50" s="136">
        <f>+AD50+AB50</f>
        <v>6738</v>
      </c>
      <c r="AD50" s="136">
        <v>6738</v>
      </c>
      <c r="AE50" s="438"/>
      <c r="AF50" s="438"/>
      <c r="AG50" s="109"/>
      <c r="AH50" s="110"/>
      <c r="AI50" s="157"/>
      <c r="AJ50" s="161">
        <f t="shared" si="2"/>
        <v>0</v>
      </c>
      <c r="AK50" s="167">
        <f t="shared" si="3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61" s="98" customFormat="1" ht="62.25" customHeight="1" x14ac:dyDescent="0.9">
      <c r="B51" s="132">
        <v>13</v>
      </c>
      <c r="C51" s="371">
        <f>+B51</f>
        <v>13</v>
      </c>
      <c r="D51" s="372" t="s">
        <v>438</v>
      </c>
      <c r="E51" s="111"/>
      <c r="F51" s="111" t="s">
        <v>35</v>
      </c>
      <c r="G51" s="578" t="str">
        <f>+G50</f>
        <v>7696-837-802</v>
      </c>
      <c r="H51" s="450">
        <v>6738</v>
      </c>
      <c r="I51" s="111" t="s">
        <v>252</v>
      </c>
      <c r="J51" s="113">
        <v>29.06</v>
      </c>
      <c r="K51" s="130">
        <v>68</v>
      </c>
      <c r="L51" s="101" t="s">
        <v>17</v>
      </c>
      <c r="M51" s="214">
        <v>25</v>
      </c>
      <c r="N51" s="214">
        <v>36</v>
      </c>
      <c r="O51" s="214"/>
      <c r="P51" s="214"/>
      <c r="Q51" s="214"/>
      <c r="R51" s="214"/>
      <c r="S51" s="214"/>
      <c r="T51" s="214"/>
      <c r="U51" s="214"/>
      <c r="V51" s="214"/>
      <c r="W51" s="424"/>
      <c r="X51" s="123">
        <f>+IF(H52="s",0,IF(AB51=0,0,IF(COUNTA(M51:W51)=AN53+0.25,SUMIF($C:$C,B51,$AB:$AB)/AN53,SUMIF($C:$C,B51,$AB:$AB)/(COUNTA(M51:W51)))))</f>
        <v>0</v>
      </c>
      <c r="Y51" s="439"/>
      <c r="Z51" s="400"/>
      <c r="AA51" s="541"/>
      <c r="AB51" s="134">
        <f t="shared" si="1"/>
        <v>61</v>
      </c>
      <c r="AC51" s="137">
        <f>+AB51+AD51</f>
        <v>6738</v>
      </c>
      <c r="AD51" s="137">
        <v>6677</v>
      </c>
      <c r="AE51" s="439"/>
      <c r="AF51" s="439">
        <f>+AE51+Y51</f>
        <v>0</v>
      </c>
      <c r="AG51" s="140">
        <f>+AC50-AC51</f>
        <v>0</v>
      </c>
      <c r="AH51" s="131">
        <f>+IF(((AB52+(AB53/2))*60)=0,"",(J51*AB51)/((AB52+(AB53/2))*60))</f>
        <v>0.98481111111111108</v>
      </c>
      <c r="AI51" s="161">
        <f>+AB52+AB53/2</f>
        <v>30</v>
      </c>
      <c r="AJ51" s="161">
        <f t="shared" si="2"/>
        <v>30</v>
      </c>
      <c r="AK51" s="167">
        <f t="shared" si="3"/>
        <v>1800</v>
      </c>
      <c r="AL51" s="167">
        <f>+AB51*J51</f>
        <v>1772.6599999999999</v>
      </c>
      <c r="AM51" s="230">
        <f>+AB51-(AI51*K51/K53)</f>
        <v>7.3157894736842124</v>
      </c>
      <c r="AN51" s="339"/>
      <c r="AO51" s="340"/>
      <c r="AP51" s="167"/>
      <c r="AQ51" s="167"/>
      <c r="AR51" s="167"/>
      <c r="AS51" s="167"/>
      <c r="AT51" s="433" t="str">
        <f t="shared" ref="AT51" si="21">IF(AU51=0,"",AW51-(($AT$3*K51)+($AT$3*K51)*AU51)+AB50)</f>
        <v/>
      </c>
      <c r="AU51" s="393"/>
      <c r="AW51" s="356">
        <v>61</v>
      </c>
      <c r="AY51" s="356">
        <f t="shared" ref="AY51" si="22">+AW51-AG51</f>
        <v>61</v>
      </c>
    </row>
    <row r="52" spans="2:61" s="98" customFormat="1" ht="62.25" customHeight="1" x14ac:dyDescent="0.9">
      <c r="B52" s="125">
        <f>+B51</f>
        <v>13</v>
      </c>
      <c r="C52" s="373"/>
      <c r="D52" s="184"/>
      <c r="E52" s="111">
        <f>+B51</f>
        <v>13</v>
      </c>
      <c r="F52" s="374"/>
      <c r="G52" s="578" t="str">
        <f>+G51</f>
        <v>7696-837-802</v>
      </c>
      <c r="H52" s="376" t="s">
        <v>465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20</v>
      </c>
      <c r="N52" s="425">
        <v>10</v>
      </c>
      <c r="O52" s="425"/>
      <c r="P52" s="425"/>
      <c r="Q52" s="425"/>
      <c r="R52" s="425"/>
      <c r="S52" s="425"/>
      <c r="T52" s="425"/>
      <c r="U52" s="425"/>
      <c r="V52" s="425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0</v>
      </c>
      <c r="Y52" s="440"/>
      <c r="Z52" s="400"/>
      <c r="AA52" s="541"/>
      <c r="AB52" s="443">
        <f t="shared" si="5"/>
        <v>30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167">
        <f t="shared" si="3"/>
        <v>0</v>
      </c>
      <c r="AL52" s="167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30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61" s="98" customFormat="1" ht="62.25" customHeight="1" thickBot="1" x14ac:dyDescent="0.95">
      <c r="B53" s="126">
        <f>+B51</f>
        <v>13</v>
      </c>
      <c r="C53" s="375"/>
      <c r="D53" s="174" t="s">
        <v>468</v>
      </c>
      <c r="E53" s="175">
        <f>+E52+100</f>
        <v>113</v>
      </c>
      <c r="F53" s="175"/>
      <c r="G53" s="579" t="str">
        <f>+G52</f>
        <v>7696-837-802</v>
      </c>
      <c r="H53" s="454">
        <f>+AC50-H51</f>
        <v>0</v>
      </c>
      <c r="I53" s="397"/>
      <c r="J53" s="165">
        <f>+IF(K53="","",IF(K51=0,"",(K51*J51)/(K53*60)))</f>
        <v>0.86670175438596486</v>
      </c>
      <c r="K53" s="429">
        <v>38</v>
      </c>
      <c r="L53" s="104" t="s">
        <v>19</v>
      </c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8"/>
      <c r="X53" s="173"/>
      <c r="Y53" s="441"/>
      <c r="Z53" s="448">
        <v>32.431548484848484</v>
      </c>
      <c r="AA53" s="448">
        <v>32.431548484848484</v>
      </c>
      <c r="AB53" s="444">
        <f t="shared" si="5"/>
        <v>0</v>
      </c>
      <c r="AC53" s="139"/>
      <c r="AD53" s="139"/>
      <c r="AE53" s="441"/>
      <c r="AF53" s="441"/>
      <c r="AG53" s="119">
        <f>+IFERROR(AG51/(K51*$AT$3),"")</f>
        <v>0</v>
      </c>
      <c r="AH53" s="162"/>
      <c r="AI53" s="161"/>
      <c r="AJ53" s="161">
        <f t="shared" si="2"/>
        <v>0</v>
      </c>
      <c r="AK53" s="167">
        <f t="shared" si="3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0</v>
      </c>
      <c r="AP53" s="167">
        <f>+AO53-AB53</f>
        <v>0</v>
      </c>
      <c r="AQ53" s="167"/>
      <c r="AR53" s="167"/>
      <c r="AS53" s="167"/>
      <c r="AT53" s="435"/>
      <c r="AU53" s="393"/>
      <c r="AW53" s="356">
        <v>0.10252100840336134</v>
      </c>
      <c r="AY53" s="356"/>
    </row>
    <row r="54" spans="2:61" s="98" customFormat="1" ht="62.25" customHeight="1" thickTop="1" x14ac:dyDescent="0.9">
      <c r="B54" s="97">
        <f>+B55</f>
        <v>13</v>
      </c>
      <c r="C54" s="370"/>
      <c r="D54" s="106"/>
      <c r="E54" s="106"/>
      <c r="F54" s="106"/>
      <c r="G54" s="577" t="s">
        <v>442</v>
      </c>
      <c r="H54" s="106"/>
      <c r="I54" s="106"/>
      <c r="J54" s="107" t="s">
        <v>20</v>
      </c>
      <c r="K54" s="108" t="s">
        <v>23</v>
      </c>
      <c r="L54" s="100" t="s">
        <v>21</v>
      </c>
      <c r="M54" s="423">
        <v>50</v>
      </c>
      <c r="N54" s="423">
        <v>50</v>
      </c>
      <c r="O54" s="423">
        <v>100</v>
      </c>
      <c r="P54" s="423">
        <v>50</v>
      </c>
      <c r="Q54" s="423"/>
      <c r="R54" s="423"/>
      <c r="S54" s="423"/>
      <c r="T54" s="423"/>
      <c r="U54" s="423"/>
      <c r="V54" s="423"/>
      <c r="W54" s="423"/>
      <c r="X54" s="135">
        <f t="shared" si="0"/>
        <v>250</v>
      </c>
      <c r="Y54" s="438"/>
      <c r="Z54" s="400">
        <v>0</v>
      </c>
      <c r="AA54" s="540">
        <f>+X56</f>
        <v>-402.5</v>
      </c>
      <c r="AB54" s="135">
        <f t="shared" si="1"/>
        <v>250</v>
      </c>
      <c r="AC54" s="136">
        <f>+AD54+AB54</f>
        <v>850</v>
      </c>
      <c r="AD54" s="136">
        <v>600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61" s="98" customFormat="1" ht="62.25" customHeight="1" x14ac:dyDescent="0.9">
      <c r="B55" s="132">
        <v>13</v>
      </c>
      <c r="C55" s="371">
        <f>+B55</f>
        <v>13</v>
      </c>
      <c r="D55" s="372" t="s">
        <v>441</v>
      </c>
      <c r="E55" s="111"/>
      <c r="F55" s="111" t="s">
        <v>35</v>
      </c>
      <c r="G55" s="578" t="str">
        <f>+G54</f>
        <v>7741-793-052</v>
      </c>
      <c r="H55" s="450">
        <v>8500</v>
      </c>
      <c r="I55" s="111" t="s">
        <v>33</v>
      </c>
      <c r="J55" s="113">
        <v>55.14</v>
      </c>
      <c r="K55" s="130">
        <v>46</v>
      </c>
      <c r="L55" s="101" t="s">
        <v>17</v>
      </c>
      <c r="M55" s="214">
        <v>0</v>
      </c>
      <c r="N55" s="214">
        <v>0</v>
      </c>
      <c r="O55" s="214">
        <v>0</v>
      </c>
      <c r="P55" s="214">
        <v>0</v>
      </c>
      <c r="Q55" s="214">
        <v>0</v>
      </c>
      <c r="R55" s="214">
        <v>0</v>
      </c>
      <c r="S55" s="214">
        <v>0</v>
      </c>
      <c r="T55" s="214">
        <v>0</v>
      </c>
      <c r="U55" s="214">
        <v>0</v>
      </c>
      <c r="V55" s="214"/>
      <c r="W55" s="424"/>
      <c r="X55" s="123">
        <f>+IF(H56="s",0,IF(AB55=0,0,IF(COUNTA(M55:W55)=AN57+0.25,SUMIF($C:$C,B55,$AB:$AB)/AN57,SUMIF($C:$C,B55,$AB:$AB)/(COUNTA(M55:W55)))))</f>
        <v>0</v>
      </c>
      <c r="Y55" s="439"/>
      <c r="Z55" s="400"/>
      <c r="AA55" s="541"/>
      <c r="AB55" s="134">
        <f t="shared" si="1"/>
        <v>0</v>
      </c>
      <c r="AC55" s="137">
        <f>+AB55+AD55</f>
        <v>0</v>
      </c>
      <c r="AD55" s="137">
        <v>0</v>
      </c>
      <c r="AE55" s="439"/>
      <c r="AF55" s="439">
        <f>+AE55+Y55</f>
        <v>0</v>
      </c>
      <c r="AG55" s="140">
        <f>+AC54-AC55</f>
        <v>850</v>
      </c>
      <c r="AH55" s="131">
        <f>+IF(((AB56+(AB57/2))*60)=0,"",(J55*AB55)/((AB56+(AB57/2))*60))</f>
        <v>0</v>
      </c>
      <c r="AI55" s="161">
        <f>+AB56+AB57/2</f>
        <v>302.5</v>
      </c>
      <c r="AJ55" s="161">
        <f t="shared" si="2"/>
        <v>302.3</v>
      </c>
      <c r="AK55" s="167">
        <f t="shared" si="3"/>
        <v>18150</v>
      </c>
      <c r="AL55" s="167">
        <f>+AB55*J55</f>
        <v>0</v>
      </c>
      <c r="AM55" s="230" t="e">
        <f>+AB55-(AI55*K55/K57)</f>
        <v>#DIV/0!</v>
      </c>
      <c r="AN55" s="339"/>
      <c r="AO55" s="340"/>
      <c r="AP55" s="167"/>
      <c r="AQ55" s="167"/>
      <c r="AR55" s="167"/>
      <c r="AS55" s="167"/>
      <c r="AT55" s="433">
        <f>-250+AB54</f>
        <v>0</v>
      </c>
      <c r="AU55" s="393">
        <v>1.5</v>
      </c>
      <c r="AW55" s="356">
        <v>600</v>
      </c>
      <c r="AY55" s="356">
        <f t="shared" ref="AY55" si="23">+AW55-AG55</f>
        <v>-250</v>
      </c>
    </row>
    <row r="56" spans="2:61" s="98" customFormat="1" ht="62.25" customHeight="1" x14ac:dyDescent="0.9">
      <c r="B56" s="125">
        <f>+B55</f>
        <v>13</v>
      </c>
      <c r="C56" s="373"/>
      <c r="D56" s="184"/>
      <c r="E56" s="111">
        <f>+B55</f>
        <v>13</v>
      </c>
      <c r="F56" s="374"/>
      <c r="G56" s="578" t="str">
        <f>+G55</f>
        <v>7741-793-052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18</v>
      </c>
      <c r="N56" s="425">
        <v>28</v>
      </c>
      <c r="O56" s="425">
        <v>38</v>
      </c>
      <c r="P56" s="425">
        <v>38</v>
      </c>
      <c r="Q56" s="425">
        <v>38</v>
      </c>
      <c r="R56" s="425">
        <v>38</v>
      </c>
      <c r="S56" s="425">
        <v>38</v>
      </c>
      <c r="T56" s="425">
        <v>38</v>
      </c>
      <c r="U56" s="425">
        <v>38</v>
      </c>
      <c r="V56" s="425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-402.5</v>
      </c>
      <c r="Y56" s="440"/>
      <c r="Z56" s="400"/>
      <c r="AA56" s="541"/>
      <c r="AB56" s="443">
        <f t="shared" si="5"/>
        <v>302.5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167"/>
      <c r="AN56" s="339"/>
      <c r="AO56" s="340">
        <f>+IF(AN57=7.75,SUM(M56:S56)+T56*0.75,IF(AN57=8,SUM(M56:T56),IF(AN57=7.25,SUM(M56:S56)+T56*0.25,IF(AN57=8.25,SUM(M56:T56)+U56*0.25,IF(AN57=8.75,SUM(M56:T56)+U56*0.75,0)))))</f>
        <v>302.5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61" s="98" customFormat="1" ht="62.25" customHeight="1" thickBot="1" x14ac:dyDescent="0.95">
      <c r="B57" s="126">
        <f>+B55</f>
        <v>13</v>
      </c>
      <c r="C57" s="375"/>
      <c r="D57" s="174" t="s">
        <v>468</v>
      </c>
      <c r="E57" s="175">
        <f>+E56+100</f>
        <v>113</v>
      </c>
      <c r="F57" s="175"/>
      <c r="G57" s="579" t="str">
        <f>+G56</f>
        <v>7741-793-052</v>
      </c>
      <c r="H57" s="454">
        <f>+AC54-H55</f>
        <v>-7650</v>
      </c>
      <c r="I57" s="397"/>
      <c r="J57" s="165" t="str">
        <f>+IF(K57="","",IF(K55=0,"",(K55*J55)/(K57*60)))</f>
        <v/>
      </c>
      <c r="K57" s="429"/>
      <c r="L57" s="104" t="s">
        <v>19</v>
      </c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8"/>
      <c r="X57" s="173"/>
      <c r="Y57" s="441"/>
      <c r="Z57" s="448">
        <v>0.55889999999999995</v>
      </c>
      <c r="AA57" s="168">
        <f>+IF(COUNTA(M55:W55)=$AM$4+0.25,$AM$4-(AB55/K55),COUNTA(M55:W55)-(AB55/K55))+Z57</f>
        <v>9.3088999999999995</v>
      </c>
      <c r="AB57" s="444">
        <f t="shared" si="5"/>
        <v>0</v>
      </c>
      <c r="AC57" s="139"/>
      <c r="AD57" s="139"/>
      <c r="AE57" s="441"/>
      <c r="AF57" s="441"/>
      <c r="AG57" s="119">
        <f>+IFERROR(AG55/(K55*$AT$3),"")</f>
        <v>2.1118012422360248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0</v>
      </c>
      <c r="AP57" s="167">
        <f>+AO57-AB57</f>
        <v>0</v>
      </c>
      <c r="AQ57" s="167"/>
      <c r="AR57" s="167"/>
      <c r="AS57" s="167"/>
      <c r="AT57" s="435"/>
      <c r="AU57" s="393"/>
      <c r="AW57" s="356">
        <v>1.4906832298136645</v>
      </c>
      <c r="AY57" s="356"/>
    </row>
    <row r="58" spans="2:61" s="98" customFormat="1" ht="58.5" customHeight="1" thickTop="1" x14ac:dyDescent="0.9">
      <c r="B58" s="127">
        <f>+B59</f>
        <v>14</v>
      </c>
      <c r="C58" s="370"/>
      <c r="D58" s="106"/>
      <c r="E58" s="106"/>
      <c r="F58" s="106"/>
      <c r="G58" s="577" t="s">
        <v>456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120</v>
      </c>
      <c r="N58" s="423">
        <v>120</v>
      </c>
      <c r="O58" s="423">
        <v>120</v>
      </c>
      <c r="P58" s="423">
        <v>120</v>
      </c>
      <c r="Q58" s="423">
        <v>120</v>
      </c>
      <c r="R58" s="423">
        <v>120</v>
      </c>
      <c r="S58" s="423">
        <v>120</v>
      </c>
      <c r="T58" s="423">
        <v>60</v>
      </c>
      <c r="U58" s="423">
        <v>60</v>
      </c>
      <c r="V58" s="423">
        <v>120</v>
      </c>
      <c r="W58" s="423"/>
      <c r="X58" s="135">
        <f t="shared" si="0"/>
        <v>1080</v>
      </c>
      <c r="Y58" s="438"/>
      <c r="Z58" s="400">
        <v>0</v>
      </c>
      <c r="AA58" s="540">
        <f>+X60</f>
        <v>0</v>
      </c>
      <c r="AB58" s="135">
        <f t="shared" si="1"/>
        <v>1080</v>
      </c>
      <c r="AC58" s="136">
        <f>+AD58+AB58</f>
        <v>3066</v>
      </c>
      <c r="AD58" s="136">
        <v>1986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61" s="98" customFormat="1" ht="58.5" customHeight="1" x14ac:dyDescent="0.9">
      <c r="B59" s="133">
        <v>14</v>
      </c>
      <c r="C59" s="371">
        <f>+B59</f>
        <v>14</v>
      </c>
      <c r="D59" s="372" t="s">
        <v>461</v>
      </c>
      <c r="E59" s="111"/>
      <c r="F59" s="111" t="s">
        <v>447</v>
      </c>
      <c r="G59" s="578" t="str">
        <f t="shared" ref="G59:G61" si="24">+G58</f>
        <v>DOT KEYHOLE</v>
      </c>
      <c r="H59" s="450">
        <v>6262</v>
      </c>
      <c r="I59" s="111" t="s">
        <v>252</v>
      </c>
      <c r="J59" s="113">
        <v>36.090000000000003</v>
      </c>
      <c r="K59" s="130">
        <v>80</v>
      </c>
      <c r="L59" s="101" t="s">
        <v>17</v>
      </c>
      <c r="M59" s="214">
        <v>80</v>
      </c>
      <c r="N59" s="214">
        <v>80</v>
      </c>
      <c r="O59" s="214">
        <v>80</v>
      </c>
      <c r="P59" s="214">
        <v>80</v>
      </c>
      <c r="Q59" s="214">
        <v>80</v>
      </c>
      <c r="R59" s="214">
        <v>80</v>
      </c>
      <c r="S59" s="214">
        <v>80</v>
      </c>
      <c r="T59" s="214">
        <v>80</v>
      </c>
      <c r="U59" s="214">
        <v>80</v>
      </c>
      <c r="V59" s="214">
        <v>80</v>
      </c>
      <c r="W59" s="214">
        <v>60</v>
      </c>
      <c r="X59" s="123">
        <f>+IF(H60="s",0,IF(AB59=0,0,IF(COUNTA(M59:W59)=AN61+0.25,SUMIF($C:$C,B59,$AB:$AB)/AN61,SUMIF($C:$C,B59,$AB:$AB)/(COUNTA(M59:W59)))))</f>
        <v>80</v>
      </c>
      <c r="Y59" s="439"/>
      <c r="Z59" s="400"/>
      <c r="AA59" s="541"/>
      <c r="AB59" s="134">
        <f t="shared" si="1"/>
        <v>860</v>
      </c>
      <c r="AC59" s="137">
        <f>+AB59+AD59</f>
        <v>1693</v>
      </c>
      <c r="AD59" s="137">
        <v>833</v>
      </c>
      <c r="AE59" s="439"/>
      <c r="AF59" s="439">
        <f>+AE59+Y59</f>
        <v>0</v>
      </c>
      <c r="AG59" s="140">
        <f>+AC58-AC59</f>
        <v>1373</v>
      </c>
      <c r="AH59" s="131">
        <f>+IF(((AB60+(AB61/2))*60)=0,"",(J59*AB59)/((AB60+(AB61/2))*60))</f>
        <v>0.82387417877762292</v>
      </c>
      <c r="AI59" s="161">
        <f>+AB60+AB61/2</f>
        <v>627.875</v>
      </c>
      <c r="AJ59" s="161">
        <f t="shared" si="2"/>
        <v>627.52499999999998</v>
      </c>
      <c r="AK59" s="167">
        <f t="shared" si="3"/>
        <v>37672.5</v>
      </c>
      <c r="AL59" s="167">
        <f>+AB59*J59</f>
        <v>31037.4</v>
      </c>
      <c r="AM59" s="230">
        <f>+AB59-(AI59*K59/K61)</f>
        <v>-36.964285714285666</v>
      </c>
      <c r="AN59" s="339"/>
      <c r="AO59" s="340"/>
      <c r="AP59" s="167"/>
      <c r="AQ59" s="167"/>
      <c r="AR59" s="167"/>
      <c r="AS59" s="167"/>
      <c r="AT59" s="433">
        <f t="shared" ref="AT59" si="25">IF(AU59=0,"",AW59-(($AT$3*K59)+($AT$3*K59)*AU59)+AB58)</f>
        <v>182</v>
      </c>
      <c r="AU59" s="393">
        <v>1.93</v>
      </c>
      <c r="AW59" s="356">
        <v>1153</v>
      </c>
      <c r="AY59" s="356">
        <f t="shared" ref="AY59" si="26">+AW59-AG59</f>
        <v>-220</v>
      </c>
    </row>
    <row r="60" spans="2:61" s="98" customFormat="1" ht="58.5" customHeight="1" x14ac:dyDescent="0.9">
      <c r="B60" s="125">
        <f>+B59</f>
        <v>14</v>
      </c>
      <c r="C60" s="373"/>
      <c r="D60" s="184"/>
      <c r="E60" s="111">
        <f>+B59</f>
        <v>14</v>
      </c>
      <c r="F60" s="374"/>
      <c r="G60" s="578" t="str">
        <f t="shared" si="24"/>
        <v>DOT KEYHOLE</v>
      </c>
      <c r="H60" s="376"/>
      <c r="I60" s="113">
        <f>+IFERROR(IF(K61=0,0,IF((LOOKUP(2,1/(M60:W60&lt;&gt;""),M60:W60)-K61)&lt;0,0,IF(K61=0,"",LOOKUP(2,1/(M60:W60&lt;&gt;""),M60:W60)-K61))),0)</f>
        <v>2</v>
      </c>
      <c r="J60" s="113"/>
      <c r="K60" s="114" t="s">
        <v>22</v>
      </c>
      <c r="L60" s="102" t="s">
        <v>18</v>
      </c>
      <c r="M60" s="425">
        <v>57</v>
      </c>
      <c r="N60" s="425">
        <v>58</v>
      </c>
      <c r="O60" s="425">
        <v>58</v>
      </c>
      <c r="P60" s="425">
        <v>58</v>
      </c>
      <c r="Q60" s="425">
        <v>58</v>
      </c>
      <c r="R60" s="425">
        <v>58</v>
      </c>
      <c r="S60" s="425">
        <v>58</v>
      </c>
      <c r="T60" s="425">
        <v>58</v>
      </c>
      <c r="U60" s="425">
        <v>58</v>
      </c>
      <c r="V60" s="425">
        <v>58</v>
      </c>
      <c r="W60" s="425">
        <v>58</v>
      </c>
      <c r="X60" s="160">
        <f>+IF(H60="l",IF(COUNTA(M59:W59)=AN61+0.25,AB59-K59*AN61,AB59-(K59*COUNTA(M59:W59))),IF(H60="s",0,IF(COUNTA(M59:W59)=AN61+0.25,SUMIF($C:$C,B59,$AB:$AB)-K59*AN61,SUMIF($C:$C,B59,$AB:$AB)-K59*COUNTA(M59:W59))))</f>
        <v>0</v>
      </c>
      <c r="Y60" s="440"/>
      <c r="Z60" s="400"/>
      <c r="AA60" s="541"/>
      <c r="AB60" s="443">
        <f t="shared" si="5"/>
        <v>622.5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0</v>
      </c>
      <c r="AP60" s="167">
        <f>+AO60-AB60</f>
        <v>-622.5</v>
      </c>
      <c r="AQ60" s="167"/>
      <c r="AR60" s="167"/>
      <c r="AS60" s="167"/>
      <c r="AT60" s="434"/>
      <c r="AU60" s="393"/>
      <c r="AW60" s="356"/>
      <c r="AY60" s="356"/>
    </row>
    <row r="61" spans="2:61" s="98" customFormat="1" ht="58.5" customHeight="1" thickBot="1" x14ac:dyDescent="0.95">
      <c r="B61" s="126">
        <f>+B59</f>
        <v>14</v>
      </c>
      <c r="C61" s="375"/>
      <c r="D61" s="174" t="s">
        <v>112</v>
      </c>
      <c r="E61" s="175">
        <f>+E60+100</f>
        <v>114</v>
      </c>
      <c r="F61" s="175"/>
      <c r="G61" s="579" t="str">
        <f t="shared" si="24"/>
        <v>DOT KEYHOLE</v>
      </c>
      <c r="H61" s="454">
        <f>+AC58-H59</f>
        <v>-3196</v>
      </c>
      <c r="I61" s="397"/>
      <c r="J61" s="165">
        <f>+IF(K61="","",IF(K59=0,"",(K59*J59)/(K61*60)))</f>
        <v>0.85928571428571432</v>
      </c>
      <c r="K61" s="118">
        <v>56</v>
      </c>
      <c r="L61" s="104" t="s">
        <v>19</v>
      </c>
      <c r="M61" s="427">
        <v>1</v>
      </c>
      <c r="N61" s="427">
        <v>1</v>
      </c>
      <c r="O61" s="427">
        <v>1</v>
      </c>
      <c r="P61" s="427">
        <v>1</v>
      </c>
      <c r="Q61" s="427">
        <v>1</v>
      </c>
      <c r="R61" s="427">
        <v>1</v>
      </c>
      <c r="S61" s="427">
        <v>1</v>
      </c>
      <c r="T61" s="427">
        <v>1</v>
      </c>
      <c r="U61" s="427">
        <v>1</v>
      </c>
      <c r="V61" s="427">
        <v>1</v>
      </c>
      <c r="W61" s="427">
        <v>1</v>
      </c>
      <c r="X61" s="173"/>
      <c r="Y61" s="441"/>
      <c r="Z61" s="401">
        <v>41.23</v>
      </c>
      <c r="AA61" s="401">
        <v>41.23</v>
      </c>
      <c r="AB61" s="444">
        <f t="shared" si="5"/>
        <v>10.75</v>
      </c>
      <c r="AC61" s="139"/>
      <c r="AD61" s="139"/>
      <c r="AE61" s="441"/>
      <c r="AF61" s="441"/>
      <c r="AG61" s="119">
        <f>+IFERROR(AG59/(K59*$AT$3),"")</f>
        <v>1.9614285714285715</v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v>10.75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-10.75</v>
      </c>
      <c r="AQ61" s="167"/>
      <c r="AR61" s="167"/>
      <c r="AS61" s="167"/>
      <c r="AT61" s="435"/>
      <c r="AU61" s="393"/>
      <c r="AW61" s="356">
        <v>1.6471428571428572</v>
      </c>
      <c r="AY61" s="356"/>
    </row>
    <row r="62" spans="2:61" s="98" customFormat="1" ht="62.25" customHeight="1" thickTop="1" x14ac:dyDescent="0.9">
      <c r="B62" s="97">
        <f>+B63</f>
        <v>15</v>
      </c>
      <c r="C62" s="370"/>
      <c r="D62" s="106"/>
      <c r="E62" s="106"/>
      <c r="F62" s="106"/>
      <c r="G62" s="577" t="s">
        <v>440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75</v>
      </c>
      <c r="N62" s="423">
        <v>75</v>
      </c>
      <c r="O62" s="423">
        <v>150</v>
      </c>
      <c r="P62" s="423">
        <v>75</v>
      </c>
      <c r="Q62" s="423"/>
      <c r="R62" s="423"/>
      <c r="S62" s="423">
        <v>75</v>
      </c>
      <c r="T62" s="423"/>
      <c r="U62" s="423"/>
      <c r="V62" s="423"/>
      <c r="W62" s="423"/>
      <c r="X62" s="135">
        <f t="shared" ref="X62:X82" si="27">IF(AT63="","",SUM(M62:W62)-(-(AT63-SUM(M62:W62))/$AT$3)*SUM($M$2:$W$2))</f>
        <v>450</v>
      </c>
      <c r="Y62" s="438"/>
      <c r="Z62" s="400">
        <v>-362</v>
      </c>
      <c r="AA62" s="540">
        <f>+X64</f>
        <v>0</v>
      </c>
      <c r="AB62" s="135">
        <f t="shared" ref="AB62:AB83" si="28">+SUM(L62:W62)</f>
        <v>450</v>
      </c>
      <c r="AC62" s="136">
        <f>+AD62+AB62</f>
        <v>1876</v>
      </c>
      <c r="AD62" s="136">
        <v>1426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61" s="98" customFormat="1" ht="62.25" customHeight="1" x14ac:dyDescent="1.35">
      <c r="B63" s="132">
        <v>15</v>
      </c>
      <c r="C63" s="371">
        <f>+B63</f>
        <v>15</v>
      </c>
      <c r="D63" s="372" t="s">
        <v>439</v>
      </c>
      <c r="E63" s="111"/>
      <c r="F63" s="111" t="s">
        <v>35</v>
      </c>
      <c r="G63" s="578" t="str">
        <f>+G62</f>
        <v>7740-876-052</v>
      </c>
      <c r="H63" s="450">
        <v>7700</v>
      </c>
      <c r="I63" s="111" t="s">
        <v>33</v>
      </c>
      <c r="J63" s="113">
        <v>55.78</v>
      </c>
      <c r="K63" s="130">
        <v>52</v>
      </c>
      <c r="L63" s="101" t="s">
        <v>17</v>
      </c>
      <c r="M63" s="214">
        <v>52</v>
      </c>
      <c r="N63" s="214">
        <v>52</v>
      </c>
      <c r="O63" s="214">
        <v>52</v>
      </c>
      <c r="P63" s="214">
        <v>52</v>
      </c>
      <c r="Q63" s="214">
        <v>52</v>
      </c>
      <c r="R63" s="214">
        <v>52</v>
      </c>
      <c r="S63" s="214">
        <v>52</v>
      </c>
      <c r="T63" s="214">
        <v>52</v>
      </c>
      <c r="U63" s="214">
        <v>39</v>
      </c>
      <c r="V63" s="424"/>
      <c r="W63" s="424"/>
      <c r="X63" s="123">
        <f>+IF(H64="s",0,IF(AB63=0,0,IF(COUNTA(M63:W63)=AN65+0.25,SUMIF($C:$C,B63,$AB:$AB)/AN65,SUMIF($C:$C,B63,$AB:$AB)/(COUNTA(M63:W63)))))</f>
        <v>52</v>
      </c>
      <c r="Y63" s="439"/>
      <c r="Z63" s="400"/>
      <c r="AA63" s="541"/>
      <c r="AB63" s="134">
        <f t="shared" si="28"/>
        <v>455</v>
      </c>
      <c r="AC63" s="137">
        <f>+AB63+AD63</f>
        <v>548</v>
      </c>
      <c r="AD63" s="137">
        <v>93</v>
      </c>
      <c r="AE63" s="439">
        <v>0</v>
      </c>
      <c r="AF63" s="439">
        <f>+AE63+Y63</f>
        <v>0</v>
      </c>
      <c r="AG63" s="140">
        <f>+AC62-AC63</f>
        <v>1328</v>
      </c>
      <c r="AH63" s="131">
        <f>+IF(((AB64+(AB65/2))*60)=0,"",(J63*AB63)/((AB64+(AB65/2))*60))</f>
        <v>0.92156499636891798</v>
      </c>
      <c r="AI63" s="161">
        <f>+AB64+AB65/2</f>
        <v>459</v>
      </c>
      <c r="AJ63" s="161">
        <f t="shared" si="2"/>
        <v>459</v>
      </c>
      <c r="AK63" s="167">
        <f t="shared" si="3"/>
        <v>27540</v>
      </c>
      <c r="AL63" s="167">
        <f>+AB63*J63</f>
        <v>25379.9</v>
      </c>
      <c r="AM63" s="230">
        <f>+AB63-(AI63*K63/K65)</f>
        <v>28.785714285714278</v>
      </c>
      <c r="AN63" s="339"/>
      <c r="AO63" s="340"/>
      <c r="AP63" s="167"/>
      <c r="AQ63" s="167"/>
      <c r="AR63" s="167"/>
      <c r="AS63" s="167"/>
      <c r="AT63" s="433">
        <f t="shared" ref="AT63" si="29">IF(AU63=0,"",AW63-(($AT$3*K63)+($AT$3*K63)*AU63)+AB62)</f>
        <v>8.5</v>
      </c>
      <c r="AU63" s="393">
        <v>2.9</v>
      </c>
      <c r="AW63" s="356">
        <v>1333</v>
      </c>
      <c r="AY63" s="356">
        <f t="shared" ref="AY63" si="30">+AW63-AG63</f>
        <v>5</v>
      </c>
      <c r="AZ63" s="581"/>
      <c r="BA63" s="581"/>
      <c r="BB63" s="581"/>
      <c r="BC63" s="581"/>
      <c r="BD63" s="581"/>
      <c r="BE63" s="581"/>
      <c r="BF63" s="581"/>
      <c r="BG63" s="581"/>
      <c r="BH63" s="581"/>
      <c r="BI63" s="581"/>
    </row>
    <row r="64" spans="2:61" s="98" customFormat="1" ht="62.25" customHeight="1" x14ac:dyDescent="0.9">
      <c r="B64" s="125">
        <f>+B63</f>
        <v>15</v>
      </c>
      <c r="C64" s="373"/>
      <c r="D64" s="184"/>
      <c r="E64" s="111">
        <f>+B63</f>
        <v>15</v>
      </c>
      <c r="F64" s="377"/>
      <c r="G64" s="578" t="str">
        <f>+G63</f>
        <v>7740-876-052</v>
      </c>
      <c r="H64" s="376" t="s">
        <v>399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>
        <v>51</v>
      </c>
      <c r="N64" s="425">
        <v>52</v>
      </c>
      <c r="O64" s="425">
        <v>52</v>
      </c>
      <c r="P64" s="425">
        <v>52</v>
      </c>
      <c r="Q64" s="425">
        <v>52</v>
      </c>
      <c r="R64" s="425">
        <v>51</v>
      </c>
      <c r="S64" s="425">
        <v>51</v>
      </c>
      <c r="T64" s="425">
        <v>51</v>
      </c>
      <c r="U64" s="425">
        <v>51</v>
      </c>
      <c r="V64" s="426"/>
      <c r="W64" s="426"/>
      <c r="X64" s="160">
        <f>+IF(H64="l",IF(COUNTA(M63:W63)=AN65+0.25,AB63-K63*AN65,AB63-(K63*COUNTA(M63:W63))),IF(H64="s",0,IF(COUNTA(M63:W63)=AN65+0.25,SUMIF($C:$C,B63,$AB:$AB)-K63*AN65,SUMIF($C:$C,B63,$AB:$AB)-K63*COUNTA(M63:W63))))</f>
        <v>0</v>
      </c>
      <c r="Y64" s="440"/>
      <c r="Z64" s="400"/>
      <c r="AA64" s="541"/>
      <c r="AB64" s="443">
        <f t="shared" ref="AB64:AB85" si="31">+SUM(M64:W64)-U64*0.25</f>
        <v>450.25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450.25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62.25" customHeight="1" thickBot="1" x14ac:dyDescent="0.95">
      <c r="B65" s="126">
        <f>+B63</f>
        <v>15</v>
      </c>
      <c r="C65" s="375"/>
      <c r="D65" s="174" t="s">
        <v>93</v>
      </c>
      <c r="E65" s="175">
        <f>+E64+100</f>
        <v>115</v>
      </c>
      <c r="F65" s="175"/>
      <c r="G65" s="579" t="str">
        <f>+G64</f>
        <v>7740-876-052</v>
      </c>
      <c r="H65" s="454">
        <f>+AC62-H63</f>
        <v>-5824</v>
      </c>
      <c r="I65" s="397"/>
      <c r="J65" s="165">
        <f>+IF(K65="","",IF(K63=0,"",(K63*J63)/(K65*60)))</f>
        <v>0.86326190476190479</v>
      </c>
      <c r="K65" s="118">
        <v>56</v>
      </c>
      <c r="L65" s="104" t="s">
        <v>19</v>
      </c>
      <c r="M65" s="427">
        <v>2</v>
      </c>
      <c r="N65" s="427">
        <v>2</v>
      </c>
      <c r="O65" s="427">
        <v>2</v>
      </c>
      <c r="P65" s="427">
        <v>2</v>
      </c>
      <c r="Q65" s="427">
        <v>2</v>
      </c>
      <c r="R65" s="427">
        <v>2</v>
      </c>
      <c r="S65" s="427">
        <v>2</v>
      </c>
      <c r="T65" s="427">
        <v>2</v>
      </c>
      <c r="U65" s="427">
        <v>2</v>
      </c>
      <c r="V65" s="428"/>
      <c r="W65" s="428"/>
      <c r="X65" s="173"/>
      <c r="Y65" s="441"/>
      <c r="Z65" s="401">
        <v>11.961538461538462</v>
      </c>
      <c r="AA65" s="168">
        <f>+IF(COUNTA(M63:W63)=$AM$4+0.25,$AM$4-(AB63/K63),COUNTA(M63:W63)-(AB63/K63))+Z65</f>
        <v>11.961538461538462</v>
      </c>
      <c r="AB65" s="444">
        <f t="shared" si="31"/>
        <v>17.5</v>
      </c>
      <c r="AC65" s="139"/>
      <c r="AD65" s="139"/>
      <c r="AE65" s="441"/>
      <c r="AF65" s="441"/>
      <c r="AG65" s="119">
        <f>+IFERROR(AG63/(K63*$AT$3),"")</f>
        <v>2.9186813186813185</v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17.5</v>
      </c>
      <c r="AP65" s="167">
        <f>+AO65-AB65</f>
        <v>0</v>
      </c>
      <c r="AQ65" s="167"/>
      <c r="AR65" s="167"/>
      <c r="AS65" s="167"/>
      <c r="AT65" s="435"/>
      <c r="AU65" s="393"/>
      <c r="AW65" s="356">
        <v>2.9296703296703295</v>
      </c>
      <c r="AY65" s="356"/>
    </row>
    <row r="66" spans="2:62" s="98" customFormat="1" ht="62.25" customHeight="1" thickTop="1" x14ac:dyDescent="0.9">
      <c r="B66" s="127">
        <f>+B67</f>
        <v>16</v>
      </c>
      <c r="C66" s="370"/>
      <c r="D66" s="106"/>
      <c r="E66" s="106"/>
      <c r="F66" s="106"/>
      <c r="G66" s="577" t="s">
        <v>450</v>
      </c>
      <c r="H66" s="106"/>
      <c r="I66" s="106"/>
      <c r="J66" s="107" t="s">
        <v>20</v>
      </c>
      <c r="K66" s="108" t="s">
        <v>23</v>
      </c>
      <c r="L66" s="100" t="s">
        <v>21</v>
      </c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135" t="str">
        <f t="shared" si="27"/>
        <v/>
      </c>
      <c r="Y66" s="438"/>
      <c r="Z66" s="400">
        <v>-173</v>
      </c>
      <c r="AA66" s="540">
        <f>+X68</f>
        <v>0</v>
      </c>
      <c r="AB66" s="135">
        <f t="shared" si="28"/>
        <v>0</v>
      </c>
      <c r="AC66" s="136">
        <f>+AD66+AB66</f>
        <v>3528</v>
      </c>
      <c r="AD66" s="136">
        <v>3528</v>
      </c>
      <c r="AE66" s="438"/>
      <c r="AF66" s="438"/>
      <c r="AG66" s="109"/>
      <c r="AH66" s="110"/>
      <c r="AI66" s="157"/>
      <c r="AJ66" s="161">
        <f t="shared" si="2"/>
        <v>0</v>
      </c>
      <c r="AK66" s="167">
        <f t="shared" si="3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0.9">
      <c r="B67" s="133">
        <v>16</v>
      </c>
      <c r="C67" s="371">
        <f>+B67</f>
        <v>16</v>
      </c>
      <c r="D67" s="372" t="s">
        <v>449</v>
      </c>
      <c r="E67" s="111"/>
      <c r="F67" s="111" t="s">
        <v>422</v>
      </c>
      <c r="G67" s="578" t="str">
        <f>+G66</f>
        <v>PIANO-PURPLE</v>
      </c>
      <c r="H67" s="450">
        <v>5683</v>
      </c>
      <c r="I67" s="111" t="s">
        <v>451</v>
      </c>
      <c r="J67" s="113">
        <v>33.86</v>
      </c>
      <c r="K67" s="130">
        <v>75</v>
      </c>
      <c r="L67" s="101" t="s">
        <v>17</v>
      </c>
      <c r="M67" s="214"/>
      <c r="N67" s="214"/>
      <c r="O67" s="214"/>
      <c r="P67" s="214"/>
      <c r="Q67" s="214"/>
      <c r="R67" s="214"/>
      <c r="S67" s="214"/>
      <c r="T67" s="214"/>
      <c r="U67" s="214"/>
      <c r="V67" s="424"/>
      <c r="W67" s="424"/>
      <c r="X67" s="123">
        <f>+IF(H68="s",0,IF(AB67=0,0,IF(COUNTA(M67:W67)=AN69+0.25,SUMIF($C:$C,B67,$AB:$AB)/AN69,SUMIF($C:$C,B67,$AB:$AB)/(COUNTA(M67:W67)))))</f>
        <v>0</v>
      </c>
      <c r="Y67" s="439"/>
      <c r="Z67" s="400"/>
      <c r="AA67" s="541"/>
      <c r="AB67" s="134">
        <f t="shared" si="28"/>
        <v>0</v>
      </c>
      <c r="AC67" s="137">
        <f>+AB67+AD67</f>
        <v>3523</v>
      </c>
      <c r="AD67" s="137">
        <v>3523</v>
      </c>
      <c r="AE67" s="439"/>
      <c r="AF67" s="439">
        <f>+AE67+Y67</f>
        <v>0</v>
      </c>
      <c r="AG67" s="140">
        <f>+AC66-AC67</f>
        <v>5</v>
      </c>
      <c r="AH67" s="131" t="str">
        <f>+IF(((AB68+(AB69/2))*60)=0,"",(J67*AB67)/((AB68+(AB69/2))*60))</f>
        <v/>
      </c>
      <c r="AI67" s="161">
        <f>+AB68+AB69/2</f>
        <v>0</v>
      </c>
      <c r="AJ67" s="161">
        <f t="shared" si="2"/>
        <v>0</v>
      </c>
      <c r="AK67" s="167">
        <f t="shared" si="3"/>
        <v>0</v>
      </c>
      <c r="AL67" s="167">
        <f>+AB67*J67</f>
        <v>0</v>
      </c>
      <c r="AM67" s="230">
        <f>+AB67-(AI67*K67/K69)</f>
        <v>0</v>
      </c>
      <c r="AN67" s="339"/>
      <c r="AO67" s="340"/>
      <c r="AP67" s="167"/>
      <c r="AQ67" s="167"/>
      <c r="AR67" s="167"/>
      <c r="AS67" s="167"/>
      <c r="AT67" s="433" t="str">
        <f t="shared" ref="AT67" si="32">IF(AU67=0,"",AW67-(($AT$3*K67)+($AT$3*K67)*AU67)+AB66)</f>
        <v/>
      </c>
      <c r="AU67" s="393"/>
      <c r="AW67" s="356">
        <v>5</v>
      </c>
      <c r="AY67" s="356">
        <f t="shared" ref="AY67" si="33">+AW67-AG67</f>
        <v>0</v>
      </c>
      <c r="AZ67" s="580"/>
      <c r="BA67" s="580"/>
      <c r="BB67" s="580"/>
      <c r="BC67" s="580"/>
      <c r="BD67" s="580"/>
      <c r="BE67" s="580"/>
      <c r="BF67" s="580"/>
      <c r="BG67" s="580"/>
      <c r="BH67" s="580"/>
      <c r="BI67" s="580"/>
      <c r="BJ67" s="580"/>
    </row>
    <row r="68" spans="2:62" s="98" customFormat="1" ht="62.25" customHeight="1" x14ac:dyDescent="0.9">
      <c r="B68" s="125">
        <f>+B67</f>
        <v>16</v>
      </c>
      <c r="C68" s="373"/>
      <c r="D68" s="184"/>
      <c r="E68" s="111">
        <f>+B67</f>
        <v>16</v>
      </c>
      <c r="F68" s="374"/>
      <c r="G68" s="578" t="str">
        <f>+G66</f>
        <v>PIANO-PURPLE</v>
      </c>
      <c r="H68" s="376" t="s">
        <v>400</v>
      </c>
      <c r="I68" s="113">
        <f>+IFERROR(IF(K69=0,0,IF((LOOKUP(2,1/(M68:W68&lt;&gt;""),M68:W68)-K69)&lt;0,0,IF(K69=0,"",LOOKUP(2,1/(M68:W68&lt;&gt;""),M68:W68)-K69))),0)</f>
        <v>0</v>
      </c>
      <c r="J68" s="113">
        <v>1</v>
      </c>
      <c r="K68" s="114" t="s">
        <v>22</v>
      </c>
      <c r="L68" s="102" t="s">
        <v>18</v>
      </c>
      <c r="M68" s="425"/>
      <c r="N68" s="425"/>
      <c r="O68" s="425"/>
      <c r="P68" s="425"/>
      <c r="Q68" s="425"/>
      <c r="R68" s="425"/>
      <c r="S68" s="425"/>
      <c r="T68" s="425"/>
      <c r="U68" s="425"/>
      <c r="V68" s="426"/>
      <c r="W68" s="426"/>
      <c r="X68" s="160">
        <f>+IF(H68="l",IF(COUNTA(M67:W67)=AN69+0.25,AB67-K67*AN69,AB67-(K67*COUNTA(M67:W67))),IF(H68="s",0,IF(COUNTA(M67:W67)=AN69+0.25,SUMIF($C:$C,B67,$AB:$AB)-K67*AN69,SUMIF($C:$C,B67,$AB:$AB)-K67*COUNTA(M67:W67))))</f>
        <v>0</v>
      </c>
      <c r="Y68" s="440"/>
      <c r="Z68" s="400"/>
      <c r="AA68" s="541"/>
      <c r="AB68" s="443">
        <f t="shared" si="31"/>
        <v>0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167">
        <f t="shared" si="3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0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343">
        <f>+B67</f>
        <v>16</v>
      </c>
      <c r="C69" s="375"/>
      <c r="D69" s="378" t="s">
        <v>152</v>
      </c>
      <c r="E69" s="175">
        <f>+E68+100</f>
        <v>116</v>
      </c>
      <c r="F69" s="175"/>
      <c r="G69" s="579" t="str">
        <f>+G66</f>
        <v>PIANO-PURPLE</v>
      </c>
      <c r="H69" s="454">
        <f>+AC66-H67</f>
        <v>-2155</v>
      </c>
      <c r="I69" s="397"/>
      <c r="J69" s="165">
        <f>+IF(K69="","",IF(K67=0,"",(K67*J67)/(K69*60)))</f>
        <v>0.81394230769230769</v>
      </c>
      <c r="K69" s="118">
        <v>52</v>
      </c>
      <c r="L69" s="104" t="s">
        <v>19</v>
      </c>
      <c r="M69" s="427"/>
      <c r="N69" s="427"/>
      <c r="O69" s="427"/>
      <c r="P69" s="427"/>
      <c r="Q69" s="427"/>
      <c r="R69" s="427"/>
      <c r="S69" s="427"/>
      <c r="T69" s="427"/>
      <c r="U69" s="427"/>
      <c r="V69" s="428"/>
      <c r="W69" s="428"/>
      <c r="X69" s="173"/>
      <c r="Y69" s="441"/>
      <c r="Z69" s="401">
        <v>26.999523809523808</v>
      </c>
      <c r="AA69" s="168">
        <f>+IF(COUNTA(M67:W67)=$AM$4+0.25,$AM$4-(AB67/K67),COUNTA(M67:W67)-(AB67/K67))+Z69</f>
        <v>26.999523809523808</v>
      </c>
      <c r="AB69" s="444">
        <f t="shared" si="31"/>
        <v>0</v>
      </c>
      <c r="AC69" s="139"/>
      <c r="AD69" s="139"/>
      <c r="AE69" s="441"/>
      <c r="AF69" s="441"/>
      <c r="AG69" s="119">
        <f>+IFERROR(AG67/(K67*$AT$3),"")</f>
        <v>7.619047619047619E-3</v>
      </c>
      <c r="AH69" s="162"/>
      <c r="AI69" s="161"/>
      <c r="AJ69" s="161">
        <f t="shared" si="2"/>
        <v>0</v>
      </c>
      <c r="AK69" s="167">
        <f t="shared" si="3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0</v>
      </c>
      <c r="AP69" s="167">
        <f>+AO69-AB69</f>
        <v>0</v>
      </c>
      <c r="AQ69" s="167"/>
      <c r="AR69" s="167"/>
      <c r="AS69" s="167"/>
      <c r="AT69" s="435"/>
      <c r="AU69" s="393"/>
      <c r="AW69" s="356">
        <v>7.619047619047619E-3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77" t="s">
        <v>463</v>
      </c>
      <c r="H70" s="106"/>
      <c r="I70" s="106"/>
      <c r="J70" s="107" t="s">
        <v>20</v>
      </c>
      <c r="K70" s="108" t="s">
        <v>23</v>
      </c>
      <c r="L70" s="100" t="s">
        <v>21</v>
      </c>
      <c r="M70" s="423">
        <v>60</v>
      </c>
      <c r="N70" s="423">
        <v>60</v>
      </c>
      <c r="O70" s="423">
        <v>60</v>
      </c>
      <c r="P70" s="423">
        <v>60</v>
      </c>
      <c r="Q70" s="423">
        <v>60</v>
      </c>
      <c r="R70" s="423">
        <v>90</v>
      </c>
      <c r="S70" s="423">
        <v>75</v>
      </c>
      <c r="T70" s="423"/>
      <c r="U70" s="423"/>
      <c r="V70" s="423"/>
      <c r="W70" s="423"/>
      <c r="X70" s="135">
        <f t="shared" si="27"/>
        <v>465</v>
      </c>
      <c r="Y70" s="438"/>
      <c r="Z70" s="400">
        <v>-255</v>
      </c>
      <c r="AA70" s="540">
        <f>+X72</f>
        <v>-268.25</v>
      </c>
      <c r="AB70" s="135">
        <f t="shared" si="28"/>
        <v>465</v>
      </c>
      <c r="AC70" s="136">
        <f>+AD70+AB70</f>
        <v>1906</v>
      </c>
      <c r="AD70" s="136">
        <v>1441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462</v>
      </c>
      <c r="E71" s="111"/>
      <c r="F71" s="111" t="s">
        <v>422</v>
      </c>
      <c r="G71" s="578" t="str">
        <f>+G70</f>
        <v>PIANO-Turquaz</v>
      </c>
      <c r="H71" s="450">
        <v>5683</v>
      </c>
      <c r="I71" s="111" t="s">
        <v>451</v>
      </c>
      <c r="J71" s="113">
        <v>33.86</v>
      </c>
      <c r="K71" s="130">
        <v>75</v>
      </c>
      <c r="L71" s="101" t="s">
        <v>17</v>
      </c>
      <c r="M71" s="214">
        <v>64</v>
      </c>
      <c r="N71" s="214">
        <v>50</v>
      </c>
      <c r="O71" s="214">
        <v>60</v>
      </c>
      <c r="P71" s="214">
        <v>40</v>
      </c>
      <c r="Q71" s="214">
        <v>40</v>
      </c>
      <c r="R71" s="214">
        <v>40</v>
      </c>
      <c r="S71" s="214">
        <v>40</v>
      </c>
      <c r="T71" s="214">
        <v>40</v>
      </c>
      <c r="U71" s="214">
        <v>14</v>
      </c>
      <c r="V71" s="424"/>
      <c r="W71" s="424"/>
      <c r="X71" s="123">
        <f>+IF(H72="s",0,IF(AB71=0,0,IF(COUNTA(M71:W71)=AN73+0.25,SUMIF($C:$C,B71,$AB:$AB)/AN73,SUMIF($C:$C,B71,$AB:$AB)/(COUNTA(M71:W71)))))</f>
        <v>44.342857142857142</v>
      </c>
      <c r="Y71" s="439"/>
      <c r="Z71" s="400"/>
      <c r="AA71" s="541"/>
      <c r="AB71" s="134">
        <f t="shared" si="28"/>
        <v>388</v>
      </c>
      <c r="AC71" s="137">
        <f>+AB71+AD71</f>
        <v>508</v>
      </c>
      <c r="AD71" s="137">
        <v>120</v>
      </c>
      <c r="AE71" s="439"/>
      <c r="AF71" s="439">
        <f>+AE71+Y71</f>
        <v>0</v>
      </c>
      <c r="AG71" s="140">
        <f>+AC70-AC71</f>
        <v>1398</v>
      </c>
      <c r="AH71" s="131">
        <f>+IF(((AB72+(AB73/2))*60)=0,"",(J71*AB71)/((AB72+(AB73/2))*60))</f>
        <v>0.50553843193843195</v>
      </c>
      <c r="AI71" s="161">
        <f>+AB72+AB73/2</f>
        <v>433.125</v>
      </c>
      <c r="AJ71" s="161">
        <f t="shared" si="2"/>
        <v>433.07499999999999</v>
      </c>
      <c r="AK71" s="167">
        <f t="shared" si="3"/>
        <v>25987.5</v>
      </c>
      <c r="AL71" s="167">
        <f>+AB71*J71</f>
        <v>13137.68</v>
      </c>
      <c r="AM71" s="230">
        <f>+AB71-(AI71*K71/K73)</f>
        <v>-261.6875</v>
      </c>
      <c r="AN71" s="339"/>
      <c r="AO71" s="340"/>
      <c r="AP71" s="167"/>
      <c r="AQ71" s="167"/>
      <c r="AR71" s="167"/>
      <c r="AS71" s="167"/>
      <c r="AT71" s="433">
        <f>-465+AB70</f>
        <v>0</v>
      </c>
      <c r="AU71" s="393">
        <v>1.74</v>
      </c>
      <c r="AW71" s="356">
        <v>1321</v>
      </c>
      <c r="AY71" s="356">
        <f t="shared" ref="AY71" si="34">+AW71-AG71</f>
        <v>-77</v>
      </c>
      <c r="AZ71" s="580"/>
      <c r="BA71" s="580"/>
      <c r="BB71" s="580"/>
      <c r="BC71" s="580"/>
      <c r="BD71" s="580"/>
      <c r="BE71" s="580"/>
      <c r="BF71" s="580"/>
      <c r="BG71" s="580"/>
      <c r="BH71" s="580"/>
      <c r="BI71" s="580"/>
      <c r="BJ71" s="580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78" t="str">
        <f>+G70</f>
        <v>PIANO-Turquaz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>
        <v>49</v>
      </c>
      <c r="N72" s="425">
        <v>49</v>
      </c>
      <c r="O72" s="425">
        <v>49</v>
      </c>
      <c r="P72" s="425">
        <v>49</v>
      </c>
      <c r="Q72" s="425">
        <v>49</v>
      </c>
      <c r="R72" s="425">
        <v>49</v>
      </c>
      <c r="S72" s="425">
        <v>49</v>
      </c>
      <c r="T72" s="425">
        <v>49</v>
      </c>
      <c r="U72" s="425">
        <v>49</v>
      </c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-268.25</v>
      </c>
      <c r="Y72" s="440"/>
      <c r="Z72" s="400"/>
      <c r="AA72" s="541"/>
      <c r="AB72" s="443">
        <f t="shared" si="31"/>
        <v>428.75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428.75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79" t="str">
        <f>+G70</f>
        <v>PIANO-Turquaz</v>
      </c>
      <c r="H73" s="454">
        <f>+AC70-H71</f>
        <v>-3777</v>
      </c>
      <c r="I73" s="397"/>
      <c r="J73" s="165">
        <f>+IF(K73="","",IF(K71=0,"",(K71*J71)/(K73*60)))</f>
        <v>0.84650000000000003</v>
      </c>
      <c r="K73" s="118">
        <v>50</v>
      </c>
      <c r="L73" s="104" t="s">
        <v>19</v>
      </c>
      <c r="M73" s="427">
        <v>1</v>
      </c>
      <c r="N73" s="427">
        <v>1</v>
      </c>
      <c r="O73" s="427">
        <v>1</v>
      </c>
      <c r="P73" s="427">
        <v>1</v>
      </c>
      <c r="Q73" s="427">
        <v>1</v>
      </c>
      <c r="R73" s="427">
        <v>1</v>
      </c>
      <c r="S73" s="427">
        <v>1</v>
      </c>
      <c r="T73" s="427">
        <v>1</v>
      </c>
      <c r="U73" s="427">
        <v>1</v>
      </c>
      <c r="V73" s="428"/>
      <c r="W73" s="428"/>
      <c r="X73" s="173"/>
      <c r="Y73" s="441"/>
      <c r="Z73" s="169">
        <v>24.69</v>
      </c>
      <c r="AA73" s="169">
        <v>24.69</v>
      </c>
      <c r="AB73" s="444">
        <f t="shared" si="31"/>
        <v>8.75</v>
      </c>
      <c r="AC73" s="139"/>
      <c r="AD73" s="139"/>
      <c r="AE73" s="441"/>
      <c r="AF73" s="441"/>
      <c r="AG73" s="119">
        <f>+IFERROR(AG71/(K71*$AT$3),"")</f>
        <v>2.1302857142857143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8.75</v>
      </c>
      <c r="AP73" s="167">
        <f>+AO73-AB73</f>
        <v>0</v>
      </c>
      <c r="AQ73" s="167"/>
      <c r="AR73" s="167"/>
      <c r="AS73" s="167"/>
      <c r="AT73" s="435"/>
      <c r="AU73" s="393"/>
      <c r="AW73" s="356">
        <v>2.012952380952381</v>
      </c>
      <c r="AY73" s="356"/>
    </row>
    <row r="74" spans="2:62" s="98" customFormat="1" ht="62.25" customHeight="1" thickTop="1" x14ac:dyDescent="0.9">
      <c r="B74" s="97">
        <f>+B75</f>
        <v>17</v>
      </c>
      <c r="C74" s="370"/>
      <c r="D74" s="106"/>
      <c r="E74" s="106"/>
      <c r="F74" s="106"/>
      <c r="G74" s="577" t="s">
        <v>436</v>
      </c>
      <c r="H74" s="106"/>
      <c r="I74" s="111"/>
      <c r="J74" s="107" t="s">
        <v>20</v>
      </c>
      <c r="K74" s="108" t="s">
        <v>23</v>
      </c>
      <c r="L74" s="100" t="s">
        <v>21</v>
      </c>
      <c r="M74" s="423">
        <v>120</v>
      </c>
      <c r="N74" s="423">
        <v>60</v>
      </c>
      <c r="O74" s="423">
        <v>120</v>
      </c>
      <c r="P74" s="423">
        <v>60</v>
      </c>
      <c r="Q74" s="423"/>
      <c r="R74" s="423"/>
      <c r="S74" s="423"/>
      <c r="T74" s="423"/>
      <c r="U74" s="423"/>
      <c r="V74" s="423"/>
      <c r="W74" s="423"/>
      <c r="X74" s="135">
        <f t="shared" si="27"/>
        <v>360</v>
      </c>
      <c r="Y74" s="438"/>
      <c r="Z74" s="400">
        <v>-18.75</v>
      </c>
      <c r="AA74" s="540">
        <f>+X76</f>
        <v>-73.75</v>
      </c>
      <c r="AB74" s="135">
        <f t="shared" si="28"/>
        <v>360</v>
      </c>
      <c r="AC74" s="136">
        <f>+AD74+AB74</f>
        <v>5941</v>
      </c>
      <c r="AD74" s="136">
        <v>5581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2">
        <v>17</v>
      </c>
      <c r="C75" s="371">
        <f>+B75</f>
        <v>17</v>
      </c>
      <c r="D75" s="372" t="s">
        <v>435</v>
      </c>
      <c r="E75" s="111"/>
      <c r="F75" s="111" t="s">
        <v>35</v>
      </c>
      <c r="G75" s="578" t="str">
        <f>+G74</f>
        <v>2628-510-630</v>
      </c>
      <c r="H75" s="450">
        <v>10010</v>
      </c>
      <c r="I75" s="111" t="s">
        <v>33</v>
      </c>
      <c r="J75" s="113">
        <v>44.34</v>
      </c>
      <c r="K75" s="130">
        <v>53</v>
      </c>
      <c r="L75" s="101" t="s">
        <v>17</v>
      </c>
      <c r="M75" s="447">
        <v>32</v>
      </c>
      <c r="N75" s="447">
        <v>34</v>
      </c>
      <c r="O75" s="447">
        <v>30</v>
      </c>
      <c r="P75" s="447">
        <v>57</v>
      </c>
      <c r="Q75" s="447">
        <v>50</v>
      </c>
      <c r="R75" s="447">
        <v>50</v>
      </c>
      <c r="S75" s="447">
        <v>57</v>
      </c>
      <c r="T75" s="447">
        <v>50</v>
      </c>
      <c r="U75" s="447">
        <v>30</v>
      </c>
      <c r="V75" s="214"/>
      <c r="W75" s="424"/>
      <c r="X75" s="123">
        <f>+IF(H76="s",0,IF(AB75=0,0,IF(COUNTA(M75:W75)=AN77+0.25,SUMIF($C:$C,B75,$AB:$AB)/AN77,SUMIF($C:$C,B75,$AB:$AB)/(COUNTA(M75:W75)))))</f>
        <v>44.571428571428569</v>
      </c>
      <c r="Y75" s="439"/>
      <c r="Z75" s="400"/>
      <c r="AA75" s="541"/>
      <c r="AB75" s="134">
        <f t="shared" si="28"/>
        <v>390</v>
      </c>
      <c r="AC75" s="137">
        <f>+AB75+AD75</f>
        <v>5014</v>
      </c>
      <c r="AD75" s="137">
        <v>4624</v>
      </c>
      <c r="AE75" s="439">
        <v>0</v>
      </c>
      <c r="AF75" s="439">
        <f>+AE75+Y75</f>
        <v>0</v>
      </c>
      <c r="AG75" s="140">
        <f>+AC74-AC75</f>
        <v>927</v>
      </c>
      <c r="AH75" s="131">
        <f>+IF(((AB76+(AB77/2))*60)=0,"",(J75*AB75)/((AB76+(AB77/2))*60))</f>
        <v>0.72391836734693882</v>
      </c>
      <c r="AI75" s="161">
        <f>+AB76+AB77/2</f>
        <v>398.125</v>
      </c>
      <c r="AJ75" s="161">
        <f t="shared" si="2"/>
        <v>398.07499999999999</v>
      </c>
      <c r="AK75" s="167">
        <f t="shared" si="3"/>
        <v>23887.5</v>
      </c>
      <c r="AL75" s="167">
        <f>+AB75*J75</f>
        <v>17292.600000000002</v>
      </c>
      <c r="AM75" s="230">
        <f>+AB75-(AI75*K75/K77)</f>
        <v>-68.70923913043481</v>
      </c>
      <c r="AN75" s="339"/>
      <c r="AO75" s="340"/>
      <c r="AP75" s="167"/>
      <c r="AQ75" s="167"/>
      <c r="AR75" s="167"/>
      <c r="AS75" s="167"/>
      <c r="AT75" s="433">
        <f t="shared" ref="AT75" si="35">IF(AU75=0,"",AW75-(($AT$3*K75)+($AT$3*K75)*AU75)+AB74)</f>
        <v>41.6875</v>
      </c>
      <c r="AU75" s="393">
        <v>1.75</v>
      </c>
      <c r="AW75" s="356">
        <v>957</v>
      </c>
      <c r="AY75" s="356">
        <f t="shared" ref="AY75" si="36">+AW75-AG75</f>
        <v>30</v>
      </c>
    </row>
    <row r="76" spans="2:62" s="98" customFormat="1" ht="62.25" customHeight="1" x14ac:dyDescent="0.9">
      <c r="B76" s="125">
        <f>+B75</f>
        <v>17</v>
      </c>
      <c r="C76" s="373"/>
      <c r="D76" s="184"/>
      <c r="E76" s="111">
        <f>+B75</f>
        <v>17</v>
      </c>
      <c r="F76" s="374"/>
      <c r="G76" s="578" t="str">
        <f>+G74</f>
        <v>2628-510-630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>
        <v>1</v>
      </c>
      <c r="K76" s="114" t="s">
        <v>22</v>
      </c>
      <c r="L76" s="102" t="s">
        <v>18</v>
      </c>
      <c r="M76" s="425">
        <v>45</v>
      </c>
      <c r="N76" s="425">
        <v>45</v>
      </c>
      <c r="O76" s="425">
        <v>45</v>
      </c>
      <c r="P76" s="425">
        <v>45</v>
      </c>
      <c r="Q76" s="425">
        <v>45</v>
      </c>
      <c r="R76" s="425">
        <v>45</v>
      </c>
      <c r="S76" s="425">
        <v>45</v>
      </c>
      <c r="T76" s="425">
        <v>45</v>
      </c>
      <c r="U76" s="425">
        <v>45</v>
      </c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-73.75</v>
      </c>
      <c r="Y76" s="440"/>
      <c r="Z76" s="400"/>
      <c r="AA76" s="541"/>
      <c r="AB76" s="443">
        <f t="shared" si="31"/>
        <v>393.75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393.75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126">
        <f>+B75</f>
        <v>17</v>
      </c>
      <c r="C77" s="375"/>
      <c r="D77" s="174" t="s">
        <v>379</v>
      </c>
      <c r="E77" s="175">
        <f>+E76+100</f>
        <v>117</v>
      </c>
      <c r="F77" s="175"/>
      <c r="G77" s="579" t="str">
        <f>+G74</f>
        <v>2628-510-630</v>
      </c>
      <c r="H77" s="454">
        <f>+AC74-H75</f>
        <v>-4069</v>
      </c>
      <c r="I77" s="397"/>
      <c r="J77" s="165">
        <f>+IF(K77="","",IF(K75=0,"",(K75*J75)/(K77*60)))</f>
        <v>0.85145652173913045</v>
      </c>
      <c r="K77" s="118">
        <v>46</v>
      </c>
      <c r="L77" s="104" t="s">
        <v>19</v>
      </c>
      <c r="M77" s="427">
        <v>1</v>
      </c>
      <c r="N77" s="427">
        <v>1</v>
      </c>
      <c r="O77" s="427">
        <v>1</v>
      </c>
      <c r="P77" s="427">
        <v>1</v>
      </c>
      <c r="Q77" s="427">
        <v>1</v>
      </c>
      <c r="R77" s="427">
        <v>1</v>
      </c>
      <c r="S77" s="427">
        <v>1</v>
      </c>
      <c r="T77" s="427">
        <v>1</v>
      </c>
      <c r="U77" s="427">
        <v>1</v>
      </c>
      <c r="V77" s="428"/>
      <c r="W77" s="428"/>
      <c r="X77" s="173"/>
      <c r="Y77" s="441"/>
      <c r="Z77" s="401">
        <v>41.323268679526997</v>
      </c>
      <c r="AA77" s="169">
        <v>41.323268679526997</v>
      </c>
      <c r="AB77" s="444">
        <f t="shared" si="31"/>
        <v>8.75</v>
      </c>
      <c r="AC77" s="139"/>
      <c r="AD77" s="139"/>
      <c r="AE77" s="441"/>
      <c r="AF77" s="441"/>
      <c r="AG77" s="119">
        <f>+IFERROR(AG75/(K75*$AT$3),"")</f>
        <v>1.998921832884097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8.75</v>
      </c>
      <c r="AP77" s="167">
        <f>+AO77-AB77</f>
        <v>0</v>
      </c>
      <c r="AQ77" s="167"/>
      <c r="AR77" s="167"/>
      <c r="AS77" s="167"/>
      <c r="AT77" s="435"/>
      <c r="AU77" s="393"/>
      <c r="AW77" s="356">
        <v>1.9187969924812029</v>
      </c>
      <c r="AY77" s="356"/>
    </row>
    <row r="78" spans="2:62" s="98" customFormat="1" ht="62.25" customHeight="1" thickTop="1" x14ac:dyDescent="0.9">
      <c r="B78" s="127">
        <f>+B79</f>
        <v>18</v>
      </c>
      <c r="C78" s="370"/>
      <c r="D78" s="106"/>
      <c r="E78" s="106"/>
      <c r="F78" s="106"/>
      <c r="G78" s="577" t="s">
        <v>436</v>
      </c>
      <c r="H78" s="106"/>
      <c r="I78" s="106"/>
      <c r="J78" s="107" t="s">
        <v>20</v>
      </c>
      <c r="K78" s="108" t="s">
        <v>23</v>
      </c>
      <c r="L78" s="100" t="s">
        <v>21</v>
      </c>
      <c r="M78" s="423">
        <v>120</v>
      </c>
      <c r="N78" s="423">
        <v>60</v>
      </c>
      <c r="O78" s="423">
        <v>120</v>
      </c>
      <c r="P78" s="423">
        <v>120</v>
      </c>
      <c r="Q78" s="423"/>
      <c r="R78" s="423"/>
      <c r="S78" s="423"/>
      <c r="T78" s="423"/>
      <c r="U78" s="423"/>
      <c r="V78" s="423"/>
      <c r="W78" s="423"/>
      <c r="X78" s="135">
        <f t="shared" si="27"/>
        <v>420</v>
      </c>
      <c r="Y78" s="438"/>
      <c r="Z78" s="400">
        <v>-108.5</v>
      </c>
      <c r="AA78" s="540">
        <f>+X80</f>
        <v>0.25</v>
      </c>
      <c r="AB78" s="135">
        <f t="shared" si="28"/>
        <v>420</v>
      </c>
      <c r="AC78" s="136">
        <f>+AD78+AB78</f>
        <v>6805</v>
      </c>
      <c r="AD78" s="136">
        <v>6385</v>
      </c>
      <c r="AE78" s="438"/>
      <c r="AF78" s="438"/>
      <c r="AG78" s="109"/>
      <c r="AH78" s="110"/>
      <c r="AI78" s="157"/>
      <c r="AJ78" s="161">
        <f t="shared" ref="AJ78:AJ85" si="37">TRUNC(AI78)+(AI78-TRUNC(AI78))*60/100</f>
        <v>0</v>
      </c>
      <c r="AK78" s="167">
        <f t="shared" ref="AK78:AK85" si="38">+AI78*60</f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3">
        <v>18</v>
      </c>
      <c r="C79" s="371">
        <f>+B79</f>
        <v>18</v>
      </c>
      <c r="D79" s="372" t="s">
        <v>435</v>
      </c>
      <c r="E79" s="111"/>
      <c r="F79" s="111" t="s">
        <v>35</v>
      </c>
      <c r="G79" s="578" t="str">
        <f t="shared" ref="G79:G85" si="39">+G78</f>
        <v>2628-510-630</v>
      </c>
      <c r="H79" s="450">
        <v>10800</v>
      </c>
      <c r="I79" s="111" t="s">
        <v>33</v>
      </c>
      <c r="J79" s="113">
        <v>44.34</v>
      </c>
      <c r="K79" s="130">
        <v>53</v>
      </c>
      <c r="L79" s="101" t="s">
        <v>17</v>
      </c>
      <c r="M79" s="449">
        <v>57</v>
      </c>
      <c r="N79" s="449">
        <v>57</v>
      </c>
      <c r="O79" s="449">
        <v>57</v>
      </c>
      <c r="P79" s="449">
        <v>53</v>
      </c>
      <c r="Q79" s="449">
        <v>53</v>
      </c>
      <c r="R79" s="449">
        <v>49</v>
      </c>
      <c r="S79" s="449">
        <v>57</v>
      </c>
      <c r="T79" s="449">
        <v>40</v>
      </c>
      <c r="U79" s="449">
        <v>41</v>
      </c>
      <c r="V79" s="424"/>
      <c r="W79" s="424"/>
      <c r="X79" s="123">
        <f>+IF(H80="s",0,IF(AB79=0,0,IF(COUNTA(M79:W79)=AN81+0.25,SUMIF($C:$C,B79,$AB:$AB)/AN81,SUMIF($C:$C,B79,$AB:$AB)/(COUNTA(M79:W79)))))</f>
        <v>53.028571428571432</v>
      </c>
      <c r="Y79" s="439"/>
      <c r="Z79" s="400"/>
      <c r="AA79" s="541"/>
      <c r="AB79" s="134">
        <f t="shared" si="28"/>
        <v>464</v>
      </c>
      <c r="AC79" s="137">
        <f>+AB79+AD79</f>
        <v>6070</v>
      </c>
      <c r="AD79" s="137">
        <v>5606</v>
      </c>
      <c r="AE79" s="439">
        <v>0</v>
      </c>
      <c r="AF79" s="439">
        <f>+AE79+Y79</f>
        <v>0</v>
      </c>
      <c r="AG79" s="140">
        <f>+AC78-AC79</f>
        <v>735</v>
      </c>
      <c r="AH79" s="131">
        <f>+IF(((AB80+(AB81/2))*60)=0,"",(J79*AB79)/((AB80+(AB81/2))*60))</f>
        <v>0.84848994741725958</v>
      </c>
      <c r="AI79" s="161">
        <f>+AB80+AB81/2</f>
        <v>404.125</v>
      </c>
      <c r="AJ79" s="161">
        <f t="shared" si="37"/>
        <v>404.07499999999999</v>
      </c>
      <c r="AK79" s="167">
        <f t="shared" si="38"/>
        <v>24247.5</v>
      </c>
      <c r="AL79" s="167">
        <f>+AB79*J79</f>
        <v>20573.760000000002</v>
      </c>
      <c r="AM79" s="230">
        <f>+AB79-(AI79*K79/K81)</f>
        <v>-1.6222826086956275</v>
      </c>
      <c r="AN79" s="339"/>
      <c r="AO79" s="340"/>
      <c r="AP79" s="167"/>
      <c r="AQ79" s="167"/>
      <c r="AR79" s="167"/>
      <c r="AS79" s="167"/>
      <c r="AT79" s="433">
        <f>-420+AB78</f>
        <v>0</v>
      </c>
      <c r="AU79" s="393">
        <v>1.6</v>
      </c>
      <c r="AW79" s="356">
        <v>779</v>
      </c>
      <c r="AY79" s="356">
        <f t="shared" ref="AY79" si="40">+AW79-AG79</f>
        <v>44</v>
      </c>
    </row>
    <row r="80" spans="2:62" s="98" customFormat="1" ht="62.25" customHeight="1" x14ac:dyDescent="0.9">
      <c r="B80" s="125">
        <f>+B79</f>
        <v>18</v>
      </c>
      <c r="C80" s="373"/>
      <c r="D80" s="184"/>
      <c r="E80" s="111">
        <f>+B79</f>
        <v>18</v>
      </c>
      <c r="F80" s="374"/>
      <c r="G80" s="578" t="str">
        <f t="shared" si="39"/>
        <v>2628-510-630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48</v>
      </c>
      <c r="N80" s="425">
        <v>48</v>
      </c>
      <c r="O80" s="425">
        <v>45</v>
      </c>
      <c r="P80" s="425">
        <v>45</v>
      </c>
      <c r="Q80" s="425">
        <v>45</v>
      </c>
      <c r="R80" s="425">
        <v>45</v>
      </c>
      <c r="S80" s="425">
        <v>45</v>
      </c>
      <c r="T80" s="425">
        <v>45</v>
      </c>
      <c r="U80" s="425">
        <v>45</v>
      </c>
      <c r="V80" s="425"/>
      <c r="W80" s="425"/>
      <c r="X80" s="160">
        <f>+IF(H80="l",IF(COUNTA(M79:W79)=AN81+0.25,AB79-K79*AN81,AB79-(K79*COUNTA(M79:W79))),IF(H80="s",0,IF(COUNTA(M79:W79)=AN81+0.25,SUMIF($C:$C,B79,$AB:$AB)-K79*AN81,SUMIF($C:$C,B79,$AB:$AB)-K79*COUNTA(M79:W79))))</f>
        <v>0.25</v>
      </c>
      <c r="Y80" s="440"/>
      <c r="Z80" s="400"/>
      <c r="AA80" s="541"/>
      <c r="AB80" s="443">
        <f t="shared" si="31"/>
        <v>399.75</v>
      </c>
      <c r="AC80" s="138"/>
      <c r="AD80" s="138"/>
      <c r="AE80" s="442"/>
      <c r="AF80" s="440"/>
      <c r="AG80" s="115"/>
      <c r="AH80" s="116"/>
      <c r="AI80" s="157"/>
      <c r="AJ80" s="161">
        <f t="shared" si="37"/>
        <v>0</v>
      </c>
      <c r="AK80" s="167">
        <f t="shared" si="38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399.75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343">
        <f>+B79</f>
        <v>18</v>
      </c>
      <c r="C81" s="375"/>
      <c r="D81" s="378" t="s">
        <v>406</v>
      </c>
      <c r="E81" s="175">
        <f>+E80+100</f>
        <v>118</v>
      </c>
      <c r="F81" s="175"/>
      <c r="G81" s="579" t="str">
        <f t="shared" si="39"/>
        <v>2628-510-630</v>
      </c>
      <c r="H81" s="454">
        <f>+AC78-H79</f>
        <v>-3995</v>
      </c>
      <c r="I81" s="397"/>
      <c r="J81" s="165">
        <f>+IF(K81="","",IF(K79=0,"",(K79*J79)/(K81*60)))</f>
        <v>0.85145652173913045</v>
      </c>
      <c r="K81" s="118">
        <v>46</v>
      </c>
      <c r="L81" s="104" t="s">
        <v>19</v>
      </c>
      <c r="M81" s="428">
        <v>1</v>
      </c>
      <c r="N81" s="428">
        <v>1</v>
      </c>
      <c r="O81" s="428">
        <v>1</v>
      </c>
      <c r="P81" s="428">
        <v>1</v>
      </c>
      <c r="Q81" s="428">
        <v>1</v>
      </c>
      <c r="R81" s="428">
        <v>1</v>
      </c>
      <c r="S81" s="428">
        <v>1</v>
      </c>
      <c r="T81" s="428">
        <v>1</v>
      </c>
      <c r="U81" s="428">
        <v>1</v>
      </c>
      <c r="V81" s="428"/>
      <c r="W81" s="428"/>
      <c r="X81" s="173"/>
      <c r="Y81" s="441"/>
      <c r="Z81" s="401">
        <v>40.95536215146015</v>
      </c>
      <c r="AA81" s="168">
        <f>+IF(COUNTA(M79:W79)=$AM$4+0.25,$AM$4-(AB79/K79),COUNTA(M79:W79)-(AB79/K79))+Z81</f>
        <v>40.950645170328073</v>
      </c>
      <c r="AB81" s="444">
        <f t="shared" si="31"/>
        <v>8.75</v>
      </c>
      <c r="AC81" s="139"/>
      <c r="AD81" s="139"/>
      <c r="AE81" s="441"/>
      <c r="AF81" s="441"/>
      <c r="AG81" s="119">
        <f>+IFERROR(AG79/(K79*$AT$3),"")</f>
        <v>1.5849056603773586</v>
      </c>
      <c r="AH81" s="162"/>
      <c r="AI81" s="161"/>
      <c r="AJ81" s="161">
        <f t="shared" si="37"/>
        <v>0</v>
      </c>
      <c r="AK81" s="167">
        <f t="shared" si="38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8.75</v>
      </c>
      <c r="AP81" s="167">
        <f>+AO81-AB81</f>
        <v>0</v>
      </c>
      <c r="AQ81" s="167"/>
      <c r="AR81" s="167"/>
      <c r="AS81" s="167"/>
      <c r="AT81" s="435"/>
      <c r="AU81" s="393"/>
      <c r="AW81" s="356">
        <v>1.5349753694581281</v>
      </c>
      <c r="AY81" s="356"/>
    </row>
    <row r="82" spans="2:51" s="98" customFormat="1" ht="62.25" customHeight="1" thickTop="1" x14ac:dyDescent="0.9">
      <c r="B82" s="127">
        <f>+B83</f>
        <v>20</v>
      </c>
      <c r="C82" s="370"/>
      <c r="D82" s="106"/>
      <c r="E82" s="106"/>
      <c r="F82" s="106"/>
      <c r="G82" s="577" t="s">
        <v>459</v>
      </c>
      <c r="H82" s="106"/>
      <c r="I82" s="106"/>
      <c r="J82" s="107" t="s">
        <v>20</v>
      </c>
      <c r="K82" s="108" t="s">
        <v>23</v>
      </c>
      <c r="L82" s="100" t="s">
        <v>21</v>
      </c>
      <c r="M82" s="423">
        <v>50</v>
      </c>
      <c r="N82" s="423">
        <v>50</v>
      </c>
      <c r="O82" s="423">
        <v>50</v>
      </c>
      <c r="P82" s="423"/>
      <c r="Q82" s="423"/>
      <c r="R82" s="423"/>
      <c r="S82" s="423"/>
      <c r="T82" s="423"/>
      <c r="U82" s="423"/>
      <c r="V82" s="423"/>
      <c r="W82" s="423"/>
      <c r="X82" s="135">
        <f t="shared" si="27"/>
        <v>150</v>
      </c>
      <c r="Y82" s="438"/>
      <c r="Z82" s="400">
        <v>63.75</v>
      </c>
      <c r="AA82" s="540">
        <f>+X84</f>
        <v>-54</v>
      </c>
      <c r="AB82" s="135">
        <f t="shared" si="28"/>
        <v>150</v>
      </c>
      <c r="AC82" s="136">
        <f>+AD82+AB82</f>
        <v>2869</v>
      </c>
      <c r="AD82" s="136">
        <v>2719</v>
      </c>
      <c r="AE82" s="438"/>
      <c r="AF82" s="438"/>
      <c r="AG82" s="109"/>
      <c r="AH82" s="110"/>
      <c r="AI82" s="157"/>
      <c r="AJ82" s="161">
        <f t="shared" si="37"/>
        <v>0</v>
      </c>
      <c r="AK82" s="167">
        <f t="shared" si="38"/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3">
        <v>20</v>
      </c>
      <c r="C83" s="371">
        <f>+B83</f>
        <v>20</v>
      </c>
      <c r="D83" s="372" t="s">
        <v>460</v>
      </c>
      <c r="E83" s="111"/>
      <c r="F83" s="111" t="s">
        <v>422</v>
      </c>
      <c r="G83" s="578" t="str">
        <f t="shared" si="39"/>
        <v>ADA-PURPLE</v>
      </c>
      <c r="H83" s="450">
        <v>5014</v>
      </c>
      <c r="I83" s="111" t="s">
        <v>252</v>
      </c>
      <c r="J83" s="113">
        <v>13.23</v>
      </c>
      <c r="K83" s="130">
        <v>40</v>
      </c>
      <c r="L83" s="101" t="s">
        <v>17</v>
      </c>
      <c r="M83" s="214">
        <v>17</v>
      </c>
      <c r="N83" s="214">
        <v>31</v>
      </c>
      <c r="O83" s="214">
        <v>25</v>
      </c>
      <c r="P83" s="214">
        <v>33</v>
      </c>
      <c r="Q83" s="214">
        <v>44</v>
      </c>
      <c r="R83" s="214">
        <v>44</v>
      </c>
      <c r="S83" s="214">
        <v>45</v>
      </c>
      <c r="T83" s="214">
        <v>31</v>
      </c>
      <c r="U83" s="214">
        <v>45</v>
      </c>
      <c r="V83" s="214">
        <v>32</v>
      </c>
      <c r="W83" s="214">
        <v>29</v>
      </c>
      <c r="X83" s="123">
        <f>+IF(H84="s",0,IF(AB83=0,0,IF(COUNTA(M83:W83)=AN85+0.25,SUMIF($C:$C,B83,$AB:$AB)/AN85,SUMIF($C:$C,B83,$AB:$AB)/(COUNTA(M83:W83)))))</f>
        <v>34.97674418604651</v>
      </c>
      <c r="Y83" s="439"/>
      <c r="Z83" s="400"/>
      <c r="AA83" s="541"/>
      <c r="AB83" s="134">
        <f t="shared" si="28"/>
        <v>376</v>
      </c>
      <c r="AC83" s="137">
        <f>+AB83+AD83</f>
        <v>1555</v>
      </c>
      <c r="AD83" s="137">
        <v>1179</v>
      </c>
      <c r="AE83" s="439">
        <v>0</v>
      </c>
      <c r="AF83" s="439">
        <f>+AE83+Y83</f>
        <v>0</v>
      </c>
      <c r="AG83" s="140">
        <f>+AC82-AC83</f>
        <v>1314</v>
      </c>
      <c r="AH83" s="131">
        <f>+IF(((AB84+(AB85/2))*60)=0,"",(J83*AB83)/((AB84+(AB85/2))*60))</f>
        <v>0.70112473572938694</v>
      </c>
      <c r="AI83" s="161">
        <f>+AB84+AB85/2</f>
        <v>118.25</v>
      </c>
      <c r="AJ83" s="161">
        <f t="shared" si="37"/>
        <v>118.15</v>
      </c>
      <c r="AK83" s="167">
        <f t="shared" si="38"/>
        <v>7095</v>
      </c>
      <c r="AL83" s="167">
        <f>+AB83*J83</f>
        <v>4974.4800000000005</v>
      </c>
      <c r="AM83" s="230">
        <f>+AB83-(AI83*K83/K85)</f>
        <v>-54</v>
      </c>
      <c r="AN83" s="339"/>
      <c r="AO83" s="340"/>
      <c r="AP83" s="167"/>
      <c r="AQ83" s="167"/>
      <c r="AR83" s="167"/>
      <c r="AS83" s="167"/>
      <c r="AT83" s="433">
        <f>-150+AB82</f>
        <v>0</v>
      </c>
      <c r="AU83" s="393">
        <v>1.5</v>
      </c>
      <c r="AW83" s="356">
        <v>1540</v>
      </c>
      <c r="AY83" s="356">
        <f t="shared" ref="AY83" si="41">+AW83-AG83</f>
        <v>226</v>
      </c>
    </row>
    <row r="84" spans="2:51" s="98" customFormat="1" ht="62.25" customHeight="1" x14ac:dyDescent="0.9">
      <c r="B84" s="125">
        <f>+B83</f>
        <v>20</v>
      </c>
      <c r="C84" s="373"/>
      <c r="D84" s="184"/>
      <c r="E84" s="111">
        <f>+B83</f>
        <v>20</v>
      </c>
      <c r="F84" s="374"/>
      <c r="G84" s="578" t="str">
        <f t="shared" si="39"/>
        <v>ADA-PURPLE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51">
        <v>11</v>
      </c>
      <c r="N84" s="451">
        <v>11</v>
      </c>
      <c r="O84" s="451">
        <v>11</v>
      </c>
      <c r="P84" s="451">
        <v>11</v>
      </c>
      <c r="Q84" s="451">
        <v>11</v>
      </c>
      <c r="R84" s="451">
        <v>11</v>
      </c>
      <c r="S84" s="451">
        <v>11</v>
      </c>
      <c r="T84" s="451">
        <v>11</v>
      </c>
      <c r="U84" s="451">
        <v>11</v>
      </c>
      <c r="V84" s="451">
        <v>11</v>
      </c>
      <c r="W84" s="451">
        <v>11</v>
      </c>
      <c r="X84" s="160">
        <f>+IF(H84="l",IF(COUNTA(M83:W83)=AN85+0.25,AB83-K83*AN85,AB83-(K83*COUNTA(M83:W83))),IF(H84="s",0,IF(COUNTA(M83:W83)=AN85+0.25,SUMIF($C:$C,B83,$AB:$AB)-K83*AN85,SUMIF($C:$C,B83,$AB:$AB)-K83*COUNTA(M83:W83))))</f>
        <v>-54</v>
      </c>
      <c r="Y84" s="440"/>
      <c r="Z84" s="400"/>
      <c r="AA84" s="541"/>
      <c r="AB84" s="443">
        <f t="shared" si="31"/>
        <v>118.25</v>
      </c>
      <c r="AC84" s="138"/>
      <c r="AD84" s="138"/>
      <c r="AE84" s="442"/>
      <c r="AF84" s="440"/>
      <c r="AG84" s="115"/>
      <c r="AH84" s="116"/>
      <c r="AI84" s="157"/>
      <c r="AJ84" s="161">
        <f t="shared" si="37"/>
        <v>0</v>
      </c>
      <c r="AK84" s="167">
        <f t="shared" si="38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0</v>
      </c>
      <c r="AP84" s="167">
        <f>+AO84-AB84</f>
        <v>-118.25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343">
        <f>+B83</f>
        <v>20</v>
      </c>
      <c r="C85" s="375"/>
      <c r="D85" s="378" t="s">
        <v>78</v>
      </c>
      <c r="E85" s="175">
        <f>+E84+100</f>
        <v>120</v>
      </c>
      <c r="F85" s="175"/>
      <c r="G85" s="579" t="str">
        <f t="shared" si="39"/>
        <v>ADA-PURPLE</v>
      </c>
      <c r="H85" s="454">
        <f>+AC82-H83</f>
        <v>-2145</v>
      </c>
      <c r="I85" s="397"/>
      <c r="J85" s="165">
        <f>+IF(K85="","",IF(K83=0,"",(K83*J83)/(K85*60)))</f>
        <v>0.80181818181818187</v>
      </c>
      <c r="K85" s="118">
        <v>11</v>
      </c>
      <c r="L85" s="104" t="s">
        <v>19</v>
      </c>
      <c r="M85" s="428"/>
      <c r="N85" s="428"/>
      <c r="O85" s="428"/>
      <c r="P85" s="428"/>
      <c r="Q85" s="428"/>
      <c r="R85" s="428"/>
      <c r="S85" s="428"/>
      <c r="T85" s="428"/>
      <c r="U85" s="428"/>
      <c r="V85" s="428"/>
      <c r="W85" s="428"/>
      <c r="X85" s="173"/>
      <c r="Y85" s="441"/>
      <c r="Z85" s="401">
        <v>19.29</v>
      </c>
      <c r="AA85" s="169">
        <v>19.29</v>
      </c>
      <c r="AB85" s="444">
        <f t="shared" si="31"/>
        <v>0</v>
      </c>
      <c r="AC85" s="139"/>
      <c r="AD85" s="139"/>
      <c r="AE85" s="441"/>
      <c r="AF85" s="441"/>
      <c r="AG85" s="119">
        <f>+IFERROR(AG83/(K83*$AT$3),"")</f>
        <v>3.7542857142857144</v>
      </c>
      <c r="AH85" s="162"/>
      <c r="AI85" s="161"/>
      <c r="AJ85" s="161">
        <f t="shared" si="37"/>
        <v>0</v>
      </c>
      <c r="AK85" s="167">
        <f t="shared" si="38"/>
        <v>0</v>
      </c>
      <c r="AL85" s="167"/>
      <c r="AM85" s="230"/>
      <c r="AN85" s="342">
        <v>10.75</v>
      </c>
      <c r="AO85" s="340">
        <f>+IF(AN85=7.75,SUM(M85:S85)+T85*0.75,IF(AN85=8,SUM(M85:T85),IF(AN85=7.25,SUM(M85:S85)+T85*0.25,IF(AN85=8.25,SUM(M85:T85)+U85*0.25,IF(AN85=8.75,SUM(M85:T85)+U85*0.75,0)))))</f>
        <v>0</v>
      </c>
      <c r="AP85" s="167">
        <f>+AO85-AB85</f>
        <v>0</v>
      </c>
      <c r="AQ85" s="167"/>
      <c r="AR85" s="167"/>
      <c r="AS85" s="167"/>
      <c r="AT85" s="435"/>
      <c r="AU85" s="393"/>
      <c r="AW85" s="356">
        <v>5.0285714285714285</v>
      </c>
      <c r="AY85" s="356"/>
    </row>
    <row r="86" spans="2:51" s="384" customFormat="1" ht="91.5" customHeight="1" thickTop="1" thickBot="1" x14ac:dyDescent="0.95">
      <c r="B86" s="379"/>
      <c r="C86" s="379"/>
      <c r="D86" s="380"/>
      <c r="E86" s="380"/>
      <c r="F86" s="380"/>
      <c r="G86" s="380"/>
      <c r="H86" s="380"/>
      <c r="I86" s="380"/>
      <c r="J86" s="380"/>
      <c r="K86" s="380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0"/>
      <c r="Y86" s="381"/>
      <c r="Z86" s="380"/>
      <c r="AA86" s="380"/>
      <c r="AB86" s="380"/>
      <c r="AC86" s="380"/>
      <c r="AD86" s="380"/>
      <c r="AE86" s="380"/>
      <c r="AF86" s="380"/>
      <c r="AG86" s="380"/>
      <c r="AH86" s="382"/>
      <c r="AI86" s="383"/>
      <c r="AJ86" s="383"/>
      <c r="AN86" s="385"/>
      <c r="AO86" s="386"/>
      <c r="AU86" s="394"/>
    </row>
    <row r="87" spans="2:51" s="384" customFormat="1" ht="91.5" customHeight="1" thickTop="1" thickBot="1" x14ac:dyDescent="0.95">
      <c r="B87" s="379"/>
      <c r="C87" s="379"/>
      <c r="D87" s="380"/>
      <c r="E87" s="380"/>
      <c r="F87" s="380"/>
      <c r="G87" s="380"/>
      <c r="H87" s="380"/>
      <c r="I87" s="380"/>
      <c r="J87" s="380"/>
      <c r="K87" s="380"/>
      <c r="L87" s="346" t="s">
        <v>21</v>
      </c>
      <c r="M87" s="166">
        <f t="shared" ref="M87:W87" si="42">+SUMIF($L$6:$L$86,$L$87,M6:M86)</f>
        <v>1380</v>
      </c>
      <c r="N87" s="166">
        <f t="shared" si="42"/>
        <v>1185</v>
      </c>
      <c r="O87" s="166">
        <f t="shared" si="42"/>
        <v>1530</v>
      </c>
      <c r="P87" s="166">
        <f t="shared" si="42"/>
        <v>995</v>
      </c>
      <c r="Q87" s="166">
        <f t="shared" si="42"/>
        <v>515</v>
      </c>
      <c r="R87" s="166">
        <f t="shared" si="42"/>
        <v>520</v>
      </c>
      <c r="S87" s="166">
        <f t="shared" si="42"/>
        <v>655</v>
      </c>
      <c r="T87" s="166">
        <f t="shared" si="42"/>
        <v>345</v>
      </c>
      <c r="U87" s="166">
        <f t="shared" si="42"/>
        <v>210</v>
      </c>
      <c r="V87" s="166">
        <f t="shared" si="42"/>
        <v>120</v>
      </c>
      <c r="W87" s="166">
        <f t="shared" si="42"/>
        <v>0</v>
      </c>
      <c r="X87" s="332"/>
      <c r="Y87" s="223"/>
      <c r="Z87" s="332"/>
      <c r="AA87" s="575">
        <f>+SUM(M87:W87)</f>
        <v>7455</v>
      </c>
      <c r="AB87" s="576"/>
      <c r="AC87" s="380"/>
      <c r="AD87" s="380"/>
      <c r="AE87" s="380"/>
      <c r="AF87" s="380"/>
      <c r="AG87" s="380"/>
      <c r="AH87" s="382"/>
      <c r="AI87" s="383"/>
      <c r="AJ87" s="383"/>
      <c r="AN87" s="385"/>
      <c r="AU87" s="394"/>
    </row>
    <row r="88" spans="2:51" s="384" customFormat="1" ht="91.5" customHeight="1" thickTop="1" thickBot="1" x14ac:dyDescent="0.95">
      <c r="B88" s="379"/>
      <c r="C88" s="379"/>
      <c r="D88" s="380"/>
      <c r="E88" s="380"/>
      <c r="F88" s="380"/>
      <c r="G88" s="380"/>
      <c r="H88" s="380"/>
      <c r="I88" s="380"/>
      <c r="J88" s="380"/>
      <c r="K88" s="380"/>
      <c r="L88" s="347"/>
      <c r="M88" s="344"/>
      <c r="N88" s="344"/>
      <c r="O88" s="344"/>
      <c r="P88" s="344"/>
      <c r="Q88" s="344"/>
      <c r="R88" s="344"/>
      <c r="S88" s="344"/>
      <c r="T88" s="344"/>
      <c r="U88" s="344"/>
      <c r="V88" s="344"/>
      <c r="W88" s="344"/>
      <c r="X88" s="332"/>
      <c r="Y88" s="344"/>
      <c r="Z88" s="332"/>
      <c r="AA88" s="332"/>
      <c r="AB88" s="332"/>
      <c r="AC88" s="380"/>
      <c r="AD88" s="380"/>
      <c r="AE88" s="380"/>
      <c r="AF88" s="380"/>
      <c r="AG88" s="380"/>
      <c r="AH88" s="382"/>
      <c r="AI88" s="383"/>
      <c r="AJ88" s="383"/>
      <c r="AN88" s="385"/>
      <c r="AU88" s="394"/>
    </row>
    <row r="89" spans="2:51" s="384" customFormat="1" ht="91.5" customHeight="1" thickTop="1" thickBot="1" x14ac:dyDescent="0.95">
      <c r="B89" s="379"/>
      <c r="C89" s="379"/>
      <c r="D89" s="380"/>
      <c r="E89" s="380"/>
      <c r="F89" s="380"/>
      <c r="G89" s="380"/>
      <c r="H89" s="380"/>
      <c r="I89" s="380"/>
      <c r="J89" s="380"/>
      <c r="K89" s="380"/>
      <c r="L89" s="346" t="s">
        <v>17</v>
      </c>
      <c r="M89" s="166">
        <f t="shared" ref="M89:W89" si="43">+SUMIF($L$6:$L$86,$L$89,M6:M86)</f>
        <v>822</v>
      </c>
      <c r="N89" s="166">
        <f t="shared" si="43"/>
        <v>888</v>
      </c>
      <c r="O89" s="166">
        <f t="shared" si="43"/>
        <v>807</v>
      </c>
      <c r="P89" s="166">
        <f t="shared" si="43"/>
        <v>811</v>
      </c>
      <c r="Q89" s="166">
        <f t="shared" si="43"/>
        <v>865</v>
      </c>
      <c r="R89" s="166">
        <f t="shared" si="43"/>
        <v>840</v>
      </c>
      <c r="S89" s="166">
        <f t="shared" si="43"/>
        <v>869</v>
      </c>
      <c r="T89" s="166">
        <f t="shared" si="43"/>
        <v>826</v>
      </c>
      <c r="U89" s="166">
        <f t="shared" si="43"/>
        <v>647</v>
      </c>
      <c r="V89" s="166">
        <f t="shared" si="43"/>
        <v>112</v>
      </c>
      <c r="W89" s="166">
        <f t="shared" si="43"/>
        <v>89</v>
      </c>
      <c r="X89" s="332"/>
      <c r="Y89" s="223"/>
      <c r="Z89" s="332"/>
      <c r="AA89" s="575">
        <f>+SUM(M89:W89)</f>
        <v>7576</v>
      </c>
      <c r="AB89" s="576"/>
      <c r="AC89" s="380"/>
      <c r="AD89" s="380"/>
      <c r="AE89" s="380"/>
      <c r="AF89" s="380"/>
      <c r="AG89" s="380"/>
      <c r="AH89" s="382"/>
      <c r="AI89" s="383"/>
      <c r="AJ89" s="383"/>
      <c r="AN89" s="385"/>
      <c r="AU89" s="394"/>
    </row>
    <row r="90" spans="2:51" s="384" customFormat="1" ht="91.5" customHeight="1" thickTop="1" thickBot="1" x14ac:dyDescent="0.95">
      <c r="B90" s="379"/>
      <c r="C90" s="379"/>
      <c r="D90" s="380"/>
      <c r="E90" s="380"/>
      <c r="F90" s="380"/>
      <c r="G90" s="380"/>
      <c r="H90" s="380"/>
      <c r="I90" s="380"/>
      <c r="J90" s="380"/>
      <c r="K90" s="380"/>
      <c r="L90" s="347"/>
      <c r="M90" s="344"/>
      <c r="N90" s="344"/>
      <c r="O90" s="344"/>
      <c r="P90" s="344"/>
      <c r="Q90" s="344"/>
      <c r="R90" s="344"/>
      <c r="S90" s="344"/>
      <c r="T90" s="344"/>
      <c r="U90" s="344"/>
      <c r="V90" s="344"/>
      <c r="W90" s="344"/>
      <c r="X90" s="332"/>
      <c r="Y90" s="344"/>
      <c r="Z90" s="332"/>
      <c r="AA90" s="332"/>
      <c r="AB90" s="332"/>
      <c r="AC90" s="380"/>
      <c r="AD90" s="380"/>
      <c r="AE90" s="380"/>
      <c r="AF90" s="380"/>
      <c r="AG90" s="380"/>
      <c r="AH90" s="382"/>
      <c r="AI90" s="383"/>
      <c r="AJ90" s="383"/>
      <c r="AN90" s="385"/>
      <c r="AU90" s="394"/>
    </row>
    <row r="91" spans="2:51" s="384" customFormat="1" ht="91.5" customHeight="1" thickTop="1" thickBot="1" x14ac:dyDescent="0.95">
      <c r="B91" s="379"/>
      <c r="C91" s="379"/>
      <c r="D91" s="387"/>
      <c r="E91" s="387"/>
      <c r="F91" s="387"/>
      <c r="G91" s="387"/>
      <c r="H91" s="387"/>
      <c r="I91" s="387"/>
      <c r="J91" s="388"/>
      <c r="K91" s="387"/>
      <c r="L91" s="346" t="s">
        <v>19</v>
      </c>
      <c r="M91" s="166">
        <f t="shared" ref="M91:W91" si="44">+SUMIF($L$6:$L$86,$L$91,M6:M86)</f>
        <v>14</v>
      </c>
      <c r="N91" s="166">
        <f t="shared" si="44"/>
        <v>14</v>
      </c>
      <c r="O91" s="166">
        <f t="shared" si="44"/>
        <v>14</v>
      </c>
      <c r="P91" s="166">
        <f t="shared" si="44"/>
        <v>14</v>
      </c>
      <c r="Q91" s="166">
        <f t="shared" si="44"/>
        <v>14</v>
      </c>
      <c r="R91" s="166">
        <f t="shared" si="44"/>
        <v>14</v>
      </c>
      <c r="S91" s="166">
        <f t="shared" si="44"/>
        <v>14</v>
      </c>
      <c r="T91" s="166">
        <f t="shared" si="44"/>
        <v>14</v>
      </c>
      <c r="U91" s="166">
        <f t="shared" si="44"/>
        <v>14</v>
      </c>
      <c r="V91" s="166">
        <f t="shared" si="44"/>
        <v>1</v>
      </c>
      <c r="W91" s="166">
        <f t="shared" si="44"/>
        <v>1</v>
      </c>
      <c r="X91" s="348"/>
      <c r="Y91" s="223"/>
      <c r="Z91" s="348"/>
      <c r="AA91" s="332"/>
      <c r="AB91" s="332"/>
      <c r="AC91" s="380"/>
      <c r="AD91" s="380"/>
      <c r="AE91" s="380"/>
      <c r="AF91" s="380"/>
      <c r="AG91" s="380"/>
      <c r="AH91" s="382"/>
      <c r="AI91" s="383"/>
      <c r="AJ91" s="383"/>
      <c r="AN91" s="385"/>
      <c r="AU91" s="394"/>
    </row>
    <row r="92" spans="2:51" s="384" customFormat="1" ht="62.25" customHeight="1" thickTop="1" x14ac:dyDescent="0.9">
      <c r="B92" s="379"/>
      <c r="C92" s="379"/>
      <c r="D92" s="387"/>
      <c r="E92" s="387"/>
      <c r="F92" s="387"/>
      <c r="G92" s="387"/>
      <c r="H92" s="387"/>
      <c r="I92" s="389"/>
      <c r="J92" s="388"/>
      <c r="K92" s="387"/>
      <c r="L92" s="347"/>
      <c r="M92" s="349"/>
      <c r="N92" s="345"/>
      <c r="O92" s="345"/>
      <c r="P92" s="345"/>
      <c r="Q92" s="345"/>
      <c r="R92" s="345"/>
      <c r="S92" s="345"/>
      <c r="T92" s="345"/>
      <c r="U92" s="345"/>
      <c r="V92" s="345"/>
      <c r="W92" s="345"/>
      <c r="X92" s="332"/>
      <c r="Y92" s="345"/>
      <c r="Z92" s="332"/>
      <c r="AA92" s="332"/>
      <c r="AB92" s="332"/>
      <c r="AC92" s="380"/>
      <c r="AD92" s="380"/>
      <c r="AE92" s="380"/>
      <c r="AF92" s="380"/>
      <c r="AG92" s="390"/>
      <c r="AH92" s="382"/>
      <c r="AI92" s="383"/>
      <c r="AJ92" s="383"/>
      <c r="AN92" s="385"/>
      <c r="AU92" s="394"/>
    </row>
    <row r="93" spans="2:51" s="98" customFormat="1" ht="62.25" customHeight="1" thickBot="1" x14ac:dyDescent="0.95">
      <c r="B93" s="94"/>
      <c r="C93" s="94"/>
      <c r="D93" s="92"/>
      <c r="E93" s="92"/>
      <c r="F93" s="92"/>
      <c r="G93" s="92"/>
      <c r="H93" s="92"/>
      <c r="I93" s="91"/>
      <c r="J93" s="93"/>
      <c r="K93" s="92"/>
      <c r="L93" s="350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91"/>
      <c r="AD93" s="91"/>
      <c r="AE93" s="91"/>
      <c r="AF93" s="91"/>
      <c r="AG93" s="91"/>
      <c r="AH93" s="95"/>
      <c r="AI93" s="158"/>
      <c r="AJ93" s="158"/>
      <c r="AN93" s="183"/>
      <c r="AU93" s="393"/>
    </row>
    <row r="94" spans="2:51" s="98" customFormat="1" ht="88.5" customHeight="1" thickTop="1" thickBot="1" x14ac:dyDescent="0.95">
      <c r="B94" s="94"/>
      <c r="C94" s="94"/>
      <c r="D94" s="92"/>
      <c r="E94" s="92"/>
      <c r="F94" s="92"/>
      <c r="G94" s="92"/>
      <c r="H94" s="92"/>
      <c r="I94" s="91"/>
      <c r="J94" s="93"/>
      <c r="K94" s="212" t="s">
        <v>18</v>
      </c>
      <c r="L94" s="351" t="s">
        <v>180</v>
      </c>
      <c r="M94" s="166">
        <f t="shared" ref="M94:W94" si="45">+IF(M97=0,0,SUMIFS($J$6:$J$86,$L$6:$L$86,$K$94))</f>
        <v>5</v>
      </c>
      <c r="N94" s="166">
        <f t="shared" si="45"/>
        <v>5</v>
      </c>
      <c r="O94" s="166">
        <f t="shared" si="45"/>
        <v>5</v>
      </c>
      <c r="P94" s="166">
        <f t="shared" si="45"/>
        <v>5</v>
      </c>
      <c r="Q94" s="166">
        <f t="shared" si="45"/>
        <v>5</v>
      </c>
      <c r="R94" s="166">
        <f t="shared" si="45"/>
        <v>5</v>
      </c>
      <c r="S94" s="166">
        <f t="shared" si="45"/>
        <v>5</v>
      </c>
      <c r="T94" s="166">
        <f t="shared" si="45"/>
        <v>5</v>
      </c>
      <c r="U94" s="166">
        <f t="shared" si="45"/>
        <v>5</v>
      </c>
      <c r="V94" s="166">
        <f t="shared" si="45"/>
        <v>5</v>
      </c>
      <c r="W94" s="166">
        <f t="shared" si="45"/>
        <v>5</v>
      </c>
      <c r="X94" s="2"/>
      <c r="Y94" s="223"/>
      <c r="Z94" s="2"/>
      <c r="AA94" s="1"/>
      <c r="AB94" s="1"/>
      <c r="AC94" s="91"/>
      <c r="AD94" s="91"/>
      <c r="AE94" s="91"/>
      <c r="AF94" s="91"/>
      <c r="AG94" s="91"/>
      <c r="AH94" s="95"/>
      <c r="AI94" s="158"/>
      <c r="AJ94" s="158"/>
      <c r="AN94" s="183"/>
      <c r="AU94" s="393"/>
    </row>
    <row r="95" spans="2:51" s="98" customFormat="1" ht="62.25" customHeight="1" thickTop="1" x14ac:dyDescent="0.9">
      <c r="B95" s="94"/>
      <c r="C95" s="94"/>
      <c r="D95" s="92"/>
      <c r="E95" s="92"/>
      <c r="F95" s="92"/>
      <c r="G95" s="92"/>
      <c r="H95" s="92"/>
      <c r="I95" s="92"/>
      <c r="J95" s="93"/>
      <c r="K95" s="212"/>
      <c r="L95" s="350"/>
      <c r="M95" s="352"/>
      <c r="N95" s="352"/>
      <c r="O95" s="352"/>
      <c r="P95" s="352"/>
      <c r="Q95" s="352"/>
      <c r="R95" s="352"/>
      <c r="S95" s="352"/>
      <c r="T95" s="352"/>
      <c r="U95" s="352"/>
      <c r="V95" s="352"/>
      <c r="W95" s="352"/>
      <c r="X95" s="1"/>
      <c r="Y95" s="352"/>
      <c r="Z95" s="1"/>
      <c r="AA95" s="1"/>
      <c r="AB95" s="1"/>
      <c r="AC95" s="91"/>
      <c r="AD95" s="91"/>
      <c r="AE95" s="91"/>
      <c r="AF95" s="91"/>
      <c r="AG95" s="91"/>
      <c r="AH95" s="95"/>
      <c r="AI95" s="158"/>
      <c r="AJ95" s="158"/>
      <c r="AN95" s="183"/>
      <c r="AU95" s="393"/>
    </row>
    <row r="96" spans="2:51" s="98" customFormat="1" ht="62.25" customHeight="1" thickBot="1" x14ac:dyDescent="0.95">
      <c r="B96" s="94"/>
      <c r="C96" s="94"/>
      <c r="D96" s="92"/>
      <c r="E96" s="92"/>
      <c r="F96" s="92"/>
      <c r="G96" s="92"/>
      <c r="H96" s="92"/>
      <c r="I96" s="92"/>
      <c r="J96" s="93"/>
      <c r="K96" s="212"/>
      <c r="L96" s="350"/>
      <c r="M96" s="1"/>
      <c r="N96" s="1"/>
      <c r="O96" s="1"/>
      <c r="P96" s="1"/>
      <c r="Q96" s="353"/>
      <c r="R96" s="353"/>
      <c r="S96" s="353"/>
      <c r="T96" s="353"/>
      <c r="U96" s="353"/>
      <c r="V96" s="353"/>
      <c r="W96" s="353"/>
      <c r="X96" s="1"/>
      <c r="Y96" s="353"/>
      <c r="Z96" s="1"/>
      <c r="AA96" s="1"/>
      <c r="AB96" s="1"/>
      <c r="AC96" s="91"/>
      <c r="AD96" s="91"/>
      <c r="AE96" s="91"/>
      <c r="AF96" s="91"/>
      <c r="AG96" s="91"/>
      <c r="AH96" s="95"/>
      <c r="AI96" s="158"/>
      <c r="AJ96" s="158"/>
      <c r="AN96" s="183"/>
      <c r="AU96" s="393"/>
    </row>
    <row r="97" spans="2:47" s="98" customFormat="1" ht="98.25" customHeight="1" thickTop="1" thickBot="1" x14ac:dyDescent="0.95">
      <c r="B97" s="94"/>
      <c r="C97" s="94"/>
      <c r="D97" s="92"/>
      <c r="E97" s="92"/>
      <c r="F97" s="92"/>
      <c r="G97" s="92"/>
      <c r="H97" s="92"/>
      <c r="I97" s="92"/>
      <c r="J97" s="93"/>
      <c r="K97" s="212"/>
      <c r="L97" s="351" t="s">
        <v>18</v>
      </c>
      <c r="M97" s="166">
        <f t="shared" ref="M97:W97" si="46">+SUMIF($L$6:$L$86,$L$97,M6:M86)</f>
        <v>748</v>
      </c>
      <c r="N97" s="166">
        <f t="shared" si="46"/>
        <v>754</v>
      </c>
      <c r="O97" s="166">
        <f t="shared" si="46"/>
        <v>754</v>
      </c>
      <c r="P97" s="166">
        <f t="shared" si="46"/>
        <v>754</v>
      </c>
      <c r="Q97" s="166">
        <f t="shared" si="46"/>
        <v>754</v>
      </c>
      <c r="R97" s="166">
        <f t="shared" si="46"/>
        <v>753</v>
      </c>
      <c r="S97" s="166">
        <f t="shared" si="46"/>
        <v>753</v>
      </c>
      <c r="T97" s="166">
        <f t="shared" si="46"/>
        <v>753</v>
      </c>
      <c r="U97" s="166">
        <f t="shared" si="46"/>
        <v>753</v>
      </c>
      <c r="V97" s="166">
        <f t="shared" si="46"/>
        <v>69</v>
      </c>
      <c r="W97" s="166">
        <f t="shared" si="46"/>
        <v>69</v>
      </c>
      <c r="X97" s="1"/>
      <c r="Y97" s="223"/>
      <c r="Z97" s="1"/>
      <c r="AA97" s="1"/>
      <c r="AB97" s="1"/>
      <c r="AC97" s="91"/>
      <c r="AD97" s="91"/>
      <c r="AE97" s="91"/>
      <c r="AF97" s="91"/>
      <c r="AG97" s="91"/>
      <c r="AH97" s="95"/>
      <c r="AI97" s="158"/>
      <c r="AJ97" s="158"/>
      <c r="AN97" s="183"/>
      <c r="AU97" s="393"/>
    </row>
    <row r="98" spans="2:47" s="98" customFormat="1" ht="62.25" customHeight="1" thickTop="1" x14ac:dyDescent="0.9">
      <c r="B98" s="94"/>
      <c r="C98" s="94"/>
      <c r="D98" s="92"/>
      <c r="E98" s="92"/>
      <c r="F98" s="92"/>
      <c r="G98" s="92"/>
      <c r="H98" s="92"/>
      <c r="I98" s="92"/>
      <c r="J98" s="93"/>
      <c r="K98" s="212"/>
      <c r="L98" s="350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1"/>
      <c r="Y98" s="354"/>
      <c r="Z98" s="1"/>
      <c r="AA98" s="1"/>
      <c r="AB98" s="1"/>
      <c r="AC98" s="91"/>
      <c r="AD98" s="91"/>
      <c r="AE98" s="91"/>
      <c r="AF98" s="91"/>
      <c r="AG98" s="91"/>
      <c r="AH98" s="95"/>
      <c r="AI98" s="158"/>
      <c r="AJ98" s="158"/>
      <c r="AN98" s="183"/>
      <c r="AU98" s="393"/>
    </row>
    <row r="99" spans="2:47" s="98" customFormat="1" ht="62.25" customHeight="1" thickBot="1" x14ac:dyDescent="0.95">
      <c r="B99" s="94"/>
      <c r="C99" s="94"/>
      <c r="D99" s="92"/>
      <c r="E99" s="92"/>
      <c r="F99" s="92"/>
      <c r="G99" s="92"/>
      <c r="H99" s="92"/>
      <c r="I99" s="92"/>
      <c r="J99" s="93"/>
      <c r="K99" s="212"/>
      <c r="L99" s="350"/>
      <c r="M99" s="1"/>
      <c r="N99" s="1"/>
      <c r="O99" s="1"/>
      <c r="P99" s="1"/>
      <c r="Q99" s="353"/>
      <c r="R99" s="353"/>
      <c r="S99" s="353"/>
      <c r="T99" s="353"/>
      <c r="U99" s="353"/>
      <c r="V99" s="353"/>
      <c r="W99" s="353"/>
      <c r="X99" s="1"/>
      <c r="Y99" s="353"/>
      <c r="Z99" s="1"/>
      <c r="AA99" s="1"/>
      <c r="AB99" s="1"/>
      <c r="AC99" s="91"/>
      <c r="AD99" s="91"/>
      <c r="AE99" s="91"/>
      <c r="AF99" s="91"/>
      <c r="AG99" s="91"/>
      <c r="AH99" s="95"/>
      <c r="AI99" s="158"/>
      <c r="AJ99" s="158"/>
      <c r="AN99" s="183"/>
      <c r="AU99" s="393"/>
    </row>
    <row r="100" spans="2:47" s="98" customFormat="1" ht="94.5" customHeight="1" thickTop="1" thickBot="1" x14ac:dyDescent="0.95">
      <c r="B100" s="94"/>
      <c r="C100" s="94"/>
      <c r="D100" s="92"/>
      <c r="E100" s="92"/>
      <c r="F100" s="92"/>
      <c r="G100" s="92"/>
      <c r="H100" s="92"/>
      <c r="I100" s="92"/>
      <c r="J100" s="93"/>
      <c r="K100" s="92"/>
      <c r="L100" s="351" t="s">
        <v>13</v>
      </c>
      <c r="M100" s="166">
        <f>+M97+M94+M91</f>
        <v>767</v>
      </c>
      <c r="N100" s="166">
        <f t="shared" ref="N100:W100" si="47">+N97+N94+N91</f>
        <v>773</v>
      </c>
      <c r="O100" s="166">
        <f t="shared" si="47"/>
        <v>773</v>
      </c>
      <c r="P100" s="166">
        <f t="shared" si="47"/>
        <v>773</v>
      </c>
      <c r="Q100" s="166">
        <f t="shared" si="47"/>
        <v>773</v>
      </c>
      <c r="R100" s="166">
        <f t="shared" si="47"/>
        <v>772</v>
      </c>
      <c r="S100" s="166">
        <f t="shared" si="47"/>
        <v>772</v>
      </c>
      <c r="T100" s="166">
        <f t="shared" si="47"/>
        <v>772</v>
      </c>
      <c r="U100" s="166">
        <f t="shared" si="47"/>
        <v>772</v>
      </c>
      <c r="V100" s="166">
        <f t="shared" si="47"/>
        <v>75</v>
      </c>
      <c r="W100" s="166">
        <f t="shared" si="47"/>
        <v>75</v>
      </c>
      <c r="X100" s="1"/>
      <c r="Y100" s="223"/>
      <c r="Z100" s="1"/>
      <c r="AA100" s="1"/>
      <c r="AB100" s="1"/>
      <c r="AC100" s="91"/>
      <c r="AD100" s="91"/>
      <c r="AE100" s="91"/>
      <c r="AF100" s="91"/>
      <c r="AG100" s="91"/>
      <c r="AH100" s="95"/>
      <c r="AI100" s="155"/>
      <c r="AJ100" s="155"/>
      <c r="AN100" s="183"/>
      <c r="AU100" s="393"/>
    </row>
    <row r="101" spans="2:47" s="98" customFormat="1" ht="62.25" thickTop="1" x14ac:dyDescent="0.9">
      <c r="B101" s="94"/>
      <c r="C101" s="94"/>
      <c r="D101" s="92"/>
      <c r="E101" s="92"/>
      <c r="F101" s="92"/>
      <c r="G101" s="92"/>
      <c r="H101" s="92"/>
      <c r="I101" s="92"/>
      <c r="J101" s="93"/>
      <c r="K101" s="92"/>
      <c r="L101" s="35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91"/>
      <c r="AD101" s="91"/>
      <c r="AE101" s="91"/>
      <c r="AF101" s="91"/>
      <c r="AG101" s="91"/>
      <c r="AH101" s="95"/>
      <c r="AI101" s="158"/>
      <c r="AJ101" s="158"/>
      <c r="AN101" s="183"/>
      <c r="AU101" s="393"/>
    </row>
    <row r="102" spans="2:47" x14ac:dyDescent="0.9">
      <c r="J102" s="91"/>
      <c r="K102" s="91"/>
      <c r="T102" s="544"/>
      <c r="U102" s="544"/>
      <c r="V102" s="544"/>
      <c r="AI102" s="158"/>
      <c r="AJ102" s="158"/>
    </row>
    <row r="103" spans="2:47" ht="105" customHeight="1" x14ac:dyDescent="0.9">
      <c r="B103" s="391"/>
      <c r="AI103" s="158"/>
      <c r="AJ103" s="158"/>
    </row>
    <row r="104" spans="2:47" s="98" customFormat="1" x14ac:dyDescent="0.9">
      <c r="B104" s="94"/>
      <c r="C104" s="94"/>
      <c r="D104" s="92"/>
      <c r="E104" s="92"/>
      <c r="F104" s="92"/>
      <c r="G104" s="92"/>
      <c r="H104" s="92"/>
      <c r="I104" s="92"/>
      <c r="J104" s="93"/>
      <c r="K104" s="92"/>
      <c r="L104" s="99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5"/>
      <c r="AI104" s="158"/>
      <c r="AJ104" s="158"/>
      <c r="AN104" s="183"/>
      <c r="AU104" s="393"/>
    </row>
    <row r="105" spans="2:47" s="98" customFormat="1" x14ac:dyDescent="0.9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99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47" s="98" customFormat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92"/>
      <c r="L106" s="99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47" s="98" customFormat="1" ht="66" customHeight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92"/>
      <c r="L107" s="99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9" spans="2:47" s="92" customFormat="1" x14ac:dyDescent="0.7">
      <c r="B109" s="94"/>
      <c r="C109" s="94"/>
      <c r="D109" s="92">
        <v>2</v>
      </c>
      <c r="J109" s="93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5"/>
      <c r="AI109" s="155"/>
      <c r="AJ109" s="155"/>
      <c r="AK109" s="98"/>
      <c r="AL109" s="98"/>
      <c r="AM109" s="98"/>
      <c r="AN109" s="183"/>
      <c r="AO109" s="91"/>
      <c r="AP109" s="91"/>
      <c r="AU109" s="243"/>
    </row>
    <row r="110" spans="2:47" s="92" customFormat="1" x14ac:dyDescent="0.7">
      <c r="B110" s="94"/>
      <c r="C110" s="94"/>
      <c r="H110" s="92">
        <v>1</v>
      </c>
      <c r="J110" s="93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5"/>
      <c r="AI110" s="155"/>
      <c r="AJ110" s="155"/>
      <c r="AK110" s="98"/>
      <c r="AL110" s="98"/>
      <c r="AM110" s="98"/>
      <c r="AN110" s="183"/>
      <c r="AO110" s="91"/>
      <c r="AP110" s="91"/>
      <c r="AU110" s="243"/>
    </row>
    <row r="111" spans="2:47" s="92" customFormat="1" x14ac:dyDescent="0.7">
      <c r="B111" s="94"/>
      <c r="C111" s="94"/>
      <c r="H111" s="92">
        <v>2</v>
      </c>
      <c r="J111" s="93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5"/>
      <c r="AI111" s="155"/>
      <c r="AJ111" s="155"/>
      <c r="AK111" s="98"/>
      <c r="AL111" s="98"/>
      <c r="AM111" s="98"/>
      <c r="AN111" s="183"/>
      <c r="AO111" s="91"/>
      <c r="AP111" s="91"/>
      <c r="AU111" s="243"/>
    </row>
    <row r="112" spans="2:47" s="92" customFormat="1" x14ac:dyDescent="0.7">
      <c r="B112" s="94"/>
      <c r="C112" s="94"/>
      <c r="H112" s="92">
        <v>3</v>
      </c>
      <c r="J112" s="93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5"/>
      <c r="AI112" s="155"/>
      <c r="AJ112" s="155"/>
      <c r="AK112" s="98"/>
      <c r="AL112" s="98"/>
      <c r="AM112" s="98"/>
      <c r="AN112" s="183"/>
      <c r="AO112" s="91"/>
      <c r="AP112" s="91"/>
      <c r="AU112" s="243"/>
    </row>
    <row r="113" spans="2:47" s="92" customFormat="1" x14ac:dyDescent="0.7">
      <c r="B113" s="94"/>
      <c r="C113" s="94"/>
      <c r="H113" s="92">
        <v>4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5"/>
      <c r="AI113" s="155"/>
      <c r="AJ113" s="155"/>
      <c r="AK113" s="98"/>
      <c r="AL113" s="98"/>
      <c r="AM113" s="98"/>
      <c r="AN113" s="183"/>
      <c r="AO113" s="91"/>
      <c r="AP113" s="91"/>
      <c r="AU113" s="243"/>
    </row>
    <row r="114" spans="2:47" s="92" customFormat="1" x14ac:dyDescent="0.7">
      <c r="B114" s="94"/>
      <c r="C114" s="94"/>
      <c r="H114" s="92">
        <v>5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5"/>
      <c r="AI114" s="155"/>
      <c r="AJ114" s="155"/>
      <c r="AK114" s="98"/>
      <c r="AL114" s="98"/>
      <c r="AM114" s="98"/>
      <c r="AN114" s="183"/>
      <c r="AO114" s="91"/>
      <c r="AP114" s="91"/>
      <c r="AU114" s="243"/>
    </row>
    <row r="115" spans="2:47" s="92" customFormat="1" x14ac:dyDescent="0.7">
      <c r="B115" s="94"/>
      <c r="C115" s="94"/>
      <c r="H115" s="92">
        <v>6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5"/>
      <c r="AI115" s="155"/>
      <c r="AJ115" s="155"/>
      <c r="AK115" s="98"/>
      <c r="AL115" s="98"/>
      <c r="AM115" s="98"/>
      <c r="AN115" s="183"/>
      <c r="AO115" s="91"/>
      <c r="AP115" s="91"/>
      <c r="AU115" s="243"/>
    </row>
    <row r="116" spans="2:47" s="92" customFormat="1" x14ac:dyDescent="0.7">
      <c r="B116" s="94"/>
      <c r="C116" s="94"/>
      <c r="H116" s="92">
        <v>7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5"/>
      <c r="AI116" s="155"/>
      <c r="AJ116" s="155"/>
      <c r="AK116" s="98"/>
      <c r="AL116" s="98"/>
      <c r="AM116" s="98"/>
      <c r="AN116" s="183"/>
      <c r="AO116" s="91"/>
      <c r="AP116" s="91"/>
      <c r="AU116" s="243"/>
    </row>
    <row r="117" spans="2:47" s="92" customFormat="1" x14ac:dyDescent="0.7">
      <c r="B117" s="94"/>
      <c r="C117" s="94"/>
      <c r="H117" s="92">
        <v>8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5"/>
      <c r="AJ117" s="155"/>
      <c r="AK117" s="98"/>
      <c r="AL117" s="98"/>
      <c r="AM117" s="98"/>
      <c r="AN117" s="183"/>
      <c r="AO117" s="91"/>
      <c r="AP117" s="91"/>
      <c r="AU117" s="243"/>
    </row>
    <row r="118" spans="2:47" s="92" customFormat="1" x14ac:dyDescent="0.7">
      <c r="B118" s="94"/>
      <c r="C118" s="94"/>
      <c r="H118" s="92">
        <v>11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5"/>
      <c r="AJ118" s="155"/>
      <c r="AK118" s="98"/>
      <c r="AL118" s="98"/>
      <c r="AM118" s="98"/>
      <c r="AN118" s="183"/>
      <c r="AO118" s="91"/>
      <c r="AP118" s="91"/>
      <c r="AU118" s="243"/>
    </row>
    <row r="119" spans="2:47" s="92" customFormat="1" x14ac:dyDescent="0.7">
      <c r="B119" s="94"/>
      <c r="C119" s="94"/>
      <c r="H119" s="92">
        <v>12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5"/>
      <c r="AJ119" s="155"/>
      <c r="AK119" s="98"/>
      <c r="AL119" s="98"/>
      <c r="AM119" s="98"/>
      <c r="AN119" s="183"/>
      <c r="AO119" s="91"/>
      <c r="AP119" s="91"/>
      <c r="AU119" s="243"/>
    </row>
    <row r="120" spans="2:47" s="92" customFormat="1" x14ac:dyDescent="0.7">
      <c r="B120" s="94"/>
      <c r="C120" s="94"/>
      <c r="H120" s="92">
        <v>13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5"/>
      <c r="AJ120" s="155"/>
      <c r="AK120" s="98"/>
      <c r="AL120" s="98"/>
      <c r="AM120" s="98"/>
      <c r="AN120" s="183"/>
      <c r="AO120" s="91"/>
      <c r="AP120" s="91"/>
      <c r="AU120" s="243"/>
    </row>
    <row r="121" spans="2:47" s="92" customFormat="1" x14ac:dyDescent="0.7">
      <c r="B121" s="94"/>
      <c r="C121" s="94"/>
      <c r="H121" s="92">
        <v>14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15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17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18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19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81" spans="2:47" s="92" customFormat="1" x14ac:dyDescent="0.7">
      <c r="B181" s="94"/>
      <c r="C181" s="94"/>
      <c r="G181" s="92">
        <v>1</v>
      </c>
      <c r="J181" s="93"/>
      <c r="L181" s="99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5"/>
      <c r="AI181" s="155"/>
      <c r="AJ181" s="155"/>
      <c r="AK181" s="98"/>
      <c r="AL181" s="98"/>
      <c r="AM181" s="98"/>
      <c r="AN181" s="183"/>
      <c r="AO181" s="91"/>
      <c r="AP181" s="91"/>
      <c r="AU181" s="243"/>
    </row>
  </sheetData>
  <autoFilter ref="A5:CT77">
    <filterColumn colId="9" showButton="0"/>
  </autoFilter>
  <mergeCells count="59">
    <mergeCell ref="J5:K5"/>
    <mergeCell ref="G6:G9"/>
    <mergeCell ref="AA6:AA8"/>
    <mergeCell ref="AZ7:BI7"/>
    <mergeCell ref="AG1:AH1"/>
    <mergeCell ref="AG2:AH3"/>
    <mergeCell ref="H3:I3"/>
    <mergeCell ref="K3:L3"/>
    <mergeCell ref="B4:G4"/>
    <mergeCell ref="K4:L4"/>
    <mergeCell ref="AG4:AH4"/>
    <mergeCell ref="G10:G13"/>
    <mergeCell ref="AA10:AA12"/>
    <mergeCell ref="AZ11:BI11"/>
    <mergeCell ref="G14:G17"/>
    <mergeCell ref="AA14:AA16"/>
    <mergeCell ref="AZ15:BI15"/>
    <mergeCell ref="G38:G41"/>
    <mergeCell ref="AA38:AA40"/>
    <mergeCell ref="G18:G21"/>
    <mergeCell ref="AA18:AA20"/>
    <mergeCell ref="AZ19:BI19"/>
    <mergeCell ref="G22:G25"/>
    <mergeCell ref="AA22:AA24"/>
    <mergeCell ref="G26:G29"/>
    <mergeCell ref="AA26:AA28"/>
    <mergeCell ref="G30:G33"/>
    <mergeCell ref="AA30:AA32"/>
    <mergeCell ref="G34:G37"/>
    <mergeCell ref="AA34:AA36"/>
    <mergeCell ref="AZ35:BI35"/>
    <mergeCell ref="G42:G45"/>
    <mergeCell ref="AA42:AA44"/>
    <mergeCell ref="G46:G49"/>
    <mergeCell ref="AA46:AA48"/>
    <mergeCell ref="G50:G53"/>
    <mergeCell ref="AA50:AA52"/>
    <mergeCell ref="G54:G57"/>
    <mergeCell ref="AA54:AA56"/>
    <mergeCell ref="G58:G61"/>
    <mergeCell ref="AA58:AA60"/>
    <mergeCell ref="G62:G65"/>
    <mergeCell ref="AA62:AA64"/>
    <mergeCell ref="AZ63:BI63"/>
    <mergeCell ref="G66:G69"/>
    <mergeCell ref="AA66:AA68"/>
    <mergeCell ref="AZ67:BJ67"/>
    <mergeCell ref="G70:G73"/>
    <mergeCell ref="AA70:AA72"/>
    <mergeCell ref="AZ71:BJ71"/>
    <mergeCell ref="AA87:AB87"/>
    <mergeCell ref="AA89:AB89"/>
    <mergeCell ref="T102:V102"/>
    <mergeCell ref="G74:G77"/>
    <mergeCell ref="AA74:AA76"/>
    <mergeCell ref="G78:G81"/>
    <mergeCell ref="AA78:AA80"/>
    <mergeCell ref="G82:G85"/>
    <mergeCell ref="AA82:AA84"/>
  </mergeCells>
  <conditionalFormatting sqref="I8">
    <cfRule type="cellIs" dxfId="1584" priority="236" operator="greaterThan">
      <formula>0</formula>
    </cfRule>
  </conditionalFormatting>
  <conditionalFormatting sqref="I12">
    <cfRule type="cellIs" dxfId="1583" priority="391" operator="greaterThan">
      <formula>0</formula>
    </cfRule>
  </conditionalFormatting>
  <conditionalFormatting sqref="I16">
    <cfRule type="cellIs" dxfId="1582" priority="93" operator="greaterThan">
      <formula>0</formula>
    </cfRule>
  </conditionalFormatting>
  <conditionalFormatting sqref="I20">
    <cfRule type="cellIs" dxfId="1581" priority="332" operator="greaterThan">
      <formula>0</formula>
    </cfRule>
  </conditionalFormatting>
  <conditionalFormatting sqref="I24">
    <cfRule type="cellIs" dxfId="1580" priority="401" operator="greaterThan">
      <formula>0</formula>
    </cfRule>
  </conditionalFormatting>
  <conditionalFormatting sqref="I28">
    <cfRule type="cellIs" dxfId="1579" priority="431" operator="greaterThan">
      <formula>0</formula>
    </cfRule>
  </conditionalFormatting>
  <conditionalFormatting sqref="I32">
    <cfRule type="cellIs" dxfId="1578" priority="326" operator="greaterThan">
      <formula>0</formula>
    </cfRule>
  </conditionalFormatting>
  <conditionalFormatting sqref="I36">
    <cfRule type="cellIs" dxfId="1577" priority="303" operator="greaterThan">
      <formula>0</formula>
    </cfRule>
  </conditionalFormatting>
  <conditionalFormatting sqref="I40">
    <cfRule type="cellIs" dxfId="1576" priority="372" operator="greaterThan">
      <formula>0</formula>
    </cfRule>
  </conditionalFormatting>
  <conditionalFormatting sqref="I44">
    <cfRule type="cellIs" dxfId="1575" priority="443" operator="greaterThan">
      <formula>0</formula>
    </cfRule>
  </conditionalFormatting>
  <conditionalFormatting sqref="I48">
    <cfRule type="cellIs" dxfId="1574" priority="408" operator="greaterThan">
      <formula>0</formula>
    </cfRule>
  </conditionalFormatting>
  <conditionalFormatting sqref="I52">
    <cfRule type="cellIs" dxfId="1573" priority="385" operator="greaterThan">
      <formula>0</formula>
    </cfRule>
  </conditionalFormatting>
  <conditionalFormatting sqref="I56">
    <cfRule type="cellIs" dxfId="1572" priority="141" operator="greaterThan">
      <formula>0</formula>
    </cfRule>
  </conditionalFormatting>
  <conditionalFormatting sqref="I60">
    <cfRule type="cellIs" dxfId="1571" priority="289" operator="greaterThan">
      <formula>0</formula>
    </cfRule>
  </conditionalFormatting>
  <conditionalFormatting sqref="I64">
    <cfRule type="cellIs" dxfId="1570" priority="278" operator="greaterThan">
      <formula>0</formula>
    </cfRule>
  </conditionalFormatting>
  <conditionalFormatting sqref="I68">
    <cfRule type="cellIs" dxfId="1569" priority="314" operator="greaterThan">
      <formula>0</formula>
    </cfRule>
  </conditionalFormatting>
  <conditionalFormatting sqref="I72">
    <cfRule type="cellIs" dxfId="1568" priority="188" operator="greaterThan">
      <formula>0</formula>
    </cfRule>
  </conditionalFormatting>
  <conditionalFormatting sqref="I76">
    <cfRule type="cellIs" dxfId="1567" priority="378" operator="greaterThan">
      <formula>0</formula>
    </cfRule>
  </conditionalFormatting>
  <conditionalFormatting sqref="I80">
    <cfRule type="cellIs" dxfId="1566" priority="399" operator="greaterThan">
      <formula>0</formula>
    </cfRule>
  </conditionalFormatting>
  <conditionalFormatting sqref="I84">
    <cfRule type="cellIs" dxfId="1565" priority="296" operator="greaterThan">
      <formula>0</formula>
    </cfRule>
  </conditionalFormatting>
  <conditionalFormatting sqref="J8">
    <cfRule type="cellIs" dxfId="1564" priority="48" operator="greaterThan">
      <formula>0</formula>
    </cfRule>
  </conditionalFormatting>
  <conditionalFormatting sqref="J12">
    <cfRule type="cellIs" dxfId="1563" priority="309" operator="greaterThan">
      <formula>0</formula>
    </cfRule>
  </conditionalFormatting>
  <conditionalFormatting sqref="J16">
    <cfRule type="cellIs" dxfId="1562" priority="89" operator="greaterThan">
      <formula>0</formula>
    </cfRule>
  </conditionalFormatting>
  <conditionalFormatting sqref="J20">
    <cfRule type="cellIs" dxfId="1561" priority="331" operator="greaterThan">
      <formula>0</formula>
    </cfRule>
  </conditionalFormatting>
  <conditionalFormatting sqref="J24">
    <cfRule type="cellIs" dxfId="1560" priority="402" operator="greaterThan">
      <formula>0</formula>
    </cfRule>
  </conditionalFormatting>
  <conditionalFormatting sqref="J28">
    <cfRule type="cellIs" dxfId="1559" priority="320" operator="greaterThan">
      <formula>0</formula>
    </cfRule>
  </conditionalFormatting>
  <conditionalFormatting sqref="J32">
    <cfRule type="cellIs" dxfId="1558" priority="321" operator="greaterThan">
      <formula>0</formula>
    </cfRule>
  </conditionalFormatting>
  <conditionalFormatting sqref="J36">
    <cfRule type="cellIs" dxfId="1557" priority="298" operator="greaterThan">
      <formula>0</formula>
    </cfRule>
  </conditionalFormatting>
  <conditionalFormatting sqref="J40">
    <cfRule type="cellIs" dxfId="1556" priority="367" operator="greaterThan">
      <formula>0</formula>
    </cfRule>
  </conditionalFormatting>
  <conditionalFormatting sqref="J44">
    <cfRule type="cellIs" dxfId="1555" priority="438" operator="greaterThan">
      <formula>0</formula>
    </cfRule>
  </conditionalFormatting>
  <conditionalFormatting sqref="J48">
    <cfRule type="cellIs" dxfId="1554" priority="319" operator="greaterThan">
      <formula>0</formula>
    </cfRule>
  </conditionalFormatting>
  <conditionalFormatting sqref="J52">
    <cfRule type="cellIs" dxfId="1553" priority="365" operator="greaterThan">
      <formula>0</formula>
    </cfRule>
  </conditionalFormatting>
  <conditionalFormatting sqref="J56">
    <cfRule type="cellIs" dxfId="1552" priority="136" operator="greaterThan">
      <formula>0</formula>
    </cfRule>
  </conditionalFormatting>
  <conditionalFormatting sqref="J60">
    <cfRule type="cellIs" dxfId="1551" priority="284" operator="greaterThan">
      <formula>0</formula>
    </cfRule>
  </conditionalFormatting>
  <conditionalFormatting sqref="J64">
    <cfRule type="cellIs" dxfId="1550" priority="277" operator="greaterThan">
      <formula>0</formula>
    </cfRule>
  </conditionalFormatting>
  <conditionalFormatting sqref="J68">
    <cfRule type="cellIs" dxfId="1549" priority="310" operator="greaterThan">
      <formula>0</formula>
    </cfRule>
  </conditionalFormatting>
  <conditionalFormatting sqref="J72">
    <cfRule type="cellIs" dxfId="1548" priority="184" operator="greaterThan">
      <formula>0</formula>
    </cfRule>
  </conditionalFormatting>
  <conditionalFormatting sqref="J76">
    <cfRule type="cellIs" dxfId="1547" priority="1" operator="greaterThan">
      <formula>0</formula>
    </cfRule>
  </conditionalFormatting>
  <conditionalFormatting sqref="J80">
    <cfRule type="cellIs" dxfId="1546" priority="394" operator="greaterThan">
      <formula>0</formula>
    </cfRule>
  </conditionalFormatting>
  <conditionalFormatting sqref="J84">
    <cfRule type="cellIs" dxfId="1545" priority="291" operator="greaterThan">
      <formula>0</formula>
    </cfRule>
  </conditionalFormatting>
  <conditionalFormatting sqref="X6:X86">
    <cfRule type="cellIs" dxfId="1544" priority="446" operator="lessThan">
      <formula>0</formula>
    </cfRule>
  </conditionalFormatting>
  <conditionalFormatting sqref="X8 X12 X16 X20 X24 X28 X32 X36 X40 X44 X48 X52 X56 X60 X64 X68 X72 X76 X80 X84">
    <cfRule type="cellIs" dxfId="1543" priority="43" operator="lessThan">
      <formula>0</formula>
    </cfRule>
  </conditionalFormatting>
  <conditionalFormatting sqref="X63 X59 X7 X11 X15 X19 X23 X27 X31 X35 X39 X43 X47 X51 X55 X67 X71 X75 X79 X83">
    <cfRule type="iconSet" priority="44">
      <iconSet>
        <cfvo type="percent" val="0"/>
        <cfvo type="percent" val="&quot;$I$6&quot;"/>
        <cfvo type="percent" val="#REF!"/>
      </iconSet>
    </cfRule>
  </conditionalFormatting>
  <conditionalFormatting sqref="Z6:Z72">
    <cfRule type="cellIs" dxfId="1542" priority="91" operator="lessThan">
      <formula>0</formula>
    </cfRule>
  </conditionalFormatting>
  <conditionalFormatting sqref="Z7">
    <cfRule type="iconSet" priority="234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541" priority="231" operator="lessThan">
      <formula>0</formula>
    </cfRule>
  </conditionalFormatting>
  <conditionalFormatting sqref="Z11">
    <cfRule type="iconSet" priority="392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540" priority="388" operator="lessThan">
      <formula>0</formula>
    </cfRule>
  </conditionalFormatting>
  <conditionalFormatting sqref="Z15">
    <cfRule type="iconSet" priority="94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539" priority="90" operator="lessThan">
      <formula>0</formula>
    </cfRule>
  </conditionalFormatting>
  <conditionalFormatting sqref="Z19">
    <cfRule type="iconSet" priority="334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538" priority="329" operator="lessThan">
      <formula>0</formula>
    </cfRule>
  </conditionalFormatting>
  <conditionalFormatting sqref="Z23">
    <cfRule type="iconSet" priority="407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537" priority="403" operator="lessThan">
      <formula>0</formula>
    </cfRule>
  </conditionalFormatting>
  <conditionalFormatting sqref="Z27">
    <cfRule type="iconSet" priority="435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536" priority="432" operator="lessThan">
      <formula>0</formula>
    </cfRule>
  </conditionalFormatting>
  <conditionalFormatting sqref="Z31">
    <cfRule type="iconSet" priority="325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535" priority="322" operator="lessThan">
      <formula>0</formula>
    </cfRule>
  </conditionalFormatting>
  <conditionalFormatting sqref="Z35">
    <cfRule type="iconSet" priority="302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534" priority="299" operator="lessThan">
      <formula>0</formula>
    </cfRule>
  </conditionalFormatting>
  <conditionalFormatting sqref="Z39">
    <cfRule type="iconSet" priority="374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533" priority="369" operator="lessThan">
      <formula>0</formula>
    </cfRule>
  </conditionalFormatting>
  <conditionalFormatting sqref="Z43">
    <cfRule type="iconSet" priority="445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532" priority="440" operator="lessThan">
      <formula>0</formula>
    </cfRule>
  </conditionalFormatting>
  <conditionalFormatting sqref="Z47">
    <cfRule type="iconSet" priority="412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531" priority="409" operator="lessThan">
      <formula>0</formula>
    </cfRule>
  </conditionalFormatting>
  <conditionalFormatting sqref="Z51">
    <cfRule type="iconSet" priority="386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530" priority="382" operator="lessThan">
      <formula>0</formula>
    </cfRule>
  </conditionalFormatting>
  <conditionalFormatting sqref="Z55">
    <cfRule type="iconSet" priority="142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529" priority="138" operator="lessThan">
      <formula>0</formula>
    </cfRule>
  </conditionalFormatting>
  <conditionalFormatting sqref="Z59">
    <cfRule type="iconSet" priority="288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528" priority="285" operator="lessThan">
      <formula>0</formula>
    </cfRule>
  </conditionalFormatting>
  <conditionalFormatting sqref="Z63">
    <cfRule type="iconSet" priority="283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527" priority="279" operator="lessThan">
      <formula>0</formula>
    </cfRule>
  </conditionalFormatting>
  <conditionalFormatting sqref="Z67">
    <cfRule type="iconSet" priority="316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526" priority="311" operator="lessThan">
      <formula>0</formula>
    </cfRule>
  </conditionalFormatting>
  <conditionalFormatting sqref="Z71">
    <cfRule type="iconSet" priority="190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525" priority="185" operator="lessThan">
      <formula>0</formula>
    </cfRule>
  </conditionalFormatting>
  <conditionalFormatting sqref="Z74:Z86">
    <cfRule type="cellIs" dxfId="1524" priority="293" operator="lessThan">
      <formula>0</formula>
    </cfRule>
  </conditionalFormatting>
  <conditionalFormatting sqref="Z75">
    <cfRule type="iconSet" priority="380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523" priority="375" operator="lessThan">
      <formula>0</formula>
    </cfRule>
  </conditionalFormatting>
  <conditionalFormatting sqref="Z79">
    <cfRule type="iconSet" priority="398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522" priority="395" operator="lessThan">
      <formula>0</formula>
    </cfRule>
  </conditionalFormatting>
  <conditionalFormatting sqref="Z83">
    <cfRule type="iconSet" priority="295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521" priority="292" operator="lessThan">
      <formula>0</formula>
    </cfRule>
  </conditionalFormatting>
  <conditionalFormatting sqref="AA13">
    <cfRule type="cellIs" dxfId="1520" priority="308" operator="lessThan">
      <formula>0</formula>
    </cfRule>
  </conditionalFormatting>
  <conditionalFormatting sqref="AA21">
    <cfRule type="cellIs" dxfId="1519" priority="307" operator="lessThan">
      <formula>0</formula>
    </cfRule>
  </conditionalFormatting>
  <conditionalFormatting sqref="AA29">
    <cfRule type="cellIs" dxfId="1518" priority="318" operator="lessThan">
      <formula>0</formula>
    </cfRule>
  </conditionalFormatting>
  <conditionalFormatting sqref="AA45">
    <cfRule type="cellIs" dxfId="1517" priority="306" operator="lessThan">
      <formula>0</formula>
    </cfRule>
  </conditionalFormatting>
  <conditionalFormatting sqref="AA49">
    <cfRule type="cellIs" dxfId="1516" priority="317" operator="lessThan">
      <formula>0</formula>
    </cfRule>
  </conditionalFormatting>
  <conditionalFormatting sqref="AA53">
    <cfRule type="cellIs" dxfId="1515" priority="305" operator="lessThan">
      <formula>0</formula>
    </cfRule>
  </conditionalFormatting>
  <conditionalFormatting sqref="AA61">
    <cfRule type="cellIs" dxfId="1514" priority="42" operator="lessThan">
      <formula>0</formula>
    </cfRule>
  </conditionalFormatting>
  <conditionalFormatting sqref="AG2:AH3">
    <cfRule type="cellIs" dxfId="1513" priority="449" operator="lessThan">
      <formula>0.85</formula>
    </cfRule>
  </conditionalFormatting>
  <conditionalFormatting sqref="AP1:AP1048576">
    <cfRule type="cellIs" dxfId="1512" priority="92" operator="notEqual">
      <formula>0</formula>
    </cfRule>
  </conditionalFormatting>
  <conditionalFormatting sqref="AT6:AT88">
    <cfRule type="cellIs" dxfId="1511" priority="2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35" id="{F222A9CE-F2F1-42DB-8E1A-7ADED29EED7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393" id="{5945CD57-5917-46CB-ACAD-8845CA13442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95" id="{85386B4D-EB4C-462D-A3B1-253AE25EDCC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333" id="{EADDC611-5499-4CA9-B84A-D98CEA900D7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406" id="{81260F3A-2914-4324-923D-F103E286021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436" id="{40841FF1-E694-4D3E-BEB8-25ADB3B7942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327" id="{84857D96-092C-4A84-B512-6E61B54252E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304" id="{D7796904-19C1-4713-A390-E9AFB4928E1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373" id="{6B65A4FF-FEC6-42F2-AF79-BA110E5E232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444" id="{12FF97A5-3C1B-45EC-A02A-7CED8CF33E9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413" id="{E7A6CDF8-71BF-46E4-8053-647251C6EBD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387" id="{3BF4A605-0DBB-44BB-8EB6-71C55935ECA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143" id="{7C340D91-A4D2-44F4-A295-A7D681A03B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290" id="{C8A3174C-4472-43BB-885D-21135240DDE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282" id="{F0B423A2-02E3-4BB6-8285-481BE138550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315" id="{DD1AA7BA-87EE-4217-8970-A9A63F2347A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189" id="{C5C173D5-32A1-40D6-9B61-4160AF9CE93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379" id="{927825CC-4C9B-46A4-85C5-A2EAB73B1CE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400" id="{78DC7BC1-4674-431C-A416-136D8DBF821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297" id="{B98DC25D-7B99-41F0-8992-5C0456EBC67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93"/>
  <sheetViews>
    <sheetView topLeftCell="A40" zoomScale="18" zoomScaleNormal="18" zoomScaleSheetLayoutView="18" workbookViewId="0">
      <selection activeCell="S39" sqref="S39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hidden="1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0.76321748954920354</v>
      </c>
      <c r="AH2" s="535"/>
      <c r="AK2" s="183">
        <f>+SUBTOTAL(9,AK6:AK115)</f>
        <v>398295</v>
      </c>
      <c r="AL2" s="183">
        <f>+SUBTOTAL(9,AL6:AL115)</f>
        <v>303985.71000000002</v>
      </c>
      <c r="AW2" s="91">
        <v>0.59793648334624327</v>
      </c>
    </row>
    <row r="3" spans="2:64" ht="94.5" customHeight="1" x14ac:dyDescent="0.9">
      <c r="B3" s="363">
        <f>+AM4</f>
        <v>8.75</v>
      </c>
      <c r="C3" s="455"/>
      <c r="D3" s="455"/>
      <c r="E3" s="455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55"/>
      <c r="AD3" s="96"/>
      <c r="AE3" s="96"/>
      <c r="AF3" s="96"/>
      <c r="AG3" s="535"/>
      <c r="AH3" s="535"/>
      <c r="AK3" s="183"/>
      <c r="AL3" s="183"/>
      <c r="AT3" s="91">
        <v>8.75</v>
      </c>
    </row>
    <row r="4" spans="2:64" s="141" customFormat="1" ht="79.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+SUMIF($L$6:$L$98,AB3,$AB$6:$AB$98)</f>
        <v>7416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06-05-2026</v>
      </c>
      <c r="AH4" s="539"/>
      <c r="AI4" s="362">
        <f>+SUM(AI6:AI103)</f>
        <v>6638.25</v>
      </c>
      <c r="AJ4" s="362"/>
      <c r="AK4" s="98"/>
      <c r="AL4" s="98"/>
      <c r="AM4" s="363">
        <v>8.75</v>
      </c>
      <c r="AT4" s="396">
        <f>+SUBTOTAL(9,AT6:AT99)</f>
        <v>2.6999999999998181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77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>
        <v>50</v>
      </c>
      <c r="P6" s="423">
        <v>50</v>
      </c>
      <c r="Q6" s="423">
        <v>50</v>
      </c>
      <c r="R6" s="423">
        <v>50</v>
      </c>
      <c r="S6" s="423">
        <v>50</v>
      </c>
      <c r="T6" s="423">
        <v>100</v>
      </c>
      <c r="U6" s="423">
        <v>50</v>
      </c>
      <c r="V6" s="423"/>
      <c r="W6" s="423"/>
      <c r="X6" s="135">
        <f t="shared" ref="X6:X62" si="0">IF(AT7="","",SUM(M6:W6)-(-(AT7-SUM(M6:W6))/$AT$3)*SUM($M$2:$W$2))</f>
        <v>500</v>
      </c>
      <c r="Y6" s="438"/>
      <c r="Z6" s="400">
        <v>0</v>
      </c>
      <c r="AA6" s="540">
        <f>+X8</f>
        <v>0</v>
      </c>
      <c r="AB6" s="135">
        <f t="shared" ref="AB6:AB63" si="1">+SUM(L6:W6)</f>
        <v>500</v>
      </c>
      <c r="AC6" s="136">
        <f>+AD6+AB6</f>
        <v>1851</v>
      </c>
      <c r="AD6" s="136">
        <v>1351</v>
      </c>
      <c r="AE6" s="438"/>
      <c r="AF6" s="438"/>
      <c r="AG6" s="109"/>
      <c r="AH6" s="110"/>
      <c r="AI6" s="157"/>
      <c r="AJ6" s="161">
        <f t="shared" ref="AJ6:AJ85" si="2">TRUNC(AI6)+(AI6-TRUNC(AI6))*60/100</f>
        <v>0</v>
      </c>
      <c r="AK6" s="167">
        <f t="shared" ref="AK6:AK85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78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424"/>
      <c r="X7" s="123">
        <f>+IF(H8="s",0,IF(AB7=0,0,IF(COUNTA(M7:W7)=AN9+0.25,SUMIF($C:$C,B7,$AB:$AB)/AN9,SUMIF($C:$C,B7,$AB:$AB)/(COUNTA(M7:W7)))))</f>
        <v>60</v>
      </c>
      <c r="Y7" s="439"/>
      <c r="Z7" s="400"/>
      <c r="AA7" s="541"/>
      <c r="AB7" s="134">
        <f t="shared" si="1"/>
        <v>525</v>
      </c>
      <c r="AC7" s="137">
        <f>+AB7+AD7</f>
        <v>1100</v>
      </c>
      <c r="AD7" s="137">
        <v>575</v>
      </c>
      <c r="AE7" s="439">
        <v>0</v>
      </c>
      <c r="AF7" s="439">
        <f>+AE7+Y7</f>
        <v>0</v>
      </c>
      <c r="AG7" s="140">
        <f>+AC6-AC7</f>
        <v>751</v>
      </c>
      <c r="AH7" s="131">
        <f>+IF(((AB8+(AB9/2))*60)=0,"",(J7*AB7)/((AB8+(AB9/2))*60))</f>
        <v>0.89249999999999996</v>
      </c>
      <c r="AI7" s="161">
        <f>+AB8+AB9/2</f>
        <v>420</v>
      </c>
      <c r="AJ7" s="161">
        <f t="shared" si="2"/>
        <v>420</v>
      </c>
      <c r="AK7" s="167">
        <f t="shared" si="3"/>
        <v>25200</v>
      </c>
      <c r="AL7" s="167">
        <f>+AB7*J7</f>
        <v>22491</v>
      </c>
      <c r="AM7" s="230">
        <f>+AB7-(AI7*K7/K9)</f>
        <v>10.714285714285666</v>
      </c>
      <c r="AN7" s="339"/>
      <c r="AO7" s="340"/>
      <c r="AP7" s="167"/>
      <c r="AQ7" s="167"/>
      <c r="AR7" s="167"/>
      <c r="AS7" s="167"/>
      <c r="AT7" s="433">
        <f>-500+AB6</f>
        <v>0</v>
      </c>
      <c r="AU7" s="393">
        <v>1.5</v>
      </c>
      <c r="AW7" s="356">
        <v>776</v>
      </c>
      <c r="AY7" s="356">
        <f>+AW7-AG7</f>
        <v>25</v>
      </c>
      <c r="AZ7" s="581"/>
      <c r="BA7" s="581"/>
      <c r="BB7" s="581"/>
      <c r="BC7" s="581"/>
      <c r="BD7" s="581"/>
      <c r="BE7" s="581"/>
      <c r="BF7" s="581"/>
      <c r="BG7" s="581"/>
      <c r="BH7" s="581"/>
      <c r="BI7" s="58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78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47</v>
      </c>
      <c r="N8" s="215">
        <v>47</v>
      </c>
      <c r="O8" s="215">
        <v>47</v>
      </c>
      <c r="P8" s="215">
        <v>47</v>
      </c>
      <c r="Q8" s="215">
        <v>47</v>
      </c>
      <c r="R8" s="215">
        <v>47</v>
      </c>
      <c r="S8" s="215">
        <v>47</v>
      </c>
      <c r="T8" s="215">
        <v>47</v>
      </c>
      <c r="U8" s="215">
        <v>47</v>
      </c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541"/>
      <c r="AB8" s="443">
        <f t="shared" ref="AB8:AB65" si="4">+SUM(M8:W8)-U8*0.25</f>
        <v>411.25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411.25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79" t="str">
        <f>+G6</f>
        <v>2917-496-712</v>
      </c>
      <c r="H9" s="454">
        <f>+AC6-H7</f>
        <v>-4149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si="4"/>
        <v>17.5</v>
      </c>
      <c r="AC9" s="139"/>
      <c r="AD9" s="139"/>
      <c r="AE9" s="441"/>
      <c r="AF9" s="441"/>
      <c r="AG9" s="119">
        <f>+IFERROR(AG7/(K7*$AT$3),"")</f>
        <v>1.4304761904761905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17.5</v>
      </c>
      <c r="AP9" s="167">
        <f>+AO9-AB9</f>
        <v>0</v>
      </c>
      <c r="AQ9" s="167"/>
      <c r="AR9" s="167"/>
      <c r="AS9" s="167"/>
      <c r="AT9" s="435"/>
      <c r="AU9" s="393"/>
      <c r="AW9" s="356">
        <v>1.4780952380952381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77" t="s">
        <v>437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/>
      <c r="P10" s="423"/>
      <c r="Q10" s="423"/>
      <c r="R10" s="423"/>
      <c r="S10" s="423"/>
      <c r="T10" s="423"/>
      <c r="U10" s="423"/>
      <c r="V10" s="423"/>
      <c r="W10" s="423"/>
      <c r="X10" s="135" t="str">
        <f t="shared" si="0"/>
        <v/>
      </c>
      <c r="Y10" s="438"/>
      <c r="Z10" s="400">
        <v>0</v>
      </c>
      <c r="AA10" s="540">
        <f>+X12</f>
        <v>0</v>
      </c>
      <c r="AB10" s="135">
        <f t="shared" si="1"/>
        <v>0</v>
      </c>
      <c r="AC10" s="136">
        <f>+AD10+AB10</f>
        <v>6622</v>
      </c>
      <c r="AD10" s="136">
        <v>6622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438</v>
      </c>
      <c r="E11" s="111"/>
      <c r="F11" s="111" t="s">
        <v>35</v>
      </c>
      <c r="G11" s="578" t="str">
        <f>+G10</f>
        <v>7696-837-802</v>
      </c>
      <c r="H11" s="450">
        <v>6622</v>
      </c>
      <c r="I11" s="111" t="s">
        <v>252</v>
      </c>
      <c r="J11" s="113">
        <v>29.06</v>
      </c>
      <c r="K11" s="130">
        <v>75</v>
      </c>
      <c r="L11" s="101" t="s">
        <v>17</v>
      </c>
      <c r="M11" s="214">
        <v>22</v>
      </c>
      <c r="N11" s="214"/>
      <c r="O11" s="214"/>
      <c r="P11" s="214"/>
      <c r="Q11" s="214"/>
      <c r="R11" s="214"/>
      <c r="S11" s="214"/>
      <c r="T11" s="214"/>
      <c r="U11" s="214"/>
      <c r="V11" s="214"/>
      <c r="W11" s="424"/>
      <c r="X11" s="123">
        <f>+IF(H12="s",0,IF(AB11=0,0,IF(COUNTA(M11:W11)=AN13+0.25,SUMIF($C:$C,B11,$AB:$AB)/AN13,SUMIF($C:$C,B11,$AB:$AB)/(COUNTA(M11:W11)))))</f>
        <v>0</v>
      </c>
      <c r="Y11" s="439"/>
      <c r="Z11" s="400"/>
      <c r="AA11" s="541"/>
      <c r="AB11" s="134">
        <f t="shared" si="1"/>
        <v>22</v>
      </c>
      <c r="AC11" s="137">
        <f>+AB11+AD11</f>
        <v>6609</v>
      </c>
      <c r="AD11" s="137">
        <v>6587</v>
      </c>
      <c r="AE11" s="439">
        <v>0</v>
      </c>
      <c r="AF11" s="439">
        <f>+AE11+Y11</f>
        <v>0</v>
      </c>
      <c r="AG11" s="140">
        <f>+AC10-AC11</f>
        <v>13</v>
      </c>
      <c r="AH11" s="131">
        <f>+IF(((AB12+(AB13/2))*60)=0,"",(J11*AB11)/((AB12+(AB13/2))*60))</f>
        <v>10.655333333333333</v>
      </c>
      <c r="AI11" s="161">
        <f>+AB12+AB13/2</f>
        <v>1</v>
      </c>
      <c r="AJ11" s="161">
        <f t="shared" si="2"/>
        <v>1</v>
      </c>
      <c r="AK11" s="167">
        <f t="shared" si="3"/>
        <v>60</v>
      </c>
      <c r="AL11" s="167">
        <f>+AB11*J11</f>
        <v>639.31999999999994</v>
      </c>
      <c r="AM11" s="230">
        <f>+AB11-(AI11*K11/K13)</f>
        <v>20.170731707317074</v>
      </c>
      <c r="AN11" s="339"/>
      <c r="AO11" s="340"/>
      <c r="AP11" s="167"/>
      <c r="AQ11" s="167"/>
      <c r="AR11" s="167"/>
      <c r="AS11" s="167"/>
      <c r="AT11" s="433" t="str">
        <f t="shared" ref="AT11" si="5">IF(AU11=0,"",AW11-(($AT$3*K11)+($AT$3*K11)*AU11)+AB10)</f>
        <v/>
      </c>
      <c r="AU11" s="393"/>
      <c r="AW11" s="356">
        <v>35</v>
      </c>
      <c r="AY11" s="356">
        <f>+AW11-AG11</f>
        <v>22</v>
      </c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78" t="str">
        <f>+G10</f>
        <v>7696-837-802</v>
      </c>
      <c r="H12" s="376" t="s">
        <v>465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1</v>
      </c>
      <c r="N12" s="215"/>
      <c r="O12" s="215"/>
      <c r="P12" s="215"/>
      <c r="Q12" s="215"/>
      <c r="R12" s="215"/>
      <c r="S12" s="215"/>
      <c r="T12" s="215"/>
      <c r="U12" s="215"/>
      <c r="V12" s="215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0</v>
      </c>
      <c r="Y12" s="440"/>
      <c r="Z12" s="400"/>
      <c r="AA12" s="541"/>
      <c r="AB12" s="443">
        <f t="shared" si="4"/>
        <v>1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1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79" t="str">
        <f>+G10</f>
        <v>7696-837-802</v>
      </c>
      <c r="H13" s="454">
        <f>+AC10-H11</f>
        <v>0</v>
      </c>
      <c r="I13" s="397"/>
      <c r="J13" s="165">
        <f>+IF(K13="","",IF(K11=0,"",(K11*J11)/(K13*60)))</f>
        <v>0.88597560975609757</v>
      </c>
      <c r="K13" s="429">
        <v>41</v>
      </c>
      <c r="L13" s="104" t="s">
        <v>19</v>
      </c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8"/>
      <c r="X13" s="173"/>
      <c r="Y13" s="441"/>
      <c r="Z13" s="401">
        <v>31.206233766233765</v>
      </c>
      <c r="AA13" s="448">
        <v>31.206233766233765</v>
      </c>
      <c r="AB13" s="444">
        <f t="shared" si="4"/>
        <v>0</v>
      </c>
      <c r="AC13" s="139"/>
      <c r="AD13" s="139"/>
      <c r="AE13" s="441"/>
      <c r="AF13" s="441"/>
      <c r="AG13" s="119">
        <f>+IFERROR(AG11/(K11*$AT$3),"")</f>
        <v>1.9809523809523808E-2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0</v>
      </c>
      <c r="AP13" s="167">
        <f>+AO13-AB13</f>
        <v>0</v>
      </c>
      <c r="AQ13" s="167"/>
      <c r="AR13" s="167"/>
      <c r="AS13" s="167"/>
      <c r="AT13" s="435"/>
      <c r="AU13" s="393"/>
      <c r="AW13" s="356">
        <v>5.3333333333333337E-2</v>
      </c>
      <c r="AY13" s="356"/>
    </row>
    <row r="14" spans="2:64" s="98" customFormat="1" ht="62.25" customHeight="1" thickTop="1" x14ac:dyDescent="0.9">
      <c r="B14" s="97">
        <f>+B15</f>
        <v>2</v>
      </c>
      <c r="C14" s="370"/>
      <c r="D14" s="106"/>
      <c r="E14" s="106"/>
      <c r="F14" s="106"/>
      <c r="G14" s="577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>
        <v>50</v>
      </c>
      <c r="N14" s="423">
        <v>50</v>
      </c>
      <c r="O14" s="423">
        <v>100</v>
      </c>
      <c r="P14" s="423">
        <v>50</v>
      </c>
      <c r="Q14" s="423">
        <v>50</v>
      </c>
      <c r="R14" s="423"/>
      <c r="S14" s="423"/>
      <c r="T14" s="423"/>
      <c r="U14" s="423"/>
      <c r="V14" s="423"/>
      <c r="W14" s="423"/>
      <c r="X14" s="135">
        <f t="shared" si="0"/>
        <v>300</v>
      </c>
      <c r="Y14" s="438"/>
      <c r="Z14" s="400">
        <v>-455</v>
      </c>
      <c r="AA14" s="540">
        <f>+X16</f>
        <v>-455</v>
      </c>
      <c r="AB14" s="135">
        <f t="shared" si="1"/>
        <v>300</v>
      </c>
      <c r="AC14" s="136">
        <f>+AD14+AB14</f>
        <v>1275</v>
      </c>
      <c r="AD14" s="136">
        <v>975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2</v>
      </c>
      <c r="C15" s="371">
        <f>+B15</f>
        <v>2</v>
      </c>
      <c r="D15" s="372" t="s">
        <v>439</v>
      </c>
      <c r="E15" s="111"/>
      <c r="F15" s="111" t="s">
        <v>35</v>
      </c>
      <c r="G15" s="578" t="str">
        <f>+G14</f>
        <v>7740-876-052</v>
      </c>
      <c r="H15" s="450">
        <v>7000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  <c r="U15" s="214">
        <v>0</v>
      </c>
      <c r="V15" s="214"/>
      <c r="W15" s="424"/>
      <c r="X15" s="123">
        <f>+IF(H16="s",0,IF(AB15=0,0,IF(COUNTA(M15:W15)=AN17+0.25,SUMIF($C:$C,B15,$AB:$AB)/AN17,SUMIF($C:$C,B15,$AB:$AB)/(COUNTA(M15:W15)))))</f>
        <v>0</v>
      </c>
      <c r="Y15" s="439"/>
      <c r="Z15" s="400"/>
      <c r="AA15" s="541"/>
      <c r="AB15" s="134">
        <f t="shared" si="1"/>
        <v>0</v>
      </c>
      <c r="AC15" s="137">
        <f>+AB15+AD15</f>
        <v>0</v>
      </c>
      <c r="AD15" s="137">
        <v>0</v>
      </c>
      <c r="AE15" s="439">
        <v>0</v>
      </c>
      <c r="AF15" s="439">
        <f>+AE15+Y15</f>
        <v>0</v>
      </c>
      <c r="AG15" s="140">
        <f>+AC14-AC15</f>
        <v>1275</v>
      </c>
      <c r="AH15" s="131">
        <f>+IF(((AB16+(AB17/2))*60)=0,"",(J15*AB15)/((AB16+(AB17/2))*60))</f>
        <v>0</v>
      </c>
      <c r="AI15" s="161">
        <f>+AB16+AB17/2</f>
        <v>445.25</v>
      </c>
      <c r="AJ15" s="161">
        <f t="shared" si="2"/>
        <v>445.15</v>
      </c>
      <c r="AK15" s="167">
        <f t="shared" si="3"/>
        <v>26715</v>
      </c>
      <c r="AL15" s="167">
        <f>+AB15*J15</f>
        <v>0</v>
      </c>
      <c r="AM15" s="230" t="e">
        <f>+AB15-(AI15*K15/K17)</f>
        <v>#DIV/0!</v>
      </c>
      <c r="AN15" s="339"/>
      <c r="AO15" s="340"/>
      <c r="AP15" s="167"/>
      <c r="AQ15" s="167"/>
      <c r="AR15" s="167"/>
      <c r="AS15" s="167"/>
      <c r="AT15" s="433">
        <f t="shared" ref="AT15" si="6">IF(AU15=0,"",AW15-(($AT$3*K15)+($AT$3*K15)*AU15)+AB14)</f>
        <v>55.599999999999909</v>
      </c>
      <c r="AU15" s="393">
        <v>1.68</v>
      </c>
      <c r="AW15" s="356">
        <v>975</v>
      </c>
      <c r="AY15" s="356">
        <f>+AW15-AG15</f>
        <v>-300</v>
      </c>
      <c r="AZ15" s="581"/>
      <c r="BA15" s="581"/>
      <c r="BB15" s="581"/>
      <c r="BC15" s="581"/>
      <c r="BD15" s="581"/>
      <c r="BE15" s="581"/>
      <c r="BF15" s="581"/>
      <c r="BG15" s="581"/>
      <c r="BH15" s="581"/>
      <c r="BI15" s="581"/>
    </row>
    <row r="16" spans="2:64" s="98" customFormat="1" ht="62.25" customHeight="1" x14ac:dyDescent="0.9">
      <c r="B16" s="125">
        <f>+B15</f>
        <v>2</v>
      </c>
      <c r="C16" s="373"/>
      <c r="D16" s="184"/>
      <c r="E16" s="111"/>
      <c r="F16" s="374"/>
      <c r="G16" s="578" t="str">
        <f>+G14</f>
        <v>7740-876-052</v>
      </c>
      <c r="H16" s="376" t="s">
        <v>400</v>
      </c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215">
        <v>50</v>
      </c>
      <c r="N16" s="215">
        <v>51</v>
      </c>
      <c r="O16" s="215">
        <v>51</v>
      </c>
      <c r="P16" s="215">
        <v>51</v>
      </c>
      <c r="Q16" s="215">
        <v>51</v>
      </c>
      <c r="R16" s="215">
        <v>51</v>
      </c>
      <c r="S16" s="215">
        <v>51</v>
      </c>
      <c r="T16" s="215">
        <v>51</v>
      </c>
      <c r="U16" s="215">
        <v>51</v>
      </c>
      <c r="V16" s="215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-455</v>
      </c>
      <c r="Y16" s="440"/>
      <c r="Z16" s="400"/>
      <c r="AA16" s="541"/>
      <c r="AB16" s="443">
        <f t="shared" si="4"/>
        <v>445.25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445.25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61" s="98" customFormat="1" ht="62.25" customHeight="1" thickBot="1" x14ac:dyDescent="0.95">
      <c r="B17" s="126">
        <f>+B15</f>
        <v>2</v>
      </c>
      <c r="C17" s="375"/>
      <c r="D17" s="174" t="s">
        <v>404</v>
      </c>
      <c r="E17" s="175"/>
      <c r="F17" s="175"/>
      <c r="G17" s="579" t="str">
        <f>+G14</f>
        <v>7740-876-052</v>
      </c>
      <c r="H17" s="454">
        <f>+AC14-H15</f>
        <v>-5725</v>
      </c>
      <c r="I17" s="397"/>
      <c r="J17" s="165" t="str">
        <f>+IF(K17="","",IF(K15=0,"",(K15*J15)/(K17*60)))</f>
        <v/>
      </c>
      <c r="K17" s="429"/>
      <c r="L17" s="104" t="s">
        <v>19</v>
      </c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8"/>
      <c r="X17" s="173"/>
      <c r="Y17" s="441"/>
      <c r="Z17" s="401">
        <v>11.02</v>
      </c>
      <c r="AA17" s="168">
        <f>+IF(COUNTA(M15:W15)=$AM$4+0.25,$AM$4-(AB15/K15),COUNTA(M15:W15)-(AB15/K15))+Z17</f>
        <v>19.77</v>
      </c>
      <c r="AB17" s="444">
        <f t="shared" si="4"/>
        <v>0</v>
      </c>
      <c r="AC17" s="139"/>
      <c r="AD17" s="139"/>
      <c r="AE17" s="441"/>
      <c r="AF17" s="441"/>
      <c r="AG17" s="119">
        <f>+IFERROR(AG15/(K15*$AT$3),"")</f>
        <v>2.802197802197802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0</v>
      </c>
      <c r="AP17" s="167">
        <f>+AO17-AB17</f>
        <v>0</v>
      </c>
      <c r="AQ17" s="167"/>
      <c r="AR17" s="167"/>
      <c r="AS17" s="167"/>
      <c r="AT17" s="435"/>
      <c r="AU17" s="393"/>
      <c r="AW17" s="356">
        <v>2.1428571428571428</v>
      </c>
      <c r="AY17" s="356"/>
    </row>
    <row r="18" spans="2:61" s="98" customFormat="1" ht="62.25" customHeight="1" thickTop="1" x14ac:dyDescent="0.9">
      <c r="B18" s="97">
        <f>+B19</f>
        <v>3</v>
      </c>
      <c r="C18" s="370"/>
      <c r="D18" s="106"/>
      <c r="E18" s="106"/>
      <c r="F18" s="106"/>
      <c r="G18" s="577" t="s">
        <v>440</v>
      </c>
      <c r="H18" s="106"/>
      <c r="I18" s="106"/>
      <c r="J18" s="107" t="s">
        <v>20</v>
      </c>
      <c r="K18" s="108" t="s">
        <v>23</v>
      </c>
      <c r="L18" s="100" t="s">
        <v>21</v>
      </c>
      <c r="M18" s="423">
        <v>75</v>
      </c>
      <c r="N18" s="423"/>
      <c r="O18" s="423">
        <v>75</v>
      </c>
      <c r="P18" s="423">
        <v>75</v>
      </c>
      <c r="Q18" s="423">
        <v>75</v>
      </c>
      <c r="R18" s="423"/>
      <c r="S18" s="423">
        <v>75</v>
      </c>
      <c r="T18" s="423"/>
      <c r="U18" s="423"/>
      <c r="V18" s="423"/>
      <c r="W18" s="423"/>
      <c r="X18" s="135">
        <f t="shared" si="0"/>
        <v>375</v>
      </c>
      <c r="Y18" s="438"/>
      <c r="Z18" s="400">
        <v>-27</v>
      </c>
      <c r="AA18" s="540">
        <f>+X20</f>
        <v>0</v>
      </c>
      <c r="AB18" s="135">
        <f t="shared" si="1"/>
        <v>375</v>
      </c>
      <c r="AC18" s="136">
        <f>+AD18+AB18</f>
        <v>5805</v>
      </c>
      <c r="AD18" s="136">
        <v>5430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61" s="98" customFormat="1" ht="62.25" customHeight="1" x14ac:dyDescent="1.35">
      <c r="B19" s="132">
        <v>3</v>
      </c>
      <c r="C19" s="371">
        <v>3</v>
      </c>
      <c r="D19" s="372" t="s">
        <v>439</v>
      </c>
      <c r="E19" s="111"/>
      <c r="F19" s="111" t="s">
        <v>35</v>
      </c>
      <c r="G19" s="578" t="str">
        <f>+G18</f>
        <v>7740-876-052</v>
      </c>
      <c r="H19" s="450">
        <v>12000</v>
      </c>
      <c r="I19" s="111" t="s">
        <v>33</v>
      </c>
      <c r="J19" s="113">
        <v>55.78</v>
      </c>
      <c r="K19" s="130">
        <v>52</v>
      </c>
      <c r="L19" s="101" t="s">
        <v>17</v>
      </c>
      <c r="M19" s="214">
        <v>52</v>
      </c>
      <c r="N19" s="214">
        <v>52</v>
      </c>
      <c r="O19" s="214">
        <v>52</v>
      </c>
      <c r="P19" s="214">
        <v>52</v>
      </c>
      <c r="Q19" s="214">
        <v>52</v>
      </c>
      <c r="R19" s="214">
        <v>52</v>
      </c>
      <c r="S19" s="214">
        <v>52</v>
      </c>
      <c r="T19" s="214">
        <v>36</v>
      </c>
      <c r="U19" s="214">
        <v>55</v>
      </c>
      <c r="V19" s="214"/>
      <c r="W19" s="424"/>
      <c r="X19" s="123">
        <f>+IF(H20="s",0,IF(AB19=0,0,IF(COUNTA(M19:W19)=AN21+0.25,SUMIF($C:$C,B19,$AB:$AB)/AN21,SUMIF($C:$C,B19,$AB:$AB)/(COUNTA(M19:W19)))))</f>
        <v>52</v>
      </c>
      <c r="Y19" s="439"/>
      <c r="Z19" s="400"/>
      <c r="AA19" s="541"/>
      <c r="AB19" s="134">
        <f t="shared" si="1"/>
        <v>455</v>
      </c>
      <c r="AC19" s="137">
        <f>+AB19+AD19</f>
        <v>4774</v>
      </c>
      <c r="AD19" s="137">
        <v>4319</v>
      </c>
      <c r="AE19" s="439"/>
      <c r="AF19" s="439">
        <f>+AE19+Y19</f>
        <v>0</v>
      </c>
      <c r="AG19" s="140">
        <f>+AC18-AC19</f>
        <v>1031</v>
      </c>
      <c r="AH19" s="131">
        <f>+IF(((AB20+(AB21/2))*60)=0,"",(J19*AB19)/((AB20+(AB21/2))*60))</f>
        <v>0.91212578616352202</v>
      </c>
      <c r="AI19" s="161">
        <f>+AB20+AB21/2</f>
        <v>463.75</v>
      </c>
      <c r="AJ19" s="161">
        <f t="shared" si="2"/>
        <v>463.45</v>
      </c>
      <c r="AK19" s="167">
        <f t="shared" si="3"/>
        <v>27825</v>
      </c>
      <c r="AL19" s="167">
        <f>+AB19*J19</f>
        <v>25379.9</v>
      </c>
      <c r="AM19" s="230">
        <f>+AB19-(AI19*K19/K21)</f>
        <v>24.375</v>
      </c>
      <c r="AN19" s="339"/>
      <c r="AO19" s="340"/>
      <c r="AP19" s="167"/>
      <c r="AQ19" s="167"/>
      <c r="AR19" s="167"/>
      <c r="AS19" s="167"/>
      <c r="AT19" s="433">
        <f t="shared" ref="AT19" si="7">IF(AU19=0,"",AW19-(($AT$3*K19)+($AT$3*K19)*AU19)+AB18)</f>
        <v>7.25</v>
      </c>
      <c r="AU19" s="393">
        <v>2.25</v>
      </c>
      <c r="AW19" s="356">
        <v>1111</v>
      </c>
      <c r="AY19" s="356">
        <f t="shared" ref="AY19" si="8">+AW19-AG19</f>
        <v>80</v>
      </c>
      <c r="AZ19" s="581"/>
      <c r="BA19" s="581"/>
      <c r="BB19" s="581"/>
      <c r="BC19" s="581"/>
      <c r="BD19" s="581"/>
      <c r="BE19" s="581"/>
      <c r="BF19" s="581"/>
      <c r="BG19" s="581"/>
      <c r="BH19" s="581"/>
      <c r="BI19" s="581"/>
    </row>
    <row r="20" spans="2:61" s="98" customFormat="1" ht="62.25" customHeight="1" x14ac:dyDescent="0.9">
      <c r="B20" s="125">
        <f>+B19</f>
        <v>3</v>
      </c>
      <c r="C20" s="373"/>
      <c r="D20" s="184"/>
      <c r="E20" s="111">
        <f>+B19</f>
        <v>3</v>
      </c>
      <c r="F20" s="374"/>
      <c r="G20" s="578" t="str">
        <f>+G18</f>
        <v>7740-876-052</v>
      </c>
      <c r="H20" s="376"/>
      <c r="I20" s="113">
        <f>+IFERROR(IF(K21=0,0,IF((LOOKUP(2,1/(M20:W20&lt;&gt;""),M20:W20)-K21)&lt;0,0,IF(K21=0,"",LOOKUP(2,1/(M20:W20&lt;&gt;""),M20:W20)-K21))),0)</f>
        <v>0</v>
      </c>
      <c r="J20" s="113">
        <v>2</v>
      </c>
      <c r="K20" s="114" t="s">
        <v>22</v>
      </c>
      <c r="L20" s="102" t="s">
        <v>18</v>
      </c>
      <c r="M20" s="215">
        <v>52</v>
      </c>
      <c r="N20" s="215">
        <v>52</v>
      </c>
      <c r="O20" s="215">
        <v>52</v>
      </c>
      <c r="P20" s="215">
        <v>52</v>
      </c>
      <c r="Q20" s="215">
        <v>52</v>
      </c>
      <c r="R20" s="215">
        <v>52</v>
      </c>
      <c r="S20" s="215">
        <v>52</v>
      </c>
      <c r="T20" s="215">
        <v>52</v>
      </c>
      <c r="U20" s="215">
        <v>52</v>
      </c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0</v>
      </c>
      <c r="Y20" s="440"/>
      <c r="Z20" s="400"/>
      <c r="AA20" s="541"/>
      <c r="AB20" s="443">
        <f t="shared" si="4"/>
        <v>455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455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61" s="98" customFormat="1" ht="62.25" customHeight="1" thickBot="1" x14ac:dyDescent="0.95">
      <c r="B21" s="126">
        <f>+B19</f>
        <v>3</v>
      </c>
      <c r="C21" s="375"/>
      <c r="D21" s="174" t="s">
        <v>423</v>
      </c>
      <c r="E21" s="175">
        <f>+E20+100</f>
        <v>103</v>
      </c>
      <c r="F21" s="175"/>
      <c r="G21" s="579" t="str">
        <f>+G18</f>
        <v>7740-876-052</v>
      </c>
      <c r="H21" s="454">
        <f>+AC18-H19</f>
        <v>-6195</v>
      </c>
      <c r="I21" s="397"/>
      <c r="J21" s="165">
        <f>+IF(K21="","",IF(K19=0,"",(K19*J19)/(K21*60)))</f>
        <v>0.86326190476190479</v>
      </c>
      <c r="K21" s="118">
        <v>56</v>
      </c>
      <c r="L21" s="104" t="s">
        <v>19</v>
      </c>
      <c r="M21" s="427">
        <v>2</v>
      </c>
      <c r="N21" s="427">
        <v>2</v>
      </c>
      <c r="O21" s="427">
        <v>2</v>
      </c>
      <c r="P21" s="427">
        <v>2</v>
      </c>
      <c r="Q21" s="427">
        <v>2</v>
      </c>
      <c r="R21" s="427">
        <v>2</v>
      </c>
      <c r="S21" s="427">
        <v>2</v>
      </c>
      <c r="T21" s="427">
        <v>2</v>
      </c>
      <c r="U21" s="427">
        <v>2</v>
      </c>
      <c r="V21" s="428"/>
      <c r="W21" s="428"/>
      <c r="X21" s="173"/>
      <c r="Y21" s="441"/>
      <c r="Z21" s="401">
        <v>37.057412587412585</v>
      </c>
      <c r="AA21" s="401">
        <v>37.057412587412585</v>
      </c>
      <c r="AB21" s="444">
        <f t="shared" si="4"/>
        <v>17.5</v>
      </c>
      <c r="AC21" s="139"/>
      <c r="AD21" s="139"/>
      <c r="AE21" s="441"/>
      <c r="AF21" s="441"/>
      <c r="AG21" s="119">
        <f>+IFERROR(AG19/(K19*$AT$3),"")</f>
        <v>2.2659340659340659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+IF(AN21=7.75,SUM(M21:S21)+T21*0.75,IF(AN21=8,SUM(M21:T21),IF(AN21=7.25,SUM(M21:S21)+T21*0.25,IF(AN21=8.25,SUM(M21:T21)+U21*0.25,IF(AN21=8.75,SUM(M21:T21)+U21*0.75,0)))))</f>
        <v>17.5</v>
      </c>
      <c r="AP21" s="167">
        <f>+AO21-AB21</f>
        <v>0</v>
      </c>
      <c r="AQ21" s="167"/>
      <c r="AR21" s="167"/>
      <c r="AS21" s="167"/>
      <c r="AT21" s="435"/>
      <c r="AU21" s="393"/>
      <c r="AW21" s="356">
        <v>2.441758241758242</v>
      </c>
      <c r="AY21" s="356"/>
    </row>
    <row r="22" spans="2:6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82" t="s">
        <v>431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120</v>
      </c>
      <c r="N22" s="423">
        <v>120</v>
      </c>
      <c r="O22" s="423">
        <v>104</v>
      </c>
      <c r="P22" s="423"/>
      <c r="Q22" s="423"/>
      <c r="R22" s="423"/>
      <c r="S22" s="423"/>
      <c r="T22" s="423"/>
      <c r="U22" s="423"/>
      <c r="V22" s="423"/>
      <c r="W22" s="423"/>
      <c r="X22" s="135">
        <f t="shared" si="0"/>
        <v>344</v>
      </c>
      <c r="Y22" s="438"/>
      <c r="Z22" s="400">
        <v>0.75</v>
      </c>
      <c r="AA22" s="540">
        <f>+X24</f>
        <v>0.75</v>
      </c>
      <c r="AB22" s="135">
        <f t="shared" si="1"/>
        <v>344</v>
      </c>
      <c r="AC22" s="136">
        <f>+AD22+AB22</f>
        <v>9585</v>
      </c>
      <c r="AD22" s="136">
        <v>9241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61" s="98" customFormat="1" ht="62.25" customHeight="1" x14ac:dyDescent="0.9">
      <c r="B23" s="132">
        <v>4</v>
      </c>
      <c r="C23" s="371">
        <f>+B23</f>
        <v>4</v>
      </c>
      <c r="D23" s="372" t="s">
        <v>430</v>
      </c>
      <c r="E23" s="111"/>
      <c r="F23" s="111" t="s">
        <v>35</v>
      </c>
      <c r="G23" s="582" t="str">
        <f>+G22</f>
        <v xml:space="preserve">2878-556-700 </v>
      </c>
      <c r="H23" s="450">
        <v>9585</v>
      </c>
      <c r="I23" s="111" t="s">
        <v>251</v>
      </c>
      <c r="J23" s="113">
        <v>36.65</v>
      </c>
      <c r="K23" s="130">
        <v>75</v>
      </c>
      <c r="L23" s="101" t="s">
        <v>17</v>
      </c>
      <c r="M23" s="214">
        <v>75</v>
      </c>
      <c r="N23" s="214">
        <v>75</v>
      </c>
      <c r="O23" s="214">
        <v>75</v>
      </c>
      <c r="P23" s="214">
        <v>75</v>
      </c>
      <c r="Q23" s="214">
        <v>75</v>
      </c>
      <c r="R23" s="214">
        <v>75</v>
      </c>
      <c r="S23" s="214">
        <v>75</v>
      </c>
      <c r="T23" s="214">
        <v>75</v>
      </c>
      <c r="U23" s="214">
        <v>57</v>
      </c>
      <c r="V23" s="214"/>
      <c r="W23" s="424"/>
      <c r="X23" s="123">
        <f>+IF(H24="s",0,IF(AB23=0,0,IF(COUNTA(M23:W23)=AN25+0.25,SUMIF($C:$C,B23,$AB:$AB)/AN25,SUMIF($C:$C,B23,$AB:$AB)/(COUNTA(M23:W23)))))</f>
        <v>75.085714285714289</v>
      </c>
      <c r="Y23" s="439"/>
      <c r="Z23" s="400"/>
      <c r="AA23" s="541"/>
      <c r="AB23" s="134">
        <f t="shared" si="1"/>
        <v>657</v>
      </c>
      <c r="AC23" s="137">
        <f>+AB23+AD23</f>
        <v>8955</v>
      </c>
      <c r="AD23" s="137">
        <v>8298</v>
      </c>
      <c r="AE23" s="439">
        <v>0</v>
      </c>
      <c r="AF23" s="439">
        <f>+AE23+Y23</f>
        <v>0</v>
      </c>
      <c r="AG23" s="140">
        <f>+AC22-AC23</f>
        <v>630</v>
      </c>
      <c r="AH23" s="131">
        <f>+IF(((AB24+(AB25/2))*60)=0,"",(J23*AB23)/((AB24+(AB25/2))*60))</f>
        <v>0.92656277056277059</v>
      </c>
      <c r="AI23" s="161">
        <f>+AB24+AB25/2</f>
        <v>433.125</v>
      </c>
      <c r="AJ23" s="161">
        <f t="shared" si="2"/>
        <v>433.07499999999999</v>
      </c>
      <c r="AK23" s="167">
        <f t="shared" si="3"/>
        <v>25987.5</v>
      </c>
      <c r="AL23" s="167">
        <f>+AB23*J23</f>
        <v>24079.05</v>
      </c>
      <c r="AM23" s="230">
        <f>+AB23-(AI23*K23/K25)</f>
        <v>7.3125</v>
      </c>
      <c r="AN23" s="339"/>
      <c r="AO23" s="340"/>
      <c r="AP23" s="167"/>
      <c r="AQ23" s="167"/>
      <c r="AR23" s="167"/>
      <c r="AS23" s="167"/>
      <c r="AT23" s="433">
        <f>-344+AB22</f>
        <v>0</v>
      </c>
      <c r="AU23" s="393">
        <v>1.5</v>
      </c>
      <c r="AW23" s="356">
        <v>943</v>
      </c>
      <c r="AY23" s="356">
        <f t="shared" ref="AY23" si="9">+AW23-AG23</f>
        <v>313</v>
      </c>
    </row>
    <row r="24" spans="2:6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82" t="str">
        <f>+G23</f>
        <v xml:space="preserve">2878-556-700 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49</v>
      </c>
      <c r="N24" s="425">
        <v>49</v>
      </c>
      <c r="O24" s="425">
        <v>49</v>
      </c>
      <c r="P24" s="425">
        <v>49</v>
      </c>
      <c r="Q24" s="425">
        <v>49</v>
      </c>
      <c r="R24" s="425">
        <v>49</v>
      </c>
      <c r="S24" s="425">
        <v>49</v>
      </c>
      <c r="T24" s="425">
        <v>49</v>
      </c>
      <c r="U24" s="425">
        <v>49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0.75</v>
      </c>
      <c r="Y24" s="440"/>
      <c r="Z24" s="400"/>
      <c r="AA24" s="541"/>
      <c r="AB24" s="443">
        <f t="shared" si="4"/>
        <v>428.75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428.75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6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82" t="str">
        <f>+G24</f>
        <v xml:space="preserve">2878-556-700 </v>
      </c>
      <c r="H25" s="454">
        <f>+AC22-H23</f>
        <v>0</v>
      </c>
      <c r="I25" s="397"/>
      <c r="J25" s="165">
        <f>+IF(K25="","",IF(K23=0,"",(K23*J23)/(K25*60)))</f>
        <v>0.91625000000000001</v>
      </c>
      <c r="K25" s="118">
        <v>50</v>
      </c>
      <c r="L25" s="104" t="s">
        <v>19</v>
      </c>
      <c r="M25" s="427">
        <v>1</v>
      </c>
      <c r="N25" s="427">
        <v>1</v>
      </c>
      <c r="O25" s="427">
        <v>1</v>
      </c>
      <c r="P25" s="427">
        <v>1</v>
      </c>
      <c r="Q25" s="427">
        <v>1</v>
      </c>
      <c r="R25" s="427">
        <v>1</v>
      </c>
      <c r="S25" s="427">
        <v>1</v>
      </c>
      <c r="T25" s="427">
        <v>1</v>
      </c>
      <c r="U25" s="427">
        <v>1</v>
      </c>
      <c r="V25" s="428"/>
      <c r="W25" s="428"/>
      <c r="X25" s="173"/>
      <c r="Y25" s="441"/>
      <c r="Z25" s="401">
        <v>29.116666666666667</v>
      </c>
      <c r="AA25" s="169">
        <v>29.116666666666667</v>
      </c>
      <c r="AB25" s="444">
        <f t="shared" si="4"/>
        <v>8.75</v>
      </c>
      <c r="AC25" s="139"/>
      <c r="AD25" s="139"/>
      <c r="AE25" s="441"/>
      <c r="AF25" s="441"/>
      <c r="AG25" s="119">
        <f>+IFERROR(AG23/(K23*$AT$3),"")</f>
        <v>0.96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7.75</v>
      </c>
      <c r="AP25" s="167">
        <f>+AO25-AB25</f>
        <v>-1</v>
      </c>
      <c r="AQ25" s="167"/>
      <c r="AR25" s="167"/>
      <c r="AS25" s="167"/>
      <c r="AT25" s="435"/>
      <c r="AU25" s="393"/>
      <c r="AW25" s="356">
        <v>1.436952380952381</v>
      </c>
      <c r="AY25" s="356"/>
    </row>
    <row r="26" spans="2:61" s="98" customFormat="1" ht="62.25" customHeight="1" thickTop="1" x14ac:dyDescent="0.9">
      <c r="B26" s="97">
        <f>+B27</f>
        <v>4</v>
      </c>
      <c r="C26" s="370"/>
      <c r="D26" s="106"/>
      <c r="E26" s="106"/>
      <c r="F26" s="106"/>
      <c r="G26" s="577" t="s">
        <v>472</v>
      </c>
      <c r="H26" s="106"/>
      <c r="I26" s="106"/>
      <c r="J26" s="107" t="s">
        <v>20</v>
      </c>
      <c r="K26" s="108" t="s">
        <v>23</v>
      </c>
      <c r="L26" s="100" t="s">
        <v>21</v>
      </c>
      <c r="M26" s="423"/>
      <c r="N26" s="423"/>
      <c r="O26" s="423"/>
      <c r="P26" s="423"/>
      <c r="Q26" s="423"/>
      <c r="R26" s="423"/>
      <c r="S26" s="423"/>
      <c r="T26" s="423"/>
      <c r="U26" s="423"/>
      <c r="V26" s="423"/>
      <c r="W26" s="423"/>
      <c r="X26" s="135" t="str">
        <f t="shared" ref="X26" si="10">IF(AT27="","",SUM(M26:W26)-(-(AT27-SUM(M26:W26))/$AT$3)*SUM($M$2:$W$2))</f>
        <v/>
      </c>
      <c r="Y26" s="438"/>
      <c r="Z26" s="400">
        <v>0.75</v>
      </c>
      <c r="AA26" s="540">
        <f>+X28</f>
        <v>0</v>
      </c>
      <c r="AB26" s="135">
        <f t="shared" ref="AB26:AB27" si="11">+SUM(L26:W26)</f>
        <v>0</v>
      </c>
      <c r="AC26" s="136">
        <f>+AD26+AB26</f>
        <v>0</v>
      </c>
      <c r="AD26" s="136">
        <v>0</v>
      </c>
      <c r="AE26" s="438"/>
      <c r="AF26" s="438"/>
      <c r="AG26" s="109"/>
      <c r="AH26" s="110"/>
      <c r="AI26" s="157"/>
      <c r="AJ26" s="161">
        <f t="shared" ref="AJ26:AJ29" si="12">TRUNC(AI26)+(AI26-TRUNC(AI26))*60/100</f>
        <v>0</v>
      </c>
      <c r="AK26" s="167">
        <f t="shared" ref="AK26:AK29" si="13">+AI26*60</f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61" s="98" customFormat="1" ht="62.25" customHeight="1" x14ac:dyDescent="0.9">
      <c r="B27" s="132">
        <v>4</v>
      </c>
      <c r="C27" s="371">
        <f>+B27</f>
        <v>4</v>
      </c>
      <c r="D27" s="372" t="s">
        <v>473</v>
      </c>
      <c r="E27" s="111"/>
      <c r="F27" s="111" t="s">
        <v>35</v>
      </c>
      <c r="G27" s="578" t="s">
        <v>472</v>
      </c>
      <c r="H27" s="450">
        <v>8333</v>
      </c>
      <c r="I27" s="111" t="s">
        <v>251</v>
      </c>
      <c r="J27" s="113"/>
      <c r="K27" s="130"/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424"/>
      <c r="X27" s="123">
        <f>+IF(H28="s",0,IF(AB27=0,0,IF(COUNTA(M27:W27)=AN29+0.25,SUMIF($C:$C,B27,$AB:$AB)/AN29,SUMIF($C:$C,B27,$AB:$AB)/(COUNTA(M27:W27)))))</f>
        <v>0</v>
      </c>
      <c r="Y27" s="439"/>
      <c r="Z27" s="400"/>
      <c r="AA27" s="541"/>
      <c r="AB27" s="134">
        <f t="shared" si="11"/>
        <v>0</v>
      </c>
      <c r="AC27" s="137">
        <f>+AB27+AD27</f>
        <v>0</v>
      </c>
      <c r="AD27" s="137">
        <v>0</v>
      </c>
      <c r="AE27" s="439">
        <v>0</v>
      </c>
      <c r="AF27" s="439">
        <f>+AE27+Y27</f>
        <v>0</v>
      </c>
      <c r="AG27" s="140">
        <f>+AC26-AC27</f>
        <v>0</v>
      </c>
      <c r="AH27" s="131" t="str">
        <f>+IF(((AB28+(AB29/2))*60)=0,"",(J27*AB27)/((AB28+(AB29/2))*60))</f>
        <v/>
      </c>
      <c r="AI27" s="161">
        <f>+AB28+AB29/2</f>
        <v>0</v>
      </c>
      <c r="AJ27" s="161">
        <f t="shared" si="12"/>
        <v>0</v>
      </c>
      <c r="AK27" s="167">
        <f t="shared" si="13"/>
        <v>0</v>
      </c>
      <c r="AL27" s="167">
        <f>+AB27*J27</f>
        <v>0</v>
      </c>
      <c r="AM27" s="230" t="e">
        <f>+AB27-(AI27*K27/K29)</f>
        <v>#DIV/0!</v>
      </c>
      <c r="AN27" s="339"/>
      <c r="AO27" s="340"/>
      <c r="AP27" s="167"/>
      <c r="AQ27" s="167"/>
      <c r="AR27" s="167"/>
      <c r="AS27" s="167"/>
      <c r="AT27" s="433"/>
      <c r="AU27" s="393">
        <v>1.5</v>
      </c>
      <c r="AW27" s="356">
        <v>943</v>
      </c>
      <c r="AY27" s="356">
        <f t="shared" ref="AY27" si="14">+AW27-AG27</f>
        <v>943</v>
      </c>
    </row>
    <row r="28" spans="2:61" s="98" customFormat="1" ht="62.25" customHeight="1" x14ac:dyDescent="0.9">
      <c r="B28" s="125">
        <f>+B27</f>
        <v>4</v>
      </c>
      <c r="C28" s="373"/>
      <c r="D28" s="184"/>
      <c r="E28" s="111">
        <f>+B27</f>
        <v>4</v>
      </c>
      <c r="F28" s="374"/>
      <c r="G28" s="578" t="s">
        <v>472</v>
      </c>
      <c r="H28" s="376" t="s">
        <v>400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/>
      <c r="N28" s="425"/>
      <c r="O28" s="425"/>
      <c r="P28" s="425"/>
      <c r="Q28" s="425"/>
      <c r="R28" s="425"/>
      <c r="S28" s="425"/>
      <c r="T28" s="425"/>
      <c r="U28" s="425"/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0</v>
      </c>
      <c r="Y28" s="440"/>
      <c r="Z28" s="400"/>
      <c r="AA28" s="541"/>
      <c r="AB28" s="443">
        <f t="shared" ref="AB28:AB29" si="15">+SUM(M28:W28)-U28*0.25</f>
        <v>0</v>
      </c>
      <c r="AC28" s="341"/>
      <c r="AD28" s="341"/>
      <c r="AE28" s="440"/>
      <c r="AF28" s="440"/>
      <c r="AG28" s="115"/>
      <c r="AH28" s="116"/>
      <c r="AI28" s="157"/>
      <c r="AJ28" s="161">
        <f t="shared" si="12"/>
        <v>0</v>
      </c>
      <c r="AK28" s="167">
        <f t="shared" si="13"/>
        <v>0</v>
      </c>
      <c r="AL28" s="167"/>
      <c r="AM28" s="167"/>
      <c r="AN28" s="339"/>
      <c r="AO28" s="340">
        <f>+IF(AN29=7.75,SUM(M28:S28)+T28*0.75,IF(AN29=8,SUM(M28:T28),IF(AN29=7.25,SUM(M28:S28)+T28*0.25,IF(AN29=8.25,SUM(M28:T28)+U28*0.25,IF(AN29=8.75,SUM(M28:T28)+U28*0.75,0)))))</f>
        <v>0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61" s="98" customFormat="1" ht="62.25" customHeight="1" thickBot="1" x14ac:dyDescent="0.95">
      <c r="B29" s="126">
        <f>+B27</f>
        <v>4</v>
      </c>
      <c r="C29" s="375"/>
      <c r="D29" s="174" t="s">
        <v>445</v>
      </c>
      <c r="E29" s="175">
        <f>+E28+100</f>
        <v>104</v>
      </c>
      <c r="F29" s="175"/>
      <c r="G29" s="579" t="s">
        <v>472</v>
      </c>
      <c r="H29" s="454">
        <f>+AC26-H27</f>
        <v>-8333</v>
      </c>
      <c r="I29" s="397"/>
      <c r="J29" s="165" t="str">
        <f>+IF(K29="","",IF(K27=0,"",(K27*J27)/(K29*60)))</f>
        <v/>
      </c>
      <c r="K29" s="118"/>
      <c r="L29" s="104" t="s">
        <v>19</v>
      </c>
      <c r="M29" s="427"/>
      <c r="N29" s="427"/>
      <c r="O29" s="427"/>
      <c r="P29" s="427"/>
      <c r="Q29" s="427"/>
      <c r="R29" s="427"/>
      <c r="S29" s="427"/>
      <c r="T29" s="427"/>
      <c r="U29" s="427"/>
      <c r="V29" s="428"/>
      <c r="W29" s="428"/>
      <c r="X29" s="173"/>
      <c r="Y29" s="441"/>
      <c r="Z29" s="401">
        <v>29.116666666666667</v>
      </c>
      <c r="AA29" s="169"/>
      <c r="AB29" s="444">
        <f t="shared" si="15"/>
        <v>0</v>
      </c>
      <c r="AC29" s="139"/>
      <c r="AD29" s="139"/>
      <c r="AE29" s="441"/>
      <c r="AF29" s="441"/>
      <c r="AG29" s="119" t="str">
        <f>+IFERROR(AG27/(K27*$AT$3),"")</f>
        <v/>
      </c>
      <c r="AH29" s="162"/>
      <c r="AI29" s="161"/>
      <c r="AJ29" s="161">
        <f t="shared" si="12"/>
        <v>0</v>
      </c>
      <c r="AK29" s="167">
        <f t="shared" si="13"/>
        <v>0</v>
      </c>
      <c r="AL29" s="167"/>
      <c r="AM29" s="230"/>
      <c r="AN29" s="342">
        <f>+$AM$4</f>
        <v>8.75</v>
      </c>
      <c r="AO29" s="340">
        <f>+IF(AN29=7.75,SUM(N29:S29)+T29*0.75,IF(AN29=8,SUM(N29:T29),IF(AN29=7.25,SUM(N29:S29)+T29*0.25,IF(AN29=8.25,SUM(N29:T29)+U29*0.25,IF(AN29=8.75,SUM(N29:T29)+U29*0.75,0)))))</f>
        <v>0</v>
      </c>
      <c r="AP29" s="167">
        <f>+AO29-AB29</f>
        <v>0</v>
      </c>
      <c r="AQ29" s="167"/>
      <c r="AR29" s="167"/>
      <c r="AS29" s="167"/>
      <c r="AT29" s="435"/>
      <c r="AU29" s="393"/>
      <c r="AW29" s="356">
        <v>1.436952380952381</v>
      </c>
      <c r="AY29" s="356"/>
    </row>
    <row r="30" spans="2:61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77" t="s">
        <v>433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150</v>
      </c>
      <c r="N30" s="423">
        <v>150</v>
      </c>
      <c r="O30" s="423">
        <v>150</v>
      </c>
      <c r="P30" s="423"/>
      <c r="Q30" s="423">
        <v>75</v>
      </c>
      <c r="R30" s="423"/>
      <c r="S30" s="423"/>
      <c r="T30" s="423"/>
      <c r="U30" s="423"/>
      <c r="V30" s="423"/>
      <c r="W30" s="423"/>
      <c r="X30" s="135">
        <f t="shared" si="0"/>
        <v>525</v>
      </c>
      <c r="Y30" s="438"/>
      <c r="Z30" s="400">
        <v>59.5</v>
      </c>
      <c r="AA30" s="540">
        <f>+X32</f>
        <v>60.5</v>
      </c>
      <c r="AB30" s="135">
        <f t="shared" si="1"/>
        <v>525</v>
      </c>
      <c r="AC30" s="136">
        <f>+AD30+AB30</f>
        <v>10254</v>
      </c>
      <c r="AD30" s="136">
        <v>9729</v>
      </c>
      <c r="AE30" s="438"/>
      <c r="AF30" s="438"/>
      <c r="AG30" s="109"/>
      <c r="AH30" s="110"/>
      <c r="AI30" s="157"/>
      <c r="AJ30" s="161">
        <f t="shared" si="2"/>
        <v>0</v>
      </c>
      <c r="AK30" s="167">
        <f t="shared" si="3"/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61" s="98" customFormat="1" ht="62.25" customHeight="1" x14ac:dyDescent="0.9">
      <c r="B31" s="132">
        <v>5</v>
      </c>
      <c r="C31" s="371">
        <f>+B31</f>
        <v>5</v>
      </c>
      <c r="D31" s="372" t="s">
        <v>432</v>
      </c>
      <c r="E31" s="111"/>
      <c r="F31" s="111" t="s">
        <v>35</v>
      </c>
      <c r="G31" s="578" t="str">
        <f>+G30</f>
        <v>2843-709-800</v>
      </c>
      <c r="H31" s="450">
        <v>11700</v>
      </c>
      <c r="I31" s="111" t="s">
        <v>251</v>
      </c>
      <c r="J31" s="113">
        <v>50</v>
      </c>
      <c r="K31" s="130">
        <v>58</v>
      </c>
      <c r="L31" s="101" t="s">
        <v>17</v>
      </c>
      <c r="M31" s="214">
        <v>65</v>
      </c>
      <c r="N31" s="214">
        <v>65</v>
      </c>
      <c r="O31" s="214">
        <v>65</v>
      </c>
      <c r="P31" s="214">
        <v>65</v>
      </c>
      <c r="Q31" s="214">
        <v>65</v>
      </c>
      <c r="R31" s="214">
        <v>65</v>
      </c>
      <c r="S31" s="214">
        <v>65</v>
      </c>
      <c r="T31" s="214">
        <v>65</v>
      </c>
      <c r="U31" s="214">
        <v>48</v>
      </c>
      <c r="V31" s="214"/>
      <c r="W31" s="424"/>
      <c r="X31" s="123">
        <f>+IF(H32="s",0,IF(AB31=0,0,IF(COUNTA(M31:W31)=AN33+0.25,SUMIF($C:$C,B31,$AB:$AB)/AN33,SUMIF($C:$C,B31,$AB:$AB)/(COUNTA(M31:W31)))))</f>
        <v>64.914285714285711</v>
      </c>
      <c r="Y31" s="439"/>
      <c r="Z31" s="400"/>
      <c r="AA31" s="541"/>
      <c r="AB31" s="134">
        <f t="shared" si="1"/>
        <v>568</v>
      </c>
      <c r="AC31" s="137">
        <f>+AB31+AD31</f>
        <v>8744</v>
      </c>
      <c r="AD31" s="137">
        <v>8176</v>
      </c>
      <c r="AE31" s="439">
        <v>0</v>
      </c>
      <c r="AF31" s="439">
        <f>+AE31+Y31</f>
        <v>0</v>
      </c>
      <c r="AG31" s="140">
        <f>+AC30-AC31</f>
        <v>1510</v>
      </c>
      <c r="AH31" s="131">
        <f>+IF(((AB32+(AB33/2))*60)=0,"",(J31*AB31)/((AB32+(AB33/2))*60))</f>
        <v>0.99257317605941464</v>
      </c>
      <c r="AI31" s="161">
        <f>+AB32+AB33/2</f>
        <v>476.875</v>
      </c>
      <c r="AJ31" s="161">
        <f t="shared" si="2"/>
        <v>476.52499999999998</v>
      </c>
      <c r="AK31" s="167">
        <f t="shared" si="3"/>
        <v>28612.5</v>
      </c>
      <c r="AL31" s="167">
        <f>+AB31*J31</f>
        <v>28400</v>
      </c>
      <c r="AM31" s="230">
        <f>+AB31-(AI31*K31/K33)</f>
        <v>55.800925925925981</v>
      </c>
      <c r="AN31" s="339"/>
      <c r="AO31" s="340"/>
      <c r="AP31" s="167"/>
      <c r="AQ31" s="167"/>
      <c r="AR31" s="167"/>
      <c r="AS31" s="167"/>
      <c r="AT31" s="433">
        <f>-525+AB30</f>
        <v>0</v>
      </c>
      <c r="AU31" s="393">
        <v>3.1</v>
      </c>
      <c r="AW31" s="356">
        <v>1553</v>
      </c>
      <c r="AY31" s="356">
        <f t="shared" ref="AY31" si="16">+AW31-AG31</f>
        <v>43</v>
      </c>
    </row>
    <row r="32" spans="2:61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78" t="str">
        <f>+G30</f>
        <v>2843-709-800</v>
      </c>
      <c r="H32" s="376" t="s">
        <v>182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>
        <v>54</v>
      </c>
      <c r="N32" s="425">
        <v>54</v>
      </c>
      <c r="O32" s="425">
        <v>54</v>
      </c>
      <c r="P32" s="425">
        <v>54</v>
      </c>
      <c r="Q32" s="425">
        <v>54</v>
      </c>
      <c r="R32" s="425">
        <v>54</v>
      </c>
      <c r="S32" s="425">
        <v>54</v>
      </c>
      <c r="T32" s="425">
        <v>54</v>
      </c>
      <c r="U32" s="425">
        <v>54</v>
      </c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60.5</v>
      </c>
      <c r="Y32" s="440"/>
      <c r="Z32" s="400"/>
      <c r="AA32" s="541"/>
      <c r="AB32" s="443">
        <f t="shared" si="4"/>
        <v>472.5</v>
      </c>
      <c r="AC32" s="341"/>
      <c r="AD32" s="341"/>
      <c r="AE32" s="440"/>
      <c r="AF32" s="440"/>
      <c r="AG32" s="115"/>
      <c r="AH32" s="116"/>
      <c r="AI32" s="157"/>
      <c r="AJ32" s="161">
        <f t="shared" si="2"/>
        <v>0</v>
      </c>
      <c r="AK32" s="167">
        <f t="shared" si="3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472.5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79" t="str">
        <f>+G30</f>
        <v>2843-709-800</v>
      </c>
      <c r="H33" s="454">
        <f>+AC30-H31</f>
        <v>-1446</v>
      </c>
      <c r="I33" s="397" t="s">
        <v>182</v>
      </c>
      <c r="J33" s="165">
        <f>+IF(K33="","",IF(K31=0,"",(K31*J31)/(K33*60)))</f>
        <v>0.89506172839506171</v>
      </c>
      <c r="K33" s="118">
        <v>54</v>
      </c>
      <c r="L33" s="104" t="s">
        <v>19</v>
      </c>
      <c r="M33" s="427">
        <v>1</v>
      </c>
      <c r="N33" s="427">
        <v>1</v>
      </c>
      <c r="O33" s="427">
        <v>1</v>
      </c>
      <c r="P33" s="427">
        <v>1</v>
      </c>
      <c r="Q33" s="427">
        <v>1</v>
      </c>
      <c r="R33" s="427">
        <v>1</v>
      </c>
      <c r="S33" s="427">
        <v>1</v>
      </c>
      <c r="T33" s="427">
        <v>1</v>
      </c>
      <c r="U33" s="427">
        <v>1</v>
      </c>
      <c r="V33" s="428"/>
      <c r="W33" s="428"/>
      <c r="X33" s="173"/>
      <c r="Y33" s="441"/>
      <c r="Z33" s="401">
        <v>36.370689655172413</v>
      </c>
      <c r="AA33" s="401">
        <v>36.370689655172413</v>
      </c>
      <c r="AB33" s="444">
        <f t="shared" si="4"/>
        <v>8.75</v>
      </c>
      <c r="AC33" s="139"/>
      <c r="AD33" s="139"/>
      <c r="AE33" s="441"/>
      <c r="AF33" s="441"/>
      <c r="AG33" s="119">
        <f>+IFERROR(AG31/(K31*$AT$3),"")</f>
        <v>2.9753694581280787</v>
      </c>
      <c r="AH33" s="162"/>
      <c r="AI33" s="161"/>
      <c r="AJ33" s="161">
        <f t="shared" si="2"/>
        <v>0</v>
      </c>
      <c r="AK33" s="167">
        <f t="shared" si="3"/>
        <v>0</v>
      </c>
      <c r="AL33" s="167"/>
      <c r="AM33" s="230"/>
      <c r="AN33" s="342">
        <f>+$AM$4</f>
        <v>8.75</v>
      </c>
      <c r="AO33" s="340">
        <f>+IF(AN33=7.75,SUM(M33:S33)+T33*0.75,IF(AN33=8,SUM(M33:T33),IF(AN33=7.25,SUM(M33:S33)+T33*0.25,IF(AN33=8.25,SUM(M33:T33)+U33*0.25,IF(AN33=8.75,SUM(M33:T33)+U33*0.75,0)))))</f>
        <v>8.75</v>
      </c>
      <c r="AP33" s="167">
        <f>+AO33-AB33</f>
        <v>0</v>
      </c>
      <c r="AQ33" s="167"/>
      <c r="AR33" s="167"/>
      <c r="AS33" s="167"/>
      <c r="AT33" s="435"/>
      <c r="AU33" s="393"/>
      <c r="AW33" s="356">
        <v>3.0600985221674879</v>
      </c>
      <c r="AY33" s="356"/>
    </row>
    <row r="34" spans="2:61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77" t="s">
        <v>444</v>
      </c>
      <c r="H34" s="106"/>
      <c r="I34" s="111"/>
      <c r="J34" s="107" t="s">
        <v>20</v>
      </c>
      <c r="K34" s="108">
        <v>0</v>
      </c>
      <c r="L34" s="100" t="s">
        <v>21</v>
      </c>
      <c r="M34" s="423">
        <v>50</v>
      </c>
      <c r="N34" s="423">
        <v>50</v>
      </c>
      <c r="O34" s="423">
        <v>50</v>
      </c>
      <c r="P34" s="423">
        <v>100</v>
      </c>
      <c r="Q34" s="423">
        <v>100</v>
      </c>
      <c r="R34" s="423"/>
      <c r="S34" s="423">
        <v>50</v>
      </c>
      <c r="T34" s="423">
        <v>50</v>
      </c>
      <c r="U34" s="423"/>
      <c r="V34" s="423"/>
      <c r="W34" s="423"/>
      <c r="X34" s="135">
        <f t="shared" si="0"/>
        <v>450</v>
      </c>
      <c r="Y34" s="438"/>
      <c r="Z34" s="400">
        <v>-76.25</v>
      </c>
      <c r="AA34" s="540">
        <f>+X36</f>
        <v>-81.25</v>
      </c>
      <c r="AB34" s="135">
        <f t="shared" si="1"/>
        <v>450</v>
      </c>
      <c r="AC34" s="136">
        <f>+AD34+AB34</f>
        <v>4551</v>
      </c>
      <c r="AD34" s="136">
        <v>4101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0.9">
      <c r="B35" s="132">
        <v>6</v>
      </c>
      <c r="C35" s="371">
        <f>+B35</f>
        <v>6</v>
      </c>
      <c r="D35" s="372" t="s">
        <v>443</v>
      </c>
      <c r="E35" s="111"/>
      <c r="F35" s="111" t="s">
        <v>35</v>
      </c>
      <c r="G35" s="578" t="str">
        <f t="shared" ref="G35:G37" si="17">+G34</f>
        <v>2917-496-712</v>
      </c>
      <c r="H35" s="450">
        <v>7000</v>
      </c>
      <c r="I35" s="111" t="s">
        <v>33</v>
      </c>
      <c r="J35" s="113"/>
      <c r="K35" s="130">
        <v>55</v>
      </c>
      <c r="L35" s="101" t="s">
        <v>17</v>
      </c>
      <c r="M35" s="214">
        <v>20</v>
      </c>
      <c r="N35" s="214">
        <v>40</v>
      </c>
      <c r="O35" s="214">
        <v>50</v>
      </c>
      <c r="P35" s="214">
        <v>50</v>
      </c>
      <c r="Q35" s="214">
        <v>50</v>
      </c>
      <c r="R35" s="214">
        <v>50</v>
      </c>
      <c r="S35" s="214">
        <v>50</v>
      </c>
      <c r="T35" s="214">
        <v>50</v>
      </c>
      <c r="U35" s="214">
        <v>40</v>
      </c>
      <c r="V35" s="424"/>
      <c r="W35" s="424"/>
      <c r="X35" s="123">
        <f>+IF(H36="s",0,IF(AB35=0,0,IF(COUNTA(M35:W35)=AN37+0.25,SUMIF($C:$C,B35,$AB:$AB)/AN37,SUMIF($C:$C,B35,$AB:$AB)/(COUNTA(M35:W35)))))</f>
        <v>45.714285714285715</v>
      </c>
      <c r="Y35" s="439"/>
      <c r="Z35" s="400"/>
      <c r="AA35" s="541"/>
      <c r="AB35" s="134">
        <f t="shared" si="1"/>
        <v>400</v>
      </c>
      <c r="AC35" s="137">
        <f>+AB35+AD35</f>
        <v>3054</v>
      </c>
      <c r="AD35" s="137">
        <v>2654</v>
      </c>
      <c r="AE35" s="439"/>
      <c r="AF35" s="439">
        <f>+AE35+Y35</f>
        <v>0</v>
      </c>
      <c r="AG35" s="140">
        <f>+AC34-AC35</f>
        <v>1497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>
        <f>-450+AB34</f>
        <v>0</v>
      </c>
      <c r="AU35" s="393">
        <v>1.5</v>
      </c>
      <c r="AW35" s="356">
        <v>1447</v>
      </c>
      <c r="AY35" s="356">
        <f t="shared" ref="AY35" si="18">+AW35-AG35</f>
        <v>-50</v>
      </c>
    </row>
    <row r="36" spans="2:61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78" t="str">
        <f t="shared" si="17"/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-81.25</v>
      </c>
      <c r="Y36" s="440"/>
      <c r="Z36" s="400"/>
      <c r="AA36" s="541"/>
      <c r="AB36" s="443">
        <f t="shared" si="4"/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79" t="str">
        <f t="shared" si="17"/>
        <v>2917-496-712</v>
      </c>
      <c r="H37" s="454">
        <f>+AC34-H35</f>
        <v>-2449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61.656363636363636</v>
      </c>
      <c r="AA37" s="168">
        <f>+IF(COUNTA(M35:W35)=$AM$4+0.25,$AM$4-(AB35/K35),COUNTA(M35:W35)-(AB35/K35))+Z37</f>
        <v>63.133636363636363</v>
      </c>
      <c r="AB37" s="444">
        <f t="shared" si="4"/>
        <v>0</v>
      </c>
      <c r="AC37" s="139"/>
      <c r="AD37" s="139"/>
      <c r="AE37" s="441"/>
      <c r="AF37" s="441"/>
      <c r="AG37" s="119">
        <f>+IFERROR(AG35/(K35*$AT$3),"")</f>
        <v>3.1106493506493504</v>
      </c>
      <c r="AH37" s="162"/>
      <c r="AI37" s="161"/>
      <c r="AJ37" s="161"/>
      <c r="AK37" s="167"/>
      <c r="AL37" s="167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3.006753246753247</v>
      </c>
      <c r="AY37" s="356"/>
    </row>
    <row r="38" spans="2:61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77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>
        <v>50</v>
      </c>
      <c r="P38" s="423">
        <v>50</v>
      </c>
      <c r="Q38" s="423">
        <v>55</v>
      </c>
      <c r="R38" s="423">
        <v>50</v>
      </c>
      <c r="S38" s="423">
        <v>50</v>
      </c>
      <c r="T38" s="423">
        <v>50</v>
      </c>
      <c r="U38" s="423">
        <v>50</v>
      </c>
      <c r="V38" s="423"/>
      <c r="W38" s="423"/>
      <c r="X38" s="135">
        <f t="shared" si="0"/>
        <v>455</v>
      </c>
      <c r="Y38" s="438"/>
      <c r="Z38" s="400">
        <v>-49</v>
      </c>
      <c r="AA38" s="540">
        <f>+X40</f>
        <v>0</v>
      </c>
      <c r="AB38" s="135">
        <f t="shared" si="1"/>
        <v>455</v>
      </c>
      <c r="AC38" s="136">
        <f>+AD38+AB38</f>
        <v>2906</v>
      </c>
      <c r="AD38" s="136">
        <v>2451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78" t="str">
        <f>+G38</f>
        <v>2917-496-712</v>
      </c>
      <c r="H39" s="450">
        <v>7000</v>
      </c>
      <c r="I39" s="111" t="s">
        <v>33</v>
      </c>
      <c r="J39" s="113">
        <v>42.84</v>
      </c>
      <c r="K39" s="130">
        <v>60</v>
      </c>
      <c r="L39" s="101" t="s">
        <v>17</v>
      </c>
      <c r="M39" s="214">
        <v>60</v>
      </c>
      <c r="N39" s="214">
        <v>56</v>
      </c>
      <c r="O39" s="214">
        <v>64</v>
      </c>
      <c r="P39" s="214">
        <v>60</v>
      </c>
      <c r="Q39" s="214">
        <v>60</v>
      </c>
      <c r="R39" s="214">
        <v>60</v>
      </c>
      <c r="S39" s="459">
        <v>44</v>
      </c>
      <c r="T39" s="214">
        <v>22</v>
      </c>
      <c r="U39" s="214">
        <v>99</v>
      </c>
      <c r="V39" s="424"/>
      <c r="W39" s="424"/>
      <c r="X39" s="123">
        <f>+IF(H40="s",0,IF(AB39=0,0,IF(COUNTA(M39:W39)=AN41+0.25,SUMIF($C:$C,B39,$AB:$AB)/AN41,SUMIF($C:$C,B39,$AB:$AB)/(COUNTA(M39:W39)))))</f>
        <v>60</v>
      </c>
      <c r="Y39" s="439"/>
      <c r="Z39" s="400"/>
      <c r="AA39" s="541"/>
      <c r="AB39" s="134">
        <f t="shared" si="1"/>
        <v>525</v>
      </c>
      <c r="AC39" s="137">
        <f>+AB39+AD39</f>
        <v>2144</v>
      </c>
      <c r="AD39" s="137">
        <v>1619</v>
      </c>
      <c r="AE39" s="439">
        <v>0</v>
      </c>
      <c r="AF39" s="439">
        <f>+AE39+Y39</f>
        <v>0</v>
      </c>
      <c r="AG39" s="140">
        <f>+AC38-AC39</f>
        <v>762</v>
      </c>
      <c r="AH39" s="131">
        <f>+IF(((AB40+(AB41/2))*60)=0,"",(J39*AB39)/((AB40+(AB41/2))*60))</f>
        <v>0.86545454545454548</v>
      </c>
      <c r="AI39" s="161">
        <f>+AB40+AB41/2</f>
        <v>433.125</v>
      </c>
      <c r="AJ39" s="161">
        <f t="shared" si="2"/>
        <v>433.07499999999999</v>
      </c>
      <c r="AK39" s="167">
        <f t="shared" si="3"/>
        <v>25987.5</v>
      </c>
      <c r="AL39" s="167">
        <f>+AB39*J39</f>
        <v>22491</v>
      </c>
      <c r="AM39" s="230">
        <f>+AB39-(AI39*K39/K41)</f>
        <v>-5.3571428571428896</v>
      </c>
      <c r="AN39" s="339"/>
      <c r="AO39" s="340"/>
      <c r="AP39" s="167"/>
      <c r="AQ39" s="167"/>
      <c r="AR39" s="167"/>
      <c r="AS39" s="167"/>
      <c r="AT39" s="433">
        <f>-455+AB38</f>
        <v>0</v>
      </c>
      <c r="AU39" s="393">
        <v>1.5</v>
      </c>
      <c r="AW39" s="356">
        <v>832</v>
      </c>
      <c r="AY39" s="356">
        <f t="shared" ref="AY39" si="19">+AW39-AG39</f>
        <v>70</v>
      </c>
      <c r="AZ39" s="581"/>
      <c r="BA39" s="581"/>
      <c r="BB39" s="581"/>
      <c r="BC39" s="581"/>
      <c r="BD39" s="581"/>
      <c r="BE39" s="581"/>
      <c r="BF39" s="581"/>
      <c r="BG39" s="581"/>
      <c r="BH39" s="581"/>
      <c r="BI39" s="581"/>
    </row>
    <row r="40" spans="2:61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78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49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0</v>
      </c>
      <c r="Y40" s="440"/>
      <c r="Z40" s="400"/>
      <c r="AA40" s="541"/>
      <c r="AB40" s="443">
        <f t="shared" si="4"/>
        <v>428.75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428.75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79" t="str">
        <f>+G38</f>
        <v>2917-496-712</v>
      </c>
      <c r="H41" s="454">
        <f>+AC38-H39</f>
        <v>-4094</v>
      </c>
      <c r="I41" s="397"/>
      <c r="J41" s="165">
        <v>0.91625000000000001</v>
      </c>
      <c r="K41" s="118">
        <v>49</v>
      </c>
      <c r="L41" s="104" t="s">
        <v>19</v>
      </c>
      <c r="M41" s="427">
        <v>1</v>
      </c>
      <c r="N41" s="427">
        <v>1</v>
      </c>
      <c r="O41" s="427">
        <v>1</v>
      </c>
      <c r="P41" s="427">
        <v>1</v>
      </c>
      <c r="Q41" s="427">
        <v>1</v>
      </c>
      <c r="R41" s="427">
        <v>1</v>
      </c>
      <c r="S41" s="427">
        <v>1</v>
      </c>
      <c r="T41" s="427">
        <v>1</v>
      </c>
      <c r="U41" s="427">
        <v>1</v>
      </c>
      <c r="V41" s="428"/>
      <c r="W41" s="428"/>
      <c r="X41" s="173"/>
      <c r="Y41" s="441"/>
      <c r="Z41" s="401">
        <v>23.113333333333333</v>
      </c>
      <c r="AA41" s="168">
        <f>+IF(COUNTA(M39:W39)=$AM$4+0.25,$AM$4-(AB39/K39),COUNTA(M39:W39)-(AB39/K39))+Z41</f>
        <v>23.113333333333333</v>
      </c>
      <c r="AB41" s="444">
        <f t="shared" si="4"/>
        <v>8.75</v>
      </c>
      <c r="AC41" s="139"/>
      <c r="AD41" s="139"/>
      <c r="AE41" s="441"/>
      <c r="AF41" s="441"/>
      <c r="AG41" s="119">
        <f>+IFERROR(AG39/(K39*$AT$3),"")</f>
        <v>1.4514285714285715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8.75</v>
      </c>
      <c r="AP41" s="167">
        <f>+AO41-AB41</f>
        <v>0</v>
      </c>
      <c r="AQ41" s="167"/>
      <c r="AR41" s="167"/>
      <c r="AS41" s="167"/>
      <c r="AT41" s="435"/>
      <c r="AU41" s="393"/>
      <c r="AW41" s="356">
        <v>1.5847619047619048</v>
      </c>
      <c r="AY41" s="356"/>
    </row>
    <row r="42" spans="2:61" s="98" customFormat="1" ht="62.25" customHeight="1" thickTop="1" x14ac:dyDescent="0.9">
      <c r="B42" s="97">
        <f>+B43</f>
        <v>8</v>
      </c>
      <c r="C42" s="370"/>
      <c r="D42" s="106"/>
      <c r="E42" s="106"/>
      <c r="F42" s="106"/>
      <c r="G42" s="582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100</v>
      </c>
      <c r="N42" s="423">
        <v>100</v>
      </c>
      <c r="O42" s="423">
        <v>100</v>
      </c>
      <c r="P42" s="423">
        <v>50</v>
      </c>
      <c r="Q42" s="423">
        <v>50</v>
      </c>
      <c r="R42" s="423"/>
      <c r="S42" s="423"/>
      <c r="T42" s="423"/>
      <c r="U42" s="423"/>
      <c r="V42" s="423"/>
      <c r="W42" s="423"/>
      <c r="X42" s="135">
        <f t="shared" si="0"/>
        <v>400</v>
      </c>
      <c r="Y42" s="438"/>
      <c r="Z42" s="400">
        <v>0.5</v>
      </c>
      <c r="AA42" s="540">
        <f>+X44</f>
        <v>0.5</v>
      </c>
      <c r="AB42" s="135">
        <f t="shared" si="1"/>
        <v>400</v>
      </c>
      <c r="AC42" s="136">
        <f>+AD42+AB42</f>
        <v>5685</v>
      </c>
      <c r="AD42" s="136">
        <v>5285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8</v>
      </c>
      <c r="C43" s="371">
        <f>+B43</f>
        <v>8</v>
      </c>
      <c r="D43" s="372" t="s">
        <v>441</v>
      </c>
      <c r="E43" s="111"/>
      <c r="F43" s="111" t="s">
        <v>35</v>
      </c>
      <c r="G43" s="582" t="str">
        <f>+G42</f>
        <v>7741-793-052</v>
      </c>
      <c r="H43" s="450">
        <v>11500</v>
      </c>
      <c r="I43" s="111" t="s">
        <v>33</v>
      </c>
      <c r="J43" s="113">
        <v>55.14</v>
      </c>
      <c r="K43" s="130">
        <v>46</v>
      </c>
      <c r="L43" s="101" t="s">
        <v>17</v>
      </c>
      <c r="M43" s="214">
        <v>46</v>
      </c>
      <c r="N43" s="214">
        <v>46</v>
      </c>
      <c r="O43" s="214">
        <v>46</v>
      </c>
      <c r="P43" s="214">
        <v>46</v>
      </c>
      <c r="Q43" s="214">
        <v>46</v>
      </c>
      <c r="R43" s="214">
        <v>46</v>
      </c>
      <c r="S43" s="459">
        <v>46</v>
      </c>
      <c r="T43" s="459">
        <v>46</v>
      </c>
      <c r="U43" s="459">
        <v>35</v>
      </c>
      <c r="V43" s="424"/>
      <c r="W43" s="424"/>
      <c r="X43" s="123">
        <f>+IF(H44="s",0,IF(AB43=0,0,IF(COUNTA(M43:W43)=AN45+0.25,SUMIF($C:$C,B43,$AB:$AB)/AN45,SUMIF($C:$C,B43,$AB:$AB)/(COUNTA(M43:W43)))))</f>
        <v>46.057142857142857</v>
      </c>
      <c r="Y43" s="439"/>
      <c r="Z43" s="400"/>
      <c r="AA43" s="541"/>
      <c r="AB43" s="134">
        <f t="shared" si="1"/>
        <v>403</v>
      </c>
      <c r="AC43" s="137">
        <f>+AB43+AD43</f>
        <v>4547</v>
      </c>
      <c r="AD43" s="137">
        <v>4144</v>
      </c>
      <c r="AE43" s="439">
        <v>0</v>
      </c>
      <c r="AF43" s="439">
        <f>+AE43+Y43</f>
        <v>0</v>
      </c>
      <c r="AG43" s="140">
        <f>+AC42-AC43</f>
        <v>1138</v>
      </c>
      <c r="AH43" s="131">
        <f>+IF(((AB44+(AB45/2))*60)=0,"",(J43*AB43)/((AB44+(AB45/2))*60))</f>
        <v>0.86380641399416913</v>
      </c>
      <c r="AI43" s="161">
        <f>+AB44+AB45/2</f>
        <v>428.75</v>
      </c>
      <c r="AJ43" s="161">
        <f t="shared" si="2"/>
        <v>428.45</v>
      </c>
      <c r="AK43" s="167">
        <f t="shared" si="3"/>
        <v>25725</v>
      </c>
      <c r="AL43" s="167">
        <f>+AB43*J43</f>
        <v>22221.420000000002</v>
      </c>
      <c r="AM43" s="230">
        <f>+AB43-(AI43*K43/K45)</f>
        <v>0.5</v>
      </c>
      <c r="AN43" s="339"/>
      <c r="AO43" s="340"/>
      <c r="AP43" s="167"/>
      <c r="AQ43" s="167"/>
      <c r="AR43" s="167"/>
      <c r="AS43" s="167"/>
      <c r="AT43" s="433">
        <f t="shared" ref="AT43" si="20">IF(AU43=0,"",AW43-(($AT$3*K43)+($AT$3*K43)*AU43)+AB42)</f>
        <v>11.5</v>
      </c>
      <c r="AU43" s="393">
        <v>2.8</v>
      </c>
      <c r="AW43" s="356">
        <v>1141</v>
      </c>
      <c r="AY43" s="356">
        <f t="shared" ref="AY43" si="21">+AW43-AG43</f>
        <v>3</v>
      </c>
    </row>
    <row r="44" spans="2:61" s="98" customFormat="1" ht="62.25" customHeight="1" x14ac:dyDescent="0.9">
      <c r="B44" s="125">
        <f>+B43</f>
        <v>8</v>
      </c>
      <c r="C44" s="373"/>
      <c r="D44" s="184"/>
      <c r="E44" s="111">
        <f>+B43</f>
        <v>8</v>
      </c>
      <c r="F44" s="374"/>
      <c r="G44" s="582" t="str">
        <f>+G43</f>
        <v>7741-793-052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49</v>
      </c>
      <c r="N44" s="425">
        <v>49</v>
      </c>
      <c r="O44" s="425">
        <v>49</v>
      </c>
      <c r="P44" s="425">
        <v>49</v>
      </c>
      <c r="Q44" s="425">
        <v>49</v>
      </c>
      <c r="R44" s="425">
        <v>49</v>
      </c>
      <c r="S44" s="425">
        <v>49</v>
      </c>
      <c r="T44" s="425">
        <v>49</v>
      </c>
      <c r="U44" s="425">
        <v>49</v>
      </c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0.5</v>
      </c>
      <c r="Y44" s="440"/>
      <c r="Z44" s="400"/>
      <c r="AA44" s="541"/>
      <c r="AB44" s="443">
        <f t="shared" si="4"/>
        <v>428.75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428.75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8</v>
      </c>
      <c r="C45" s="375"/>
      <c r="D45" s="174" t="s">
        <v>373</v>
      </c>
      <c r="E45" s="175">
        <f>+E44+100</f>
        <v>108</v>
      </c>
      <c r="F45" s="175"/>
      <c r="G45" s="582" t="str">
        <f>+G44</f>
        <v>7741-793-052</v>
      </c>
      <c r="H45" s="454">
        <f>+AC42-H43</f>
        <v>-5815</v>
      </c>
      <c r="I45" s="397"/>
      <c r="J45" s="165">
        <f>+IF(K45="","",IF(K43=0,"",(K43*J43)/(K45*60)))</f>
        <v>0.86273469387755108</v>
      </c>
      <c r="K45" s="118">
        <v>49</v>
      </c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8"/>
      <c r="W45" s="428"/>
      <c r="X45" s="173"/>
      <c r="Y45" s="441"/>
      <c r="Z45" s="401">
        <v>24.299090909090911</v>
      </c>
      <c r="AA45" s="169">
        <v>24.299090909090911</v>
      </c>
      <c r="AB45" s="444">
        <f t="shared" si="4"/>
        <v>0</v>
      </c>
      <c r="AC45" s="139"/>
      <c r="AD45" s="139"/>
      <c r="AE45" s="441"/>
      <c r="AF45" s="441"/>
      <c r="AG45" s="119">
        <f>+IFERROR(AG43/(K43*$AT$3),"")</f>
        <v>2.8273291925465838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2.8347826086956522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77" t="s">
        <v>428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75</v>
      </c>
      <c r="N46" s="423">
        <v>75</v>
      </c>
      <c r="O46" s="423">
        <v>134</v>
      </c>
      <c r="P46" s="423"/>
      <c r="Q46" s="423"/>
      <c r="R46" s="423"/>
      <c r="S46" s="423"/>
      <c r="T46" s="423"/>
      <c r="U46" s="423"/>
      <c r="V46" s="423"/>
      <c r="W46" s="423"/>
      <c r="X46" s="135">
        <f t="shared" si="0"/>
        <v>284</v>
      </c>
      <c r="Y46" s="438"/>
      <c r="Z46" s="400">
        <v>0.25</v>
      </c>
      <c r="AA46" s="540">
        <f>+X48</f>
        <v>-52.75</v>
      </c>
      <c r="AB46" s="135">
        <f t="shared" si="1"/>
        <v>284</v>
      </c>
      <c r="AC46" s="136">
        <f>+AD46+AB46</f>
        <v>10477</v>
      </c>
      <c r="AD46" s="136">
        <v>10193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427</v>
      </c>
      <c r="E47" s="111"/>
      <c r="F47" s="111" t="s">
        <v>426</v>
      </c>
      <c r="G47" s="578" t="str">
        <f>+G46</f>
        <v>NUDIE-301580</v>
      </c>
      <c r="H47" s="450">
        <v>10450</v>
      </c>
      <c r="I47" s="111" t="s">
        <v>425</v>
      </c>
      <c r="J47" s="113">
        <v>44.17</v>
      </c>
      <c r="K47" s="130">
        <v>65</v>
      </c>
      <c r="L47" s="101" t="s">
        <v>17</v>
      </c>
      <c r="M47" s="214">
        <v>55</v>
      </c>
      <c r="N47" s="214">
        <v>60</v>
      </c>
      <c r="O47" s="214">
        <v>65</v>
      </c>
      <c r="P47" s="214">
        <v>45</v>
      </c>
      <c r="Q47" s="214">
        <v>65</v>
      </c>
      <c r="R47" s="214">
        <v>65</v>
      </c>
      <c r="S47" s="214">
        <v>65</v>
      </c>
      <c r="T47" s="214">
        <v>60</v>
      </c>
      <c r="U47" s="214">
        <v>36</v>
      </c>
      <c r="V47" s="214"/>
      <c r="W47" s="424"/>
      <c r="X47" s="123">
        <f>+IF(H48="s",0,IF(AB47=0,0,IF(COUNTA(M47:W47)=AN49+0.25,SUMIF($C:$C,B47,$AB:$AB)/AN49,SUMIF($C:$C,B47,$AB:$AB)/(COUNTA(M47:W47)))))</f>
        <v>58.971428571428568</v>
      </c>
      <c r="Y47" s="439"/>
      <c r="Z47" s="400"/>
      <c r="AA47" s="541"/>
      <c r="AB47" s="134">
        <f t="shared" si="1"/>
        <v>516</v>
      </c>
      <c r="AC47" s="137">
        <f>+AB47+AD47</f>
        <v>9817</v>
      </c>
      <c r="AD47" s="137">
        <v>9301</v>
      </c>
      <c r="AE47" s="439">
        <v>0</v>
      </c>
      <c r="AF47" s="439">
        <f>+AE47+Y47</f>
        <v>0</v>
      </c>
      <c r="AG47" s="140">
        <f>+AC46-AC47</f>
        <v>660</v>
      </c>
      <c r="AH47" s="131">
        <f>+IF(((AB48+(AB49/2))*60)=0,"",(J47*AB47)/((AB48+(AB49/2))*60))</f>
        <v>0.8173469607315762</v>
      </c>
      <c r="AI47" s="161">
        <f>+AB48+AB49/2</f>
        <v>464.75</v>
      </c>
      <c r="AJ47" s="161">
        <f t="shared" si="2"/>
        <v>464.45</v>
      </c>
      <c r="AK47" s="167">
        <f t="shared" si="3"/>
        <v>27885</v>
      </c>
      <c r="AL47" s="167">
        <f>+AB47*J47</f>
        <v>22791.72</v>
      </c>
      <c r="AM47" s="230">
        <f>+AB47-(AI47*K47/K49)</f>
        <v>-43.421296296296305</v>
      </c>
      <c r="AN47" s="339"/>
      <c r="AO47" s="340"/>
      <c r="AP47" s="167"/>
      <c r="AQ47" s="167"/>
      <c r="AR47" s="167"/>
      <c r="AS47" s="167"/>
      <c r="AT47" s="433">
        <f>-284+AB46</f>
        <v>0</v>
      </c>
      <c r="AU47" s="393">
        <v>1.5</v>
      </c>
      <c r="AW47" s="356">
        <v>892</v>
      </c>
      <c r="AY47" s="356">
        <f t="shared" ref="AY47" si="22">+AW47-AG47</f>
        <v>232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78" t="str">
        <f>+G47</f>
        <v>NUDIE-301580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>
        <v>1</v>
      </c>
      <c r="K48" s="114" t="s">
        <v>22</v>
      </c>
      <c r="L48" s="102" t="s">
        <v>18</v>
      </c>
      <c r="M48" s="425">
        <v>52</v>
      </c>
      <c r="N48" s="425">
        <v>53</v>
      </c>
      <c r="O48" s="425">
        <v>54</v>
      </c>
      <c r="P48" s="425">
        <v>54</v>
      </c>
      <c r="Q48" s="425">
        <v>53</v>
      </c>
      <c r="R48" s="425">
        <v>53</v>
      </c>
      <c r="S48" s="425">
        <v>53</v>
      </c>
      <c r="T48" s="425">
        <v>53</v>
      </c>
      <c r="U48" s="425">
        <v>53</v>
      </c>
      <c r="V48" s="425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-52.75</v>
      </c>
      <c r="Y48" s="440"/>
      <c r="Z48" s="400"/>
      <c r="AA48" s="541"/>
      <c r="AB48" s="443">
        <f t="shared" si="4"/>
        <v>464.75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464.75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79" t="str">
        <f>+G48</f>
        <v>NUDIE-301580</v>
      </c>
      <c r="H49" s="454">
        <f>+AC46-H47</f>
        <v>27</v>
      </c>
      <c r="I49" s="397"/>
      <c r="J49" s="165">
        <f>+IF(K49="","",IF(K47=0,"",(K47*J47)/(K49*60)))</f>
        <v>0.8861265432098766</v>
      </c>
      <c r="K49" s="118">
        <v>54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4"/>
        <v>0</v>
      </c>
      <c r="AC49" s="139"/>
      <c r="AD49" s="139"/>
      <c r="AE49" s="441"/>
      <c r="AF49" s="441"/>
      <c r="AG49" s="119">
        <f>+IFERROR(AG47/(K47*$AT$3),"")</f>
        <v>1.1604395604395605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1.5683516483516484</v>
      </c>
      <c r="AY49" s="356"/>
    </row>
    <row r="50" spans="2:51" s="98" customFormat="1" ht="62.25" customHeight="1" thickTop="1" x14ac:dyDescent="0.9">
      <c r="B50" s="97">
        <f>+B51</f>
        <v>11</v>
      </c>
      <c r="C50" s="370"/>
      <c r="D50" s="106"/>
      <c r="E50" s="106"/>
      <c r="F50" s="106"/>
      <c r="G50" s="582" t="s">
        <v>474</v>
      </c>
      <c r="H50" s="106"/>
      <c r="I50" s="106"/>
      <c r="J50" s="107" t="s">
        <v>20</v>
      </c>
      <c r="K50" s="108" t="s">
        <v>23</v>
      </c>
      <c r="L50" s="100" t="s">
        <v>21</v>
      </c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135" t="str">
        <f t="shared" ref="X50" si="23">IF(AT51="","",SUM(M50:W50)-(-(AT51-SUM(M50:W50))/$AT$3)*SUM($M$2:$W$2))</f>
        <v/>
      </c>
      <c r="Y50" s="438"/>
      <c r="Z50" s="400">
        <v>0.25</v>
      </c>
      <c r="AA50" s="540">
        <f>+X52</f>
        <v>0</v>
      </c>
      <c r="AB50" s="135">
        <f t="shared" ref="AB50:AB51" si="24">+SUM(L50:W50)</f>
        <v>0</v>
      </c>
      <c r="AC50" s="136">
        <f>+AD50+AB50</f>
        <v>0</v>
      </c>
      <c r="AD50" s="136"/>
      <c r="AE50" s="438"/>
      <c r="AF50" s="438"/>
      <c r="AG50" s="109"/>
      <c r="AH50" s="110"/>
      <c r="AI50" s="157"/>
      <c r="AJ50" s="161">
        <f t="shared" ref="AJ50:AJ53" si="25">TRUNC(AI50)+(AI50-TRUNC(AI50))*60/100</f>
        <v>0</v>
      </c>
      <c r="AK50" s="167">
        <f t="shared" ref="AK50:AK53" si="26">+AI50*60</f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11</v>
      </c>
      <c r="C51" s="371">
        <v>11</v>
      </c>
      <c r="D51" s="372" t="s">
        <v>475</v>
      </c>
      <c r="E51" s="111"/>
      <c r="F51" s="111" t="s">
        <v>447</v>
      </c>
      <c r="G51" s="582" t="s">
        <v>474</v>
      </c>
      <c r="H51" s="450">
        <v>3360</v>
      </c>
      <c r="I51" s="111" t="s">
        <v>476</v>
      </c>
      <c r="J51" s="113"/>
      <c r="K51" s="130"/>
      <c r="L51" s="101" t="s">
        <v>17</v>
      </c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424"/>
      <c r="X51" s="123">
        <f>+IF(H52="s",0,IF(AB51=0,0,IF(COUNTA(M51:W51)=AN53+0.25,SUMIF($C:$C,B51,$AB:$AB)/AN53,SUMIF($C:$C,B51,$AB:$AB)/(COUNTA(M51:W51)))))</f>
        <v>0</v>
      </c>
      <c r="Y51" s="439"/>
      <c r="Z51" s="400"/>
      <c r="AA51" s="541"/>
      <c r="AB51" s="134">
        <f t="shared" si="24"/>
        <v>0</v>
      </c>
      <c r="AC51" s="137">
        <f>+AB51+AD51</f>
        <v>0</v>
      </c>
      <c r="AD51" s="137"/>
      <c r="AE51" s="439">
        <v>0</v>
      </c>
      <c r="AF51" s="439">
        <f>+AE51+Y51</f>
        <v>0</v>
      </c>
      <c r="AG51" s="140">
        <f>+AC50-AC51</f>
        <v>0</v>
      </c>
      <c r="AH51" s="131" t="str">
        <f>+IF(((AB52+(AB53/2))*60)=0,"",(J51*AB51)/((AB52+(AB53/2))*60))</f>
        <v/>
      </c>
      <c r="AI51" s="161">
        <f>+AB52+AB53/2</f>
        <v>0</v>
      </c>
      <c r="AJ51" s="161">
        <f t="shared" si="25"/>
        <v>0</v>
      </c>
      <c r="AK51" s="167">
        <f t="shared" si="26"/>
        <v>0</v>
      </c>
      <c r="AL51" s="167">
        <f>+AB51*J51</f>
        <v>0</v>
      </c>
      <c r="AM51" s="230" t="e">
        <f>+AB51-(AI51*K51/K53)</f>
        <v>#DIV/0!</v>
      </c>
      <c r="AN51" s="339"/>
      <c r="AO51" s="340"/>
      <c r="AP51" s="167"/>
      <c r="AQ51" s="167"/>
      <c r="AR51" s="167"/>
      <c r="AS51" s="167"/>
      <c r="AT51" s="433"/>
      <c r="AU51" s="393">
        <v>1.5</v>
      </c>
      <c r="AW51" s="356">
        <v>892</v>
      </c>
      <c r="AY51" s="356">
        <f t="shared" ref="AY51" si="27">+AW51-AG51</f>
        <v>892</v>
      </c>
    </row>
    <row r="52" spans="2:51" s="98" customFormat="1" ht="62.25" customHeight="1" x14ac:dyDescent="0.9">
      <c r="B52" s="125">
        <f>+B51</f>
        <v>11</v>
      </c>
      <c r="C52" s="373"/>
      <c r="D52" s="184"/>
      <c r="E52" s="111">
        <f>+B51</f>
        <v>11</v>
      </c>
      <c r="F52" s="374"/>
      <c r="G52" s="582" t="s">
        <v>474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/>
      <c r="N52" s="425"/>
      <c r="O52" s="425"/>
      <c r="P52" s="425"/>
      <c r="Q52" s="425"/>
      <c r="R52" s="425"/>
      <c r="S52" s="425"/>
      <c r="T52" s="425"/>
      <c r="U52" s="425"/>
      <c r="V52" s="425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0</v>
      </c>
      <c r="Y52" s="440"/>
      <c r="Z52" s="400"/>
      <c r="AA52" s="541"/>
      <c r="AB52" s="443">
        <f t="shared" ref="AB52:AB53" si="28">+SUM(M52:W52)-U52*0.25</f>
        <v>0</v>
      </c>
      <c r="AC52" s="341"/>
      <c r="AD52" s="341"/>
      <c r="AE52" s="440"/>
      <c r="AF52" s="440"/>
      <c r="AG52" s="115"/>
      <c r="AH52" s="116"/>
      <c r="AI52" s="157"/>
      <c r="AJ52" s="161">
        <f t="shared" si="25"/>
        <v>0</v>
      </c>
      <c r="AK52" s="167">
        <f t="shared" si="26"/>
        <v>0</v>
      </c>
      <c r="AL52" s="167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0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+B51</f>
        <v>11</v>
      </c>
      <c r="C53" s="375"/>
      <c r="D53" s="174" t="s">
        <v>403</v>
      </c>
      <c r="E53" s="175">
        <f>+E52+100</f>
        <v>111</v>
      </c>
      <c r="F53" s="175"/>
      <c r="G53" s="582" t="s">
        <v>474</v>
      </c>
      <c r="H53" s="454">
        <f>+AC50-H51</f>
        <v>-3360</v>
      </c>
      <c r="I53" s="397"/>
      <c r="J53" s="165" t="str">
        <f>+IF(K53="","",IF(K51=0,"",(K51*J51)/(K53*60)))</f>
        <v/>
      </c>
      <c r="K53" s="118"/>
      <c r="L53" s="104" t="s">
        <v>19</v>
      </c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8"/>
      <c r="X53" s="173"/>
      <c r="Y53" s="441"/>
      <c r="Z53" s="401">
        <v>46.941105769230759</v>
      </c>
      <c r="AA53" s="401">
        <v>46.941105769230759</v>
      </c>
      <c r="AB53" s="444">
        <f t="shared" si="28"/>
        <v>0</v>
      </c>
      <c r="AC53" s="139"/>
      <c r="AD53" s="139"/>
      <c r="AE53" s="441"/>
      <c r="AF53" s="441"/>
      <c r="AG53" s="119" t="str">
        <f>+IFERROR(AG51/(K51*$AT$3),"")</f>
        <v/>
      </c>
      <c r="AH53" s="162"/>
      <c r="AI53" s="161"/>
      <c r="AJ53" s="161">
        <f t="shared" si="25"/>
        <v>0</v>
      </c>
      <c r="AK53" s="167">
        <f t="shared" si="26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0</v>
      </c>
      <c r="AP53" s="167">
        <f>+AO53-AB53</f>
        <v>0</v>
      </c>
      <c r="AQ53" s="167"/>
      <c r="AR53" s="167"/>
      <c r="AS53" s="167"/>
      <c r="AT53" s="435"/>
      <c r="AU53" s="393"/>
      <c r="AW53" s="356">
        <v>1.5683516483516484</v>
      </c>
      <c r="AY53" s="356"/>
    </row>
    <row r="54" spans="2:51" s="98" customFormat="1" ht="62.25" customHeight="1" thickTop="1" x14ac:dyDescent="0.9">
      <c r="B54" s="97">
        <f>+B55</f>
        <v>12</v>
      </c>
      <c r="C54" s="370"/>
      <c r="D54" s="106"/>
      <c r="E54" s="106"/>
      <c r="F54" s="106"/>
      <c r="G54" s="577" t="s">
        <v>433</v>
      </c>
      <c r="H54" s="106"/>
      <c r="I54" s="111"/>
      <c r="J54" s="107" t="s">
        <v>20</v>
      </c>
      <c r="K54" s="108" t="s">
        <v>23</v>
      </c>
      <c r="L54" s="100" t="s">
        <v>21</v>
      </c>
      <c r="M54" s="423">
        <v>150</v>
      </c>
      <c r="N54" s="423">
        <v>150</v>
      </c>
      <c r="O54" s="423">
        <v>150</v>
      </c>
      <c r="P54" s="423"/>
      <c r="Q54" s="423"/>
      <c r="R54" s="423"/>
      <c r="S54" s="423"/>
      <c r="T54" s="423"/>
      <c r="U54" s="423"/>
      <c r="V54" s="423"/>
      <c r="W54" s="423"/>
      <c r="X54" s="135">
        <f t="shared" si="0"/>
        <v>450</v>
      </c>
      <c r="Y54" s="438"/>
      <c r="Z54" s="400">
        <v>0.5</v>
      </c>
      <c r="AA54" s="540">
        <f>+X56</f>
        <v>0.5</v>
      </c>
      <c r="AB54" s="135">
        <f t="shared" si="1"/>
        <v>450</v>
      </c>
      <c r="AC54" s="136">
        <f>+AD54+AB54</f>
        <v>9151</v>
      </c>
      <c r="AD54" s="136">
        <v>8701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12</v>
      </c>
      <c r="C55" s="371">
        <f>+B55</f>
        <v>12</v>
      </c>
      <c r="D55" s="372" t="s">
        <v>432</v>
      </c>
      <c r="E55" s="111"/>
      <c r="F55" s="111" t="s">
        <v>35</v>
      </c>
      <c r="G55" s="578" t="str">
        <f>+G54</f>
        <v>2843-709-800</v>
      </c>
      <c r="H55" s="450">
        <v>11080</v>
      </c>
      <c r="I55" s="111" t="s">
        <v>251</v>
      </c>
      <c r="J55" s="113">
        <v>50</v>
      </c>
      <c r="K55" s="130">
        <v>50</v>
      </c>
      <c r="L55" s="101" t="s">
        <v>17</v>
      </c>
      <c r="M55" s="214">
        <v>50</v>
      </c>
      <c r="N55" s="214">
        <v>50</v>
      </c>
      <c r="O55" s="214">
        <v>50</v>
      </c>
      <c r="P55" s="214">
        <v>50</v>
      </c>
      <c r="Q55" s="214">
        <v>50</v>
      </c>
      <c r="R55" s="214">
        <v>50</v>
      </c>
      <c r="S55" s="214">
        <v>50</v>
      </c>
      <c r="T55" s="214">
        <v>50</v>
      </c>
      <c r="U55" s="214">
        <v>38</v>
      </c>
      <c r="V55" s="214"/>
      <c r="W55" s="424"/>
      <c r="X55" s="123">
        <f>+IF(H56="s",0,IF(AB55=0,0,IF(COUNTA(M55:W55)=AN57+0.25,SUMIF($C:$C,B55,$AB:$AB)/AN57,SUMIF($C:$C,B55,$AB:$AB)/(COUNTA(M55:W55)))))</f>
        <v>50.057142857142857</v>
      </c>
      <c r="Y55" s="439"/>
      <c r="Z55" s="400"/>
      <c r="AA55" s="541"/>
      <c r="AB55" s="134">
        <f t="shared" si="1"/>
        <v>438</v>
      </c>
      <c r="AC55" s="137">
        <f>+AB55+AD55</f>
        <v>7833</v>
      </c>
      <c r="AD55" s="137">
        <v>7395</v>
      </c>
      <c r="AE55" s="439">
        <v>0</v>
      </c>
      <c r="AF55" s="439">
        <f>+AE55+Y55</f>
        <v>0</v>
      </c>
      <c r="AG55" s="140">
        <f>+AC54-AC55</f>
        <v>1318</v>
      </c>
      <c r="AH55" s="131">
        <f>+IF(((AB56+(AB57/2))*60)=0,"",(J55*AB55)/((AB56+(AB57/2))*60))</f>
        <v>0.86008836524300447</v>
      </c>
      <c r="AI55" s="161">
        <f>+AB56+AB57/2</f>
        <v>424.375</v>
      </c>
      <c r="AJ55" s="161">
        <f t="shared" si="2"/>
        <v>424.22500000000002</v>
      </c>
      <c r="AK55" s="167">
        <f t="shared" si="3"/>
        <v>25462.5</v>
      </c>
      <c r="AL55" s="167">
        <f>+AB55*J55</f>
        <v>21900</v>
      </c>
      <c r="AM55" s="230">
        <f>+AB55-(AI55*K55/K57)</f>
        <v>4.9642857142857224</v>
      </c>
      <c r="AN55" s="339"/>
      <c r="AO55" s="340"/>
      <c r="AP55" s="167"/>
      <c r="AQ55" s="167"/>
      <c r="AR55" s="167"/>
      <c r="AS55" s="167"/>
      <c r="AT55" s="433">
        <f t="shared" ref="AT55" si="29">IF(AU55=0,"",AW55-(($AT$3*K55)+($AT$3*K55)*AU55)+AB54)</f>
        <v>27.875</v>
      </c>
      <c r="AU55" s="393">
        <v>2.95</v>
      </c>
      <c r="AW55" s="356">
        <v>1306</v>
      </c>
      <c r="AY55" s="356">
        <f t="shared" ref="AY55" si="30">+AW55-AG55</f>
        <v>-12</v>
      </c>
    </row>
    <row r="56" spans="2:51" s="98" customFormat="1" ht="62.25" customHeight="1" x14ac:dyDescent="0.9">
      <c r="B56" s="125">
        <f>B55</f>
        <v>12</v>
      </c>
      <c r="C56" s="373"/>
      <c r="D56" s="184"/>
      <c r="E56" s="111">
        <f>+B55</f>
        <v>12</v>
      </c>
      <c r="F56" s="377"/>
      <c r="G56" s="578" t="str">
        <f>+G54</f>
        <v>2843-709-800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48</v>
      </c>
      <c r="N56" s="425">
        <v>48</v>
      </c>
      <c r="O56" s="425">
        <v>48</v>
      </c>
      <c r="P56" s="425">
        <v>48</v>
      </c>
      <c r="Q56" s="425">
        <v>48</v>
      </c>
      <c r="R56" s="425">
        <v>48</v>
      </c>
      <c r="S56" s="425">
        <v>48</v>
      </c>
      <c r="T56" s="425">
        <v>48</v>
      </c>
      <c r="U56" s="425">
        <v>48</v>
      </c>
      <c r="V56" s="426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0.5</v>
      </c>
      <c r="Y56" s="440"/>
      <c r="Z56" s="400"/>
      <c r="AA56" s="541"/>
      <c r="AB56" s="443">
        <f t="shared" si="4"/>
        <v>420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230"/>
      <c r="AN56" s="339"/>
      <c r="AO56" s="340">
        <f>+IF(AN57=7.75,SUM(M56:S56)+T56*0.75,IF(AN57=8,SUM(M56:T56),IF(AN57=7.25,SUM(M56:S56)+T56*0.25,IF(AN57=8.25,SUM(M56:T56)+U56*0.25,IF(AN57=8.75,SUM(M56:T56)+U56*0.75,0)))))</f>
        <v>420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B55</f>
        <v>12</v>
      </c>
      <c r="C57" s="375"/>
      <c r="D57" s="174" t="s">
        <v>366</v>
      </c>
      <c r="E57" s="175">
        <f>+E56+100</f>
        <v>112</v>
      </c>
      <c r="F57" s="175"/>
      <c r="G57" s="579" t="str">
        <f>+G54</f>
        <v>2843-709-800</v>
      </c>
      <c r="H57" s="454">
        <f>+AC54-H55</f>
        <v>-1929</v>
      </c>
      <c r="I57" s="397" t="s">
        <v>182</v>
      </c>
      <c r="J57" s="165">
        <f>+IF(K57="","",IF(K55=0,"",(K55*J55)/(K57*60)))</f>
        <v>0.85034013605442171</v>
      </c>
      <c r="K57" s="118">
        <v>49</v>
      </c>
      <c r="L57" s="104" t="s">
        <v>19</v>
      </c>
      <c r="M57" s="427">
        <v>1</v>
      </c>
      <c r="N57" s="427">
        <v>1</v>
      </c>
      <c r="O57" s="427">
        <v>1</v>
      </c>
      <c r="P57" s="427">
        <v>1</v>
      </c>
      <c r="Q57" s="427">
        <v>1</v>
      </c>
      <c r="R57" s="427">
        <v>1</v>
      </c>
      <c r="S57" s="427">
        <v>1</v>
      </c>
      <c r="T57" s="427">
        <v>1</v>
      </c>
      <c r="U57" s="427">
        <v>1</v>
      </c>
      <c r="V57" s="428"/>
      <c r="W57" s="428"/>
      <c r="X57" s="173"/>
      <c r="Y57" s="441"/>
      <c r="Z57" s="401">
        <v>20.200641379310341</v>
      </c>
      <c r="AA57" s="401">
        <v>20.200641379310341</v>
      </c>
      <c r="AB57" s="444">
        <f t="shared" si="4"/>
        <v>8.75</v>
      </c>
      <c r="AC57" s="139"/>
      <c r="AD57" s="139"/>
      <c r="AE57" s="441"/>
      <c r="AF57" s="441"/>
      <c r="AG57" s="119">
        <f>+IFERROR(AG55/(K55*$AT$3),"")</f>
        <v>3.0125714285714285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8.75</v>
      </c>
      <c r="AP57" s="167">
        <f>+AO57-AB57</f>
        <v>0</v>
      </c>
      <c r="AQ57" s="167"/>
      <c r="AR57" s="167"/>
      <c r="AS57" s="167"/>
      <c r="AT57" s="435"/>
      <c r="AU57" s="393"/>
      <c r="AW57" s="356">
        <v>2.9851428571428573</v>
      </c>
      <c r="AY57" s="356"/>
    </row>
    <row r="58" spans="2:51" s="98" customFormat="1" ht="62.25" customHeight="1" thickTop="1" x14ac:dyDescent="0.9">
      <c r="B58" s="97">
        <f>+B59</f>
        <v>13</v>
      </c>
      <c r="C58" s="370"/>
      <c r="D58" s="106"/>
      <c r="E58" s="106"/>
      <c r="F58" s="106"/>
      <c r="G58" s="577" t="s">
        <v>442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100</v>
      </c>
      <c r="N58" s="423">
        <v>100</v>
      </c>
      <c r="O58" s="423">
        <v>100</v>
      </c>
      <c r="P58" s="423"/>
      <c r="Q58" s="423"/>
      <c r="R58" s="423"/>
      <c r="S58" s="423"/>
      <c r="T58" s="423"/>
      <c r="U58" s="423"/>
      <c r="V58" s="423"/>
      <c r="W58" s="423"/>
      <c r="X58" s="135">
        <f t="shared" si="0"/>
        <v>300</v>
      </c>
      <c r="Y58" s="438"/>
      <c r="Z58" s="400">
        <v>-402.5</v>
      </c>
      <c r="AA58" s="540">
        <f>+X60</f>
        <v>-402.5</v>
      </c>
      <c r="AB58" s="135">
        <f t="shared" si="1"/>
        <v>300</v>
      </c>
      <c r="AC58" s="136">
        <f>+AD58+AB58</f>
        <v>1150</v>
      </c>
      <c r="AD58" s="136">
        <v>850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62.25" customHeight="1" x14ac:dyDescent="0.9">
      <c r="B59" s="132">
        <v>13</v>
      </c>
      <c r="C59" s="371">
        <f>+B59</f>
        <v>13</v>
      </c>
      <c r="D59" s="372" t="s">
        <v>441</v>
      </c>
      <c r="E59" s="111"/>
      <c r="F59" s="111" t="s">
        <v>35</v>
      </c>
      <c r="G59" s="578" t="str">
        <f>+G58</f>
        <v>7741-793-052</v>
      </c>
      <c r="H59" s="450">
        <v>8500</v>
      </c>
      <c r="I59" s="111" t="s">
        <v>33</v>
      </c>
      <c r="J59" s="113">
        <v>55.14</v>
      </c>
      <c r="K59" s="130">
        <v>46</v>
      </c>
      <c r="L59" s="101" t="s">
        <v>17</v>
      </c>
      <c r="M59" s="214">
        <v>0</v>
      </c>
      <c r="N59" s="214">
        <v>0</v>
      </c>
      <c r="O59" s="214">
        <v>0</v>
      </c>
      <c r="P59" s="214">
        <v>0</v>
      </c>
      <c r="Q59" s="214">
        <v>0</v>
      </c>
      <c r="R59" s="214">
        <v>0</v>
      </c>
      <c r="S59" s="214">
        <v>0</v>
      </c>
      <c r="T59" s="214">
        <v>0</v>
      </c>
      <c r="U59" s="214">
        <v>0</v>
      </c>
      <c r="V59" s="214"/>
      <c r="W59" s="424"/>
      <c r="X59" s="123">
        <f>+IF(H60="s",0,IF(AB59=0,0,IF(COUNTA(M59:W59)=AN61+0.25,SUMIF($C:$C,B59,$AB:$AB)/AN61,SUMIF($C:$C,B59,$AB:$AB)/(COUNTA(M59:W59)))))</f>
        <v>0</v>
      </c>
      <c r="Y59" s="439"/>
      <c r="Z59" s="400"/>
      <c r="AA59" s="541"/>
      <c r="AB59" s="134">
        <f t="shared" si="1"/>
        <v>0</v>
      </c>
      <c r="AC59" s="137">
        <f>+AB59+AD59</f>
        <v>0</v>
      </c>
      <c r="AD59" s="137">
        <v>0</v>
      </c>
      <c r="AE59" s="439"/>
      <c r="AF59" s="439">
        <f>+AE59+Y59</f>
        <v>0</v>
      </c>
      <c r="AG59" s="140">
        <f>+AC58-AC59</f>
        <v>1150</v>
      </c>
      <c r="AH59" s="131">
        <f>+IF(((AB60+(AB61/2))*60)=0,"",(J59*AB59)/((AB60+(AB61/2))*60))</f>
        <v>0</v>
      </c>
      <c r="AI59" s="161">
        <f>+AB60+AB61/2</f>
        <v>346</v>
      </c>
      <c r="AJ59" s="161">
        <f t="shared" si="2"/>
        <v>346</v>
      </c>
      <c r="AK59" s="167">
        <f t="shared" si="3"/>
        <v>20760</v>
      </c>
      <c r="AL59" s="167">
        <f>+AB59*J59</f>
        <v>0</v>
      </c>
      <c r="AM59" s="230" t="e">
        <f>+AB59-(AI59*K59/K61)</f>
        <v>#DIV/0!</v>
      </c>
      <c r="AN59" s="339"/>
      <c r="AO59" s="340"/>
      <c r="AP59" s="167"/>
      <c r="AQ59" s="167"/>
      <c r="AR59" s="167"/>
      <c r="AS59" s="167"/>
      <c r="AT59" s="433">
        <f t="shared" ref="AT59" si="31">IF(AU59=0,"",AW59-(($AT$3*K59)+($AT$3*K59)*AU59)+AB58)</f>
        <v>63.25</v>
      </c>
      <c r="AU59" s="393">
        <v>1.7</v>
      </c>
      <c r="AW59" s="356">
        <v>850</v>
      </c>
      <c r="AY59" s="356">
        <f t="shared" ref="AY59" si="32">+AW59-AG59</f>
        <v>-300</v>
      </c>
    </row>
    <row r="60" spans="2:51" s="98" customFormat="1" ht="62.25" customHeight="1" x14ac:dyDescent="0.9">
      <c r="B60" s="125">
        <f>+B59</f>
        <v>13</v>
      </c>
      <c r="C60" s="373"/>
      <c r="D60" s="184"/>
      <c r="E60" s="111">
        <f>+B59</f>
        <v>13</v>
      </c>
      <c r="F60" s="374"/>
      <c r="G60" s="578" t="str">
        <f>+G59</f>
        <v>7741-793-052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38</v>
      </c>
      <c r="N60" s="425">
        <v>38</v>
      </c>
      <c r="O60" s="425">
        <v>40</v>
      </c>
      <c r="P60" s="425">
        <v>40</v>
      </c>
      <c r="Q60" s="425">
        <v>40</v>
      </c>
      <c r="R60" s="425">
        <v>40</v>
      </c>
      <c r="S60" s="425">
        <v>40</v>
      </c>
      <c r="T60" s="425">
        <v>40</v>
      </c>
      <c r="U60" s="425">
        <v>40</v>
      </c>
      <c r="V60" s="425"/>
      <c r="W60" s="426"/>
      <c r="X60" s="160">
        <f>+IF(H60="l",IF(COUNTA(M59:W59)=AN61+0.25,AB59-K59*AN61,AB59-(K59*COUNTA(M59:W59))),IF(H60="s",0,IF(COUNTA(M59:W59)=AN61+0.25,SUMIF($C:$C,B59,$AB:$AB)-K59*AN61,SUMIF($C:$C,B59,$AB:$AB)-K59*COUNTA(M59:W59))))</f>
        <v>-402.5</v>
      </c>
      <c r="Y60" s="440"/>
      <c r="Z60" s="400"/>
      <c r="AA60" s="541"/>
      <c r="AB60" s="443">
        <f t="shared" si="4"/>
        <v>346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346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62.25" customHeight="1" thickBot="1" x14ac:dyDescent="0.95">
      <c r="B61" s="126">
        <f>+B59</f>
        <v>13</v>
      </c>
      <c r="C61" s="375"/>
      <c r="D61" s="174" t="s">
        <v>468</v>
      </c>
      <c r="E61" s="175">
        <f>+E60+100</f>
        <v>113</v>
      </c>
      <c r="F61" s="175"/>
      <c r="G61" s="579" t="str">
        <f>+G60</f>
        <v>7741-793-052</v>
      </c>
      <c r="H61" s="454">
        <f>+AC58-H59</f>
        <v>-7350</v>
      </c>
      <c r="I61" s="397"/>
      <c r="J61" s="165" t="str">
        <f>+IF(K61="","",IF(K59=0,"",(K59*J59)/(K61*60)))</f>
        <v/>
      </c>
      <c r="K61" s="429"/>
      <c r="L61" s="104" t="s">
        <v>19</v>
      </c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8"/>
      <c r="X61" s="173"/>
      <c r="Y61" s="441"/>
      <c r="Z61" s="448">
        <v>9.3088999999999995</v>
      </c>
      <c r="AA61" s="168">
        <f>+IF(COUNTA(M59:W59)=$AM$4+0.25,$AM$4-(AB59/K59),COUNTA(M59:W59)-(AB59/K59))+Z61</f>
        <v>18.058900000000001</v>
      </c>
      <c r="AB61" s="444">
        <f t="shared" si="4"/>
        <v>0</v>
      </c>
      <c r="AC61" s="139"/>
      <c r="AD61" s="139"/>
      <c r="AE61" s="441"/>
      <c r="AF61" s="441"/>
      <c r="AG61" s="119">
        <f>+IFERROR(AG59/(K59*$AT$3),"")</f>
        <v>2.8571428571428572</v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0</v>
      </c>
      <c r="AQ61" s="167"/>
      <c r="AR61" s="167"/>
      <c r="AS61" s="167"/>
      <c r="AT61" s="435"/>
      <c r="AU61" s="393"/>
      <c r="AW61" s="356">
        <v>2.1118012422360248</v>
      </c>
      <c r="AY61" s="356"/>
    </row>
    <row r="62" spans="2:51" s="98" customFormat="1" ht="58.5" customHeight="1" thickTop="1" x14ac:dyDescent="0.9">
      <c r="B62" s="127">
        <f>+B63</f>
        <v>14</v>
      </c>
      <c r="C62" s="370"/>
      <c r="D62" s="106"/>
      <c r="E62" s="106"/>
      <c r="F62" s="106"/>
      <c r="G62" s="577" t="s">
        <v>456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120</v>
      </c>
      <c r="N62" s="423">
        <v>180</v>
      </c>
      <c r="O62" s="423">
        <v>180</v>
      </c>
      <c r="P62" s="423">
        <v>60</v>
      </c>
      <c r="Q62" s="423">
        <v>60</v>
      </c>
      <c r="R62" s="423">
        <v>60</v>
      </c>
      <c r="S62" s="423"/>
      <c r="T62" s="423"/>
      <c r="U62" s="423"/>
      <c r="V62" s="423"/>
      <c r="W62" s="423"/>
      <c r="X62" s="135">
        <f t="shared" si="0"/>
        <v>660</v>
      </c>
      <c r="Y62" s="438"/>
      <c r="Z62" s="400">
        <v>0</v>
      </c>
      <c r="AA62" s="540">
        <f>+X64</f>
        <v>24</v>
      </c>
      <c r="AB62" s="135">
        <f t="shared" si="1"/>
        <v>660</v>
      </c>
      <c r="AC62" s="136">
        <f>+AD62+AB62</f>
        <v>3726</v>
      </c>
      <c r="AD62" s="136">
        <v>3066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58.5" customHeight="1" x14ac:dyDescent="0.9">
      <c r="B63" s="133">
        <v>14</v>
      </c>
      <c r="C63" s="371">
        <f>+B63</f>
        <v>14</v>
      </c>
      <c r="D63" s="372" t="s">
        <v>461</v>
      </c>
      <c r="E63" s="111"/>
      <c r="F63" s="111" t="s">
        <v>447</v>
      </c>
      <c r="G63" s="578" t="str">
        <f t="shared" ref="G63:G65" si="33">+G62</f>
        <v>DOT KEYHOLE</v>
      </c>
      <c r="H63" s="450">
        <v>6262</v>
      </c>
      <c r="I63" s="111" t="s">
        <v>252</v>
      </c>
      <c r="J63" s="113">
        <v>36.090000000000003</v>
      </c>
      <c r="K63" s="130">
        <v>80</v>
      </c>
      <c r="L63" s="101" t="s">
        <v>17</v>
      </c>
      <c r="M63" s="214">
        <v>80</v>
      </c>
      <c r="N63" s="214">
        <v>80</v>
      </c>
      <c r="O63" s="214">
        <v>80</v>
      </c>
      <c r="P63" s="214">
        <v>80</v>
      </c>
      <c r="Q63" s="214">
        <v>90</v>
      </c>
      <c r="R63" s="214">
        <v>85</v>
      </c>
      <c r="S63" s="214">
        <v>83</v>
      </c>
      <c r="T63" s="214">
        <v>83</v>
      </c>
      <c r="U63" s="214">
        <v>63</v>
      </c>
      <c r="V63" s="214"/>
      <c r="W63" s="214"/>
      <c r="X63" s="123">
        <f>+IF(H64="s",0,IF(AB63=0,0,IF(COUNTA(M63:W63)=AN65+0.25,SUMIF($C:$C,B63,$AB:$AB)/AN65,SUMIF($C:$C,B63,$AB:$AB)/(COUNTA(M63:W63)))))</f>
        <v>82.742857142857147</v>
      </c>
      <c r="Y63" s="439"/>
      <c r="Z63" s="400"/>
      <c r="AA63" s="541"/>
      <c r="AB63" s="134">
        <f t="shared" si="1"/>
        <v>724</v>
      </c>
      <c r="AC63" s="137">
        <f>+AB63+AD63</f>
        <v>2417</v>
      </c>
      <c r="AD63" s="137">
        <v>1693</v>
      </c>
      <c r="AE63" s="439"/>
      <c r="AF63" s="439">
        <f>+AE63+Y63</f>
        <v>0</v>
      </c>
      <c r="AG63" s="140">
        <f>+AC62-AC63</f>
        <v>1309</v>
      </c>
      <c r="AH63" s="131">
        <f>+IF(((AB64+(AB65/2))*60)=0,"",(J63*AB63)/((AB64+(AB65/2))*60))</f>
        <v>0.86556223602484483</v>
      </c>
      <c r="AI63" s="161">
        <f>+AB64+AB65/2</f>
        <v>503.125</v>
      </c>
      <c r="AJ63" s="161">
        <f t="shared" si="2"/>
        <v>503.07499999999999</v>
      </c>
      <c r="AK63" s="167">
        <f t="shared" si="3"/>
        <v>30187.5</v>
      </c>
      <c r="AL63" s="167">
        <f>+AB63*J63</f>
        <v>26129.160000000003</v>
      </c>
      <c r="AM63" s="230">
        <f>+AB63-(AI63*K63/K65)</f>
        <v>5.25</v>
      </c>
      <c r="AN63" s="339"/>
      <c r="AO63" s="340"/>
      <c r="AP63" s="167"/>
      <c r="AQ63" s="167"/>
      <c r="AR63" s="167"/>
      <c r="AS63" s="167"/>
      <c r="AT63" s="433">
        <f>-660+AB62</f>
        <v>0</v>
      </c>
      <c r="AU63" s="393">
        <v>1.95</v>
      </c>
      <c r="AW63" s="356">
        <v>1373</v>
      </c>
      <c r="AY63" s="356">
        <f t="shared" ref="AY63" si="34">+AW63-AG63</f>
        <v>64</v>
      </c>
    </row>
    <row r="64" spans="2:51" s="98" customFormat="1" ht="58.5" customHeight="1" x14ac:dyDescent="0.9">
      <c r="B64" s="125">
        <f>+B63</f>
        <v>14</v>
      </c>
      <c r="C64" s="373"/>
      <c r="D64" s="184"/>
      <c r="E64" s="111">
        <f>+B63</f>
        <v>14</v>
      </c>
      <c r="F64" s="374"/>
      <c r="G64" s="578" t="str">
        <f t="shared" si="33"/>
        <v>DOT KEYHOLE</v>
      </c>
      <c r="H64" s="376"/>
      <c r="I64" s="113">
        <f>+IFERROR(IF(K65=0,0,IF((LOOKUP(2,1/(M64:W64&lt;&gt;""),M64:W64)-K65)&lt;0,0,IF(K65=0,"",LOOKUP(2,1/(M64:W64&lt;&gt;""),M64:W64)-K65))),0)</f>
        <v>1</v>
      </c>
      <c r="J64" s="113"/>
      <c r="K64" s="114" t="s">
        <v>22</v>
      </c>
      <c r="L64" s="102" t="s">
        <v>18</v>
      </c>
      <c r="M64" s="425">
        <v>57</v>
      </c>
      <c r="N64" s="425">
        <v>57</v>
      </c>
      <c r="O64" s="425">
        <v>57</v>
      </c>
      <c r="P64" s="425">
        <v>57</v>
      </c>
      <c r="Q64" s="425">
        <v>57</v>
      </c>
      <c r="R64" s="425">
        <v>57</v>
      </c>
      <c r="S64" s="425">
        <v>57</v>
      </c>
      <c r="T64" s="425">
        <v>57</v>
      </c>
      <c r="U64" s="425">
        <v>57</v>
      </c>
      <c r="V64" s="425"/>
      <c r="W64" s="425"/>
      <c r="X64" s="160">
        <f>+IF(H64="l",IF(COUNTA(M63:W63)=AN65+0.25,AB63-K63*AN65,AB63-(K63*COUNTA(M63:W63))),IF(H64="s",0,IF(COUNTA(M63:W63)=AN65+0.25,SUMIF($C:$C,B63,$AB:$AB)-K63*AN65,SUMIF($C:$C,B63,$AB:$AB)-K63*COUNTA(M63:W63))))</f>
        <v>24</v>
      </c>
      <c r="Y64" s="440"/>
      <c r="Z64" s="400"/>
      <c r="AA64" s="541"/>
      <c r="AB64" s="443">
        <f t="shared" si="4"/>
        <v>498.75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498.75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58.5" customHeight="1" thickBot="1" x14ac:dyDescent="0.95">
      <c r="B65" s="126">
        <f>+B63</f>
        <v>14</v>
      </c>
      <c r="C65" s="375"/>
      <c r="D65" s="174" t="s">
        <v>112</v>
      </c>
      <c r="E65" s="175">
        <f>+E64+100</f>
        <v>114</v>
      </c>
      <c r="F65" s="175"/>
      <c r="G65" s="579" t="str">
        <f t="shared" si="33"/>
        <v>DOT KEYHOLE</v>
      </c>
      <c r="H65" s="454">
        <f>+AC62-H63</f>
        <v>-2536</v>
      </c>
      <c r="I65" s="397"/>
      <c r="J65" s="165">
        <f>+IF(K65="","",IF(K63=0,"",(K63*J63)/(K65*60)))</f>
        <v>0.85928571428571432</v>
      </c>
      <c r="K65" s="118">
        <v>56</v>
      </c>
      <c r="L65" s="104" t="s">
        <v>19</v>
      </c>
      <c r="M65" s="427">
        <v>1</v>
      </c>
      <c r="N65" s="427">
        <v>1</v>
      </c>
      <c r="O65" s="427">
        <v>1</v>
      </c>
      <c r="P65" s="427">
        <v>1</v>
      </c>
      <c r="Q65" s="427">
        <v>1</v>
      </c>
      <c r="R65" s="427">
        <v>1</v>
      </c>
      <c r="S65" s="427">
        <v>1</v>
      </c>
      <c r="T65" s="427">
        <v>1</v>
      </c>
      <c r="U65" s="427">
        <v>1</v>
      </c>
      <c r="V65" s="427"/>
      <c r="W65" s="427"/>
      <c r="X65" s="173"/>
      <c r="Y65" s="441"/>
      <c r="Z65" s="401">
        <v>41.23</v>
      </c>
      <c r="AA65" s="401">
        <v>41.23</v>
      </c>
      <c r="AB65" s="444">
        <f t="shared" si="4"/>
        <v>8.75</v>
      </c>
      <c r="AC65" s="139"/>
      <c r="AD65" s="139"/>
      <c r="AE65" s="441"/>
      <c r="AF65" s="441"/>
      <c r="AG65" s="119">
        <f>+IFERROR(AG63/(K63*$AT$3),"")</f>
        <v>1.87</v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8.75</v>
      </c>
      <c r="AP65" s="167">
        <f>+AO65-AB65</f>
        <v>0</v>
      </c>
      <c r="AQ65" s="167"/>
      <c r="AR65" s="167"/>
      <c r="AS65" s="167"/>
      <c r="AT65" s="435"/>
      <c r="AU65" s="393"/>
      <c r="AW65" s="356">
        <v>1.9614285714285715</v>
      </c>
      <c r="AY65" s="356"/>
    </row>
    <row r="66" spans="2:62" s="98" customFormat="1" ht="62.25" customHeight="1" thickTop="1" x14ac:dyDescent="0.9">
      <c r="B66" s="97">
        <f>+B67</f>
        <v>15</v>
      </c>
      <c r="C66" s="370"/>
      <c r="D66" s="106"/>
      <c r="E66" s="106"/>
      <c r="F66" s="106"/>
      <c r="G66" s="577" t="s">
        <v>440</v>
      </c>
      <c r="H66" s="106"/>
      <c r="I66" s="106"/>
      <c r="J66" s="107" t="s">
        <v>20</v>
      </c>
      <c r="K66" s="108" t="s">
        <v>23</v>
      </c>
      <c r="L66" s="100" t="s">
        <v>21</v>
      </c>
      <c r="M66" s="423">
        <v>75</v>
      </c>
      <c r="N66" s="423">
        <v>150</v>
      </c>
      <c r="O66" s="423">
        <v>75</v>
      </c>
      <c r="P66" s="423"/>
      <c r="Q66" s="423">
        <v>75</v>
      </c>
      <c r="R66" s="423"/>
      <c r="S66" s="423"/>
      <c r="T66" s="423"/>
      <c r="U66" s="423"/>
      <c r="V66" s="423"/>
      <c r="W66" s="423"/>
      <c r="X66" s="135">
        <f t="shared" ref="X66:X94" si="35">IF(AT67="","",SUM(M66:W66)-(-(AT67-SUM(M66:W66))/$AT$3)*SUM($M$2:$W$2))</f>
        <v>375</v>
      </c>
      <c r="Y66" s="438"/>
      <c r="Z66" s="400">
        <v>0</v>
      </c>
      <c r="AA66" s="540">
        <f>+X68</f>
        <v>0</v>
      </c>
      <c r="AB66" s="135">
        <f t="shared" ref="AB66:AB95" si="36">+SUM(L66:W66)</f>
        <v>375</v>
      </c>
      <c r="AC66" s="136">
        <f>+AD66+AB66</f>
        <v>2251</v>
      </c>
      <c r="AD66" s="136">
        <v>1876</v>
      </c>
      <c r="AE66" s="438"/>
      <c r="AF66" s="438"/>
      <c r="AG66" s="109"/>
      <c r="AH66" s="110"/>
      <c r="AI66" s="157"/>
      <c r="AJ66" s="161">
        <f t="shared" si="2"/>
        <v>0</v>
      </c>
      <c r="AK66" s="167">
        <f t="shared" si="3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1.35">
      <c r="B67" s="132">
        <v>15</v>
      </c>
      <c r="C67" s="371">
        <f>+B67</f>
        <v>15</v>
      </c>
      <c r="D67" s="372" t="s">
        <v>439</v>
      </c>
      <c r="E67" s="111"/>
      <c r="F67" s="111" t="s">
        <v>35</v>
      </c>
      <c r="G67" s="578" t="str">
        <f>+G66</f>
        <v>7740-876-052</v>
      </c>
      <c r="H67" s="450">
        <v>7700</v>
      </c>
      <c r="I67" s="111" t="s">
        <v>33</v>
      </c>
      <c r="J67" s="113">
        <v>55.78</v>
      </c>
      <c r="K67" s="130">
        <v>52</v>
      </c>
      <c r="L67" s="101" t="s">
        <v>17</v>
      </c>
      <c r="M67" s="214">
        <v>52</v>
      </c>
      <c r="N67" s="214">
        <v>52</v>
      </c>
      <c r="O67" s="214">
        <v>52</v>
      </c>
      <c r="P67" s="214">
        <v>52</v>
      </c>
      <c r="Q67" s="214">
        <v>52</v>
      </c>
      <c r="R67" s="214">
        <v>52</v>
      </c>
      <c r="S67" s="214">
        <v>52</v>
      </c>
      <c r="T67" s="214">
        <v>52</v>
      </c>
      <c r="U67" s="214">
        <v>39</v>
      </c>
      <c r="V67" s="424"/>
      <c r="W67" s="424"/>
      <c r="X67" s="123">
        <f>+IF(H68="s",0,IF(AB67=0,0,IF(COUNTA(M67:W67)=AN69+0.25,SUMIF($C:$C,B67,$AB:$AB)/AN69,SUMIF($C:$C,B67,$AB:$AB)/(COUNTA(M67:W67)))))</f>
        <v>52</v>
      </c>
      <c r="Y67" s="439"/>
      <c r="Z67" s="400"/>
      <c r="AA67" s="541"/>
      <c r="AB67" s="134">
        <f t="shared" si="36"/>
        <v>455</v>
      </c>
      <c r="AC67" s="137">
        <f>+AB67+AD67</f>
        <v>1003</v>
      </c>
      <c r="AD67" s="137">
        <v>548</v>
      </c>
      <c r="AE67" s="439">
        <v>0</v>
      </c>
      <c r="AF67" s="439">
        <f>+AE67+Y67</f>
        <v>0</v>
      </c>
      <c r="AG67" s="140">
        <f>+AC66-AC67</f>
        <v>1248</v>
      </c>
      <c r="AH67" s="131">
        <f>+IF(((AB68+(AB69/2))*60)=0,"",(J67*AB67)/((AB68+(AB69/2))*60))</f>
        <v>0.92966666666666675</v>
      </c>
      <c r="AI67" s="161">
        <f>+AB68+AB69/2</f>
        <v>455</v>
      </c>
      <c r="AJ67" s="161">
        <f t="shared" si="2"/>
        <v>455</v>
      </c>
      <c r="AK67" s="167">
        <f t="shared" si="3"/>
        <v>27300</v>
      </c>
      <c r="AL67" s="167">
        <f>+AB67*J67</f>
        <v>25379.9</v>
      </c>
      <c r="AM67" s="230">
        <f>+AB67-(AI67*K67/K69)</f>
        <v>32.5</v>
      </c>
      <c r="AN67" s="339"/>
      <c r="AO67" s="340"/>
      <c r="AP67" s="167"/>
      <c r="AQ67" s="167"/>
      <c r="AR67" s="167"/>
      <c r="AS67" s="167"/>
      <c r="AT67" s="433">
        <f t="shared" ref="AT67" si="37">IF(AU67=0,"",AW67-(($AT$3*K67)+($AT$3*K67)*AU67)+AB66)</f>
        <v>5.8499999999999091</v>
      </c>
      <c r="AU67" s="393">
        <v>2.73</v>
      </c>
      <c r="AW67" s="356">
        <v>1328</v>
      </c>
      <c r="AY67" s="356">
        <f t="shared" ref="AY67" si="38">+AW67-AG67</f>
        <v>80</v>
      </c>
      <c r="AZ67" s="581"/>
      <c r="BA67" s="581"/>
      <c r="BB67" s="581"/>
      <c r="BC67" s="581"/>
      <c r="BD67" s="581"/>
      <c r="BE67" s="581"/>
      <c r="BF67" s="581"/>
      <c r="BG67" s="581"/>
      <c r="BH67" s="581"/>
      <c r="BI67" s="581"/>
    </row>
    <row r="68" spans="2:62" s="98" customFormat="1" ht="62.25" customHeight="1" x14ac:dyDescent="0.9">
      <c r="B68" s="125">
        <f>+B67</f>
        <v>15</v>
      </c>
      <c r="C68" s="373"/>
      <c r="D68" s="184"/>
      <c r="E68" s="111">
        <f>+B67</f>
        <v>15</v>
      </c>
      <c r="F68" s="377"/>
      <c r="G68" s="578" t="str">
        <f>+G67</f>
        <v>7740-876-052</v>
      </c>
      <c r="H68" s="376" t="s">
        <v>399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>
        <v>51</v>
      </c>
      <c r="N68" s="425">
        <v>51</v>
      </c>
      <c r="O68" s="425">
        <v>51</v>
      </c>
      <c r="P68" s="425">
        <v>51</v>
      </c>
      <c r="Q68" s="425">
        <v>51</v>
      </c>
      <c r="R68" s="425">
        <v>51</v>
      </c>
      <c r="S68" s="425">
        <v>51</v>
      </c>
      <c r="T68" s="425">
        <v>51</v>
      </c>
      <c r="U68" s="425">
        <v>51</v>
      </c>
      <c r="V68" s="426"/>
      <c r="W68" s="426"/>
      <c r="X68" s="160">
        <f>+IF(H68="l",IF(COUNTA(M67:W67)=AN69+0.25,AB67-K67*AN69,AB67-(K67*COUNTA(M67:W67))),IF(H68="s",0,IF(COUNTA(M67:W67)=AN69+0.25,SUMIF($C:$C,B67,$AB:$AB)-K67*AN69,SUMIF($C:$C,B67,$AB:$AB)-K67*COUNTA(M67:W67))))</f>
        <v>0</v>
      </c>
      <c r="Y68" s="440"/>
      <c r="Z68" s="400"/>
      <c r="AA68" s="541"/>
      <c r="AB68" s="443">
        <f t="shared" ref="AB68:AB97" si="39">+SUM(M68:W68)-U68*0.25</f>
        <v>446.25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167">
        <f t="shared" si="3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446.25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126">
        <f>+B67</f>
        <v>15</v>
      </c>
      <c r="C69" s="375"/>
      <c r="D69" s="174" t="s">
        <v>93</v>
      </c>
      <c r="E69" s="175">
        <f>+E68+100</f>
        <v>115</v>
      </c>
      <c r="F69" s="175"/>
      <c r="G69" s="579" t="str">
        <f>+G68</f>
        <v>7740-876-052</v>
      </c>
      <c r="H69" s="454">
        <f>+AC66-H67</f>
        <v>-5449</v>
      </c>
      <c r="I69" s="397"/>
      <c r="J69" s="165">
        <f>+IF(K69="","",IF(K67=0,"",(K67*J67)/(K69*60)))</f>
        <v>0.86326190476190479</v>
      </c>
      <c r="K69" s="118">
        <v>56</v>
      </c>
      <c r="L69" s="104" t="s">
        <v>19</v>
      </c>
      <c r="M69" s="427">
        <v>2</v>
      </c>
      <c r="N69" s="427">
        <v>2</v>
      </c>
      <c r="O69" s="427">
        <v>2</v>
      </c>
      <c r="P69" s="427">
        <v>2</v>
      </c>
      <c r="Q69" s="427">
        <v>2</v>
      </c>
      <c r="R69" s="427">
        <v>2</v>
      </c>
      <c r="S69" s="427">
        <v>2</v>
      </c>
      <c r="T69" s="427">
        <v>2</v>
      </c>
      <c r="U69" s="427">
        <v>2</v>
      </c>
      <c r="V69" s="428"/>
      <c r="W69" s="428"/>
      <c r="X69" s="173"/>
      <c r="Y69" s="441"/>
      <c r="Z69" s="401">
        <v>11.961538461538462</v>
      </c>
      <c r="AA69" s="448">
        <v>11.961538461538462</v>
      </c>
      <c r="AB69" s="444">
        <f t="shared" si="39"/>
        <v>17.5</v>
      </c>
      <c r="AC69" s="139"/>
      <c r="AD69" s="139"/>
      <c r="AE69" s="441"/>
      <c r="AF69" s="441"/>
      <c r="AG69" s="119">
        <f>+IFERROR(AG67/(K67*$AT$3),"")</f>
        <v>2.7428571428571429</v>
      </c>
      <c r="AH69" s="162"/>
      <c r="AI69" s="161"/>
      <c r="AJ69" s="161">
        <f t="shared" si="2"/>
        <v>0</v>
      </c>
      <c r="AK69" s="167">
        <f t="shared" si="3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17.5</v>
      </c>
      <c r="AP69" s="167">
        <f>+AO69-AB69</f>
        <v>0</v>
      </c>
      <c r="AQ69" s="167"/>
      <c r="AR69" s="167"/>
      <c r="AS69" s="167"/>
      <c r="AT69" s="435"/>
      <c r="AU69" s="393"/>
      <c r="AW69" s="356">
        <v>2.9186813186813185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77" t="s">
        <v>450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si="35"/>
        <v/>
      </c>
      <c r="Y70" s="438"/>
      <c r="Z70" s="400">
        <v>0</v>
      </c>
      <c r="AA70" s="540">
        <f>+X72</f>
        <v>0</v>
      </c>
      <c r="AB70" s="135">
        <f t="shared" si="36"/>
        <v>0</v>
      </c>
      <c r="AC70" s="136">
        <f>+AD70+AB70</f>
        <v>3528</v>
      </c>
      <c r="AD70" s="136">
        <v>3528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449</v>
      </c>
      <c r="E71" s="111"/>
      <c r="F71" s="111" t="s">
        <v>422</v>
      </c>
      <c r="G71" s="578" t="str">
        <f>+G70</f>
        <v>PIANO-PURPLE</v>
      </c>
      <c r="H71" s="450">
        <v>3528</v>
      </c>
      <c r="I71" s="111" t="s">
        <v>451</v>
      </c>
      <c r="J71" s="113">
        <v>33.86</v>
      </c>
      <c r="K71" s="130">
        <v>75</v>
      </c>
      <c r="L71" s="101" t="s">
        <v>17</v>
      </c>
      <c r="M71" s="214"/>
      <c r="N71" s="214"/>
      <c r="O71" s="214"/>
      <c r="P71" s="214"/>
      <c r="Q71" s="214"/>
      <c r="R71" s="214"/>
      <c r="S71" s="214"/>
      <c r="T71" s="214"/>
      <c r="U71" s="214"/>
      <c r="V71" s="424"/>
      <c r="W71" s="424"/>
      <c r="X71" s="123">
        <f>+IF(H72="s",0,IF(AB71=0,0,IF(COUNTA(M71:W71)=AN73+0.25,SUMIF($C:$C,B71,$AB:$AB)/AN73,SUMIF($C:$C,B71,$AB:$AB)/(COUNTA(M71:W71)))))</f>
        <v>0</v>
      </c>
      <c r="Y71" s="439"/>
      <c r="Z71" s="400"/>
      <c r="AA71" s="541"/>
      <c r="AB71" s="134">
        <f t="shared" si="36"/>
        <v>0</v>
      </c>
      <c r="AC71" s="137">
        <f>+AB71+AD71</f>
        <v>3523</v>
      </c>
      <c r="AD71" s="137">
        <v>3523</v>
      </c>
      <c r="AE71" s="439"/>
      <c r="AF71" s="439">
        <f>+AE71+Y71</f>
        <v>0</v>
      </c>
      <c r="AG71" s="140">
        <f>+AC70-AC71</f>
        <v>5</v>
      </c>
      <c r="AH71" s="131" t="str">
        <f>+IF(((AB72+(AB73/2))*60)=0,"",(J71*AB71)/((AB72+(AB73/2))*60))</f>
        <v/>
      </c>
      <c r="AI71" s="161">
        <f>+AB72+AB73/2</f>
        <v>0</v>
      </c>
      <c r="AJ71" s="161">
        <f t="shared" si="2"/>
        <v>0</v>
      </c>
      <c r="AK71" s="167">
        <f t="shared" si="3"/>
        <v>0</v>
      </c>
      <c r="AL71" s="167">
        <f>+AB71*J71</f>
        <v>0</v>
      </c>
      <c r="AM71" s="230">
        <f>+AB71-(AI71*K71/K73)</f>
        <v>0</v>
      </c>
      <c r="AN71" s="339"/>
      <c r="AO71" s="340"/>
      <c r="AP71" s="167"/>
      <c r="AQ71" s="167"/>
      <c r="AR71" s="167"/>
      <c r="AS71" s="167"/>
      <c r="AT71" s="433" t="str">
        <f t="shared" ref="AT71" si="40">IF(AU71=0,"",AW71-(($AT$3*K71)+($AT$3*K71)*AU71)+AB70)</f>
        <v/>
      </c>
      <c r="AU71" s="393"/>
      <c r="AW71" s="356">
        <v>5</v>
      </c>
      <c r="AY71" s="356">
        <f t="shared" ref="AY71" si="41">+AW71-AG71</f>
        <v>0</v>
      </c>
      <c r="AZ71" s="580"/>
      <c r="BA71" s="580"/>
      <c r="BB71" s="580"/>
      <c r="BC71" s="580"/>
      <c r="BD71" s="580"/>
      <c r="BE71" s="580"/>
      <c r="BF71" s="580"/>
      <c r="BG71" s="580"/>
      <c r="BH71" s="580"/>
      <c r="BI71" s="580"/>
      <c r="BJ71" s="580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78" t="str">
        <f>+G70</f>
        <v>PIANO-PURPLE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>
        <v>1</v>
      </c>
      <c r="K72" s="114" t="s">
        <v>22</v>
      </c>
      <c r="L72" s="102" t="s">
        <v>18</v>
      </c>
      <c r="M72" s="425"/>
      <c r="N72" s="425"/>
      <c r="O72" s="425"/>
      <c r="P72" s="425"/>
      <c r="Q72" s="425"/>
      <c r="R72" s="425"/>
      <c r="S72" s="425"/>
      <c r="T72" s="425"/>
      <c r="U72" s="425"/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0</v>
      </c>
      <c r="Y72" s="440"/>
      <c r="Z72" s="400"/>
      <c r="AA72" s="541"/>
      <c r="AB72" s="443">
        <f t="shared" si="39"/>
        <v>0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0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79" t="str">
        <f>+G70</f>
        <v>PIANO-PURPLE</v>
      </c>
      <c r="H73" s="454">
        <f>+AC70-H71</f>
        <v>0</v>
      </c>
      <c r="I73" s="397"/>
      <c r="J73" s="165">
        <f>+IF(K73="","",IF(K71=0,"",(K71*J71)/(K73*60)))</f>
        <v>0.81394230769230769</v>
      </c>
      <c r="K73" s="118">
        <v>52</v>
      </c>
      <c r="L73" s="104" t="s">
        <v>19</v>
      </c>
      <c r="M73" s="427"/>
      <c r="N73" s="427"/>
      <c r="O73" s="427"/>
      <c r="P73" s="427"/>
      <c r="Q73" s="427"/>
      <c r="R73" s="427"/>
      <c r="S73" s="427"/>
      <c r="T73" s="427"/>
      <c r="U73" s="427"/>
      <c r="V73" s="428"/>
      <c r="W73" s="428"/>
      <c r="X73" s="173"/>
      <c r="Y73" s="441"/>
      <c r="Z73" s="401">
        <v>26.999523809523808</v>
      </c>
      <c r="AA73" s="168">
        <f>+IF(COUNTA(M71:W71)=$AM$4+0.25,$AM$4-(AB71/K71),COUNTA(M71:W71)-(AB71/K71))+Z73</f>
        <v>26.999523809523808</v>
      </c>
      <c r="AB73" s="444">
        <f t="shared" si="39"/>
        <v>0</v>
      </c>
      <c r="AC73" s="139"/>
      <c r="AD73" s="139"/>
      <c r="AE73" s="441"/>
      <c r="AF73" s="441"/>
      <c r="AG73" s="119">
        <f>+IFERROR(AG71/(K71*$AT$3),"")</f>
        <v>7.619047619047619E-3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0</v>
      </c>
      <c r="AQ73" s="167"/>
      <c r="AR73" s="167"/>
      <c r="AS73" s="167"/>
      <c r="AT73" s="435"/>
      <c r="AU73" s="393"/>
      <c r="AW73" s="356">
        <v>7.619047619047619E-3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77" t="s">
        <v>463</v>
      </c>
      <c r="H74" s="106"/>
      <c r="I74" s="106"/>
      <c r="J74" s="107" t="s">
        <v>20</v>
      </c>
      <c r="K74" s="108" t="s">
        <v>23</v>
      </c>
      <c r="L74" s="100" t="s">
        <v>21</v>
      </c>
      <c r="M74" s="423">
        <v>60</v>
      </c>
      <c r="N74" s="423">
        <v>80</v>
      </c>
      <c r="O74" s="423">
        <v>123</v>
      </c>
      <c r="P74" s="423"/>
      <c r="Q74" s="423"/>
      <c r="R74" s="423"/>
      <c r="S74" s="423"/>
      <c r="T74" s="423"/>
      <c r="U74" s="423"/>
      <c r="V74" s="423"/>
      <c r="W74" s="423"/>
      <c r="X74" s="135">
        <f t="shared" si="35"/>
        <v>263</v>
      </c>
      <c r="Y74" s="438"/>
      <c r="Z74" s="400">
        <v>-268.25</v>
      </c>
      <c r="AA74" s="540">
        <f>+X76</f>
        <v>-207.25</v>
      </c>
      <c r="AB74" s="135">
        <f t="shared" si="36"/>
        <v>263</v>
      </c>
      <c r="AC74" s="136">
        <f>+AD74+AB74</f>
        <v>2169</v>
      </c>
      <c r="AD74" s="136">
        <v>1906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462</v>
      </c>
      <c r="E75" s="111"/>
      <c r="F75" s="111" t="s">
        <v>422</v>
      </c>
      <c r="G75" s="578" t="str">
        <f>+G74</f>
        <v>PIANO-Turquaz</v>
      </c>
      <c r="H75" s="450">
        <v>2155</v>
      </c>
      <c r="I75" s="111" t="s">
        <v>451</v>
      </c>
      <c r="J75" s="113">
        <v>33.86</v>
      </c>
      <c r="K75" s="130">
        <v>75</v>
      </c>
      <c r="L75" s="101" t="s">
        <v>17</v>
      </c>
      <c r="M75" s="214">
        <v>55</v>
      </c>
      <c r="N75" s="214">
        <v>60</v>
      </c>
      <c r="O75" s="214">
        <v>50</v>
      </c>
      <c r="P75" s="214">
        <v>50</v>
      </c>
      <c r="Q75" s="214">
        <v>50</v>
      </c>
      <c r="R75" s="214">
        <v>60</v>
      </c>
      <c r="S75" s="214">
        <v>60</v>
      </c>
      <c r="T75" s="214">
        <v>50</v>
      </c>
      <c r="U75" s="214">
        <v>14</v>
      </c>
      <c r="V75" s="424"/>
      <c r="W75" s="424"/>
      <c r="X75" s="123">
        <f>+IF(H76="s",0,IF(AB75=0,0,IF(COUNTA(M75:W75)=AN77+0.25,SUMIF($C:$C,B75,$AB:$AB)/AN77,SUMIF($C:$C,B75,$AB:$AB)/(COUNTA(M75:W75)))))</f>
        <v>51.314285714285717</v>
      </c>
      <c r="Y75" s="439"/>
      <c r="Z75" s="400"/>
      <c r="AA75" s="541"/>
      <c r="AB75" s="134">
        <f t="shared" si="36"/>
        <v>449</v>
      </c>
      <c r="AC75" s="137">
        <f>+AB75+AD75</f>
        <v>957</v>
      </c>
      <c r="AD75" s="137">
        <v>508</v>
      </c>
      <c r="AE75" s="439"/>
      <c r="AF75" s="439">
        <f>+AE75+Y75</f>
        <v>0</v>
      </c>
      <c r="AG75" s="140">
        <f>+AC74-AC75</f>
        <v>1212</v>
      </c>
      <c r="AH75" s="131">
        <f>+IF(((AB76+(AB77/2))*60)=0,"",(J75*AB75)/((AB76+(AB77/2))*60))</f>
        <v>0.59254175192438852</v>
      </c>
      <c r="AI75" s="161">
        <f>+AB76+AB77/2</f>
        <v>427.625</v>
      </c>
      <c r="AJ75" s="161">
        <f t="shared" si="2"/>
        <v>427.375</v>
      </c>
      <c r="AK75" s="167">
        <f t="shared" si="3"/>
        <v>25657.5</v>
      </c>
      <c r="AL75" s="167">
        <f>+AB75*J75</f>
        <v>15203.14</v>
      </c>
      <c r="AM75" s="230">
        <f>+AB75-(AI75*K75/K77)</f>
        <v>-192.4375</v>
      </c>
      <c r="AN75" s="339"/>
      <c r="AO75" s="340"/>
      <c r="AP75" s="167"/>
      <c r="AQ75" s="167"/>
      <c r="AR75" s="167"/>
      <c r="AS75" s="167"/>
      <c r="AT75" s="433">
        <f>-263+AB74</f>
        <v>0</v>
      </c>
      <c r="AU75" s="393">
        <v>1.88</v>
      </c>
      <c r="AW75" s="356">
        <v>1398</v>
      </c>
      <c r="AY75" s="356">
        <f t="shared" ref="AY75" si="42">+AW75-AG75</f>
        <v>186</v>
      </c>
      <c r="AZ75" s="580"/>
      <c r="BA75" s="580"/>
      <c r="BB75" s="580"/>
      <c r="BC75" s="580"/>
      <c r="BD75" s="580"/>
      <c r="BE75" s="580"/>
      <c r="BF75" s="580"/>
      <c r="BG75" s="580"/>
      <c r="BH75" s="580"/>
      <c r="BI75" s="580"/>
      <c r="BJ75" s="580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78" t="str">
        <f>+G74</f>
        <v>PIANO-Turquaz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>
        <v>49</v>
      </c>
      <c r="N76" s="425">
        <v>49</v>
      </c>
      <c r="O76" s="425">
        <v>49</v>
      </c>
      <c r="P76" s="425">
        <v>49</v>
      </c>
      <c r="Q76" s="425">
        <v>49</v>
      </c>
      <c r="R76" s="425">
        <v>48</v>
      </c>
      <c r="S76" s="425">
        <v>48</v>
      </c>
      <c r="T76" s="425">
        <v>47</v>
      </c>
      <c r="U76" s="425">
        <v>47</v>
      </c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-207.25</v>
      </c>
      <c r="Y76" s="440"/>
      <c r="Z76" s="400"/>
      <c r="AA76" s="541"/>
      <c r="AB76" s="443">
        <f t="shared" si="39"/>
        <v>423.25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423.25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79" t="str">
        <f>+G74</f>
        <v>PIANO-Turquaz</v>
      </c>
      <c r="H77" s="454">
        <f>+AC74-H75</f>
        <v>14</v>
      </c>
      <c r="I77" s="397"/>
      <c r="J77" s="165">
        <f>+IF(K77="","",IF(K75=0,"",(K75*J75)/(K77*60)))</f>
        <v>0.84650000000000003</v>
      </c>
      <c r="K77" s="118">
        <v>50</v>
      </c>
      <c r="L77" s="104" t="s">
        <v>19</v>
      </c>
      <c r="M77" s="427">
        <v>1</v>
      </c>
      <c r="N77" s="427">
        <v>1</v>
      </c>
      <c r="O77" s="427">
        <v>1</v>
      </c>
      <c r="P77" s="427">
        <v>1</v>
      </c>
      <c r="Q77" s="427">
        <v>1</v>
      </c>
      <c r="R77" s="427">
        <v>1</v>
      </c>
      <c r="S77" s="427">
        <v>1</v>
      </c>
      <c r="T77" s="427">
        <v>1</v>
      </c>
      <c r="U77" s="427">
        <v>1</v>
      </c>
      <c r="V77" s="428"/>
      <c r="W77" s="428"/>
      <c r="X77" s="173"/>
      <c r="Y77" s="441"/>
      <c r="Z77" s="169">
        <v>24.69</v>
      </c>
      <c r="AA77" s="169">
        <v>24.69</v>
      </c>
      <c r="AB77" s="444">
        <f t="shared" si="39"/>
        <v>8.75</v>
      </c>
      <c r="AC77" s="139"/>
      <c r="AD77" s="139"/>
      <c r="AE77" s="441"/>
      <c r="AF77" s="441"/>
      <c r="AG77" s="119">
        <f>+IFERROR(AG75/(K75*$AT$3),"")</f>
        <v>1.8468571428571428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8.75</v>
      </c>
      <c r="AP77" s="167">
        <f>+AO77-AB77</f>
        <v>0</v>
      </c>
      <c r="AQ77" s="167"/>
      <c r="AR77" s="167"/>
      <c r="AS77" s="167"/>
      <c r="AT77" s="435"/>
      <c r="AU77" s="393"/>
      <c r="AW77" s="356">
        <v>2.1302857142857143</v>
      </c>
      <c r="AY77" s="356"/>
    </row>
    <row r="78" spans="2:62" s="98" customFormat="1" ht="62.25" customHeight="1" thickTop="1" x14ac:dyDescent="0.9">
      <c r="B78" s="127">
        <f>+B79</f>
        <v>16</v>
      </c>
      <c r="C78" s="370"/>
      <c r="D78" s="106"/>
      <c r="E78" s="106"/>
      <c r="F78" s="106"/>
      <c r="G78" s="577" t="s">
        <v>472</v>
      </c>
      <c r="H78" s="106"/>
      <c r="I78" s="106"/>
      <c r="J78" s="107" t="s">
        <v>20</v>
      </c>
      <c r="K78" s="108" t="s">
        <v>23</v>
      </c>
      <c r="L78" s="100" t="s">
        <v>21</v>
      </c>
      <c r="M78" s="423"/>
      <c r="N78" s="423"/>
      <c r="O78" s="423">
        <v>50</v>
      </c>
      <c r="P78" s="423">
        <v>100</v>
      </c>
      <c r="Q78" s="423">
        <v>50</v>
      </c>
      <c r="R78" s="423"/>
      <c r="S78" s="423"/>
      <c r="T78" s="423"/>
      <c r="U78" s="423"/>
      <c r="V78" s="423"/>
      <c r="W78" s="423"/>
      <c r="X78" s="135" t="str">
        <f t="shared" ref="X78" si="43">IF(AT79="","",SUM(M78:W78)-(-(AT79-SUM(M78:W78))/$AT$3)*SUM($M$2:$W$2))</f>
        <v/>
      </c>
      <c r="Y78" s="438"/>
      <c r="Z78" s="400">
        <v>0</v>
      </c>
      <c r="AA78" s="540">
        <f>+X80</f>
        <v>0</v>
      </c>
      <c r="AB78" s="135">
        <f t="shared" ref="AB78:AB79" si="44">+SUM(L78:W78)</f>
        <v>200</v>
      </c>
      <c r="AC78" s="136">
        <f>+AD78+AB78</f>
        <v>200</v>
      </c>
      <c r="AD78" s="136"/>
      <c r="AE78" s="438"/>
      <c r="AF78" s="438"/>
      <c r="AG78" s="109"/>
      <c r="AH78" s="110"/>
      <c r="AI78" s="157"/>
      <c r="AJ78" s="161">
        <f t="shared" ref="AJ78:AJ81" si="45">TRUNC(AI78)+(AI78-TRUNC(AI78))*60/100</f>
        <v>0</v>
      </c>
      <c r="AK78" s="167">
        <f t="shared" ref="AK78:AK81" si="46">+AI78*60</f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3">
        <v>16</v>
      </c>
      <c r="C79" s="371">
        <f>+B79</f>
        <v>16</v>
      </c>
      <c r="D79" s="372" t="s">
        <v>473</v>
      </c>
      <c r="E79" s="111"/>
      <c r="F79" s="111" t="s">
        <v>35</v>
      </c>
      <c r="G79" s="578" t="str">
        <f>+G78</f>
        <v>7674-739-401</v>
      </c>
      <c r="H79" s="450">
        <v>8333</v>
      </c>
      <c r="I79" s="111" t="s">
        <v>251</v>
      </c>
      <c r="J79" s="113"/>
      <c r="K79" s="130"/>
      <c r="L79" s="101" t="s">
        <v>17</v>
      </c>
      <c r="M79" s="214"/>
      <c r="N79" s="214"/>
      <c r="O79" s="214"/>
      <c r="P79" s="214"/>
      <c r="Q79" s="214"/>
      <c r="R79" s="214"/>
      <c r="S79" s="214"/>
      <c r="T79" s="214"/>
      <c r="U79" s="214"/>
      <c r="V79" s="424"/>
      <c r="W79" s="424"/>
      <c r="X79" s="123">
        <f>+IF(H80="s",0,IF(AB79=0,0,IF(COUNTA(M79:W79)=AN81+0.25,SUMIF($C:$C,B79,$AB:$AB)/AN81,SUMIF($C:$C,B79,$AB:$AB)/(COUNTA(M79:W79)))))</f>
        <v>0</v>
      </c>
      <c r="Y79" s="439"/>
      <c r="Z79" s="400"/>
      <c r="AA79" s="541"/>
      <c r="AB79" s="134">
        <f t="shared" si="44"/>
        <v>0</v>
      </c>
      <c r="AC79" s="137">
        <f>+AB79+AD79</f>
        <v>0</v>
      </c>
      <c r="AD79" s="137"/>
      <c r="AE79" s="439"/>
      <c r="AF79" s="439">
        <f>+AE79+Y79</f>
        <v>0</v>
      </c>
      <c r="AG79" s="140">
        <f>+AC78-AC79</f>
        <v>200</v>
      </c>
      <c r="AH79" s="131">
        <f>+IF(((AB80+(AB81/2))*60)=0,"",(J79*AB79)/((AB80+(AB81/2))*60))</f>
        <v>0</v>
      </c>
      <c r="AI79" s="161">
        <f>+AB80+AB81/2</f>
        <v>5.5</v>
      </c>
      <c r="AJ79" s="161">
        <f t="shared" si="45"/>
        <v>5.3</v>
      </c>
      <c r="AK79" s="167">
        <f t="shared" si="46"/>
        <v>330</v>
      </c>
      <c r="AL79" s="167">
        <f>+AB79*J79</f>
        <v>0</v>
      </c>
      <c r="AM79" s="230">
        <f>+AB79-(AI79*K79/K81)</f>
        <v>0</v>
      </c>
      <c r="AN79" s="339"/>
      <c r="AO79" s="340"/>
      <c r="AP79" s="167"/>
      <c r="AQ79" s="167"/>
      <c r="AR79" s="167"/>
      <c r="AS79" s="167"/>
      <c r="AT79" s="433" t="str">
        <f t="shared" ref="AT79" si="47">IF(AU79=0,"",AW79-(($AT$3*K79)+($AT$3*K79)*AU79)+AB78)</f>
        <v/>
      </c>
      <c r="AU79" s="393"/>
      <c r="AW79" s="356">
        <v>5</v>
      </c>
      <c r="AY79" s="356">
        <f t="shared" ref="AY79" si="48">+AW79-AG79</f>
        <v>-195</v>
      </c>
      <c r="AZ79" s="580"/>
      <c r="BA79" s="580"/>
      <c r="BB79" s="580"/>
      <c r="BC79" s="580"/>
      <c r="BD79" s="580"/>
      <c r="BE79" s="580"/>
      <c r="BF79" s="580"/>
      <c r="BG79" s="580"/>
      <c r="BH79" s="580"/>
      <c r="BI79" s="580"/>
      <c r="BJ79" s="580"/>
    </row>
    <row r="80" spans="2:62" s="98" customFormat="1" ht="62.25" customHeight="1" x14ac:dyDescent="0.9">
      <c r="B80" s="125">
        <f>+B79</f>
        <v>16</v>
      </c>
      <c r="C80" s="373"/>
      <c r="D80" s="184"/>
      <c r="E80" s="111">
        <f>+B79</f>
        <v>16</v>
      </c>
      <c r="F80" s="374"/>
      <c r="G80" s="578" t="str">
        <f>+G78</f>
        <v>7674-739-401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>
        <v>1</v>
      </c>
      <c r="K80" s="114" t="s">
        <v>22</v>
      </c>
      <c r="L80" s="102" t="s">
        <v>18</v>
      </c>
      <c r="M80" s="425"/>
      <c r="N80" s="425"/>
      <c r="O80" s="425"/>
      <c r="P80" s="425"/>
      <c r="Q80" s="425"/>
      <c r="R80" s="425">
        <v>1</v>
      </c>
      <c r="S80" s="425">
        <v>1</v>
      </c>
      <c r="T80" s="425">
        <v>2</v>
      </c>
      <c r="U80" s="425">
        <v>2</v>
      </c>
      <c r="V80" s="426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0</v>
      </c>
      <c r="Y80" s="440"/>
      <c r="Z80" s="400"/>
      <c r="AA80" s="541"/>
      <c r="AB80" s="443">
        <f t="shared" ref="AB80:AB81" si="49">+SUM(M80:W80)-U80*0.25</f>
        <v>5.5</v>
      </c>
      <c r="AC80" s="341"/>
      <c r="AD80" s="341"/>
      <c r="AE80" s="440"/>
      <c r="AF80" s="440"/>
      <c r="AG80" s="115"/>
      <c r="AH80" s="116"/>
      <c r="AI80" s="157"/>
      <c r="AJ80" s="161">
        <f t="shared" si="45"/>
        <v>0</v>
      </c>
      <c r="AK80" s="167">
        <f t="shared" si="46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5.5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63" s="98" customFormat="1" ht="62.25" customHeight="1" thickBot="1" x14ac:dyDescent="0.95">
      <c r="B81" s="343">
        <f>+B79</f>
        <v>16</v>
      </c>
      <c r="C81" s="375"/>
      <c r="D81" s="378" t="s">
        <v>152</v>
      </c>
      <c r="E81" s="175">
        <f>+E80+100</f>
        <v>116</v>
      </c>
      <c r="F81" s="175"/>
      <c r="G81" s="579" t="str">
        <f>+G78</f>
        <v>7674-739-401</v>
      </c>
      <c r="H81" s="454">
        <f>+AC78-H79</f>
        <v>-8133</v>
      </c>
      <c r="I81" s="397"/>
      <c r="J81" s="165" t="str">
        <f>+IF(K81="","",IF(K79=0,"",(K79*J79)/(K81*60)))</f>
        <v/>
      </c>
      <c r="K81" s="118">
        <v>52</v>
      </c>
      <c r="L81" s="104" t="s">
        <v>19</v>
      </c>
      <c r="M81" s="427"/>
      <c r="N81" s="427"/>
      <c r="O81" s="427"/>
      <c r="P81" s="427"/>
      <c r="Q81" s="427"/>
      <c r="R81" s="427"/>
      <c r="S81" s="427"/>
      <c r="T81" s="427"/>
      <c r="U81" s="427"/>
      <c r="V81" s="428"/>
      <c r="W81" s="428"/>
      <c r="X81" s="173"/>
      <c r="Y81" s="441"/>
      <c r="Z81" s="401"/>
      <c r="AA81" s="168" t="e">
        <f>+IF(COUNTA(M79:W79)=$AM$4+0.25,$AM$4-(AB79/K79),COUNTA(M79:W79)-(AB79/K79))+Z81</f>
        <v>#DIV/0!</v>
      </c>
      <c r="AB81" s="444">
        <f t="shared" si="49"/>
        <v>0</v>
      </c>
      <c r="AC81" s="139"/>
      <c r="AD81" s="139"/>
      <c r="AE81" s="441"/>
      <c r="AF81" s="441"/>
      <c r="AG81" s="119" t="str">
        <f>+IFERROR(AG79/(K79*$AT$3),"")</f>
        <v/>
      </c>
      <c r="AH81" s="162"/>
      <c r="AI81" s="161"/>
      <c r="AJ81" s="161">
        <f t="shared" si="45"/>
        <v>0</v>
      </c>
      <c r="AK81" s="167">
        <f t="shared" si="46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0</v>
      </c>
      <c r="AP81" s="167">
        <f>+AO81-AB81</f>
        <v>0</v>
      </c>
      <c r="AQ81" s="167"/>
      <c r="AR81" s="167"/>
      <c r="AS81" s="167"/>
      <c r="AT81" s="435"/>
      <c r="AU81" s="393"/>
      <c r="AW81" s="356">
        <v>7.619047619047619E-3</v>
      </c>
      <c r="AY81" s="356"/>
    </row>
    <row r="82" spans="2:63" s="98" customFormat="1" ht="62.25" customHeight="1" thickTop="1" x14ac:dyDescent="0.9">
      <c r="B82" s="97">
        <f>+B83</f>
        <v>17</v>
      </c>
      <c r="C82" s="370"/>
      <c r="D82" s="106"/>
      <c r="E82" s="106"/>
      <c r="F82" s="106"/>
      <c r="G82" s="577" t="s">
        <v>436</v>
      </c>
      <c r="H82" s="106"/>
      <c r="I82" s="111"/>
      <c r="J82" s="107" t="s">
        <v>20</v>
      </c>
      <c r="K82" s="108" t="s">
        <v>23</v>
      </c>
      <c r="L82" s="100" t="s">
        <v>21</v>
      </c>
      <c r="M82" s="423">
        <v>120</v>
      </c>
      <c r="N82" s="423">
        <v>120</v>
      </c>
      <c r="O82" s="423">
        <v>120</v>
      </c>
      <c r="P82" s="423"/>
      <c r="Q82" s="423"/>
      <c r="R82" s="423"/>
      <c r="S82" s="423"/>
      <c r="T82" s="423"/>
      <c r="U82" s="423"/>
      <c r="V82" s="423"/>
      <c r="W82" s="423"/>
      <c r="X82" s="135">
        <f t="shared" si="35"/>
        <v>360</v>
      </c>
      <c r="Y82" s="438"/>
      <c r="Z82" s="400">
        <v>-73.75</v>
      </c>
      <c r="AA82" s="540">
        <f>+X84</f>
        <v>35.25</v>
      </c>
      <c r="AB82" s="135">
        <f t="shared" si="36"/>
        <v>360</v>
      </c>
      <c r="AC82" s="136">
        <f>+AD82+AB82</f>
        <v>6301</v>
      </c>
      <c r="AD82" s="136">
        <v>5941</v>
      </c>
      <c r="AE82" s="438"/>
      <c r="AF82" s="438"/>
      <c r="AG82" s="109"/>
      <c r="AH82" s="110"/>
      <c r="AI82" s="157"/>
      <c r="AJ82" s="161">
        <f t="shared" si="2"/>
        <v>0</v>
      </c>
      <c r="AK82" s="167">
        <f t="shared" si="3"/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63" s="98" customFormat="1" ht="62.25" customHeight="1" x14ac:dyDescent="0.9">
      <c r="B83" s="132">
        <v>17</v>
      </c>
      <c r="C83" s="371">
        <f>+B83</f>
        <v>17</v>
      </c>
      <c r="D83" s="372" t="s">
        <v>435</v>
      </c>
      <c r="E83" s="111"/>
      <c r="F83" s="111" t="s">
        <v>35</v>
      </c>
      <c r="G83" s="578" t="str">
        <f>+G82</f>
        <v>2628-510-630</v>
      </c>
      <c r="H83" s="450">
        <v>10010</v>
      </c>
      <c r="I83" s="111" t="s">
        <v>33</v>
      </c>
      <c r="J83" s="113">
        <v>44.34</v>
      </c>
      <c r="K83" s="130">
        <v>53</v>
      </c>
      <c r="L83" s="101" t="s">
        <v>17</v>
      </c>
      <c r="M83" s="447">
        <v>50</v>
      </c>
      <c r="N83" s="447">
        <v>64</v>
      </c>
      <c r="O83" s="447">
        <v>57</v>
      </c>
      <c r="P83" s="447">
        <v>57</v>
      </c>
      <c r="Q83" s="447">
        <v>57</v>
      </c>
      <c r="R83" s="447">
        <v>77</v>
      </c>
      <c r="S83" s="214">
        <v>37</v>
      </c>
      <c r="T83" s="214">
        <v>57</v>
      </c>
      <c r="U83" s="214">
        <v>43</v>
      </c>
      <c r="V83" s="214"/>
      <c r="W83" s="424"/>
      <c r="X83" s="123">
        <f>+IF(H84="s",0,IF(AB83=0,0,IF(COUNTA(M83:W83)=AN85+0.25,SUMIF($C:$C,B83,$AB:$AB)/AN85,SUMIF($C:$C,B83,$AB:$AB)/(COUNTA(M83:W83)))))</f>
        <v>57.028571428571432</v>
      </c>
      <c r="Y83" s="439"/>
      <c r="Z83" s="400"/>
      <c r="AA83" s="541"/>
      <c r="AB83" s="134">
        <f t="shared" si="36"/>
        <v>499</v>
      </c>
      <c r="AC83" s="137">
        <f>+AB83+AD83</f>
        <v>5513</v>
      </c>
      <c r="AD83" s="137">
        <v>5014</v>
      </c>
      <c r="AE83" s="439">
        <v>0</v>
      </c>
      <c r="AF83" s="439">
        <f>+AE83+Y83</f>
        <v>0</v>
      </c>
      <c r="AG83" s="140">
        <f>+AC82-AC83</f>
        <v>788</v>
      </c>
      <c r="AH83" s="131">
        <f>+IF(((AB84+(AB85/2))*60)=0,"",(J83*AB83)/((AB84+(AB85/2))*60))</f>
        <v>0.90632503840245793</v>
      </c>
      <c r="AI83" s="161">
        <f>+AB84+AB85/2</f>
        <v>406.875</v>
      </c>
      <c r="AJ83" s="161">
        <f t="shared" si="2"/>
        <v>406.52499999999998</v>
      </c>
      <c r="AK83" s="167">
        <f t="shared" si="3"/>
        <v>24412.5</v>
      </c>
      <c r="AL83" s="167">
        <f>+AB83*J83</f>
        <v>22125.660000000003</v>
      </c>
      <c r="AM83" s="230">
        <f>+AB83-(AI83*K83/K85)</f>
        <v>30.20923913043481</v>
      </c>
      <c r="AN83" s="339"/>
      <c r="AO83" s="340"/>
      <c r="AP83" s="167"/>
      <c r="AQ83" s="167"/>
      <c r="AR83" s="167"/>
      <c r="AS83" s="167"/>
      <c r="AT83" s="433">
        <f t="shared" ref="AT83" si="50">IF(AU83=0,"",AW83-(($AT$3*K83)+($AT$3*K83)*AU83)+AB82)</f>
        <v>11.6875</v>
      </c>
      <c r="AU83" s="393">
        <v>1.75</v>
      </c>
      <c r="AW83" s="356">
        <v>927</v>
      </c>
      <c r="AY83" s="356">
        <f t="shared" ref="AY83" si="51">+AW83-AG83</f>
        <v>139</v>
      </c>
    </row>
    <row r="84" spans="2:63" s="98" customFormat="1" ht="62.25" customHeight="1" x14ac:dyDescent="0.9">
      <c r="B84" s="125">
        <f>+B83</f>
        <v>17</v>
      </c>
      <c r="C84" s="373"/>
      <c r="D84" s="184"/>
      <c r="E84" s="111">
        <f>+B83</f>
        <v>17</v>
      </c>
      <c r="F84" s="374"/>
      <c r="G84" s="578" t="str">
        <f>+G82</f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>
        <v>1</v>
      </c>
      <c r="K84" s="114" t="s">
        <v>22</v>
      </c>
      <c r="L84" s="102" t="s">
        <v>18</v>
      </c>
      <c r="M84" s="425">
        <v>46</v>
      </c>
      <c r="N84" s="425">
        <v>46</v>
      </c>
      <c r="O84" s="425">
        <v>46</v>
      </c>
      <c r="P84" s="425">
        <v>46</v>
      </c>
      <c r="Q84" s="425">
        <v>46</v>
      </c>
      <c r="R84" s="425">
        <v>46</v>
      </c>
      <c r="S84" s="425">
        <v>46</v>
      </c>
      <c r="T84" s="425">
        <v>46</v>
      </c>
      <c r="U84" s="425">
        <v>46</v>
      </c>
      <c r="V84" s="426"/>
      <c r="W84" s="426"/>
      <c r="X84" s="160">
        <f>+IF(H84="l",IF(COUNTA(M83:W83)=AN85+0.25,AB83-K83*AN85,AB83-(K83*COUNTA(M83:W83))),IF(H84="s",0,IF(COUNTA(M83:W83)=AN85+0.25,SUMIF($C:$C,B83,$AB:$AB)-K83*AN85,SUMIF($C:$C,B83,$AB:$AB)-K83*COUNTA(M83:W83))))</f>
        <v>35.25</v>
      </c>
      <c r="Y84" s="440"/>
      <c r="Z84" s="400"/>
      <c r="AA84" s="541"/>
      <c r="AB84" s="443">
        <f t="shared" si="39"/>
        <v>402.5</v>
      </c>
      <c r="AC84" s="341"/>
      <c r="AD84" s="341"/>
      <c r="AE84" s="440"/>
      <c r="AF84" s="440"/>
      <c r="AG84" s="115"/>
      <c r="AH84" s="116"/>
      <c r="AI84" s="157"/>
      <c r="AJ84" s="161">
        <f t="shared" si="2"/>
        <v>0</v>
      </c>
      <c r="AK84" s="167">
        <f t="shared" si="3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402.5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63" s="98" customFormat="1" ht="62.25" customHeight="1" thickBot="1" x14ac:dyDescent="0.95">
      <c r="B85" s="126">
        <f>+B83</f>
        <v>17</v>
      </c>
      <c r="C85" s="375"/>
      <c r="D85" s="174" t="s">
        <v>379</v>
      </c>
      <c r="E85" s="175">
        <f>+E84+100</f>
        <v>117</v>
      </c>
      <c r="F85" s="175"/>
      <c r="G85" s="579" t="str">
        <f>+G82</f>
        <v>2628-510-630</v>
      </c>
      <c r="H85" s="454">
        <f>+AC82-H83</f>
        <v>-3709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7">
        <v>1</v>
      </c>
      <c r="N85" s="427">
        <v>1</v>
      </c>
      <c r="O85" s="427">
        <v>1</v>
      </c>
      <c r="P85" s="427">
        <v>1</v>
      </c>
      <c r="Q85" s="427">
        <v>1</v>
      </c>
      <c r="R85" s="427">
        <v>1</v>
      </c>
      <c r="S85" s="427">
        <v>1</v>
      </c>
      <c r="T85" s="427">
        <v>1</v>
      </c>
      <c r="U85" s="427">
        <v>1</v>
      </c>
      <c r="V85" s="428"/>
      <c r="W85" s="428"/>
      <c r="X85" s="173"/>
      <c r="Y85" s="441"/>
      <c r="Z85" s="401">
        <v>41.323268679526997</v>
      </c>
      <c r="AA85" s="169">
        <v>41.323268679526997</v>
      </c>
      <c r="AB85" s="444">
        <f t="shared" si="39"/>
        <v>8.75</v>
      </c>
      <c r="AC85" s="139"/>
      <c r="AD85" s="139"/>
      <c r="AE85" s="441"/>
      <c r="AF85" s="441"/>
      <c r="AG85" s="119">
        <f>+IFERROR(AG83/(K83*$AT$3),"")</f>
        <v>1.6991913746630727</v>
      </c>
      <c r="AH85" s="162"/>
      <c r="AI85" s="161"/>
      <c r="AJ85" s="161">
        <f t="shared" si="2"/>
        <v>0</v>
      </c>
      <c r="AK85" s="167">
        <f t="shared" si="3"/>
        <v>0</v>
      </c>
      <c r="AL85" s="167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8.75</v>
      </c>
      <c r="AP85" s="167">
        <f>+AO85-AB85</f>
        <v>0</v>
      </c>
      <c r="AQ85" s="167"/>
      <c r="AR85" s="167"/>
      <c r="AS85" s="167"/>
      <c r="AT85" s="435"/>
      <c r="AU85" s="393"/>
      <c r="AW85" s="356">
        <v>1.998921832884097</v>
      </c>
      <c r="AY85" s="356"/>
    </row>
    <row r="86" spans="2:63" s="98" customFormat="1" ht="62.25" customHeight="1" thickTop="1" x14ac:dyDescent="0.9">
      <c r="B86" s="127">
        <f>+B87</f>
        <v>18</v>
      </c>
      <c r="C86" s="370"/>
      <c r="D86" s="106"/>
      <c r="E86" s="106"/>
      <c r="F86" s="106"/>
      <c r="G86" s="577" t="s">
        <v>436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120</v>
      </c>
      <c r="N86" s="423">
        <v>120</v>
      </c>
      <c r="O86" s="423">
        <v>120</v>
      </c>
      <c r="P86" s="423"/>
      <c r="Q86" s="423"/>
      <c r="R86" s="423"/>
      <c r="S86" s="423"/>
      <c r="T86" s="423"/>
      <c r="U86" s="423"/>
      <c r="V86" s="423"/>
      <c r="W86" s="423"/>
      <c r="X86" s="135">
        <f t="shared" si="35"/>
        <v>360</v>
      </c>
      <c r="Y86" s="438"/>
      <c r="Z86" s="400">
        <v>0.25</v>
      </c>
      <c r="AA86" s="540">
        <f>+X88</f>
        <v>0.25</v>
      </c>
      <c r="AB86" s="135">
        <f t="shared" si="36"/>
        <v>360</v>
      </c>
      <c r="AC86" s="136">
        <f>+AD86+AB86</f>
        <v>7165</v>
      </c>
      <c r="AD86" s="136">
        <v>6805</v>
      </c>
      <c r="AE86" s="438"/>
      <c r="AF86" s="438"/>
      <c r="AG86" s="109"/>
      <c r="AH86" s="110"/>
      <c r="AI86" s="157"/>
      <c r="AJ86" s="161">
        <f t="shared" ref="AJ86:AJ97" si="52">TRUNC(AI86)+(AI86-TRUNC(AI86))*60/100</f>
        <v>0</v>
      </c>
      <c r="AK86" s="167">
        <f t="shared" ref="AK86:AK97" si="53">+AI86*60</f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63" s="98" customFormat="1" ht="62.25" customHeight="1" x14ac:dyDescent="1.35">
      <c r="B87" s="133">
        <v>18</v>
      </c>
      <c r="C87" s="371">
        <f>+B87</f>
        <v>18</v>
      </c>
      <c r="D87" s="372" t="s">
        <v>435</v>
      </c>
      <c r="E87" s="111"/>
      <c r="F87" s="111" t="s">
        <v>35</v>
      </c>
      <c r="G87" s="578" t="str">
        <f t="shared" ref="G87:G97" si="54">+G86</f>
        <v>2628-510-630</v>
      </c>
      <c r="H87" s="450">
        <v>10800</v>
      </c>
      <c r="I87" s="111" t="s">
        <v>33</v>
      </c>
      <c r="J87" s="113">
        <v>44.34</v>
      </c>
      <c r="K87" s="130">
        <v>53</v>
      </c>
      <c r="L87" s="101" t="s">
        <v>17</v>
      </c>
      <c r="M87" s="449">
        <v>53</v>
      </c>
      <c r="N87" s="449">
        <v>53</v>
      </c>
      <c r="O87" s="449">
        <v>53</v>
      </c>
      <c r="P87" s="449">
        <v>53</v>
      </c>
      <c r="Q87" s="449">
        <v>49</v>
      </c>
      <c r="R87" s="449">
        <v>77</v>
      </c>
      <c r="S87" s="214">
        <v>33</v>
      </c>
      <c r="T87" s="214">
        <v>50</v>
      </c>
      <c r="U87" s="214">
        <v>43</v>
      </c>
      <c r="V87" s="424"/>
      <c r="W87" s="424"/>
      <c r="X87" s="123">
        <f>+IF(H88="s",0,IF(AB87=0,0,IF(COUNTA(M87:W87)=AN89+0.25,SUMIF($C:$C,B87,$AB:$AB)/AN89,SUMIF($C:$C,B87,$AB:$AB)/(COUNTA(M87:W87)))))</f>
        <v>53.028571428571432</v>
      </c>
      <c r="Y87" s="439"/>
      <c r="Z87" s="400"/>
      <c r="AA87" s="541"/>
      <c r="AB87" s="134">
        <f t="shared" si="36"/>
        <v>464</v>
      </c>
      <c r="AC87" s="137">
        <f>+AB87+AD87</f>
        <v>6534</v>
      </c>
      <c r="AD87" s="137">
        <v>6070</v>
      </c>
      <c r="AE87" s="439">
        <v>0</v>
      </c>
      <c r="AF87" s="439">
        <f>+AE87+Y87</f>
        <v>0</v>
      </c>
      <c r="AG87" s="140">
        <f>+AC86-AC87</f>
        <v>631</v>
      </c>
      <c r="AH87" s="131">
        <f>+IF(((AB88+(AB89/2))*60)=0,"",(J87*AB87)/((AB88+(AB89/2))*60))</f>
        <v>0.86127723704866566</v>
      </c>
      <c r="AI87" s="161">
        <f>+AB88+AB89/2</f>
        <v>398.125</v>
      </c>
      <c r="AJ87" s="161">
        <f t="shared" si="52"/>
        <v>398.07499999999999</v>
      </c>
      <c r="AK87" s="167">
        <f t="shared" si="53"/>
        <v>23887.5</v>
      </c>
      <c r="AL87" s="167">
        <f>+AB87*J87</f>
        <v>20573.760000000002</v>
      </c>
      <c r="AM87" s="230">
        <f>+AB87-(AI87*K87/K89)</f>
        <v>5.2907608695651902</v>
      </c>
      <c r="AN87" s="339"/>
      <c r="AO87" s="340"/>
      <c r="AP87" s="167"/>
      <c r="AQ87" s="167"/>
      <c r="AR87" s="167"/>
      <c r="AS87" s="167"/>
      <c r="AT87" s="433">
        <f t="shared" ref="AT87" si="55">IF(AU87=0,"",AW87-(($AT$3*K87)+($AT$3*K87)*AU87)+AB86)</f>
        <v>-180.3125</v>
      </c>
      <c r="AU87" s="393">
        <v>1.75</v>
      </c>
      <c r="AW87" s="356">
        <v>735</v>
      </c>
      <c r="AY87" s="356">
        <f t="shared" ref="AY87" si="56">+AW87-AG87</f>
        <v>104</v>
      </c>
      <c r="BB87" s="581" t="s">
        <v>480</v>
      </c>
      <c r="BC87" s="581"/>
      <c r="BD87" s="581"/>
      <c r="BE87" s="581"/>
      <c r="BF87" s="581"/>
      <c r="BG87" s="581"/>
      <c r="BH87" s="581"/>
      <c r="BI87" s="581"/>
      <c r="BJ87" s="581"/>
      <c r="BK87" s="581"/>
    </row>
    <row r="88" spans="2:63" s="98" customFormat="1" ht="62.25" customHeight="1" x14ac:dyDescent="0.9">
      <c r="B88" s="125">
        <f>+B87</f>
        <v>18</v>
      </c>
      <c r="C88" s="373"/>
      <c r="D88" s="184"/>
      <c r="E88" s="111">
        <f>+B87</f>
        <v>18</v>
      </c>
      <c r="F88" s="374"/>
      <c r="G88" s="578" t="str">
        <f t="shared" si="54"/>
        <v>2628-510-630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25">
        <v>45</v>
      </c>
      <c r="N88" s="425">
        <v>45</v>
      </c>
      <c r="O88" s="425">
        <v>45</v>
      </c>
      <c r="P88" s="425">
        <v>45</v>
      </c>
      <c r="Q88" s="425">
        <v>45</v>
      </c>
      <c r="R88" s="425">
        <v>45</v>
      </c>
      <c r="S88" s="425">
        <v>45</v>
      </c>
      <c r="T88" s="425">
        <v>45</v>
      </c>
      <c r="U88" s="425">
        <v>45</v>
      </c>
      <c r="V88" s="425"/>
      <c r="W88" s="425"/>
      <c r="X88" s="160">
        <f>+IF(H88="l",IF(COUNTA(M87:W87)=AN89+0.25,AB87-K87*AN89,AB87-(K87*COUNTA(M87:W87))),IF(H88="s",0,IF(COUNTA(M87:W87)=AN89+0.25,SUMIF($C:$C,B87,$AB:$AB)-K87*AN89,SUMIF($C:$C,B87,$AB:$AB)-K87*COUNTA(M87:W87))))</f>
        <v>0.25</v>
      </c>
      <c r="Y88" s="440"/>
      <c r="Z88" s="400"/>
      <c r="AA88" s="541"/>
      <c r="AB88" s="443">
        <f t="shared" si="39"/>
        <v>393.75</v>
      </c>
      <c r="AC88" s="138"/>
      <c r="AD88" s="138"/>
      <c r="AE88" s="442"/>
      <c r="AF88" s="440"/>
      <c r="AG88" s="115"/>
      <c r="AH88" s="116"/>
      <c r="AI88" s="157"/>
      <c r="AJ88" s="161">
        <f t="shared" si="52"/>
        <v>0</v>
      </c>
      <c r="AK88" s="167">
        <f t="shared" si="53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393.75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63" s="98" customFormat="1" ht="62.25" customHeight="1" thickBot="1" x14ac:dyDescent="0.95">
      <c r="B89" s="343">
        <f>+B87</f>
        <v>18</v>
      </c>
      <c r="C89" s="375"/>
      <c r="D89" s="378" t="s">
        <v>406</v>
      </c>
      <c r="E89" s="175">
        <f>+E88+100</f>
        <v>118</v>
      </c>
      <c r="F89" s="175"/>
      <c r="G89" s="579" t="str">
        <f t="shared" si="54"/>
        <v>2628-510-630</v>
      </c>
      <c r="H89" s="454">
        <f>+AC86-H87</f>
        <v>-3635</v>
      </c>
      <c r="I89" s="397"/>
      <c r="J89" s="165">
        <f>+IF(K89="","",IF(K87=0,"",(K87*J87)/(K89*60)))</f>
        <v>0.85145652173913045</v>
      </c>
      <c r="K89" s="118">
        <v>46</v>
      </c>
      <c r="L89" s="104" t="s">
        <v>19</v>
      </c>
      <c r="M89" s="428">
        <v>1</v>
      </c>
      <c r="N89" s="428">
        <v>1</v>
      </c>
      <c r="O89" s="428">
        <v>1</v>
      </c>
      <c r="P89" s="428">
        <v>1</v>
      </c>
      <c r="Q89" s="428">
        <v>1</v>
      </c>
      <c r="R89" s="428">
        <v>1</v>
      </c>
      <c r="S89" s="428">
        <v>1</v>
      </c>
      <c r="T89" s="428">
        <v>1</v>
      </c>
      <c r="U89" s="428">
        <v>1</v>
      </c>
      <c r="V89" s="428"/>
      <c r="W89" s="428"/>
      <c r="X89" s="173"/>
      <c r="Y89" s="441"/>
      <c r="Z89" s="401">
        <v>40.950645170328073</v>
      </c>
      <c r="AA89" s="401">
        <v>40.950645170328073</v>
      </c>
      <c r="AB89" s="444">
        <f t="shared" si="39"/>
        <v>8.75</v>
      </c>
      <c r="AC89" s="139"/>
      <c r="AD89" s="139"/>
      <c r="AE89" s="441"/>
      <c r="AF89" s="441"/>
      <c r="AG89" s="119">
        <f>+IFERROR(AG87/(K87*$AT$3),"")</f>
        <v>1.3606469002695418</v>
      </c>
      <c r="AH89" s="162"/>
      <c r="AI89" s="161"/>
      <c r="AJ89" s="161">
        <f t="shared" si="52"/>
        <v>0</v>
      </c>
      <c r="AK89" s="167">
        <f t="shared" si="53"/>
        <v>0</v>
      </c>
      <c r="AL89" s="167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8.75</v>
      </c>
      <c r="AP89" s="167">
        <f>+AO89-AB89</f>
        <v>0</v>
      </c>
      <c r="AQ89" s="167"/>
      <c r="AR89" s="167"/>
      <c r="AS89" s="167"/>
      <c r="AT89" s="435"/>
      <c r="AU89" s="393"/>
      <c r="AW89" s="356">
        <v>1.5849056603773586</v>
      </c>
      <c r="AY89" s="356"/>
    </row>
    <row r="90" spans="2:63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77" t="s">
        <v>477</v>
      </c>
      <c r="H90" s="106"/>
      <c r="I90" s="106"/>
      <c r="J90" s="107" t="s">
        <v>20</v>
      </c>
      <c r="K90" s="108" t="s">
        <v>23</v>
      </c>
      <c r="L90" s="100" t="s">
        <v>21</v>
      </c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135" t="str">
        <f t="shared" ref="X90" si="57">IF(AT91="","",SUM(M90:W90)-(-(AT91-SUM(M90:W90))/$AT$3)*SUM($M$2:$W$2))</f>
        <v/>
      </c>
      <c r="Y90" s="438"/>
      <c r="Z90" s="400"/>
      <c r="AA90" s="540">
        <f>+X92</f>
        <v>0</v>
      </c>
      <c r="AB90" s="135">
        <f t="shared" ref="AB90:AB91" si="58">+SUM(L90:W90)</f>
        <v>0</v>
      </c>
      <c r="AC90" s="136">
        <f>+AD90+AB90</f>
        <v>0</v>
      </c>
      <c r="AD90" s="136"/>
      <c r="AE90" s="438"/>
      <c r="AF90" s="438"/>
      <c r="AG90" s="109"/>
      <c r="AH90" s="110"/>
      <c r="AI90" s="157"/>
      <c r="AJ90" s="161">
        <f t="shared" ref="AJ90:AJ93" si="59">TRUNC(AI90)+(AI90-TRUNC(AI90))*60/100</f>
        <v>0</v>
      </c>
      <c r="AK90" s="167">
        <f t="shared" ref="AK90:AK93" si="60">+AI90*60</f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63" s="98" customFormat="1" ht="62.25" customHeight="1" x14ac:dyDescent="0.9">
      <c r="B91" s="133">
        <v>20</v>
      </c>
      <c r="C91" s="371">
        <f>+B91</f>
        <v>20</v>
      </c>
      <c r="D91" s="372" t="s">
        <v>478</v>
      </c>
      <c r="E91" s="111"/>
      <c r="F91" s="111" t="s">
        <v>422</v>
      </c>
      <c r="G91" s="578" t="str">
        <f t="shared" si="54"/>
        <v>ADA-Turquaz</v>
      </c>
      <c r="H91" s="450">
        <v>2145</v>
      </c>
      <c r="I91" s="111" t="s">
        <v>252</v>
      </c>
      <c r="J91" s="113">
        <v>13.23</v>
      </c>
      <c r="K91" s="130">
        <v>40</v>
      </c>
      <c r="L91" s="101" t="s">
        <v>17</v>
      </c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123">
        <f>+IF(H92="s",0,IF(AB91=0,0,IF(COUNTA(M91:W91)=AN93+0.25,SUMIF($C:$C,B91,$AB:$AB)/AN93,SUMIF($C:$C,B91,$AB:$AB)/(COUNTA(M91:W91)))))</f>
        <v>0</v>
      </c>
      <c r="Y91" s="439"/>
      <c r="Z91" s="400"/>
      <c r="AA91" s="541"/>
      <c r="AB91" s="134">
        <f t="shared" si="58"/>
        <v>0</v>
      </c>
      <c r="AC91" s="137">
        <f>+AB91+AD91</f>
        <v>0</v>
      </c>
      <c r="AD91" s="137"/>
      <c r="AE91" s="439">
        <v>0</v>
      </c>
      <c r="AF91" s="439">
        <f>+AE91+Y91</f>
        <v>0</v>
      </c>
      <c r="AG91" s="140">
        <f>+AC90-AC91</f>
        <v>0</v>
      </c>
      <c r="AH91" s="131" t="str">
        <f>+IF(((AB92+(AB93/2))*60)=0,"",(J91*AB91)/((AB92+(AB93/2))*60))</f>
        <v/>
      </c>
      <c r="AI91" s="161">
        <f>+AB92+AB93/2</f>
        <v>0</v>
      </c>
      <c r="AJ91" s="161">
        <f t="shared" si="59"/>
        <v>0</v>
      </c>
      <c r="AK91" s="167">
        <f t="shared" si="60"/>
        <v>0</v>
      </c>
      <c r="AL91" s="167">
        <f>+AB91*J91</f>
        <v>0</v>
      </c>
      <c r="AM91" s="230">
        <f>+AB91-(AI91*K91/K93)</f>
        <v>0</v>
      </c>
      <c r="AN91" s="339"/>
      <c r="AO91" s="340"/>
      <c r="AP91" s="167"/>
      <c r="AQ91" s="167"/>
      <c r="AR91" s="167"/>
      <c r="AS91" s="167"/>
      <c r="AT91" s="433"/>
      <c r="AU91" s="393">
        <v>1.5</v>
      </c>
      <c r="AW91" s="356">
        <v>1314</v>
      </c>
      <c r="AY91" s="356">
        <f t="shared" ref="AY91" si="61">+AW91-AG91</f>
        <v>1314</v>
      </c>
    </row>
    <row r="92" spans="2:63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78" t="str">
        <f t="shared" si="54"/>
        <v>ADA-Turquaz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160">
        <f>+IF(H92="l",IF(COUNTA(M91:W91)=AN93+0.25,AB91-K91*AN93,AB91-(K91*COUNTA(M91:W91))),IF(H92="s",0,IF(COUNTA(M91:W91)=AN93+0.25,SUMIF($C:$C,B91,$AB:$AB)-K91*AN93,SUMIF($C:$C,B91,$AB:$AB)-K91*COUNTA(M91:W91))))</f>
        <v>0</v>
      </c>
      <c r="Y92" s="440"/>
      <c r="Z92" s="400"/>
      <c r="AA92" s="541"/>
      <c r="AB92" s="443">
        <f t="shared" ref="AB92:AB93" si="62">+SUM(M92:W92)-U92*0.25</f>
        <v>0</v>
      </c>
      <c r="AC92" s="138"/>
      <c r="AD92" s="138"/>
      <c r="AE92" s="442"/>
      <c r="AF92" s="440"/>
      <c r="AG92" s="115"/>
      <c r="AH92" s="116"/>
      <c r="AI92" s="157"/>
      <c r="AJ92" s="161">
        <f t="shared" si="59"/>
        <v>0</v>
      </c>
      <c r="AK92" s="167">
        <f t="shared" si="60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0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63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79" t="str">
        <f t="shared" si="54"/>
        <v>ADA-Turquaz</v>
      </c>
      <c r="H93" s="454">
        <f>+AC90-H91</f>
        <v>-2145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62"/>
        <v>0</v>
      </c>
      <c r="AC93" s="139"/>
      <c r="AD93" s="139"/>
      <c r="AE93" s="441"/>
      <c r="AF93" s="441"/>
      <c r="AG93" s="119">
        <f>+IFERROR(AG91/(K91*$AT$3),"")</f>
        <v>0</v>
      </c>
      <c r="AH93" s="162"/>
      <c r="AI93" s="161"/>
      <c r="AJ93" s="161">
        <f t="shared" si="59"/>
        <v>0</v>
      </c>
      <c r="AK93" s="167">
        <f t="shared" si="60"/>
        <v>0</v>
      </c>
      <c r="AL93" s="167"/>
      <c r="AM93" s="230"/>
      <c r="AN93" s="342">
        <f>+$AM$4</f>
        <v>8.75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3.7542857142857144</v>
      </c>
      <c r="AY93" s="356"/>
    </row>
    <row r="94" spans="2:63" s="98" customFormat="1" ht="62.25" customHeight="1" thickTop="1" x14ac:dyDescent="0.9">
      <c r="B94" s="127">
        <f>+B95</f>
        <v>20</v>
      </c>
      <c r="C94" s="370"/>
      <c r="D94" s="106"/>
      <c r="E94" s="106"/>
      <c r="F94" s="106"/>
      <c r="G94" s="577" t="s">
        <v>459</v>
      </c>
      <c r="H94" s="106"/>
      <c r="I94" s="106"/>
      <c r="J94" s="107" t="s">
        <v>20</v>
      </c>
      <c r="K94" s="108" t="s">
        <v>23</v>
      </c>
      <c r="L94" s="100" t="s">
        <v>21</v>
      </c>
      <c r="M94" s="423"/>
      <c r="N94" s="423"/>
      <c r="O94" s="423"/>
      <c r="P94" s="423"/>
      <c r="Q94" s="423"/>
      <c r="R94" s="423"/>
      <c r="S94" s="423"/>
      <c r="T94" s="423"/>
      <c r="U94" s="423"/>
      <c r="V94" s="423"/>
      <c r="W94" s="423"/>
      <c r="X94" s="135">
        <f t="shared" si="35"/>
        <v>0</v>
      </c>
      <c r="Y94" s="438"/>
      <c r="Z94" s="400">
        <v>-64</v>
      </c>
      <c r="AA94" s="540">
        <f>+X96</f>
        <v>-34</v>
      </c>
      <c r="AB94" s="135">
        <f t="shared" si="36"/>
        <v>0</v>
      </c>
      <c r="AC94" s="136">
        <f>+AD94+AB94</f>
        <v>2869</v>
      </c>
      <c r="AD94" s="136">
        <v>2869</v>
      </c>
      <c r="AE94" s="438"/>
      <c r="AF94" s="438"/>
      <c r="AG94" s="109"/>
      <c r="AH94" s="110"/>
      <c r="AI94" s="157"/>
      <c r="AJ94" s="161">
        <f t="shared" si="52"/>
        <v>0</v>
      </c>
      <c r="AK94" s="167">
        <f t="shared" si="53"/>
        <v>0</v>
      </c>
      <c r="AL94" s="167"/>
      <c r="AM94" s="167"/>
      <c r="AN94" s="339"/>
      <c r="AO94" s="340"/>
      <c r="AP94" s="167"/>
      <c r="AQ94" s="167"/>
      <c r="AR94" s="167"/>
      <c r="AS94" s="167"/>
      <c r="AT94" s="432"/>
      <c r="AU94" s="393"/>
      <c r="AW94" s="356"/>
      <c r="AY94" s="356"/>
    </row>
    <row r="95" spans="2:63" s="98" customFormat="1" ht="62.25" customHeight="1" x14ac:dyDescent="0.9">
      <c r="B95" s="133">
        <v>20</v>
      </c>
      <c r="C95" s="371">
        <f>+B95</f>
        <v>20</v>
      </c>
      <c r="D95" s="372" t="s">
        <v>460</v>
      </c>
      <c r="E95" s="111"/>
      <c r="F95" s="111" t="s">
        <v>422</v>
      </c>
      <c r="G95" s="578" t="str">
        <f t="shared" si="54"/>
        <v>ADA-PURPLE</v>
      </c>
      <c r="H95" s="450">
        <v>2869</v>
      </c>
      <c r="I95" s="111" t="s">
        <v>252</v>
      </c>
      <c r="J95" s="113">
        <v>13.23</v>
      </c>
      <c r="K95" s="130">
        <v>40</v>
      </c>
      <c r="L95" s="101" t="s">
        <v>17</v>
      </c>
      <c r="M95" s="214">
        <v>34</v>
      </c>
      <c r="N95" s="214">
        <v>35</v>
      </c>
      <c r="O95" s="214">
        <v>44</v>
      </c>
      <c r="P95" s="214">
        <v>28</v>
      </c>
      <c r="Q95" s="214">
        <v>35</v>
      </c>
      <c r="R95" s="214">
        <v>35</v>
      </c>
      <c r="S95" s="214">
        <v>35</v>
      </c>
      <c r="T95" s="214">
        <v>35</v>
      </c>
      <c r="U95" s="214">
        <v>35</v>
      </c>
      <c r="V95" s="214"/>
      <c r="W95" s="214"/>
      <c r="X95" s="123">
        <f>+IF(H96="s",0,IF(AB95=0,0,IF(COUNTA(M95:W95)=AN97+0.25,SUMIF($C:$C,B95,$AB:$AB)/AN97,SUMIF($C:$C,B95,$AB:$AB)/(COUNTA(M95:W95)))))</f>
        <v>36.114285714285714</v>
      </c>
      <c r="Y95" s="439"/>
      <c r="Z95" s="400"/>
      <c r="AA95" s="541"/>
      <c r="AB95" s="134">
        <f t="shared" si="36"/>
        <v>316</v>
      </c>
      <c r="AC95" s="137">
        <f>+AB95+AD95</f>
        <v>1871</v>
      </c>
      <c r="AD95" s="137">
        <v>1555</v>
      </c>
      <c r="AE95" s="439">
        <v>0</v>
      </c>
      <c r="AF95" s="439">
        <f>+AE95+Y95</f>
        <v>0</v>
      </c>
      <c r="AG95" s="140">
        <f>+AC94-AC95</f>
        <v>998</v>
      </c>
      <c r="AH95" s="131">
        <f>+IF(((AB96+(AB97/2))*60)=0,"",(J95*AB95)/((AB96+(AB97/2))*60))</f>
        <v>0.66360000000000008</v>
      </c>
      <c r="AI95" s="161">
        <f>+AB96+AB97/2</f>
        <v>105</v>
      </c>
      <c r="AJ95" s="161">
        <f t="shared" si="52"/>
        <v>105</v>
      </c>
      <c r="AK95" s="167">
        <f t="shared" si="53"/>
        <v>6300</v>
      </c>
      <c r="AL95" s="167">
        <f>+AB95*J95</f>
        <v>4180.68</v>
      </c>
      <c r="AM95" s="230">
        <f>+AB95-(AI95*K95/K97)</f>
        <v>-65.818181818181813</v>
      </c>
      <c r="AN95" s="339"/>
      <c r="AO95" s="340"/>
      <c r="AP95" s="167"/>
      <c r="AQ95" s="167"/>
      <c r="AR95" s="167"/>
      <c r="AS95" s="167"/>
      <c r="AT95" s="433">
        <v>0</v>
      </c>
      <c r="AU95" s="393">
        <v>1.5</v>
      </c>
      <c r="AW95" s="356">
        <v>1314</v>
      </c>
      <c r="AY95" s="356">
        <f t="shared" ref="AY95" si="63">+AW95-AG95</f>
        <v>316</v>
      </c>
    </row>
    <row r="96" spans="2:63" s="98" customFormat="1" ht="62.25" customHeight="1" x14ac:dyDescent="0.9">
      <c r="B96" s="125">
        <f>+B95</f>
        <v>20</v>
      </c>
      <c r="C96" s="373"/>
      <c r="D96" s="184"/>
      <c r="E96" s="111">
        <f>+B95</f>
        <v>20</v>
      </c>
      <c r="F96" s="374"/>
      <c r="G96" s="578" t="str">
        <f t="shared" si="54"/>
        <v>ADA-PURPLE</v>
      </c>
      <c r="H96" s="376" t="s">
        <v>400</v>
      </c>
      <c r="I96" s="113">
        <f>+IFERROR(IF(K97=0,0,IF((LOOKUP(2,1/(M96:W96&lt;&gt;""),M96:W96)-K97)&lt;0,0,IF(K97=0,"",LOOKUP(2,1/(M96:W96&lt;&gt;""),M96:W96)-K97))),0)</f>
        <v>1</v>
      </c>
      <c r="J96" s="113"/>
      <c r="K96" s="114" t="s">
        <v>22</v>
      </c>
      <c r="L96" s="102" t="s">
        <v>18</v>
      </c>
      <c r="M96" s="451">
        <v>12</v>
      </c>
      <c r="N96" s="451">
        <v>12</v>
      </c>
      <c r="O96" s="451">
        <v>12</v>
      </c>
      <c r="P96" s="451">
        <v>12</v>
      </c>
      <c r="Q96" s="451">
        <v>12</v>
      </c>
      <c r="R96" s="451">
        <v>12</v>
      </c>
      <c r="S96" s="451">
        <v>12</v>
      </c>
      <c r="T96" s="451">
        <v>12</v>
      </c>
      <c r="U96" s="451">
        <v>12</v>
      </c>
      <c r="V96" s="451"/>
      <c r="W96" s="451"/>
      <c r="X96" s="160">
        <f>+IF(H96="l",IF(COUNTA(M95:W95)=AN97+0.25,AB95-K95*AN97,AB95-(K95*COUNTA(M95:W95))),IF(H96="s",0,IF(COUNTA(M95:W95)=AN97+0.25,SUMIF($C:$C,B95,$AB:$AB)-K95*AN97,SUMIF($C:$C,B95,$AB:$AB)-K95*COUNTA(M95:W95))))</f>
        <v>-34</v>
      </c>
      <c r="Y96" s="440"/>
      <c r="Z96" s="400"/>
      <c r="AA96" s="541"/>
      <c r="AB96" s="443">
        <f t="shared" si="39"/>
        <v>105</v>
      </c>
      <c r="AC96" s="138"/>
      <c r="AD96" s="138"/>
      <c r="AE96" s="442"/>
      <c r="AF96" s="440"/>
      <c r="AG96" s="115"/>
      <c r="AH96" s="116"/>
      <c r="AI96" s="157"/>
      <c r="AJ96" s="161">
        <f t="shared" si="52"/>
        <v>0</v>
      </c>
      <c r="AK96" s="167">
        <f t="shared" si="53"/>
        <v>0</v>
      </c>
      <c r="AL96" s="167"/>
      <c r="AM96" s="167"/>
      <c r="AN96" s="339"/>
      <c r="AO96" s="340">
        <f>+IF(AN97=7.75,SUM(M96:S96)+T96*0.75,IF(AN97=8,SUM(M96:T96),IF(AN97=7.25,SUM(M96:S96)+T96*0.25,IF(AN97=8.25,SUM(M96:T96)+U96*0.25,IF(AN97=8.75,SUM(M96:T96)+U96*0.75,0)))))</f>
        <v>105</v>
      </c>
      <c r="AP96" s="167">
        <f>+AO96-AB96</f>
        <v>0</v>
      </c>
      <c r="AQ96" s="167"/>
      <c r="AR96" s="167"/>
      <c r="AS96" s="167"/>
      <c r="AT96" s="434"/>
      <c r="AU96" s="393"/>
      <c r="AW96" s="356"/>
      <c r="AY96" s="356"/>
    </row>
    <row r="97" spans="2:51" s="98" customFormat="1" ht="62.25" customHeight="1" thickBot="1" x14ac:dyDescent="0.95">
      <c r="B97" s="343">
        <f>+B95</f>
        <v>20</v>
      </c>
      <c r="C97" s="375"/>
      <c r="D97" s="378" t="s">
        <v>78</v>
      </c>
      <c r="E97" s="175">
        <f>+E96+100</f>
        <v>120</v>
      </c>
      <c r="F97" s="175"/>
      <c r="G97" s="579" t="str">
        <f t="shared" si="54"/>
        <v>ADA-PURPLE</v>
      </c>
      <c r="H97" s="454">
        <f>+AC94-H95</f>
        <v>0</v>
      </c>
      <c r="I97" s="397"/>
      <c r="J97" s="165">
        <f>+IF(K97="","",IF(K95=0,"",(K95*J95)/(K97*60)))</f>
        <v>0.80181818181818187</v>
      </c>
      <c r="K97" s="118">
        <v>11</v>
      </c>
      <c r="L97" s="104" t="s">
        <v>19</v>
      </c>
      <c r="M97" s="428"/>
      <c r="N97" s="428"/>
      <c r="O97" s="428"/>
      <c r="P97" s="428"/>
      <c r="Q97" s="428"/>
      <c r="R97" s="428"/>
      <c r="S97" s="428"/>
      <c r="T97" s="428"/>
      <c r="U97" s="428"/>
      <c r="V97" s="428"/>
      <c r="W97" s="428"/>
      <c r="X97" s="173"/>
      <c r="Y97" s="441"/>
      <c r="Z97" s="401">
        <v>19.29</v>
      </c>
      <c r="AA97" s="169">
        <v>19.29</v>
      </c>
      <c r="AB97" s="444">
        <f t="shared" si="39"/>
        <v>0</v>
      </c>
      <c r="AC97" s="139"/>
      <c r="AD97" s="139"/>
      <c r="AE97" s="441"/>
      <c r="AF97" s="441"/>
      <c r="AG97" s="119">
        <f>+IFERROR(AG95/(K95*$AT$3),"")</f>
        <v>2.8514285714285714</v>
      </c>
      <c r="AH97" s="162"/>
      <c r="AI97" s="161"/>
      <c r="AJ97" s="161">
        <f t="shared" si="52"/>
        <v>0</v>
      </c>
      <c r="AK97" s="167">
        <f t="shared" si="53"/>
        <v>0</v>
      </c>
      <c r="AL97" s="167"/>
      <c r="AM97" s="230"/>
      <c r="AN97" s="342">
        <f>+$AM$4</f>
        <v>8.75</v>
      </c>
      <c r="AO97" s="340">
        <f>+IF(AN97=7.75,SUM(M97:S97)+T97*0.75,IF(AN97=8,SUM(M97:T97),IF(AN97=7.25,SUM(M97:S97)+T97*0.25,IF(AN97=8.25,SUM(M97:T97)+U97*0.25,IF(AN97=8.75,SUM(M97:T97)+U97*0.75,0)))))</f>
        <v>0</v>
      </c>
      <c r="AP97" s="167">
        <f>+AO97-AB97</f>
        <v>0</v>
      </c>
      <c r="AQ97" s="167"/>
      <c r="AR97" s="167"/>
      <c r="AS97" s="167"/>
      <c r="AT97" s="435"/>
      <c r="AU97" s="393"/>
      <c r="AW97" s="356">
        <v>3.7542857142857144</v>
      </c>
      <c r="AY97" s="356"/>
    </row>
    <row r="98" spans="2:51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0"/>
      <c r="Y98" s="381"/>
      <c r="Z98" s="380"/>
      <c r="AA98" s="380"/>
      <c r="AB98" s="380"/>
      <c r="AC98" s="380"/>
      <c r="AD98" s="380"/>
      <c r="AE98" s="380"/>
      <c r="AF98" s="380"/>
      <c r="AG98" s="380"/>
      <c r="AH98" s="382"/>
      <c r="AI98" s="383"/>
      <c r="AJ98" s="383"/>
      <c r="AN98" s="385"/>
      <c r="AO98" s="386"/>
      <c r="AU98" s="394"/>
    </row>
    <row r="99" spans="2:51" s="384" customFormat="1" ht="91.5" customHeight="1" thickTop="1" thickBot="1" x14ac:dyDescent="0.95">
      <c r="B99" s="379"/>
      <c r="C99" s="379"/>
      <c r="D99" s="380"/>
      <c r="E99" s="380"/>
      <c r="F99" s="380"/>
      <c r="G99" s="380"/>
      <c r="H99" s="380"/>
      <c r="I99" s="380"/>
      <c r="J99" s="380"/>
      <c r="K99" s="380"/>
      <c r="L99" s="346" t="s">
        <v>21</v>
      </c>
      <c r="M99" s="166">
        <f t="shared" ref="M99:W99" si="64">+SUMIF($L$6:$L$98,$L$99,M6:M98)</f>
        <v>1465</v>
      </c>
      <c r="N99" s="166">
        <f t="shared" si="64"/>
        <v>1545</v>
      </c>
      <c r="O99" s="166">
        <f t="shared" si="64"/>
        <v>1731</v>
      </c>
      <c r="P99" s="166">
        <f t="shared" si="64"/>
        <v>535</v>
      </c>
      <c r="Q99" s="166">
        <f t="shared" si="64"/>
        <v>640</v>
      </c>
      <c r="R99" s="166">
        <f t="shared" si="64"/>
        <v>160</v>
      </c>
      <c r="S99" s="166">
        <f t="shared" si="64"/>
        <v>225</v>
      </c>
      <c r="T99" s="166">
        <f t="shared" si="64"/>
        <v>200</v>
      </c>
      <c r="U99" s="166">
        <f t="shared" si="64"/>
        <v>100</v>
      </c>
      <c r="V99" s="166">
        <f t="shared" si="64"/>
        <v>0</v>
      </c>
      <c r="W99" s="166">
        <f t="shared" si="64"/>
        <v>0</v>
      </c>
      <c r="X99" s="332"/>
      <c r="Y99" s="223"/>
      <c r="Z99" s="332"/>
      <c r="AA99" s="575">
        <f>+SUM(M99:W99)</f>
        <v>6601</v>
      </c>
      <c r="AB99" s="576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51" s="384" customFormat="1" ht="91.5" customHeight="1" thickTop="1" thickBot="1" x14ac:dyDescent="0.95">
      <c r="B100" s="379"/>
      <c r="C100" s="379"/>
      <c r="D100" s="380"/>
      <c r="E100" s="380"/>
      <c r="F100" s="380"/>
      <c r="G100" s="380"/>
      <c r="H100" s="380"/>
      <c r="I100" s="380"/>
      <c r="J100" s="380"/>
      <c r="K100" s="380"/>
      <c r="L100" s="347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32"/>
      <c r="Y100" s="344"/>
      <c r="Z100" s="332"/>
      <c r="AA100" s="332"/>
      <c r="AB100" s="332"/>
      <c r="AC100" s="380"/>
      <c r="AD100" s="380"/>
      <c r="AE100" s="380"/>
      <c r="AF100" s="380"/>
      <c r="AG100" s="380"/>
      <c r="AH100" s="382"/>
      <c r="AI100" s="383"/>
      <c r="AJ100" s="383"/>
      <c r="AN100" s="385"/>
      <c r="AU100" s="394"/>
    </row>
    <row r="101" spans="2:51" s="384" customFormat="1" ht="91.5" customHeight="1" thickTop="1" thickBot="1" x14ac:dyDescent="0.95">
      <c r="B101" s="379"/>
      <c r="C101" s="379"/>
      <c r="D101" s="380"/>
      <c r="E101" s="380"/>
      <c r="F101" s="380"/>
      <c r="G101" s="380"/>
      <c r="H101" s="380"/>
      <c r="I101" s="380"/>
      <c r="J101" s="380"/>
      <c r="K101" s="380"/>
      <c r="L101" s="346" t="s">
        <v>17</v>
      </c>
      <c r="M101" s="166">
        <f t="shared" ref="M101:W101" si="65">+SUMIF($L$6:$L$98,$L$101,M6:M98)</f>
        <v>829</v>
      </c>
      <c r="N101" s="166">
        <f t="shared" si="65"/>
        <v>848</v>
      </c>
      <c r="O101" s="166">
        <f t="shared" si="65"/>
        <v>863</v>
      </c>
      <c r="P101" s="166">
        <f t="shared" si="65"/>
        <v>823</v>
      </c>
      <c r="Q101" s="166">
        <f t="shared" si="65"/>
        <v>856</v>
      </c>
      <c r="R101" s="166">
        <f t="shared" si="65"/>
        <v>909</v>
      </c>
      <c r="S101" s="166">
        <f t="shared" si="65"/>
        <v>807</v>
      </c>
      <c r="T101" s="166">
        <f t="shared" si="65"/>
        <v>791</v>
      </c>
      <c r="U101" s="166">
        <f t="shared" si="65"/>
        <v>690</v>
      </c>
      <c r="V101" s="166">
        <f t="shared" si="65"/>
        <v>0</v>
      </c>
      <c r="W101" s="166">
        <f t="shared" si="65"/>
        <v>0</v>
      </c>
      <c r="X101" s="332"/>
      <c r="Y101" s="223"/>
      <c r="Z101" s="332"/>
      <c r="AA101" s="575">
        <f>+SUM(M101:W101)</f>
        <v>7416</v>
      </c>
      <c r="AB101" s="576"/>
      <c r="AC101" s="380"/>
      <c r="AD101" s="380"/>
      <c r="AE101" s="380"/>
      <c r="AF101" s="380"/>
      <c r="AG101" s="380"/>
      <c r="AH101" s="382"/>
      <c r="AI101" s="383"/>
      <c r="AJ101" s="383"/>
      <c r="AN101" s="385"/>
      <c r="AU101" s="394"/>
    </row>
    <row r="102" spans="2:51" s="384" customFormat="1" ht="91.5" customHeight="1" thickTop="1" thickBot="1" x14ac:dyDescent="0.95">
      <c r="B102" s="379"/>
      <c r="C102" s="379"/>
      <c r="D102" s="380"/>
      <c r="E102" s="380"/>
      <c r="F102" s="380"/>
      <c r="G102" s="380"/>
      <c r="H102" s="380"/>
      <c r="I102" s="380"/>
      <c r="J102" s="380"/>
      <c r="K102" s="380"/>
      <c r="L102" s="347"/>
      <c r="M102" s="344"/>
      <c r="N102" s="344"/>
      <c r="O102" s="344"/>
      <c r="P102" s="344"/>
      <c r="Q102" s="344"/>
      <c r="R102" s="344"/>
      <c r="S102" s="344"/>
      <c r="T102" s="344"/>
      <c r="U102" s="344"/>
      <c r="V102" s="344"/>
      <c r="W102" s="344"/>
      <c r="X102" s="332"/>
      <c r="Y102" s="344"/>
      <c r="Z102" s="332"/>
      <c r="AA102" s="332"/>
      <c r="AB102" s="332"/>
      <c r="AC102" s="380"/>
      <c r="AD102" s="380"/>
      <c r="AE102" s="380"/>
      <c r="AF102" s="380"/>
      <c r="AG102" s="380"/>
      <c r="AH102" s="382"/>
      <c r="AI102" s="383"/>
      <c r="AJ102" s="383"/>
      <c r="AN102" s="385"/>
      <c r="AU102" s="394"/>
    </row>
    <row r="103" spans="2:51" s="384" customFormat="1" ht="91.5" customHeight="1" thickTop="1" thickBot="1" x14ac:dyDescent="0.95">
      <c r="B103" s="379"/>
      <c r="C103" s="379"/>
      <c r="D103" s="387"/>
      <c r="E103" s="387"/>
      <c r="F103" s="387"/>
      <c r="G103" s="387"/>
      <c r="H103" s="387"/>
      <c r="I103" s="387"/>
      <c r="J103" s="388"/>
      <c r="K103" s="387"/>
      <c r="L103" s="346" t="s">
        <v>19</v>
      </c>
      <c r="M103" s="166">
        <f t="shared" ref="M103:W103" si="66">+SUMIF($L$6:$L$98,$L$103,M6:M98)</f>
        <v>14</v>
      </c>
      <c r="N103" s="166">
        <f t="shared" si="66"/>
        <v>14</v>
      </c>
      <c r="O103" s="166">
        <f t="shared" si="66"/>
        <v>14</v>
      </c>
      <c r="P103" s="166">
        <f t="shared" si="66"/>
        <v>14</v>
      </c>
      <c r="Q103" s="166">
        <f t="shared" si="66"/>
        <v>14</v>
      </c>
      <c r="R103" s="166">
        <f t="shared" si="66"/>
        <v>14</v>
      </c>
      <c r="S103" s="166">
        <f t="shared" si="66"/>
        <v>14</v>
      </c>
      <c r="T103" s="166">
        <f t="shared" si="66"/>
        <v>14</v>
      </c>
      <c r="U103" s="166">
        <f t="shared" si="66"/>
        <v>14</v>
      </c>
      <c r="V103" s="166">
        <f t="shared" si="66"/>
        <v>0</v>
      </c>
      <c r="W103" s="166">
        <f t="shared" si="66"/>
        <v>0</v>
      </c>
      <c r="X103" s="348"/>
      <c r="Y103" s="223"/>
      <c r="Z103" s="348"/>
      <c r="AA103" s="332"/>
      <c r="AB103" s="332"/>
      <c r="AC103" s="380"/>
      <c r="AD103" s="380"/>
      <c r="AE103" s="380"/>
      <c r="AF103" s="380"/>
      <c r="AG103" s="380"/>
      <c r="AH103" s="382"/>
      <c r="AI103" s="383"/>
      <c r="AJ103" s="383"/>
      <c r="AN103" s="385"/>
      <c r="AU103" s="394"/>
    </row>
    <row r="104" spans="2:51" s="384" customFormat="1" ht="62.25" customHeight="1" thickTop="1" x14ac:dyDescent="0.9">
      <c r="B104" s="379"/>
      <c r="C104" s="379"/>
      <c r="D104" s="387"/>
      <c r="E104" s="387"/>
      <c r="F104" s="387"/>
      <c r="G104" s="387"/>
      <c r="H104" s="387"/>
      <c r="I104" s="389"/>
      <c r="J104" s="388"/>
      <c r="K104" s="387"/>
      <c r="L104" s="347"/>
      <c r="M104" s="349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32"/>
      <c r="Y104" s="345"/>
      <c r="Z104" s="332"/>
      <c r="AA104" s="332"/>
      <c r="AB104" s="332"/>
      <c r="AC104" s="380"/>
      <c r="AD104" s="380"/>
      <c r="AE104" s="380"/>
      <c r="AF104" s="380"/>
      <c r="AG104" s="390"/>
      <c r="AH104" s="382"/>
      <c r="AI104" s="383"/>
      <c r="AJ104" s="383"/>
      <c r="AN104" s="385"/>
      <c r="AU104" s="394"/>
    </row>
    <row r="105" spans="2:51" s="98" customFormat="1" ht="62.25" customHeight="1" thickBot="1" x14ac:dyDescent="0.95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35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51" s="98" customFormat="1" ht="88.5" customHeight="1" thickTop="1" thickBot="1" x14ac:dyDescent="0.95">
      <c r="B106" s="94"/>
      <c r="C106" s="94"/>
      <c r="D106" s="92"/>
      <c r="E106" s="92"/>
      <c r="F106" s="92"/>
      <c r="G106" s="92"/>
      <c r="H106" s="92"/>
      <c r="I106" s="91"/>
      <c r="J106" s="93"/>
      <c r="K106" s="212" t="s">
        <v>18</v>
      </c>
      <c r="L106" s="351" t="s">
        <v>180</v>
      </c>
      <c r="M106" s="166">
        <f t="shared" ref="M106:W106" si="67">+IF(M109=0,0,SUMIFS($J$6:$J$98,$L$6:$L$98,$K$106))</f>
        <v>6</v>
      </c>
      <c r="N106" s="166">
        <f t="shared" si="67"/>
        <v>6</v>
      </c>
      <c r="O106" s="166">
        <f t="shared" si="67"/>
        <v>6</v>
      </c>
      <c r="P106" s="166">
        <f t="shared" si="67"/>
        <v>6</v>
      </c>
      <c r="Q106" s="166">
        <f t="shared" si="67"/>
        <v>6</v>
      </c>
      <c r="R106" s="166">
        <f t="shared" si="67"/>
        <v>6</v>
      </c>
      <c r="S106" s="166">
        <f t="shared" si="67"/>
        <v>6</v>
      </c>
      <c r="T106" s="166">
        <f t="shared" si="67"/>
        <v>6</v>
      </c>
      <c r="U106" s="166">
        <f t="shared" si="67"/>
        <v>6</v>
      </c>
      <c r="V106" s="166">
        <f t="shared" si="67"/>
        <v>0</v>
      </c>
      <c r="W106" s="166">
        <f t="shared" si="67"/>
        <v>0</v>
      </c>
      <c r="X106" s="2"/>
      <c r="Y106" s="223"/>
      <c r="Z106" s="2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51" s="98" customFormat="1" ht="62.25" customHeight="1" thickTop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1"/>
      <c r="Y107" s="352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51" s="98" customFormat="1" ht="62.25" customHeight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212"/>
      <c r="L108" s="350"/>
      <c r="M108" s="1"/>
      <c r="N108" s="1"/>
      <c r="O108" s="1"/>
      <c r="P108" s="1"/>
      <c r="Q108" s="353"/>
      <c r="R108" s="353"/>
      <c r="S108" s="353"/>
      <c r="T108" s="353"/>
      <c r="U108" s="353"/>
      <c r="V108" s="353"/>
      <c r="W108" s="353"/>
      <c r="X108" s="1"/>
      <c r="Y108" s="353"/>
      <c r="Z108" s="1"/>
      <c r="AA108" s="1"/>
      <c r="AB108" s="1"/>
      <c r="AC108" s="91"/>
      <c r="AD108" s="91"/>
      <c r="AE108" s="91"/>
      <c r="AF108" s="91"/>
      <c r="AG108" s="91"/>
      <c r="AH108" s="95"/>
      <c r="AI108" s="158"/>
      <c r="AJ108" s="158"/>
      <c r="AN108" s="183"/>
      <c r="AU108" s="393"/>
    </row>
    <row r="109" spans="2:51" s="98" customFormat="1" ht="98.25" customHeight="1" thickTop="1" thickBot="1" x14ac:dyDescent="0.95">
      <c r="B109" s="94"/>
      <c r="C109" s="94"/>
      <c r="D109" s="92"/>
      <c r="E109" s="92"/>
      <c r="F109" s="92"/>
      <c r="G109" s="92"/>
      <c r="H109" s="92"/>
      <c r="I109" s="92"/>
      <c r="J109" s="93"/>
      <c r="K109" s="212"/>
      <c r="L109" s="351" t="s">
        <v>18</v>
      </c>
      <c r="M109" s="166">
        <f t="shared" ref="M109:W109" si="68">+SUMIF($L$6:$L$98,$L$109,M6:M98)</f>
        <v>749</v>
      </c>
      <c r="N109" s="166">
        <f t="shared" si="68"/>
        <v>750</v>
      </c>
      <c r="O109" s="166">
        <f t="shared" si="68"/>
        <v>753</v>
      </c>
      <c r="P109" s="166">
        <f t="shared" si="68"/>
        <v>753</v>
      </c>
      <c r="Q109" s="166">
        <f t="shared" si="68"/>
        <v>752</v>
      </c>
      <c r="R109" s="166">
        <f t="shared" si="68"/>
        <v>752</v>
      </c>
      <c r="S109" s="166">
        <f t="shared" si="68"/>
        <v>752</v>
      </c>
      <c r="T109" s="166">
        <f t="shared" si="68"/>
        <v>752</v>
      </c>
      <c r="U109" s="166">
        <f t="shared" si="68"/>
        <v>752</v>
      </c>
      <c r="V109" s="166">
        <f t="shared" si="68"/>
        <v>0</v>
      </c>
      <c r="W109" s="166">
        <f t="shared" si="68"/>
        <v>0</v>
      </c>
      <c r="X109" s="1"/>
      <c r="Y109" s="223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51" s="98" customFormat="1" ht="62.25" customHeight="1" thickTop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212"/>
      <c r="L110" s="350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1"/>
      <c r="Y110" s="354"/>
      <c r="Z110" s="1"/>
      <c r="AA110" s="1"/>
      <c r="AB110" s="1"/>
      <c r="AC110" s="91"/>
      <c r="AD110" s="91"/>
      <c r="AE110" s="91"/>
      <c r="AF110" s="91"/>
      <c r="AG110" s="91"/>
      <c r="AH110" s="95"/>
      <c r="AI110" s="158"/>
      <c r="AJ110" s="158"/>
      <c r="AN110" s="183"/>
      <c r="AU110" s="393"/>
    </row>
    <row r="111" spans="2:51" s="98" customFormat="1" ht="62.25" customHeight="1" thickBot="1" x14ac:dyDescent="0.95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50"/>
      <c r="M111" s="1"/>
      <c r="N111" s="1"/>
      <c r="O111" s="1"/>
      <c r="P111" s="1"/>
      <c r="Q111" s="353"/>
      <c r="R111" s="353"/>
      <c r="S111" s="353"/>
      <c r="T111" s="353"/>
      <c r="U111" s="353"/>
      <c r="V111" s="353"/>
      <c r="W111" s="353"/>
      <c r="X111" s="1"/>
      <c r="Y111" s="353"/>
      <c r="Z111" s="1"/>
      <c r="AA111" s="1"/>
      <c r="AB111" s="1"/>
      <c r="AC111" s="91"/>
      <c r="AD111" s="91"/>
      <c r="AE111" s="91"/>
      <c r="AF111" s="91"/>
      <c r="AG111" s="91"/>
      <c r="AH111" s="95"/>
      <c r="AI111" s="158"/>
      <c r="AJ111" s="158"/>
      <c r="AN111" s="183"/>
      <c r="AU111" s="393"/>
    </row>
    <row r="112" spans="2:51" s="98" customFormat="1" ht="94.5" customHeight="1" thickTop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351" t="s">
        <v>13</v>
      </c>
      <c r="M112" s="166">
        <f>+M109+M106+M103</f>
        <v>769</v>
      </c>
      <c r="N112" s="166">
        <f t="shared" ref="N112:W112" si="69">+N109+N106+N103</f>
        <v>770</v>
      </c>
      <c r="O112" s="166">
        <f t="shared" si="69"/>
        <v>773</v>
      </c>
      <c r="P112" s="166">
        <f t="shared" si="69"/>
        <v>773</v>
      </c>
      <c r="Q112" s="166">
        <f t="shared" si="69"/>
        <v>772</v>
      </c>
      <c r="R112" s="166">
        <f t="shared" si="69"/>
        <v>772</v>
      </c>
      <c r="S112" s="166">
        <f t="shared" si="69"/>
        <v>772</v>
      </c>
      <c r="T112" s="166">
        <f t="shared" si="69"/>
        <v>772</v>
      </c>
      <c r="U112" s="166">
        <f t="shared" si="69"/>
        <v>772</v>
      </c>
      <c r="V112" s="166">
        <f t="shared" si="69"/>
        <v>0</v>
      </c>
      <c r="W112" s="166">
        <f t="shared" si="69"/>
        <v>0</v>
      </c>
      <c r="X112" s="1"/>
      <c r="Y112" s="223"/>
      <c r="Z112" s="1"/>
      <c r="AA112" s="1"/>
      <c r="AB112" s="1"/>
      <c r="AC112" s="91"/>
      <c r="AD112" s="91"/>
      <c r="AE112" s="91"/>
      <c r="AF112" s="91"/>
      <c r="AG112" s="91"/>
      <c r="AH112" s="95"/>
      <c r="AI112" s="155"/>
      <c r="AJ112" s="155"/>
      <c r="AN112" s="183"/>
      <c r="AU112" s="393"/>
    </row>
    <row r="113" spans="2:47" s="98" customFormat="1" ht="62.25" thickTop="1" x14ac:dyDescent="0.9">
      <c r="B113" s="94"/>
      <c r="C113" s="94"/>
      <c r="D113" s="92"/>
      <c r="E113" s="92"/>
      <c r="F113" s="92"/>
      <c r="G113" s="92"/>
      <c r="H113" s="92"/>
      <c r="I113" s="92"/>
      <c r="J113" s="93"/>
      <c r="K113" s="92"/>
      <c r="L113" s="35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x14ac:dyDescent="0.9">
      <c r="J114" s="91"/>
      <c r="K114" s="91"/>
      <c r="T114" s="544"/>
      <c r="U114" s="544"/>
      <c r="V114" s="544"/>
      <c r="AI114" s="158"/>
      <c r="AJ114" s="158"/>
    </row>
    <row r="115" spans="2:47" ht="105" customHeight="1" x14ac:dyDescent="0.9">
      <c r="B115" s="391"/>
      <c r="AI115" s="158"/>
      <c r="AJ115" s="158"/>
    </row>
    <row r="116" spans="2:47" s="98" customFormat="1" x14ac:dyDescent="0.9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5"/>
      <c r="AI116" s="158"/>
      <c r="AJ116" s="158"/>
      <c r="AN116" s="183"/>
      <c r="AU116" s="393"/>
    </row>
    <row r="117" spans="2:47" s="98" customFormat="1" x14ac:dyDescent="0.9">
      <c r="B117" s="94"/>
      <c r="C117" s="94"/>
      <c r="D117" s="92"/>
      <c r="E117" s="92"/>
      <c r="F117" s="92"/>
      <c r="G117" s="92"/>
      <c r="H117" s="92"/>
      <c r="I117" s="91"/>
      <c r="J117" s="93"/>
      <c r="K117" s="92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8"/>
      <c r="AJ117" s="158"/>
      <c r="AN117" s="183"/>
      <c r="AU117" s="393"/>
    </row>
    <row r="118" spans="2:47" s="98" customFormat="1" x14ac:dyDescent="0.9">
      <c r="B118" s="94"/>
      <c r="C118" s="94"/>
      <c r="D118" s="92"/>
      <c r="E118" s="92"/>
      <c r="F118" s="92"/>
      <c r="G118" s="92"/>
      <c r="H118" s="92"/>
      <c r="I118" s="92"/>
      <c r="J118" s="93"/>
      <c r="K118" s="92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8"/>
      <c r="AJ118" s="158"/>
      <c r="AN118" s="183"/>
      <c r="AU118" s="393"/>
    </row>
    <row r="119" spans="2:47" s="98" customFormat="1" ht="66" customHeight="1" x14ac:dyDescent="0.9">
      <c r="B119" s="94"/>
      <c r="C119" s="94"/>
      <c r="D119" s="92"/>
      <c r="E119" s="92"/>
      <c r="F119" s="92"/>
      <c r="G119" s="92"/>
      <c r="H119" s="92"/>
      <c r="I119" s="92"/>
      <c r="J119" s="93"/>
      <c r="K119" s="92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8"/>
      <c r="AJ119" s="158"/>
      <c r="AN119" s="183"/>
      <c r="AU119" s="393"/>
    </row>
    <row r="121" spans="2:47" s="92" customFormat="1" x14ac:dyDescent="0.7">
      <c r="B121" s="94"/>
      <c r="C121" s="94"/>
      <c r="D121" s="92">
        <v>2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6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7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8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11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12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13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14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34" spans="2:47" s="92" customFormat="1" x14ac:dyDescent="0.7">
      <c r="B134" s="94"/>
      <c r="C134" s="94"/>
      <c r="H134" s="92">
        <v>15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5"/>
      <c r="AI134" s="155"/>
      <c r="AJ134" s="155"/>
      <c r="AK134" s="98"/>
      <c r="AL134" s="98"/>
      <c r="AM134" s="98"/>
      <c r="AN134" s="183"/>
      <c r="AO134" s="91"/>
      <c r="AP134" s="91"/>
      <c r="AU134" s="243"/>
    </row>
    <row r="135" spans="2:47" s="92" customFormat="1" x14ac:dyDescent="0.7">
      <c r="B135" s="94"/>
      <c r="C135" s="94"/>
      <c r="H135" s="92">
        <v>17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5"/>
      <c r="AI135" s="155"/>
      <c r="AJ135" s="155"/>
      <c r="AK135" s="98"/>
      <c r="AL135" s="98"/>
      <c r="AM135" s="98"/>
      <c r="AN135" s="183"/>
      <c r="AO135" s="91"/>
      <c r="AP135" s="91"/>
      <c r="AU135" s="243"/>
    </row>
    <row r="136" spans="2:47" s="92" customFormat="1" x14ac:dyDescent="0.7">
      <c r="B136" s="94"/>
      <c r="C136" s="94"/>
      <c r="H136" s="92">
        <v>18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5"/>
      <c r="AI136" s="155"/>
      <c r="AJ136" s="155"/>
      <c r="AK136" s="98"/>
      <c r="AL136" s="98"/>
      <c r="AM136" s="98"/>
      <c r="AN136" s="183"/>
      <c r="AO136" s="91"/>
      <c r="AP136" s="91"/>
      <c r="AU136" s="243"/>
    </row>
    <row r="137" spans="2:47" s="92" customFormat="1" x14ac:dyDescent="0.7">
      <c r="B137" s="94"/>
      <c r="C137" s="94"/>
      <c r="H137" s="92">
        <v>19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5"/>
      <c r="AI137" s="155"/>
      <c r="AJ137" s="155"/>
      <c r="AK137" s="98"/>
      <c r="AL137" s="98"/>
      <c r="AM137" s="98"/>
      <c r="AN137" s="183"/>
      <c r="AO137" s="91"/>
      <c r="AP137" s="91"/>
      <c r="AU137" s="243"/>
    </row>
    <row r="193" spans="2:47" s="92" customFormat="1" x14ac:dyDescent="0.7">
      <c r="B193" s="94"/>
      <c r="C193" s="94"/>
      <c r="G193" s="92">
        <v>1</v>
      </c>
      <c r="J193" s="93"/>
      <c r="L193" s="99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5"/>
      <c r="AI193" s="155"/>
      <c r="AJ193" s="155"/>
      <c r="AK193" s="98"/>
      <c r="AL193" s="98"/>
      <c r="AM193" s="98"/>
      <c r="AN193" s="183"/>
      <c r="AO193" s="91"/>
      <c r="AP193" s="91"/>
      <c r="AU193" s="243"/>
    </row>
  </sheetData>
  <autoFilter ref="A5:CT85">
    <filterColumn colId="9" showButton="0"/>
  </autoFilter>
  <mergeCells count="67">
    <mergeCell ref="AG1:AH1"/>
    <mergeCell ref="AG2:AH3"/>
    <mergeCell ref="H3:I3"/>
    <mergeCell ref="K3:L3"/>
    <mergeCell ref="B4:G4"/>
    <mergeCell ref="K4:L4"/>
    <mergeCell ref="AG4:AH4"/>
    <mergeCell ref="AZ39:BI39"/>
    <mergeCell ref="G38:G41"/>
    <mergeCell ref="G26:G29"/>
    <mergeCell ref="J5:K5"/>
    <mergeCell ref="G6:G9"/>
    <mergeCell ref="AA6:AA8"/>
    <mergeCell ref="AZ7:BI7"/>
    <mergeCell ref="G10:G13"/>
    <mergeCell ref="AA10:AA12"/>
    <mergeCell ref="AZ11:BI11"/>
    <mergeCell ref="G22:G25"/>
    <mergeCell ref="AA22:AA24"/>
    <mergeCell ref="G30:G33"/>
    <mergeCell ref="AA30:AA32"/>
    <mergeCell ref="G34:G37"/>
    <mergeCell ref="AA34:AA36"/>
    <mergeCell ref="G14:G17"/>
    <mergeCell ref="AA14:AA16"/>
    <mergeCell ref="AZ15:BI15"/>
    <mergeCell ref="G18:G21"/>
    <mergeCell ref="AA18:AA20"/>
    <mergeCell ref="AZ19:BI19"/>
    <mergeCell ref="AZ67:BI67"/>
    <mergeCell ref="G70:G73"/>
    <mergeCell ref="AA70:AA72"/>
    <mergeCell ref="AZ71:BJ71"/>
    <mergeCell ref="G54:G57"/>
    <mergeCell ref="AA54:AA56"/>
    <mergeCell ref="G58:G61"/>
    <mergeCell ref="AA58:AA60"/>
    <mergeCell ref="G62:G65"/>
    <mergeCell ref="AA62:AA64"/>
    <mergeCell ref="AZ75:BJ75"/>
    <mergeCell ref="G82:G85"/>
    <mergeCell ref="AA82:AA84"/>
    <mergeCell ref="G94:G97"/>
    <mergeCell ref="AA94:AA96"/>
    <mergeCell ref="G86:G89"/>
    <mergeCell ref="AA86:AA88"/>
    <mergeCell ref="G74:G77"/>
    <mergeCell ref="AA74:AA76"/>
    <mergeCell ref="G78:G81"/>
    <mergeCell ref="AA78:AA80"/>
    <mergeCell ref="AZ79:BJ79"/>
    <mergeCell ref="BB87:BK87"/>
    <mergeCell ref="AA26:AA28"/>
    <mergeCell ref="G50:G53"/>
    <mergeCell ref="AA50:AA52"/>
    <mergeCell ref="AA101:AB101"/>
    <mergeCell ref="T114:V114"/>
    <mergeCell ref="G66:G69"/>
    <mergeCell ref="AA66:AA68"/>
    <mergeCell ref="AA99:AB99"/>
    <mergeCell ref="G42:G45"/>
    <mergeCell ref="AA42:AA44"/>
    <mergeCell ref="G46:G49"/>
    <mergeCell ref="AA46:AA48"/>
    <mergeCell ref="AA38:AA40"/>
    <mergeCell ref="G90:G93"/>
    <mergeCell ref="AA90:AA92"/>
  </mergeCells>
  <conditionalFormatting sqref="I8">
    <cfRule type="cellIs" dxfId="1510" priority="75" operator="greaterThan">
      <formula>0</formula>
    </cfRule>
  </conditionalFormatting>
  <conditionalFormatting sqref="I12">
    <cfRule type="cellIs" dxfId="1509" priority="136" operator="greaterThan">
      <formula>0</formula>
    </cfRule>
  </conditionalFormatting>
  <conditionalFormatting sqref="I16">
    <cfRule type="cellIs" dxfId="1508" priority="59" operator="greaterThan">
      <formula>0</formula>
    </cfRule>
  </conditionalFormatting>
  <conditionalFormatting sqref="I20">
    <cfRule type="cellIs" dxfId="1507" priority="118" operator="greaterThan">
      <formula>0</formula>
    </cfRule>
  </conditionalFormatting>
  <conditionalFormatting sqref="I24">
    <cfRule type="cellIs" dxfId="1506" priority="144" operator="greaterThan">
      <formula>0</formula>
    </cfRule>
  </conditionalFormatting>
  <conditionalFormatting sqref="I32">
    <cfRule type="cellIs" dxfId="1505" priority="153" operator="greaterThan">
      <formula>0</formula>
    </cfRule>
  </conditionalFormatting>
  <conditionalFormatting sqref="I36">
    <cfRule type="cellIs" dxfId="1504" priority="114" operator="greaterThan">
      <formula>0</formula>
    </cfRule>
  </conditionalFormatting>
  <conditionalFormatting sqref="I40">
    <cfRule type="cellIs" dxfId="1503" priority="95" operator="greaterThan">
      <formula>0</formula>
    </cfRule>
  </conditionalFormatting>
  <conditionalFormatting sqref="I44">
    <cfRule type="cellIs" dxfId="1502" priority="124" operator="greaterThan">
      <formula>0</formula>
    </cfRule>
  </conditionalFormatting>
  <conditionalFormatting sqref="I48">
    <cfRule type="cellIs" dxfId="1501" priority="159" operator="greaterThan">
      <formula>0</formula>
    </cfRule>
  </conditionalFormatting>
  <conditionalFormatting sqref="I56">
    <cfRule type="cellIs" dxfId="1500" priority="149" operator="greaterThan">
      <formula>0</formula>
    </cfRule>
  </conditionalFormatting>
  <conditionalFormatting sqref="I60">
    <cfRule type="cellIs" dxfId="1499" priority="64" operator="greaterThan">
      <formula>0</formula>
    </cfRule>
  </conditionalFormatting>
  <conditionalFormatting sqref="I64">
    <cfRule type="cellIs" dxfId="1498" priority="84" operator="greaterThan">
      <formula>0</formula>
    </cfRule>
  </conditionalFormatting>
  <conditionalFormatting sqref="I68">
    <cfRule type="cellIs" dxfId="1497" priority="77" operator="greaterThan">
      <formula>0</formula>
    </cfRule>
  </conditionalFormatting>
  <conditionalFormatting sqref="I72">
    <cfRule type="cellIs" dxfId="1496" priority="104" operator="greaterThan">
      <formula>0</formula>
    </cfRule>
  </conditionalFormatting>
  <conditionalFormatting sqref="I76">
    <cfRule type="cellIs" dxfId="1495" priority="69" operator="greaterThan">
      <formula>0</formula>
    </cfRule>
  </conditionalFormatting>
  <conditionalFormatting sqref="I84">
    <cfRule type="cellIs" dxfId="1494" priority="128" operator="greaterThan">
      <formula>0</formula>
    </cfRule>
  </conditionalFormatting>
  <conditionalFormatting sqref="I88">
    <cfRule type="cellIs" dxfId="1493" priority="142" operator="greaterThan">
      <formula>0</formula>
    </cfRule>
  </conditionalFormatting>
  <conditionalFormatting sqref="I96">
    <cfRule type="cellIs" dxfId="1492" priority="90" operator="greaterThan">
      <formula>0</formula>
    </cfRule>
  </conditionalFormatting>
  <conditionalFormatting sqref="J8">
    <cfRule type="cellIs" dxfId="1491" priority="54" operator="greaterThan">
      <formula>0</formula>
    </cfRule>
  </conditionalFormatting>
  <conditionalFormatting sqref="J12">
    <cfRule type="cellIs" dxfId="1490" priority="101" operator="greaterThan">
      <formula>0</formula>
    </cfRule>
  </conditionalFormatting>
  <conditionalFormatting sqref="J16">
    <cfRule type="cellIs" dxfId="1489" priority="55" operator="greaterThan">
      <formula>0</formula>
    </cfRule>
  </conditionalFormatting>
  <conditionalFormatting sqref="J20">
    <cfRule type="cellIs" dxfId="1488" priority="117" operator="greaterThan">
      <formula>0</formula>
    </cfRule>
  </conditionalFormatting>
  <conditionalFormatting sqref="J24">
    <cfRule type="cellIs" dxfId="1487" priority="145" operator="greaterThan">
      <formula>0</formula>
    </cfRule>
  </conditionalFormatting>
  <conditionalFormatting sqref="J32">
    <cfRule type="cellIs" dxfId="1486" priority="110" operator="greaterThan">
      <formula>0</formula>
    </cfRule>
  </conditionalFormatting>
  <conditionalFormatting sqref="J36">
    <cfRule type="cellIs" dxfId="1485" priority="111" operator="greaterThan">
      <formula>0</formula>
    </cfRule>
  </conditionalFormatting>
  <conditionalFormatting sqref="J40">
    <cfRule type="cellIs" dxfId="1484" priority="92" operator="greaterThan">
      <formula>0</formula>
    </cfRule>
  </conditionalFormatting>
  <conditionalFormatting sqref="J44">
    <cfRule type="cellIs" dxfId="1483" priority="122" operator="greaterThan">
      <formula>0</formula>
    </cfRule>
  </conditionalFormatting>
  <conditionalFormatting sqref="J48">
    <cfRule type="cellIs" dxfId="1482" priority="157" operator="greaterThan">
      <formula>0</formula>
    </cfRule>
  </conditionalFormatting>
  <conditionalFormatting sqref="J56">
    <cfRule type="cellIs" dxfId="1481" priority="109" operator="greaterThan">
      <formula>0</formula>
    </cfRule>
  </conditionalFormatting>
  <conditionalFormatting sqref="J60">
    <cfRule type="cellIs" dxfId="1480" priority="62" operator="greaterThan">
      <formula>0</formula>
    </cfRule>
  </conditionalFormatting>
  <conditionalFormatting sqref="J64">
    <cfRule type="cellIs" dxfId="1479" priority="81" operator="greaterThan">
      <formula>0</formula>
    </cfRule>
  </conditionalFormatting>
  <conditionalFormatting sqref="J68">
    <cfRule type="cellIs" dxfId="1478" priority="76" operator="greaterThan">
      <formula>0</formula>
    </cfRule>
  </conditionalFormatting>
  <conditionalFormatting sqref="J72">
    <cfRule type="cellIs" dxfId="1477" priority="102" operator="greaterThan">
      <formula>0</formula>
    </cfRule>
  </conditionalFormatting>
  <conditionalFormatting sqref="J76">
    <cfRule type="cellIs" dxfId="1476" priority="67" operator="greaterThan">
      <formula>0</formula>
    </cfRule>
  </conditionalFormatting>
  <conditionalFormatting sqref="J84">
    <cfRule type="cellIs" dxfId="1475" priority="49" operator="greaterThan">
      <formula>0</formula>
    </cfRule>
  </conditionalFormatting>
  <conditionalFormatting sqref="J88">
    <cfRule type="cellIs" dxfId="1474" priority="139" operator="greaterThan">
      <formula>0</formula>
    </cfRule>
  </conditionalFormatting>
  <conditionalFormatting sqref="J96">
    <cfRule type="cellIs" dxfId="1473" priority="86" operator="greaterThan">
      <formula>0</formula>
    </cfRule>
  </conditionalFormatting>
  <conditionalFormatting sqref="X6:X25 X30:X49 X54:X77 Z54:Z76 X94:X98 X82:X89">
    <cfRule type="cellIs" dxfId="1472" priority="162" operator="lessThan">
      <formula>0</formula>
    </cfRule>
  </conditionalFormatting>
  <conditionalFormatting sqref="X8 X12 X16 X20 X24 X32 X36 X40 X44 X48 X56 X60 X64 X68 X72 X76 X84 X88 X96">
    <cfRule type="cellIs" dxfId="1471" priority="52" operator="lessThan">
      <formula>0</formula>
    </cfRule>
  </conditionalFormatting>
  <conditionalFormatting sqref="X67 X63 X7 X11 X15 X19 X23 X31 X35 X39 X43 X47 X55 X59 X71 X75 X83 X87 X95">
    <cfRule type="iconSet" priority="53">
      <iconSet>
        <cfvo type="percent" val="0"/>
        <cfvo type="percent" val="&quot;$I$6&quot;"/>
        <cfvo type="percent" val="#REF!"/>
      </iconSet>
    </cfRule>
  </conditionalFormatting>
  <conditionalFormatting sqref="Z6:Z25 Z30:Z49">
    <cfRule type="cellIs" dxfId="1470" priority="57" operator="lessThan">
      <formula>0</formula>
    </cfRule>
  </conditionalFormatting>
  <conditionalFormatting sqref="Z7">
    <cfRule type="iconSet" priority="73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469" priority="72" operator="lessThan">
      <formula>0</formula>
    </cfRule>
  </conditionalFormatting>
  <conditionalFormatting sqref="Z11">
    <cfRule type="iconSet" priority="137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468" priority="135" operator="lessThan">
      <formula>0</formula>
    </cfRule>
  </conditionalFormatting>
  <conditionalFormatting sqref="Z15">
    <cfRule type="iconSet" priority="60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467" priority="56" operator="lessThan">
      <formula>0</formula>
    </cfRule>
  </conditionalFormatting>
  <conditionalFormatting sqref="Z19">
    <cfRule type="iconSet" priority="120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466" priority="116" operator="lessThan">
      <formula>0</formula>
    </cfRule>
  </conditionalFormatting>
  <conditionalFormatting sqref="Z23">
    <cfRule type="iconSet" priority="148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465" priority="146" operator="lessThan">
      <formula>0</formula>
    </cfRule>
  </conditionalFormatting>
  <conditionalFormatting sqref="Z31">
    <cfRule type="iconSet" priority="155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464" priority="154" operator="lessThan">
      <formula>0</formula>
    </cfRule>
  </conditionalFormatting>
  <conditionalFormatting sqref="Z35">
    <cfRule type="iconSet" priority="113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463" priority="112" operator="lessThan">
      <formula>0</formula>
    </cfRule>
  </conditionalFormatting>
  <conditionalFormatting sqref="Z39">
    <cfRule type="iconSet" priority="94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462" priority="93" operator="lessThan">
      <formula>0</formula>
    </cfRule>
  </conditionalFormatting>
  <conditionalFormatting sqref="Z43">
    <cfRule type="iconSet" priority="126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461" priority="123" operator="lessThan">
      <formula>0</formula>
    </cfRule>
  </conditionalFormatting>
  <conditionalFormatting sqref="Z47">
    <cfRule type="iconSet" priority="161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460" priority="158" operator="lessThan">
      <formula>0</formula>
    </cfRule>
  </conditionalFormatting>
  <conditionalFormatting sqref="Z55">
    <cfRule type="iconSet" priority="151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459" priority="150" operator="lessThan">
      <formula>0</formula>
    </cfRule>
  </conditionalFormatting>
  <conditionalFormatting sqref="Z59">
    <cfRule type="iconSet" priority="65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458" priority="63" operator="lessThan">
      <formula>0</formula>
    </cfRule>
  </conditionalFormatting>
  <conditionalFormatting sqref="Z63">
    <cfRule type="iconSet" priority="83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457" priority="82" operator="lessThan">
      <formula>0</formula>
    </cfRule>
  </conditionalFormatting>
  <conditionalFormatting sqref="Z67">
    <cfRule type="iconSet" priority="80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456" priority="78" operator="lessThan">
      <formula>0</formula>
    </cfRule>
  </conditionalFormatting>
  <conditionalFormatting sqref="Z71">
    <cfRule type="iconSet" priority="106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455" priority="103" operator="lessThan">
      <formula>0</formula>
    </cfRule>
  </conditionalFormatting>
  <conditionalFormatting sqref="Z75">
    <cfRule type="iconSet" priority="71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454" priority="68" operator="lessThan">
      <formula>0</formula>
    </cfRule>
  </conditionalFormatting>
  <conditionalFormatting sqref="Z82:Z89 Z94:Z98">
    <cfRule type="cellIs" dxfId="1453" priority="88" operator="lessThan">
      <formula>0</formula>
    </cfRule>
  </conditionalFormatting>
  <conditionalFormatting sqref="Z83">
    <cfRule type="iconSet" priority="130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452" priority="127" operator="lessThan">
      <formula>0</formula>
    </cfRule>
  </conditionalFormatting>
  <conditionalFormatting sqref="Z87">
    <cfRule type="iconSet" priority="141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1451" priority="140" operator="lessThan">
      <formula>0</formula>
    </cfRule>
  </conditionalFormatting>
  <conditionalFormatting sqref="Z95">
    <cfRule type="iconSet" priority="89">
      <iconSet>
        <cfvo type="percent" val="0"/>
        <cfvo type="percent" val="&quot;$I$6&quot;"/>
        <cfvo type="percent" val="#REF!"/>
      </iconSet>
    </cfRule>
  </conditionalFormatting>
  <conditionalFormatting sqref="Z96">
    <cfRule type="cellIs" dxfId="1450" priority="87" operator="lessThan">
      <formula>0</formula>
    </cfRule>
  </conditionalFormatting>
  <conditionalFormatting sqref="AA13">
    <cfRule type="cellIs" dxfId="1449" priority="100" operator="lessThan">
      <formula>0</formula>
    </cfRule>
  </conditionalFormatting>
  <conditionalFormatting sqref="AA21">
    <cfRule type="cellIs" dxfId="1448" priority="99" operator="lessThan">
      <formula>0</formula>
    </cfRule>
  </conditionalFormatting>
  <conditionalFormatting sqref="AA33">
    <cfRule type="cellIs" dxfId="1447" priority="108" operator="lessThan">
      <formula>0</formula>
    </cfRule>
  </conditionalFormatting>
  <conditionalFormatting sqref="AA49">
    <cfRule type="cellIs" dxfId="1446" priority="98" operator="lessThan">
      <formula>0</formula>
    </cfRule>
  </conditionalFormatting>
  <conditionalFormatting sqref="AA57">
    <cfRule type="cellIs" dxfId="1445" priority="107" operator="lessThan">
      <formula>0</formula>
    </cfRule>
  </conditionalFormatting>
  <conditionalFormatting sqref="AA65">
    <cfRule type="cellIs" dxfId="1444" priority="51" operator="lessThan">
      <formula>0</formula>
    </cfRule>
  </conditionalFormatting>
  <conditionalFormatting sqref="AG2:AH3">
    <cfRule type="cellIs" dxfId="1443" priority="163" operator="lessThan">
      <formula>0.85</formula>
    </cfRule>
  </conditionalFormatting>
  <conditionalFormatting sqref="AP1:AP25 AP30:AP49 AP54:AP77 AP94:AP1048576 AP82:AP89">
    <cfRule type="cellIs" dxfId="1442" priority="58" operator="notEqual">
      <formula>0</formula>
    </cfRule>
  </conditionalFormatting>
  <conditionalFormatting sqref="AT6:AT9 AT54:AT77 AT94:AT100 AT82:AT89">
    <cfRule type="cellIs" dxfId="1441" priority="50" operator="lessThan">
      <formula>0</formula>
    </cfRule>
  </conditionalFormatting>
  <conditionalFormatting sqref="AA69">
    <cfRule type="cellIs" dxfId="1440" priority="48" operator="lessThan">
      <formula>0</formula>
    </cfRule>
  </conditionalFormatting>
  <conditionalFormatting sqref="AA89">
    <cfRule type="cellIs" dxfId="1439" priority="47" operator="lessThan">
      <formula>0</formula>
    </cfRule>
  </conditionalFormatting>
  <conditionalFormatting sqref="AT10:AT25 AT30:AT49">
    <cfRule type="cellIs" dxfId="1438" priority="46" operator="lessThan">
      <formula>0</formula>
    </cfRule>
  </conditionalFormatting>
  <conditionalFormatting sqref="I28">
    <cfRule type="cellIs" dxfId="1437" priority="40" operator="greaterThan">
      <formula>0</formula>
    </cfRule>
  </conditionalFormatting>
  <conditionalFormatting sqref="J28">
    <cfRule type="cellIs" dxfId="1436" priority="41" operator="greaterThan">
      <formula>0</formula>
    </cfRule>
  </conditionalFormatting>
  <conditionalFormatting sqref="X26:X29">
    <cfRule type="cellIs" dxfId="1435" priority="45" operator="lessThan">
      <formula>0</formula>
    </cfRule>
  </conditionalFormatting>
  <conditionalFormatting sqref="X28">
    <cfRule type="cellIs" dxfId="1434" priority="36" operator="lessThan">
      <formula>0</formula>
    </cfRule>
  </conditionalFormatting>
  <conditionalFormatting sqref="X27">
    <cfRule type="iconSet" priority="37">
      <iconSet>
        <cfvo type="percent" val="0"/>
        <cfvo type="percent" val="&quot;$I$6&quot;"/>
        <cfvo type="percent" val="#REF!"/>
      </iconSet>
    </cfRule>
  </conditionalFormatting>
  <conditionalFormatting sqref="Z26:Z29">
    <cfRule type="cellIs" dxfId="1433" priority="38" operator="lessThan">
      <formula>0</formula>
    </cfRule>
  </conditionalFormatting>
  <conditionalFormatting sqref="Z27">
    <cfRule type="iconSet" priority="44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432" priority="42" operator="lessThan">
      <formula>0</formula>
    </cfRule>
  </conditionalFormatting>
  <conditionalFormatting sqref="AP26:AP29">
    <cfRule type="cellIs" dxfId="1431" priority="39" operator="notEqual">
      <formula>0</formula>
    </cfRule>
  </conditionalFormatting>
  <conditionalFormatting sqref="AT26:AT29">
    <cfRule type="cellIs" dxfId="1430" priority="35" operator="lessThan">
      <formula>0</formula>
    </cfRule>
  </conditionalFormatting>
  <conditionalFormatting sqref="I52">
    <cfRule type="cellIs" dxfId="1429" priority="31" operator="greaterThan">
      <formula>0</formula>
    </cfRule>
  </conditionalFormatting>
  <conditionalFormatting sqref="J52">
    <cfRule type="cellIs" dxfId="1428" priority="29" operator="greaterThan">
      <formula>0</formula>
    </cfRule>
  </conditionalFormatting>
  <conditionalFormatting sqref="X50:X53">
    <cfRule type="cellIs" dxfId="1427" priority="34" operator="lessThan">
      <formula>0</formula>
    </cfRule>
  </conditionalFormatting>
  <conditionalFormatting sqref="X52">
    <cfRule type="cellIs" dxfId="1426" priority="24" operator="lessThan">
      <formula>0</formula>
    </cfRule>
  </conditionalFormatting>
  <conditionalFormatting sqref="X51">
    <cfRule type="iconSet" priority="25">
      <iconSet>
        <cfvo type="percent" val="0"/>
        <cfvo type="percent" val="&quot;$I$6&quot;"/>
        <cfvo type="percent" val="#REF!"/>
      </iconSet>
    </cfRule>
  </conditionalFormatting>
  <conditionalFormatting sqref="Z50:Z53">
    <cfRule type="cellIs" dxfId="1425" priority="26" operator="lessThan">
      <formula>0</formula>
    </cfRule>
  </conditionalFormatting>
  <conditionalFormatting sqref="Z51">
    <cfRule type="iconSet" priority="33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424" priority="30" operator="lessThan">
      <formula>0</formula>
    </cfRule>
  </conditionalFormatting>
  <conditionalFormatting sqref="AA53">
    <cfRule type="cellIs" dxfId="1423" priority="28" operator="lessThan">
      <formula>0</formula>
    </cfRule>
  </conditionalFormatting>
  <conditionalFormatting sqref="AP50:AP53">
    <cfRule type="cellIs" dxfId="1422" priority="27" operator="notEqual">
      <formula>0</formula>
    </cfRule>
  </conditionalFormatting>
  <conditionalFormatting sqref="AT50:AT53">
    <cfRule type="cellIs" dxfId="1421" priority="23" operator="lessThan">
      <formula>0</formula>
    </cfRule>
  </conditionalFormatting>
  <conditionalFormatting sqref="I92">
    <cfRule type="cellIs" dxfId="1420" priority="20" operator="greaterThan">
      <formula>0</formula>
    </cfRule>
  </conditionalFormatting>
  <conditionalFormatting sqref="J92">
    <cfRule type="cellIs" dxfId="1419" priority="16" operator="greaterThan">
      <formula>0</formula>
    </cfRule>
  </conditionalFormatting>
  <conditionalFormatting sqref="X90:X93">
    <cfRule type="cellIs" dxfId="1418" priority="22" operator="lessThan">
      <formula>0</formula>
    </cfRule>
  </conditionalFormatting>
  <conditionalFormatting sqref="X92">
    <cfRule type="cellIs" dxfId="1417" priority="13" operator="lessThan">
      <formula>0</formula>
    </cfRule>
  </conditionalFormatting>
  <conditionalFormatting sqref="X91">
    <cfRule type="iconSet" priority="14">
      <iconSet>
        <cfvo type="percent" val="0"/>
        <cfvo type="percent" val="&quot;$I$6&quot;"/>
        <cfvo type="percent" val="#REF!"/>
      </iconSet>
    </cfRule>
  </conditionalFormatting>
  <conditionalFormatting sqref="Z90:Z92">
    <cfRule type="cellIs" dxfId="1416" priority="18" operator="lessThan">
      <formula>0</formula>
    </cfRule>
  </conditionalFormatting>
  <conditionalFormatting sqref="Z91">
    <cfRule type="iconSet" priority="19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1415" priority="17" operator="lessThan">
      <formula>0</formula>
    </cfRule>
  </conditionalFormatting>
  <conditionalFormatting sqref="AP90:AP93">
    <cfRule type="cellIs" dxfId="1414" priority="15" operator="notEqual">
      <formula>0</formula>
    </cfRule>
  </conditionalFormatting>
  <conditionalFormatting sqref="AT90:AT93">
    <cfRule type="cellIs" dxfId="1413" priority="12" operator="lessThan">
      <formula>0</formula>
    </cfRule>
  </conditionalFormatting>
  <conditionalFormatting sqref="Z93">
    <cfRule type="cellIs" dxfId="1412" priority="11" operator="lessThan">
      <formula>0</formula>
    </cfRule>
  </conditionalFormatting>
  <conditionalFormatting sqref="I80">
    <cfRule type="cellIs" dxfId="1411" priority="7" operator="greaterThan">
      <formula>0</formula>
    </cfRule>
  </conditionalFormatting>
  <conditionalFormatting sqref="J80">
    <cfRule type="cellIs" dxfId="1410" priority="5" operator="greaterThan">
      <formula>0</formula>
    </cfRule>
  </conditionalFormatting>
  <conditionalFormatting sqref="X78:X81 Z78:Z81">
    <cfRule type="cellIs" dxfId="1409" priority="10" operator="lessThan">
      <formula>0</formula>
    </cfRule>
  </conditionalFormatting>
  <conditionalFormatting sqref="X80">
    <cfRule type="cellIs" dxfId="1408" priority="2" operator="lessThan">
      <formula>0</formula>
    </cfRule>
  </conditionalFormatting>
  <conditionalFormatting sqref="X79">
    <cfRule type="iconSet" priority="3">
      <iconSet>
        <cfvo type="percent" val="0"/>
        <cfvo type="percent" val="&quot;$I$6&quot;"/>
        <cfvo type="percent" val="#REF!"/>
      </iconSet>
    </cfRule>
  </conditionalFormatting>
  <conditionalFormatting sqref="Z79">
    <cfRule type="iconSet" priority="9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407" priority="6" operator="lessThan">
      <formula>0</formula>
    </cfRule>
  </conditionalFormatting>
  <conditionalFormatting sqref="AP78:AP81">
    <cfRule type="cellIs" dxfId="1406" priority="4" operator="notEqual">
      <formula>0</formula>
    </cfRule>
  </conditionalFormatting>
  <conditionalFormatting sqref="AT78:AT81">
    <cfRule type="cellIs" dxfId="1405" priority="1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4" id="{26C70F9D-7C17-4617-9170-834C3E99F03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138" id="{5D96BA24-3CB2-4C0F-892F-20E14647DB6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61" id="{83981BD1-7883-4748-A141-A286A2A00F0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19" id="{6432FB3A-D73E-41E3-B20F-CC5277F9C64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47" id="{1FFB47CB-87B8-4984-8568-0DEAA041D79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156" id="{DCC72ACA-9AF0-4C91-B638-36D7EC9444E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115" id="{FC92EC85-6DFD-434A-8508-ED475F96FCB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96" id="{6921362F-1EBD-4D3C-B4C2-70304EB2230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25" id="{4EF38A5A-BFF9-417C-ABC4-5B8E58A3B6B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60" id="{5DAF5C81-F8DE-4867-94CC-6846934DED4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152" id="{448611FE-43F2-42B6-B006-F462125724D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66" id="{278D6562-4EFD-4659-A0CF-715CFE5AAE0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85" id="{88505EB0-9581-421C-B0CD-322230F1B8C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79" id="{AA0DFE3A-F332-45AC-80C0-CDF45E39324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105" id="{A2EECEDA-1DD2-4B98-B76A-D43498FC38B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70" id="{D7FB7931-14E4-4222-919C-3CF2A8FC7B7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129" id="{99D0979F-00AA-4082-91D2-D35718E42AD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43" id="{0D16D472-6DEF-46E9-A804-E17EF022A8B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91" id="{5D71CEAE-E1AD-43DF-9B82-D285B54D5F9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AA94</xm:sqref>
        </x14:conditionalFormatting>
        <x14:conditionalFormatting xmlns:xm="http://schemas.microsoft.com/office/excel/2006/main">
          <x14:cfRule type="iconSet" priority="43" id="{8411CFC4-981A-44A8-A94A-547AA86DFF5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32" id="{DE38594C-4823-4FDC-9652-EAB5018C2F5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21" id="{51E5AA09-6969-4C51-979D-137D65D7A96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8" id="{5F34B283-C9D5-4A9E-AB57-CD5F2347E57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93"/>
  <sheetViews>
    <sheetView zoomScale="18" zoomScaleNormal="18" zoomScaleSheetLayoutView="18" workbookViewId="0">
      <selection activeCell="AZ7" sqref="AZ7:BI7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hidden="1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hidden="1" customWidth="1"/>
    <col min="53" max="53" width="20.42578125" style="91" hidden="1" customWidth="1"/>
    <col min="54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0.73416173408176844</v>
      </c>
      <c r="AH2" s="535"/>
      <c r="AK2" s="183">
        <f>+SUBTOTAL(9,AK6:AK115)</f>
        <v>402172.5</v>
      </c>
      <c r="AL2" s="183">
        <f>+SUBTOTAL(9,AL6:AL115)</f>
        <v>295259.66000000003</v>
      </c>
      <c r="AW2" s="91">
        <v>0.59793648334624327</v>
      </c>
    </row>
    <row r="3" spans="2:64" ht="94.5" customHeight="1" x14ac:dyDescent="0.9">
      <c r="B3" s="363">
        <f>+AM4</f>
        <v>8.75</v>
      </c>
      <c r="C3" s="458"/>
      <c r="D3" s="458"/>
      <c r="E3" s="458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58"/>
      <c r="AD3" s="96"/>
      <c r="AE3" s="96"/>
      <c r="AF3" s="96"/>
      <c r="AG3" s="535"/>
      <c r="AH3" s="535"/>
      <c r="AK3" s="183"/>
      <c r="AL3" s="183"/>
      <c r="AT3" s="91">
        <v>8.75</v>
      </c>
    </row>
    <row r="4" spans="2:64" s="141" customFormat="1" ht="79.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+SUMIF($L$6:$L$98,AB3,$AB$6:$AB$98)</f>
        <v>7162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07-05-2026</v>
      </c>
      <c r="AH4" s="539"/>
      <c r="AI4" s="362">
        <f>+SUM(AI6:AI103)</f>
        <v>6702.875</v>
      </c>
      <c r="AJ4" s="362"/>
      <c r="AK4" s="98"/>
      <c r="AL4" s="98"/>
      <c r="AM4" s="363">
        <v>8.75</v>
      </c>
      <c r="AT4" s="396">
        <f>+SUBTOTAL(9,AT6:AT99)</f>
        <v>444.25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77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/>
      <c r="P6" s="423">
        <v>50</v>
      </c>
      <c r="Q6" s="423">
        <v>50</v>
      </c>
      <c r="R6" s="423">
        <v>50</v>
      </c>
      <c r="S6" s="423">
        <v>59</v>
      </c>
      <c r="T6" s="423">
        <v>100</v>
      </c>
      <c r="U6" s="423"/>
      <c r="V6" s="423"/>
      <c r="W6" s="423"/>
      <c r="X6" s="135">
        <f t="shared" ref="X6:X62" si="0">IF(AT7="","",SUM(M6:W6)-(-(AT7-SUM(M6:W6))/$AT$3)*SUM($M$2:$W$2))</f>
        <v>409</v>
      </c>
      <c r="Y6" s="438"/>
      <c r="Z6" s="400">
        <v>0</v>
      </c>
      <c r="AA6" s="540">
        <f>+X8</f>
        <v>0</v>
      </c>
      <c r="AB6" s="135">
        <f t="shared" ref="AB6:AB63" si="1">+SUM(L6:W6)</f>
        <v>409</v>
      </c>
      <c r="AC6" s="136">
        <f>+AD6+AB6</f>
        <v>2260</v>
      </c>
      <c r="AD6" s="136">
        <v>1851</v>
      </c>
      <c r="AE6" s="438"/>
      <c r="AF6" s="438"/>
      <c r="AG6" s="109"/>
      <c r="AH6" s="110"/>
      <c r="AI6" s="157"/>
      <c r="AJ6" s="161">
        <f t="shared" ref="AJ6:AJ85" si="2">TRUNC(AI6)+(AI6-TRUNC(AI6))*60/100</f>
        <v>0</v>
      </c>
      <c r="AK6" s="167">
        <f t="shared" ref="AK6:AK85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78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424"/>
      <c r="X7" s="123">
        <f>+IF(H8="s",0,IF(AB7=0,0,IF(COUNTA(M7:W7)=AN9+0.25,SUMIF($C:$C,B7,$AB:$AB)/AN9,SUMIF($C:$C,B7,$AB:$AB)/(COUNTA(M7:W7)))))</f>
        <v>60</v>
      </c>
      <c r="Y7" s="439"/>
      <c r="Z7" s="400"/>
      <c r="AA7" s="541"/>
      <c r="AB7" s="134">
        <f t="shared" si="1"/>
        <v>525</v>
      </c>
      <c r="AC7" s="137">
        <f>+AB7+AD7</f>
        <v>1625</v>
      </c>
      <c r="AD7" s="137">
        <v>1100</v>
      </c>
      <c r="AE7" s="439">
        <v>0</v>
      </c>
      <c r="AF7" s="439">
        <f>+AE7+Y7</f>
        <v>0</v>
      </c>
      <c r="AG7" s="140">
        <f>+AC6-AC7</f>
        <v>635</v>
      </c>
      <c r="AH7" s="131">
        <f>+IF(((AB8+(AB9/2))*60)=0,"",(J7*AB7)/((AB8+(AB9/2))*60))</f>
        <v>0.89249999999999996</v>
      </c>
      <c r="AI7" s="161">
        <f>+AB8+AB9/2</f>
        <v>420</v>
      </c>
      <c r="AJ7" s="161">
        <f t="shared" si="2"/>
        <v>420</v>
      </c>
      <c r="AK7" s="167">
        <f t="shared" si="3"/>
        <v>25200</v>
      </c>
      <c r="AL7" s="167">
        <f>+AB7*J7</f>
        <v>22491</v>
      </c>
      <c r="AM7" s="230">
        <f>+AB7-(AI7*K7/K9)</f>
        <v>10.714285714285666</v>
      </c>
      <c r="AN7" s="339"/>
      <c r="AO7" s="340"/>
      <c r="AP7" s="167"/>
      <c r="AQ7" s="167"/>
      <c r="AR7" s="167"/>
      <c r="AS7" s="167"/>
      <c r="AT7" s="433">
        <f t="shared" ref="AT7" si="4">IF(AU7=0,"",AW7-(($AT$3*K7)+($AT$3*K7)*AU7)+AB6)</f>
        <v>-152.5</v>
      </c>
      <c r="AU7" s="393">
        <v>1.5</v>
      </c>
      <c r="AW7" s="356">
        <v>751</v>
      </c>
      <c r="AY7" s="356">
        <f>+AW7-AG7</f>
        <v>116</v>
      </c>
      <c r="AZ7" s="581" t="s">
        <v>482</v>
      </c>
      <c r="BA7" s="581"/>
      <c r="BB7" s="581"/>
      <c r="BC7" s="581"/>
      <c r="BD7" s="581"/>
      <c r="BE7" s="581"/>
      <c r="BF7" s="581"/>
      <c r="BG7" s="581"/>
      <c r="BH7" s="581"/>
      <c r="BI7" s="581"/>
      <c r="BK7" s="452"/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78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47</v>
      </c>
      <c r="N8" s="215">
        <v>47</v>
      </c>
      <c r="O8" s="215">
        <v>47</v>
      </c>
      <c r="P8" s="215">
        <v>47</v>
      </c>
      <c r="Q8" s="215">
        <v>47</v>
      </c>
      <c r="R8" s="215">
        <v>47</v>
      </c>
      <c r="S8" s="215">
        <v>47</v>
      </c>
      <c r="T8" s="215">
        <v>47</v>
      </c>
      <c r="U8" s="215">
        <v>47</v>
      </c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541"/>
      <c r="AB8" s="443">
        <f t="shared" ref="AB8:AB65" si="5">+SUM(M8:W8)-U8*0.25</f>
        <v>411.25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411.25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79" t="str">
        <f>+G6</f>
        <v>2917-496-712</v>
      </c>
      <c r="H9" s="454">
        <f>+AC6-H7</f>
        <v>-3740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si="5"/>
        <v>17.5</v>
      </c>
      <c r="AC9" s="139"/>
      <c r="AD9" s="139"/>
      <c r="AE9" s="441"/>
      <c r="AF9" s="441"/>
      <c r="AG9" s="119">
        <f>+IFERROR(AG7/(K7*$AT$3),"")</f>
        <v>1.2095238095238094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17.5</v>
      </c>
      <c r="AP9" s="167">
        <f>+AO9-AB9</f>
        <v>0</v>
      </c>
      <c r="AQ9" s="167"/>
      <c r="AR9" s="167"/>
      <c r="AS9" s="167"/>
      <c r="AT9" s="435"/>
      <c r="AU9" s="393"/>
      <c r="AW9" s="356">
        <v>1.4304761904761905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77" t="s">
        <v>437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/>
      <c r="P10" s="423"/>
      <c r="Q10" s="423"/>
      <c r="R10" s="423"/>
      <c r="S10" s="423"/>
      <c r="T10" s="423"/>
      <c r="U10" s="423"/>
      <c r="V10" s="423"/>
      <c r="W10" s="423"/>
      <c r="X10" s="135" t="str">
        <f t="shared" si="0"/>
        <v/>
      </c>
      <c r="Y10" s="438"/>
      <c r="Z10" s="400">
        <v>0</v>
      </c>
      <c r="AA10" s="540">
        <f>+X12</f>
        <v>0</v>
      </c>
      <c r="AB10" s="135">
        <f t="shared" si="1"/>
        <v>0</v>
      </c>
      <c r="AC10" s="136">
        <f>+AD10+AB10</f>
        <v>6622</v>
      </c>
      <c r="AD10" s="136">
        <v>6622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438</v>
      </c>
      <c r="E11" s="111"/>
      <c r="F11" s="111" t="s">
        <v>35</v>
      </c>
      <c r="G11" s="578" t="str">
        <f>+G10</f>
        <v>7696-837-802</v>
      </c>
      <c r="H11" s="450">
        <v>6622</v>
      </c>
      <c r="I11" s="111" t="s">
        <v>252</v>
      </c>
      <c r="J11" s="113">
        <v>29.06</v>
      </c>
      <c r="K11" s="130">
        <v>75</v>
      </c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424"/>
      <c r="X11" s="123">
        <f>+IF(H12="s",0,IF(AB11=0,0,IF(COUNTA(M11:W11)=AN13+0.25,SUMIF($C:$C,B11,$AB:$AB)/AN13,SUMIF($C:$C,B11,$AB:$AB)/(COUNTA(M11:W11)))))</f>
        <v>0</v>
      </c>
      <c r="Y11" s="439"/>
      <c r="Z11" s="400"/>
      <c r="AA11" s="541"/>
      <c r="AB11" s="134">
        <f t="shared" si="1"/>
        <v>0</v>
      </c>
      <c r="AC11" s="137">
        <f>+AB11+AD11</f>
        <v>6609</v>
      </c>
      <c r="AD11" s="137">
        <v>6609</v>
      </c>
      <c r="AE11" s="439">
        <v>0</v>
      </c>
      <c r="AF11" s="439">
        <f>+AE11+Y11</f>
        <v>0</v>
      </c>
      <c r="AG11" s="140">
        <f>+AC10-AC11</f>
        <v>13</v>
      </c>
      <c r="AH11" s="131" t="str">
        <f>+IF(((AB12+(AB13/2))*60)=0,"",(J11*AB11)/((AB12+(AB13/2))*60))</f>
        <v/>
      </c>
      <c r="AI11" s="161">
        <f>+AB12+AB13/2</f>
        <v>0</v>
      </c>
      <c r="AJ11" s="161">
        <f t="shared" si="2"/>
        <v>0</v>
      </c>
      <c r="AK11" s="167">
        <f t="shared" si="3"/>
        <v>0</v>
      </c>
      <c r="AL11" s="167">
        <f>+AB11*J11</f>
        <v>0</v>
      </c>
      <c r="AM11" s="230">
        <f>+AB11-(AI11*K11/K13)</f>
        <v>0</v>
      </c>
      <c r="AN11" s="339"/>
      <c r="AO11" s="340"/>
      <c r="AP11" s="167"/>
      <c r="AQ11" s="167"/>
      <c r="AR11" s="167"/>
      <c r="AS11" s="167"/>
      <c r="AT11" s="433" t="str">
        <f t="shared" ref="AT11" si="6">IF(AU11=0,"",AW11-(($AT$3*K11)+($AT$3*K11)*AU11)+AB10)</f>
        <v/>
      </c>
      <c r="AU11" s="393"/>
      <c r="AW11" s="356">
        <v>13</v>
      </c>
      <c r="AY11" s="356">
        <f>+AW11-AG11</f>
        <v>0</v>
      </c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78" t="str">
        <f>+G10</f>
        <v>7696-837-802</v>
      </c>
      <c r="H12" s="376" t="s">
        <v>465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0</v>
      </c>
      <c r="Y12" s="440"/>
      <c r="Z12" s="400"/>
      <c r="AA12" s="541"/>
      <c r="AB12" s="443">
        <f t="shared" si="5"/>
        <v>0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0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79" t="str">
        <f>+G10</f>
        <v>7696-837-802</v>
      </c>
      <c r="H13" s="454">
        <f>+AC10-H11</f>
        <v>0</v>
      </c>
      <c r="I13" s="397"/>
      <c r="J13" s="165">
        <f>+IF(K13="","",IF(K11=0,"",(K11*J11)/(K13*60)))</f>
        <v>0.88597560975609757</v>
      </c>
      <c r="K13" s="429">
        <v>41</v>
      </c>
      <c r="L13" s="104" t="s">
        <v>19</v>
      </c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8"/>
      <c r="X13" s="173"/>
      <c r="Y13" s="441"/>
      <c r="Z13" s="401">
        <v>31.206233766233765</v>
      </c>
      <c r="AA13" s="448">
        <v>31.206233766233765</v>
      </c>
      <c r="AB13" s="444">
        <f t="shared" si="5"/>
        <v>0</v>
      </c>
      <c r="AC13" s="139"/>
      <c r="AD13" s="139"/>
      <c r="AE13" s="441"/>
      <c r="AF13" s="441"/>
      <c r="AG13" s="119">
        <f>+IFERROR(AG11/(K11*$AT$3),"")</f>
        <v>1.9809523809523808E-2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0</v>
      </c>
      <c r="AP13" s="167">
        <f>+AO13-AB13</f>
        <v>0</v>
      </c>
      <c r="AQ13" s="167"/>
      <c r="AR13" s="167"/>
      <c r="AS13" s="167"/>
      <c r="AT13" s="435"/>
      <c r="AU13" s="393"/>
      <c r="AW13" s="356">
        <v>1.9809523809523808E-2</v>
      </c>
      <c r="AY13" s="356"/>
    </row>
    <row r="14" spans="2:64" s="98" customFormat="1" ht="62.25" customHeight="1" thickTop="1" x14ac:dyDescent="0.9">
      <c r="B14" s="97">
        <f>+B15</f>
        <v>2</v>
      </c>
      <c r="C14" s="370"/>
      <c r="D14" s="106"/>
      <c r="E14" s="106"/>
      <c r="F14" s="106"/>
      <c r="G14" s="577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>
        <v>75</v>
      </c>
      <c r="N14" s="423"/>
      <c r="O14" s="423"/>
      <c r="P14" s="423"/>
      <c r="Q14" s="423">
        <v>75</v>
      </c>
      <c r="R14" s="423"/>
      <c r="S14" s="423"/>
      <c r="T14" s="423"/>
      <c r="U14" s="423"/>
      <c r="V14" s="423"/>
      <c r="W14" s="423"/>
      <c r="X14" s="135">
        <f t="shared" si="0"/>
        <v>150</v>
      </c>
      <c r="Y14" s="438"/>
      <c r="Z14" s="400">
        <v>-455</v>
      </c>
      <c r="AA14" s="540">
        <f>+X16</f>
        <v>-254.75</v>
      </c>
      <c r="AB14" s="135">
        <f t="shared" si="1"/>
        <v>150</v>
      </c>
      <c r="AC14" s="136">
        <f>+AD14+AB14</f>
        <v>1425</v>
      </c>
      <c r="AD14" s="136">
        <v>1275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2</v>
      </c>
      <c r="C15" s="371">
        <f>+B15</f>
        <v>2</v>
      </c>
      <c r="D15" s="372" t="s">
        <v>439</v>
      </c>
      <c r="E15" s="111"/>
      <c r="F15" s="111" t="s">
        <v>35</v>
      </c>
      <c r="G15" s="578" t="str">
        <f>+G14</f>
        <v>7740-876-052</v>
      </c>
      <c r="H15" s="450">
        <v>7000</v>
      </c>
      <c r="I15" s="111" t="s">
        <v>33</v>
      </c>
      <c r="J15" s="113">
        <v>55.78</v>
      </c>
      <c r="K15" s="130">
        <v>45</v>
      </c>
      <c r="L15" s="101" t="s">
        <v>17</v>
      </c>
      <c r="M15" s="214">
        <v>20</v>
      </c>
      <c r="N15" s="214">
        <v>15</v>
      </c>
      <c r="O15" s="214">
        <v>0</v>
      </c>
      <c r="P15" s="214">
        <v>0</v>
      </c>
      <c r="Q15" s="214">
        <v>0</v>
      </c>
      <c r="R15" s="214">
        <v>60</v>
      </c>
      <c r="S15" s="214">
        <v>24</v>
      </c>
      <c r="T15" s="214">
        <v>20</v>
      </c>
      <c r="U15" s="214">
        <v>0</v>
      </c>
      <c r="V15" s="214"/>
      <c r="W15" s="424"/>
      <c r="X15" s="123">
        <f>+IF(H16="s",0,IF(AB15=0,0,IF(COUNTA(M15:W15)=AN17+0.25,SUMIF($C:$C,B15,$AB:$AB)/AN17,SUMIF($C:$C,B15,$AB:$AB)/(COUNTA(M15:W15)))))</f>
        <v>15.885714285714286</v>
      </c>
      <c r="Y15" s="439"/>
      <c r="Z15" s="400"/>
      <c r="AA15" s="541"/>
      <c r="AB15" s="134">
        <f t="shared" si="1"/>
        <v>139</v>
      </c>
      <c r="AC15" s="137">
        <f>+AB15+AD15</f>
        <v>139</v>
      </c>
      <c r="AD15" s="137">
        <v>0</v>
      </c>
      <c r="AE15" s="439">
        <v>0</v>
      </c>
      <c r="AF15" s="439">
        <f>+AE15+Y15</f>
        <v>0</v>
      </c>
      <c r="AG15" s="140">
        <f>+AC14-AC15</f>
        <v>1286</v>
      </c>
      <c r="AH15" s="131">
        <f>+IF(((AB16+(AB17/2))*60)=0,"",(J15*AB15)/((AB16+(AB17/2))*60))</f>
        <v>0.30767539682539685</v>
      </c>
      <c r="AI15" s="161">
        <f>+AB16+AB17/2</f>
        <v>420</v>
      </c>
      <c r="AJ15" s="161">
        <f t="shared" si="2"/>
        <v>420</v>
      </c>
      <c r="AK15" s="167">
        <f t="shared" si="3"/>
        <v>25200</v>
      </c>
      <c r="AL15" s="167">
        <f>+AB15*J15</f>
        <v>7753.42</v>
      </c>
      <c r="AM15" s="230">
        <f>+AB15-(AI15*K15/K17)</f>
        <v>-254.75</v>
      </c>
      <c r="AN15" s="339"/>
      <c r="AO15" s="340"/>
      <c r="AP15" s="167"/>
      <c r="AQ15" s="167"/>
      <c r="AR15" s="167"/>
      <c r="AS15" s="167"/>
      <c r="AT15" s="433">
        <f>-150+AB14</f>
        <v>0</v>
      </c>
      <c r="AU15" s="393">
        <v>2.2999999999999998</v>
      </c>
      <c r="AW15" s="356">
        <v>1275</v>
      </c>
      <c r="AY15" s="356">
        <f>+AW15-AG15</f>
        <v>-11</v>
      </c>
      <c r="AZ15" s="581"/>
      <c r="BA15" s="581"/>
      <c r="BB15" s="581"/>
      <c r="BC15" s="581"/>
      <c r="BD15" s="581"/>
      <c r="BE15" s="581"/>
      <c r="BF15" s="581"/>
      <c r="BG15" s="581"/>
      <c r="BH15" s="581"/>
      <c r="BI15" s="581"/>
    </row>
    <row r="16" spans="2:64" s="98" customFormat="1" ht="62.25" customHeight="1" x14ac:dyDescent="0.9">
      <c r="B16" s="125">
        <f>+B15</f>
        <v>2</v>
      </c>
      <c r="C16" s="373"/>
      <c r="D16" s="184"/>
      <c r="E16" s="111"/>
      <c r="F16" s="374"/>
      <c r="G16" s="578" t="str">
        <f>+G14</f>
        <v>7740-876-052</v>
      </c>
      <c r="H16" s="376" t="s">
        <v>400</v>
      </c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215">
        <v>48</v>
      </c>
      <c r="N16" s="215">
        <v>48</v>
      </c>
      <c r="O16" s="215">
        <v>48</v>
      </c>
      <c r="P16" s="215">
        <v>48</v>
      </c>
      <c r="Q16" s="215">
        <v>48</v>
      </c>
      <c r="R16" s="215">
        <v>48</v>
      </c>
      <c r="S16" s="215">
        <v>48</v>
      </c>
      <c r="T16" s="215">
        <v>48</v>
      </c>
      <c r="U16" s="215">
        <v>48</v>
      </c>
      <c r="V16" s="215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-254.75</v>
      </c>
      <c r="Y16" s="440"/>
      <c r="Z16" s="400"/>
      <c r="AA16" s="541"/>
      <c r="AB16" s="443">
        <f t="shared" si="5"/>
        <v>420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420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61" s="98" customFormat="1" ht="62.25" customHeight="1" thickBot="1" x14ac:dyDescent="0.95">
      <c r="B17" s="126">
        <f>+B15</f>
        <v>2</v>
      </c>
      <c r="C17" s="375"/>
      <c r="D17" s="174" t="s">
        <v>404</v>
      </c>
      <c r="E17" s="175"/>
      <c r="F17" s="175"/>
      <c r="G17" s="579" t="str">
        <f>+G14</f>
        <v>7740-876-052</v>
      </c>
      <c r="H17" s="454">
        <f>+AC14-H15</f>
        <v>-5575</v>
      </c>
      <c r="I17" s="397"/>
      <c r="J17" s="165">
        <f>+IF(K17="","",IF(K15=0,"",(K15*J15)/(K17*60)))</f>
        <v>0.87156250000000002</v>
      </c>
      <c r="K17" s="429">
        <v>48</v>
      </c>
      <c r="L17" s="104" t="s">
        <v>19</v>
      </c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8"/>
      <c r="X17" s="173"/>
      <c r="Y17" s="441"/>
      <c r="Z17" s="401">
        <v>19.77</v>
      </c>
      <c r="AA17" s="168">
        <f>+IF(COUNTA(M15:W15)=$AM$4+0.25,$AM$4-(AB15/K15),COUNTA(M15:W15)-(AB15/K15))+Z17</f>
        <v>25.431111111111111</v>
      </c>
      <c r="AB17" s="444">
        <f t="shared" si="5"/>
        <v>0</v>
      </c>
      <c r="AC17" s="139"/>
      <c r="AD17" s="139"/>
      <c r="AE17" s="441"/>
      <c r="AF17" s="441"/>
      <c r="AG17" s="119">
        <f>+IFERROR(AG15/(K15*$AT$3),"")</f>
        <v>3.2660317460317461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0</v>
      </c>
      <c r="AP17" s="167">
        <f>+AO17-AB17</f>
        <v>0</v>
      </c>
      <c r="AQ17" s="167"/>
      <c r="AR17" s="167"/>
      <c r="AS17" s="167"/>
      <c r="AT17" s="435"/>
      <c r="AU17" s="393"/>
      <c r="AW17" s="356">
        <v>2.802197802197802</v>
      </c>
      <c r="AY17" s="356"/>
    </row>
    <row r="18" spans="2:61" s="98" customFormat="1" ht="62.25" customHeight="1" thickTop="1" x14ac:dyDescent="0.9">
      <c r="B18" s="97">
        <f>+B19</f>
        <v>3</v>
      </c>
      <c r="C18" s="370"/>
      <c r="D18" s="106"/>
      <c r="E18" s="106"/>
      <c r="F18" s="106"/>
      <c r="G18" s="577" t="s">
        <v>440</v>
      </c>
      <c r="H18" s="106"/>
      <c r="I18" s="106"/>
      <c r="J18" s="107" t="s">
        <v>20</v>
      </c>
      <c r="K18" s="108" t="s">
        <v>23</v>
      </c>
      <c r="L18" s="100" t="s">
        <v>21</v>
      </c>
      <c r="M18" s="423">
        <v>75</v>
      </c>
      <c r="N18" s="423">
        <v>75</v>
      </c>
      <c r="O18" s="423"/>
      <c r="P18" s="423">
        <v>75</v>
      </c>
      <c r="Q18" s="423">
        <v>75</v>
      </c>
      <c r="R18" s="423">
        <v>75</v>
      </c>
      <c r="S18" s="423">
        <v>84</v>
      </c>
      <c r="T18" s="423"/>
      <c r="U18" s="423"/>
      <c r="V18" s="423"/>
      <c r="W18" s="423"/>
      <c r="X18" s="135">
        <f t="shared" si="0"/>
        <v>459</v>
      </c>
      <c r="Y18" s="438"/>
      <c r="Z18" s="400">
        <v>0</v>
      </c>
      <c r="AA18" s="540">
        <f>+X20</f>
        <v>-71</v>
      </c>
      <c r="AB18" s="135">
        <f t="shared" si="1"/>
        <v>459</v>
      </c>
      <c r="AC18" s="136">
        <f>+AD18+AB18</f>
        <v>6264</v>
      </c>
      <c r="AD18" s="136">
        <v>5805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61" s="98" customFormat="1" ht="62.25" customHeight="1" x14ac:dyDescent="1.35">
      <c r="B19" s="132">
        <v>3</v>
      </c>
      <c r="C19" s="371">
        <v>3</v>
      </c>
      <c r="D19" s="372" t="s">
        <v>439</v>
      </c>
      <c r="E19" s="111"/>
      <c r="F19" s="111" t="s">
        <v>35</v>
      </c>
      <c r="G19" s="578" t="str">
        <f>+G18</f>
        <v>7740-876-052</v>
      </c>
      <c r="H19" s="450">
        <v>12000</v>
      </c>
      <c r="I19" s="111" t="s">
        <v>33</v>
      </c>
      <c r="J19" s="113">
        <v>55.78</v>
      </c>
      <c r="K19" s="130">
        <v>52</v>
      </c>
      <c r="L19" s="101" t="s">
        <v>17</v>
      </c>
      <c r="M19" s="214">
        <v>30</v>
      </c>
      <c r="N19" s="214">
        <v>24</v>
      </c>
      <c r="O19" s="214">
        <v>40</v>
      </c>
      <c r="P19" s="214">
        <v>44</v>
      </c>
      <c r="Q19" s="214">
        <v>60</v>
      </c>
      <c r="R19" s="214">
        <v>52</v>
      </c>
      <c r="S19" s="214">
        <v>52</v>
      </c>
      <c r="T19" s="214">
        <v>52</v>
      </c>
      <c r="U19" s="214">
        <v>30</v>
      </c>
      <c r="V19" s="214"/>
      <c r="W19" s="424"/>
      <c r="X19" s="123">
        <f>+IF(H20="s",0,IF(AB19=0,0,IF(COUNTA(M19:W19)=AN21+0.25,SUMIF($C:$C,B19,$AB:$AB)/AN21,SUMIF($C:$C,B19,$AB:$AB)/(COUNTA(M19:W19)))))</f>
        <v>43.885714285714286</v>
      </c>
      <c r="Y19" s="439"/>
      <c r="Z19" s="400"/>
      <c r="AA19" s="541"/>
      <c r="AB19" s="134">
        <f t="shared" si="1"/>
        <v>384</v>
      </c>
      <c r="AC19" s="137">
        <f>+AB19+AD19</f>
        <v>5158</v>
      </c>
      <c r="AD19" s="137">
        <v>4774</v>
      </c>
      <c r="AE19" s="439"/>
      <c r="AF19" s="439">
        <f>+AE19+Y19</f>
        <v>0</v>
      </c>
      <c r="AG19" s="140">
        <f>+AC18-AC19</f>
        <v>1106</v>
      </c>
      <c r="AH19" s="131">
        <f>+IF(((AB20+(AB21/2))*60)=0,"",(J19*AB19)/((AB20+(AB21/2))*60))</f>
        <v>0.78459780219780217</v>
      </c>
      <c r="AI19" s="161">
        <f>+AB20+AB21/2</f>
        <v>455</v>
      </c>
      <c r="AJ19" s="161">
        <f t="shared" si="2"/>
        <v>455</v>
      </c>
      <c r="AK19" s="167">
        <f t="shared" si="3"/>
        <v>27300</v>
      </c>
      <c r="AL19" s="167">
        <f>+AB19*J19</f>
        <v>21419.52</v>
      </c>
      <c r="AM19" s="230">
        <f>+AB19-(AI19*K19/K21)</f>
        <v>-38.5</v>
      </c>
      <c r="AN19" s="339"/>
      <c r="AO19" s="340"/>
      <c r="AP19" s="167"/>
      <c r="AQ19" s="167"/>
      <c r="AR19" s="167"/>
      <c r="AS19" s="167"/>
      <c r="AT19" s="433">
        <f t="shared" ref="AT19" si="7">IF(AU19=0,"",AW19-(($AT$3*K19)+($AT$3*K19)*AU19)+AB18)</f>
        <v>11.25</v>
      </c>
      <c r="AU19" s="393">
        <v>2.25</v>
      </c>
      <c r="AW19" s="356">
        <v>1031</v>
      </c>
      <c r="AY19" s="356">
        <f t="shared" ref="AY19" si="8">+AW19-AG19</f>
        <v>-75</v>
      </c>
      <c r="AZ19" s="581"/>
      <c r="BA19" s="581"/>
      <c r="BB19" s="581"/>
      <c r="BC19" s="581"/>
      <c r="BD19" s="581"/>
      <c r="BE19" s="581"/>
      <c r="BF19" s="581"/>
      <c r="BG19" s="581"/>
      <c r="BH19" s="581"/>
      <c r="BI19" s="581"/>
    </row>
    <row r="20" spans="2:61" s="98" customFormat="1" ht="62.25" customHeight="1" x14ac:dyDescent="0.9">
      <c r="B20" s="125">
        <f>+B19</f>
        <v>3</v>
      </c>
      <c r="C20" s="373"/>
      <c r="D20" s="184"/>
      <c r="E20" s="111">
        <f>+B19</f>
        <v>3</v>
      </c>
      <c r="F20" s="374"/>
      <c r="G20" s="578" t="str">
        <f>+G18</f>
        <v>7740-876-052</v>
      </c>
      <c r="H20" s="376"/>
      <c r="I20" s="113">
        <f>+IFERROR(IF(K21=0,0,IF((LOOKUP(2,1/(M20:W20&lt;&gt;""),M20:W20)-K21)&lt;0,0,IF(K21=0,"",LOOKUP(2,1/(M20:W20&lt;&gt;""),M20:W20)-K21))),0)</f>
        <v>0</v>
      </c>
      <c r="J20" s="113">
        <v>2</v>
      </c>
      <c r="K20" s="114" t="s">
        <v>22</v>
      </c>
      <c r="L20" s="102" t="s">
        <v>18</v>
      </c>
      <c r="M20" s="215">
        <v>51</v>
      </c>
      <c r="N20" s="215">
        <v>51</v>
      </c>
      <c r="O20" s="215">
        <v>51</v>
      </c>
      <c r="P20" s="215">
        <v>51</v>
      </c>
      <c r="Q20" s="215">
        <v>51</v>
      </c>
      <c r="R20" s="215">
        <v>51</v>
      </c>
      <c r="S20" s="215">
        <v>51</v>
      </c>
      <c r="T20" s="215">
        <v>51</v>
      </c>
      <c r="U20" s="215">
        <v>51</v>
      </c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-71</v>
      </c>
      <c r="Y20" s="440"/>
      <c r="Z20" s="400"/>
      <c r="AA20" s="541"/>
      <c r="AB20" s="443">
        <f t="shared" si="5"/>
        <v>446.25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446.25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61" s="98" customFormat="1" ht="62.25" customHeight="1" thickBot="1" x14ac:dyDescent="0.95">
      <c r="B21" s="126">
        <f>+B19</f>
        <v>3</v>
      </c>
      <c r="C21" s="375"/>
      <c r="D21" s="174" t="s">
        <v>423</v>
      </c>
      <c r="E21" s="175">
        <f>+E20+100</f>
        <v>103</v>
      </c>
      <c r="F21" s="175"/>
      <c r="G21" s="579" t="str">
        <f>+G18</f>
        <v>7740-876-052</v>
      </c>
      <c r="H21" s="454">
        <f>+AC18-H19</f>
        <v>-5736</v>
      </c>
      <c r="I21" s="397"/>
      <c r="J21" s="165">
        <f>+IF(K21="","",IF(K19=0,"",(K19*J19)/(K21*60)))</f>
        <v>0.86326190476190479</v>
      </c>
      <c r="K21" s="118">
        <v>56</v>
      </c>
      <c r="L21" s="104" t="s">
        <v>19</v>
      </c>
      <c r="M21" s="427">
        <v>2</v>
      </c>
      <c r="N21" s="427">
        <v>2</v>
      </c>
      <c r="O21" s="427">
        <v>2</v>
      </c>
      <c r="P21" s="427">
        <v>2</v>
      </c>
      <c r="Q21" s="427">
        <v>2</v>
      </c>
      <c r="R21" s="427">
        <v>2</v>
      </c>
      <c r="S21" s="427">
        <v>2</v>
      </c>
      <c r="T21" s="427">
        <v>2</v>
      </c>
      <c r="U21" s="427">
        <v>2</v>
      </c>
      <c r="V21" s="428"/>
      <c r="W21" s="428"/>
      <c r="X21" s="173"/>
      <c r="Y21" s="441"/>
      <c r="Z21" s="401">
        <v>37.057412587412585</v>
      </c>
      <c r="AA21" s="401">
        <v>37.057412587412585</v>
      </c>
      <c r="AB21" s="444">
        <f t="shared" si="5"/>
        <v>17.5</v>
      </c>
      <c r="AC21" s="139"/>
      <c r="AD21" s="139"/>
      <c r="AE21" s="441"/>
      <c r="AF21" s="441"/>
      <c r="AG21" s="119">
        <f>+IFERROR(AG19/(K19*$AT$3),"")</f>
        <v>2.4307692307692306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+IF(AN21=7.75,SUM(M21:S21)+T21*0.75,IF(AN21=8,SUM(M21:T21),IF(AN21=7.25,SUM(M21:S21)+T21*0.25,IF(AN21=8.25,SUM(M21:T21)+U21*0.25,IF(AN21=8.75,SUM(M21:T21)+U21*0.75,0)))))</f>
        <v>17.5</v>
      </c>
      <c r="AP21" s="167">
        <f>+AO21-AB21</f>
        <v>0</v>
      </c>
      <c r="AQ21" s="167"/>
      <c r="AR21" s="167"/>
      <c r="AS21" s="167"/>
      <c r="AT21" s="435"/>
      <c r="AU21" s="393"/>
      <c r="AW21" s="356">
        <v>2.2659340659340659</v>
      </c>
      <c r="AY21" s="356"/>
    </row>
    <row r="22" spans="2:6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82" t="s">
        <v>431</v>
      </c>
      <c r="H22" s="106"/>
      <c r="I22" s="106"/>
      <c r="J22" s="107" t="s">
        <v>20</v>
      </c>
      <c r="K22" s="108" t="s">
        <v>23</v>
      </c>
      <c r="L22" s="100" t="s">
        <v>21</v>
      </c>
      <c r="M22" s="423"/>
      <c r="N22" s="423"/>
      <c r="O22" s="423"/>
      <c r="P22" s="423"/>
      <c r="Q22" s="423"/>
      <c r="R22" s="423"/>
      <c r="S22" s="423"/>
      <c r="T22" s="423"/>
      <c r="U22" s="423"/>
      <c r="V22" s="423"/>
      <c r="W22" s="423"/>
      <c r="X22" s="135" t="str">
        <f t="shared" si="0"/>
        <v/>
      </c>
      <c r="Y22" s="438"/>
      <c r="Z22" s="400">
        <v>0.75</v>
      </c>
      <c r="AA22" s="540">
        <f>+X24</f>
        <v>-164.25</v>
      </c>
      <c r="AB22" s="135">
        <f t="shared" si="1"/>
        <v>0</v>
      </c>
      <c r="AC22" s="136">
        <f>+AD22+AB22</f>
        <v>9585</v>
      </c>
      <c r="AD22" s="136">
        <v>9585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61" s="98" customFormat="1" ht="62.25" customHeight="1" x14ac:dyDescent="0.9">
      <c r="B23" s="132">
        <v>4</v>
      </c>
      <c r="C23" s="371">
        <f>+B23</f>
        <v>4</v>
      </c>
      <c r="D23" s="372" t="s">
        <v>430</v>
      </c>
      <c r="E23" s="111"/>
      <c r="F23" s="111" t="s">
        <v>35</v>
      </c>
      <c r="G23" s="582" t="str">
        <f>+G22</f>
        <v xml:space="preserve">2878-556-700 </v>
      </c>
      <c r="H23" s="450">
        <v>9585</v>
      </c>
      <c r="I23" s="111" t="s">
        <v>251</v>
      </c>
      <c r="J23" s="113">
        <v>36.65</v>
      </c>
      <c r="K23" s="130">
        <v>75</v>
      </c>
      <c r="L23" s="101" t="s">
        <v>17</v>
      </c>
      <c r="M23" s="214">
        <v>55</v>
      </c>
      <c r="N23" s="214">
        <v>40</v>
      </c>
      <c r="O23" s="214">
        <v>70</v>
      </c>
      <c r="P23" s="214">
        <v>68</v>
      </c>
      <c r="Q23" s="214">
        <v>64</v>
      </c>
      <c r="R23" s="214">
        <v>35</v>
      </c>
      <c r="S23" s="214">
        <v>65</v>
      </c>
      <c r="T23" s="214">
        <v>55</v>
      </c>
      <c r="U23" s="214">
        <v>40</v>
      </c>
      <c r="V23" s="214"/>
      <c r="W23" s="424"/>
      <c r="X23" s="123">
        <f>+IF(H24="s",0,IF(AB23=0,0,IF(COUNTA(M23:W23)=AN25+0.25,SUMIF($C:$C,B23,$AB:$AB)/AN25,SUMIF($C:$C,B23,$AB:$AB)/(COUNTA(M23:W23)))))</f>
        <v>56.228571428571428</v>
      </c>
      <c r="Y23" s="439"/>
      <c r="Z23" s="400"/>
      <c r="AA23" s="541"/>
      <c r="AB23" s="134">
        <f t="shared" si="1"/>
        <v>492</v>
      </c>
      <c r="AC23" s="137">
        <f>+AB23+AD23</f>
        <v>9447</v>
      </c>
      <c r="AD23" s="137">
        <v>8955</v>
      </c>
      <c r="AE23" s="439">
        <v>0</v>
      </c>
      <c r="AF23" s="439">
        <f>+AE23+Y23</f>
        <v>0</v>
      </c>
      <c r="AG23" s="140">
        <f>+AC22-AC23</f>
        <v>138</v>
      </c>
      <c r="AH23" s="131">
        <f>+IF(((AB24+(AB25/2))*60)=0,"",(J23*AB23)/((AB24+(AB25/2))*60))</f>
        <v>0.69386435786435785</v>
      </c>
      <c r="AI23" s="161">
        <f>+AB24+AB25/2</f>
        <v>433.125</v>
      </c>
      <c r="AJ23" s="161">
        <f t="shared" si="2"/>
        <v>433.07499999999999</v>
      </c>
      <c r="AK23" s="167">
        <f t="shared" si="3"/>
        <v>25987.5</v>
      </c>
      <c r="AL23" s="167">
        <f>+AB23*J23</f>
        <v>18031.8</v>
      </c>
      <c r="AM23" s="230">
        <f>+AB23-(AI23*K23/K25)</f>
        <v>-157.6875</v>
      </c>
      <c r="AN23" s="339"/>
      <c r="AO23" s="340"/>
      <c r="AP23" s="167"/>
      <c r="AQ23" s="167"/>
      <c r="AR23" s="167"/>
      <c r="AS23" s="167"/>
      <c r="AT23" s="433"/>
      <c r="AU23" s="393"/>
      <c r="AW23" s="356">
        <v>630</v>
      </c>
      <c r="AY23" s="356">
        <f t="shared" ref="AY23" si="9">+AW23-AG23</f>
        <v>492</v>
      </c>
    </row>
    <row r="24" spans="2:6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82" t="str">
        <f>+G23</f>
        <v xml:space="preserve">2878-556-700 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49</v>
      </c>
      <c r="N24" s="425">
        <v>49</v>
      </c>
      <c r="O24" s="425">
        <v>49</v>
      </c>
      <c r="P24" s="425">
        <v>49</v>
      </c>
      <c r="Q24" s="425">
        <v>49</v>
      </c>
      <c r="R24" s="425">
        <v>49</v>
      </c>
      <c r="S24" s="425">
        <v>49</v>
      </c>
      <c r="T24" s="425">
        <v>49</v>
      </c>
      <c r="U24" s="425">
        <v>49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-164.25</v>
      </c>
      <c r="Y24" s="440"/>
      <c r="Z24" s="400"/>
      <c r="AA24" s="541"/>
      <c r="AB24" s="443">
        <f t="shared" si="5"/>
        <v>428.75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428.75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6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82" t="str">
        <f>+G24</f>
        <v xml:space="preserve">2878-556-700 </v>
      </c>
      <c r="H25" s="454">
        <f>+AC22-H23</f>
        <v>0</v>
      </c>
      <c r="I25" s="397"/>
      <c r="J25" s="165">
        <f>+IF(K25="","",IF(K23=0,"",(K23*J23)/(K25*60)))</f>
        <v>0.91625000000000001</v>
      </c>
      <c r="K25" s="118">
        <v>50</v>
      </c>
      <c r="L25" s="104" t="s">
        <v>19</v>
      </c>
      <c r="M25" s="427">
        <v>1</v>
      </c>
      <c r="N25" s="427">
        <v>1</v>
      </c>
      <c r="O25" s="427">
        <v>1</v>
      </c>
      <c r="P25" s="427">
        <v>1</v>
      </c>
      <c r="Q25" s="427">
        <v>1</v>
      </c>
      <c r="R25" s="427">
        <v>1</v>
      </c>
      <c r="S25" s="427">
        <v>1</v>
      </c>
      <c r="T25" s="427">
        <v>1</v>
      </c>
      <c r="U25" s="427">
        <v>1</v>
      </c>
      <c r="V25" s="428"/>
      <c r="W25" s="428"/>
      <c r="X25" s="173"/>
      <c r="Y25" s="441"/>
      <c r="Z25" s="401">
        <v>29.116666666666667</v>
      </c>
      <c r="AA25" s="169">
        <v>29.116666666666667</v>
      </c>
      <c r="AB25" s="444">
        <f t="shared" si="5"/>
        <v>8.75</v>
      </c>
      <c r="AC25" s="139"/>
      <c r="AD25" s="139"/>
      <c r="AE25" s="441"/>
      <c r="AF25" s="441"/>
      <c r="AG25" s="119">
        <f>+IFERROR(AG23/(K23*$AT$3),"")</f>
        <v>0.2102857142857143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7.75</v>
      </c>
      <c r="AP25" s="167">
        <f>+AO25-AB25</f>
        <v>-1</v>
      </c>
      <c r="AQ25" s="167"/>
      <c r="AR25" s="167"/>
      <c r="AS25" s="167"/>
      <c r="AT25" s="435"/>
      <c r="AU25" s="393"/>
      <c r="AW25" s="356">
        <v>0.96</v>
      </c>
      <c r="AY25" s="356"/>
    </row>
    <row r="26" spans="2:61" s="98" customFormat="1" ht="62.25" customHeight="1" thickTop="1" x14ac:dyDescent="0.9">
      <c r="B26" s="97">
        <f>+B27</f>
        <v>4</v>
      </c>
      <c r="C26" s="370"/>
      <c r="D26" s="106"/>
      <c r="E26" s="106"/>
      <c r="F26" s="106"/>
      <c r="G26" s="577" t="s">
        <v>472</v>
      </c>
      <c r="H26" s="106"/>
      <c r="I26" s="106"/>
      <c r="J26" s="107" t="s">
        <v>20</v>
      </c>
      <c r="K26" s="108" t="s">
        <v>23</v>
      </c>
      <c r="L26" s="100" t="s">
        <v>21</v>
      </c>
      <c r="M26" s="423">
        <v>50</v>
      </c>
      <c r="N26" s="423">
        <v>50</v>
      </c>
      <c r="O26" s="423">
        <v>50</v>
      </c>
      <c r="P26" s="423"/>
      <c r="Q26" s="423">
        <v>50</v>
      </c>
      <c r="R26" s="423">
        <v>50</v>
      </c>
      <c r="S26" s="423">
        <v>50</v>
      </c>
      <c r="T26" s="423"/>
      <c r="U26" s="423"/>
      <c r="V26" s="423"/>
      <c r="W26" s="423"/>
      <c r="X26" s="135">
        <f t="shared" ref="X26" si="10">IF(AT27="","",SUM(M26:W26)-(-(AT27-SUM(M26:W26))/$AT$3)*SUM($M$2:$W$2))</f>
        <v>300</v>
      </c>
      <c r="Y26" s="438"/>
      <c r="Z26" s="400">
        <v>0</v>
      </c>
      <c r="AA26" s="540">
        <f>+X28</f>
        <v>0</v>
      </c>
      <c r="AB26" s="135">
        <f t="shared" ref="AB26:AB27" si="11">+SUM(L26:W26)</f>
        <v>300</v>
      </c>
      <c r="AC26" s="136">
        <f>+AD26+AB26</f>
        <v>300</v>
      </c>
      <c r="AD26" s="136">
        <v>0</v>
      </c>
      <c r="AE26" s="438"/>
      <c r="AF26" s="438"/>
      <c r="AG26" s="109"/>
      <c r="AH26" s="110"/>
      <c r="AI26" s="157"/>
      <c r="AJ26" s="161">
        <f t="shared" si="2"/>
        <v>0</v>
      </c>
      <c r="AK26" s="167">
        <f t="shared" si="3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61" s="98" customFormat="1" ht="62.25" customHeight="1" x14ac:dyDescent="0.9">
      <c r="B27" s="132">
        <v>4</v>
      </c>
      <c r="C27" s="371">
        <f>+B27</f>
        <v>4</v>
      </c>
      <c r="D27" s="372" t="s">
        <v>473</v>
      </c>
      <c r="E27" s="111"/>
      <c r="F27" s="111" t="s">
        <v>35</v>
      </c>
      <c r="G27" s="578" t="s">
        <v>472</v>
      </c>
      <c r="H27" s="450">
        <v>8333</v>
      </c>
      <c r="I27" s="111" t="s">
        <v>251</v>
      </c>
      <c r="J27" s="113"/>
      <c r="K27" s="130"/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424"/>
      <c r="X27" s="123">
        <f>+IF(H28="s",0,IF(AB27=0,0,IF(COUNTA(M27:W27)=AN29+0.25,SUMIF($C:$C,B27,$AB:$AB)/AN29,SUMIF($C:$C,B27,$AB:$AB)/(COUNTA(M27:W27)))))</f>
        <v>0</v>
      </c>
      <c r="Y27" s="439"/>
      <c r="Z27" s="400"/>
      <c r="AA27" s="541"/>
      <c r="AB27" s="134">
        <f t="shared" si="11"/>
        <v>0</v>
      </c>
      <c r="AC27" s="137">
        <f>+AB27+AD27</f>
        <v>0</v>
      </c>
      <c r="AD27" s="137">
        <v>0</v>
      </c>
      <c r="AE27" s="439">
        <v>0</v>
      </c>
      <c r="AF27" s="439">
        <f>+AE27+Y27</f>
        <v>0</v>
      </c>
      <c r="AG27" s="140">
        <f>+AC26-AC27</f>
        <v>300</v>
      </c>
      <c r="AH27" s="131" t="str">
        <f>+IF(((AB28+(AB29/2))*60)=0,"",(J27*AB27)/((AB28+(AB29/2))*60))</f>
        <v/>
      </c>
      <c r="AI27" s="161">
        <f>+AB28+AB29/2</f>
        <v>0</v>
      </c>
      <c r="AJ27" s="161">
        <f t="shared" si="2"/>
        <v>0</v>
      </c>
      <c r="AK27" s="167">
        <f t="shared" si="3"/>
        <v>0</v>
      </c>
      <c r="AL27" s="167">
        <f>+AB27*J27</f>
        <v>0</v>
      </c>
      <c r="AM27" s="230" t="e">
        <f>+AB27-(AI27*K27/K29)</f>
        <v>#DIV/0!</v>
      </c>
      <c r="AN27" s="339"/>
      <c r="AO27" s="340"/>
      <c r="AP27" s="167"/>
      <c r="AQ27" s="167"/>
      <c r="AR27" s="167"/>
      <c r="AS27" s="167"/>
      <c r="AT27" s="433">
        <f>-300+AB26</f>
        <v>0</v>
      </c>
      <c r="AU27" s="393">
        <v>1.5</v>
      </c>
      <c r="AW27" s="356">
        <v>0</v>
      </c>
      <c r="AY27" s="356">
        <f t="shared" ref="AY27" si="12">+AW27-AG27</f>
        <v>-300</v>
      </c>
    </row>
    <row r="28" spans="2:61" s="98" customFormat="1" ht="62.25" customHeight="1" x14ac:dyDescent="0.9">
      <c r="B28" s="125">
        <f>+B27</f>
        <v>4</v>
      </c>
      <c r="C28" s="373"/>
      <c r="D28" s="184"/>
      <c r="E28" s="111">
        <f>+B27</f>
        <v>4</v>
      </c>
      <c r="F28" s="374"/>
      <c r="G28" s="578" t="s">
        <v>472</v>
      </c>
      <c r="H28" s="376" t="s">
        <v>400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/>
      <c r="N28" s="425"/>
      <c r="O28" s="425"/>
      <c r="P28" s="425"/>
      <c r="Q28" s="425"/>
      <c r="R28" s="425"/>
      <c r="S28" s="425"/>
      <c r="T28" s="425"/>
      <c r="U28" s="425"/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0</v>
      </c>
      <c r="Y28" s="440"/>
      <c r="Z28" s="400"/>
      <c r="AA28" s="541"/>
      <c r="AB28" s="443">
        <f t="shared" ref="AB28:AB29" si="13">+SUM(M28:W28)-U28*0.25</f>
        <v>0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167">
        <f t="shared" si="3"/>
        <v>0</v>
      </c>
      <c r="AL28" s="167"/>
      <c r="AM28" s="167"/>
      <c r="AN28" s="339"/>
      <c r="AO28" s="340">
        <f>+IF(AN29=7.75,SUM(M28:S28)+T28*0.75,IF(AN29=8,SUM(M28:T28),IF(AN29=7.25,SUM(M28:S28)+T28*0.25,IF(AN29=8.25,SUM(M28:T28)+U28*0.25,IF(AN29=8.75,SUM(M28:T28)+U28*0.75,0)))))</f>
        <v>0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61" s="98" customFormat="1" ht="62.25" customHeight="1" thickBot="1" x14ac:dyDescent="0.95">
      <c r="B29" s="126">
        <f>+B27</f>
        <v>4</v>
      </c>
      <c r="C29" s="375"/>
      <c r="D29" s="174" t="s">
        <v>445</v>
      </c>
      <c r="E29" s="175">
        <f>+E28+100</f>
        <v>104</v>
      </c>
      <c r="F29" s="175"/>
      <c r="G29" s="579" t="s">
        <v>472</v>
      </c>
      <c r="H29" s="454">
        <f>+AC26-H27</f>
        <v>-8033</v>
      </c>
      <c r="I29" s="397"/>
      <c r="J29" s="165" t="str">
        <f>+IF(K29="","",IF(K27=0,"",(K27*J27)/(K29*60)))</f>
        <v/>
      </c>
      <c r="K29" s="118"/>
      <c r="L29" s="104" t="s">
        <v>19</v>
      </c>
      <c r="M29" s="427"/>
      <c r="N29" s="427"/>
      <c r="O29" s="427"/>
      <c r="P29" s="427"/>
      <c r="Q29" s="427"/>
      <c r="R29" s="427"/>
      <c r="S29" s="427"/>
      <c r="T29" s="427"/>
      <c r="U29" s="427"/>
      <c r="V29" s="428"/>
      <c r="W29" s="428"/>
      <c r="X29" s="173"/>
      <c r="Y29" s="441"/>
      <c r="Z29" s="401"/>
      <c r="AA29" s="169"/>
      <c r="AB29" s="444">
        <f t="shared" si="13"/>
        <v>0</v>
      </c>
      <c r="AC29" s="139"/>
      <c r="AD29" s="139"/>
      <c r="AE29" s="441"/>
      <c r="AF29" s="441"/>
      <c r="AG29" s="119" t="str">
        <f>+IFERROR(AG27/(K27*$AT$3),"")</f>
        <v/>
      </c>
      <c r="AH29" s="162"/>
      <c r="AI29" s="161"/>
      <c r="AJ29" s="161">
        <f t="shared" si="2"/>
        <v>0</v>
      </c>
      <c r="AK29" s="167">
        <f t="shared" si="3"/>
        <v>0</v>
      </c>
      <c r="AL29" s="167"/>
      <c r="AM29" s="230"/>
      <c r="AN29" s="342">
        <f>+$AM$4</f>
        <v>8.75</v>
      </c>
      <c r="AO29" s="340">
        <f>+IF(AN29=7.75,SUM(N29:S29)+T29*0.75,IF(AN29=8,SUM(N29:T29),IF(AN29=7.25,SUM(N29:S29)+T29*0.25,IF(AN29=8.25,SUM(N29:T29)+U29*0.25,IF(AN29=8.75,SUM(N29:T29)+U29*0.75,0)))))</f>
        <v>0</v>
      </c>
      <c r="AP29" s="167">
        <f>+AO29-AB29</f>
        <v>0</v>
      </c>
      <c r="AQ29" s="167"/>
      <c r="AR29" s="167"/>
      <c r="AS29" s="167"/>
      <c r="AT29" s="435"/>
      <c r="AU29" s="393"/>
      <c r="AW29" s="356" t="s">
        <v>429</v>
      </c>
      <c r="AY29" s="356"/>
    </row>
    <row r="30" spans="2:61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77" t="s">
        <v>433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150</v>
      </c>
      <c r="N30" s="423">
        <v>150</v>
      </c>
      <c r="O30" s="423">
        <v>150</v>
      </c>
      <c r="P30" s="423"/>
      <c r="Q30" s="423"/>
      <c r="R30" s="423">
        <v>75</v>
      </c>
      <c r="S30" s="423"/>
      <c r="T30" s="423"/>
      <c r="U30" s="423"/>
      <c r="V30" s="423"/>
      <c r="W30" s="423"/>
      <c r="X30" s="135">
        <f t="shared" si="0"/>
        <v>525</v>
      </c>
      <c r="Y30" s="438"/>
      <c r="Z30" s="400">
        <v>60.5</v>
      </c>
      <c r="AA30" s="540">
        <f>+X32</f>
        <v>60.5</v>
      </c>
      <c r="AB30" s="135">
        <f t="shared" si="1"/>
        <v>525</v>
      </c>
      <c r="AC30" s="136">
        <f>+AD30+AB30</f>
        <v>10779</v>
      </c>
      <c r="AD30" s="136">
        <v>10254</v>
      </c>
      <c r="AE30" s="438"/>
      <c r="AF30" s="438"/>
      <c r="AG30" s="109"/>
      <c r="AH30" s="110"/>
      <c r="AI30" s="157"/>
      <c r="AJ30" s="161">
        <f t="shared" si="2"/>
        <v>0</v>
      </c>
      <c r="AK30" s="167">
        <f t="shared" si="3"/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61" s="98" customFormat="1" ht="62.25" customHeight="1" x14ac:dyDescent="0.9">
      <c r="B31" s="132">
        <v>5</v>
      </c>
      <c r="C31" s="371">
        <f>+B31</f>
        <v>5</v>
      </c>
      <c r="D31" s="372" t="s">
        <v>432</v>
      </c>
      <c r="E31" s="111"/>
      <c r="F31" s="111" t="s">
        <v>35</v>
      </c>
      <c r="G31" s="578" t="str">
        <f>+G30</f>
        <v>2843-709-800</v>
      </c>
      <c r="H31" s="450">
        <v>11700</v>
      </c>
      <c r="I31" s="111" t="s">
        <v>251</v>
      </c>
      <c r="J31" s="113">
        <v>50</v>
      </c>
      <c r="K31" s="130">
        <v>58</v>
      </c>
      <c r="L31" s="101" t="s">
        <v>17</v>
      </c>
      <c r="M31" s="214">
        <v>65</v>
      </c>
      <c r="N31" s="214">
        <v>65</v>
      </c>
      <c r="O31" s="214">
        <v>65</v>
      </c>
      <c r="P31" s="214">
        <v>55</v>
      </c>
      <c r="Q31" s="214">
        <v>75</v>
      </c>
      <c r="R31" s="214">
        <v>65</v>
      </c>
      <c r="S31" s="214">
        <v>65</v>
      </c>
      <c r="T31" s="214">
        <v>65</v>
      </c>
      <c r="U31" s="214">
        <v>48</v>
      </c>
      <c r="V31" s="214"/>
      <c r="W31" s="424"/>
      <c r="X31" s="123">
        <f>+IF(H32="s",0,IF(AB31=0,0,IF(COUNTA(M31:W31)=AN33+0.25,SUMIF($C:$C,B31,$AB:$AB)/AN33,SUMIF($C:$C,B31,$AB:$AB)/(COUNTA(M31:W31)))))</f>
        <v>64.914285714285711</v>
      </c>
      <c r="Y31" s="439"/>
      <c r="Z31" s="400"/>
      <c r="AA31" s="541"/>
      <c r="AB31" s="134">
        <f t="shared" si="1"/>
        <v>568</v>
      </c>
      <c r="AC31" s="137">
        <f>+AB31+AD31</f>
        <v>9312</v>
      </c>
      <c r="AD31" s="137">
        <v>8744</v>
      </c>
      <c r="AE31" s="439">
        <v>0</v>
      </c>
      <c r="AF31" s="439">
        <f>+AE31+Y31</f>
        <v>0</v>
      </c>
      <c r="AG31" s="140">
        <f>+AC30-AC31</f>
        <v>1467</v>
      </c>
      <c r="AH31" s="131">
        <f>+IF(((AB32+(AB33/2))*60)=0,"",(J31*AB31)/((AB32+(AB33/2))*60))</f>
        <v>0.99257317605941464</v>
      </c>
      <c r="AI31" s="161">
        <f>+AB32+AB33/2</f>
        <v>476.875</v>
      </c>
      <c r="AJ31" s="161">
        <f t="shared" si="2"/>
        <v>476.52499999999998</v>
      </c>
      <c r="AK31" s="167">
        <f t="shared" si="3"/>
        <v>28612.5</v>
      </c>
      <c r="AL31" s="167">
        <f>+AB31*J31</f>
        <v>28400</v>
      </c>
      <c r="AM31" s="230">
        <f>+AB31-(AI31*K31/K33)</f>
        <v>55.800925925925981</v>
      </c>
      <c r="AN31" s="339"/>
      <c r="AO31" s="340"/>
      <c r="AP31" s="167"/>
      <c r="AQ31" s="167"/>
      <c r="AR31" s="167"/>
      <c r="AS31" s="167"/>
      <c r="AT31" s="433">
        <f t="shared" ref="AT31" si="14">IF(AU31=0,"",AW31-(($AT$3*K31)+($AT$3*K31)*AU31)+AB30)</f>
        <v>5</v>
      </c>
      <c r="AU31" s="393">
        <v>3</v>
      </c>
      <c r="AW31" s="356">
        <v>1510</v>
      </c>
      <c r="AY31" s="356">
        <f t="shared" ref="AY31" si="15">+AW31-AG31</f>
        <v>43</v>
      </c>
    </row>
    <row r="32" spans="2:61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78" t="str">
        <f>+G30</f>
        <v>2843-709-800</v>
      </c>
      <c r="H32" s="376" t="s">
        <v>182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>
        <v>54</v>
      </c>
      <c r="N32" s="425">
        <v>54</v>
      </c>
      <c r="O32" s="425">
        <v>54</v>
      </c>
      <c r="P32" s="425">
        <v>54</v>
      </c>
      <c r="Q32" s="425">
        <v>54</v>
      </c>
      <c r="R32" s="425">
        <v>54</v>
      </c>
      <c r="S32" s="425">
        <v>54</v>
      </c>
      <c r="T32" s="425">
        <v>54</v>
      </c>
      <c r="U32" s="425">
        <v>54</v>
      </c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60.5</v>
      </c>
      <c r="Y32" s="440"/>
      <c r="Z32" s="400"/>
      <c r="AA32" s="541"/>
      <c r="AB32" s="443">
        <f t="shared" si="5"/>
        <v>472.5</v>
      </c>
      <c r="AC32" s="341"/>
      <c r="AD32" s="341"/>
      <c r="AE32" s="440"/>
      <c r="AF32" s="440"/>
      <c r="AG32" s="115"/>
      <c r="AH32" s="116"/>
      <c r="AI32" s="157"/>
      <c r="AJ32" s="161">
        <f t="shared" si="2"/>
        <v>0</v>
      </c>
      <c r="AK32" s="167">
        <f t="shared" si="3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472.5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79" t="str">
        <f>+G30</f>
        <v>2843-709-800</v>
      </c>
      <c r="H33" s="454">
        <f>+AC30-H31</f>
        <v>-921</v>
      </c>
      <c r="I33" s="397" t="s">
        <v>182</v>
      </c>
      <c r="J33" s="165">
        <f>+IF(K33="","",IF(K31=0,"",(K31*J31)/(K33*60)))</f>
        <v>0.89506172839506171</v>
      </c>
      <c r="K33" s="118">
        <v>54</v>
      </c>
      <c r="L33" s="104" t="s">
        <v>19</v>
      </c>
      <c r="M33" s="427">
        <v>1</v>
      </c>
      <c r="N33" s="427">
        <v>1</v>
      </c>
      <c r="O33" s="427">
        <v>1</v>
      </c>
      <c r="P33" s="427">
        <v>1</v>
      </c>
      <c r="Q33" s="427">
        <v>1</v>
      </c>
      <c r="R33" s="427">
        <v>1</v>
      </c>
      <c r="S33" s="427">
        <v>1</v>
      </c>
      <c r="T33" s="427">
        <v>1</v>
      </c>
      <c r="U33" s="427">
        <v>1</v>
      </c>
      <c r="V33" s="428"/>
      <c r="W33" s="428"/>
      <c r="X33" s="173"/>
      <c r="Y33" s="441"/>
      <c r="Z33" s="401">
        <v>36.370689655172413</v>
      </c>
      <c r="AA33" s="401">
        <v>36.370689655172413</v>
      </c>
      <c r="AB33" s="444">
        <f t="shared" si="5"/>
        <v>8.75</v>
      </c>
      <c r="AC33" s="139"/>
      <c r="AD33" s="139"/>
      <c r="AE33" s="441"/>
      <c r="AF33" s="441"/>
      <c r="AG33" s="119">
        <f>+IFERROR(AG31/(K31*$AT$3),"")</f>
        <v>2.89064039408867</v>
      </c>
      <c r="AH33" s="162"/>
      <c r="AI33" s="161"/>
      <c r="AJ33" s="161">
        <f t="shared" si="2"/>
        <v>0</v>
      </c>
      <c r="AK33" s="167">
        <f t="shared" si="3"/>
        <v>0</v>
      </c>
      <c r="AL33" s="167"/>
      <c r="AM33" s="230"/>
      <c r="AN33" s="342">
        <f>+$AM$4</f>
        <v>8.75</v>
      </c>
      <c r="AO33" s="340">
        <f>+IF(AN33=7.75,SUM(M33:S33)+T33*0.75,IF(AN33=8,SUM(M33:T33),IF(AN33=7.25,SUM(M33:S33)+T33*0.25,IF(AN33=8.25,SUM(M33:T33)+U33*0.25,IF(AN33=8.75,SUM(M33:T33)+U33*0.75,0)))))</f>
        <v>8.75</v>
      </c>
      <c r="AP33" s="167">
        <f>+AO33-AB33</f>
        <v>0</v>
      </c>
      <c r="AQ33" s="167"/>
      <c r="AR33" s="167"/>
      <c r="AS33" s="167"/>
      <c r="AT33" s="435"/>
      <c r="AU33" s="393"/>
      <c r="AW33" s="356">
        <v>2.9753694581280787</v>
      </c>
      <c r="AY33" s="356"/>
    </row>
    <row r="34" spans="2:61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77" t="s">
        <v>444</v>
      </c>
      <c r="H34" s="106"/>
      <c r="I34" s="111"/>
      <c r="J34" s="107" t="s">
        <v>20</v>
      </c>
      <c r="K34" s="108">
        <v>0</v>
      </c>
      <c r="L34" s="100" t="s">
        <v>21</v>
      </c>
      <c r="M34" s="423">
        <v>50</v>
      </c>
      <c r="N34" s="423">
        <v>50</v>
      </c>
      <c r="O34" s="423">
        <v>50</v>
      </c>
      <c r="P34" s="423">
        <v>50</v>
      </c>
      <c r="Q34" s="423">
        <v>50</v>
      </c>
      <c r="R34" s="423">
        <v>50</v>
      </c>
      <c r="S34" s="423">
        <v>50</v>
      </c>
      <c r="T34" s="423"/>
      <c r="U34" s="423"/>
      <c r="V34" s="423"/>
      <c r="W34" s="423"/>
      <c r="X34" s="135">
        <f t="shared" si="0"/>
        <v>350</v>
      </c>
      <c r="Y34" s="438"/>
      <c r="Z34" s="400">
        <v>-81.25</v>
      </c>
      <c r="AA34" s="540">
        <f>+X36</f>
        <v>-156.25</v>
      </c>
      <c r="AB34" s="135">
        <f t="shared" si="1"/>
        <v>350</v>
      </c>
      <c r="AC34" s="136">
        <f>+AD34+AB34</f>
        <v>4901</v>
      </c>
      <c r="AD34" s="136">
        <v>4551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0.9">
      <c r="B35" s="132">
        <v>6</v>
      </c>
      <c r="C35" s="371">
        <f>+B35</f>
        <v>6</v>
      </c>
      <c r="D35" s="372" t="s">
        <v>443</v>
      </c>
      <c r="E35" s="111"/>
      <c r="F35" s="111" t="s">
        <v>35</v>
      </c>
      <c r="G35" s="578" t="str">
        <f t="shared" ref="G35:G37" si="16">+G34</f>
        <v>2917-496-712</v>
      </c>
      <c r="H35" s="450">
        <v>7000</v>
      </c>
      <c r="I35" s="111" t="s">
        <v>33</v>
      </c>
      <c r="J35" s="113"/>
      <c r="K35" s="130">
        <v>55</v>
      </c>
      <c r="L35" s="101" t="s">
        <v>17</v>
      </c>
      <c r="M35" s="214">
        <v>20</v>
      </c>
      <c r="N35" s="214">
        <v>50</v>
      </c>
      <c r="O35" s="214">
        <v>38</v>
      </c>
      <c r="P35" s="214">
        <v>11</v>
      </c>
      <c r="Q35" s="214">
        <v>55</v>
      </c>
      <c r="R35" s="214">
        <v>50</v>
      </c>
      <c r="S35" s="214">
        <v>52</v>
      </c>
      <c r="T35" s="214">
        <v>32</v>
      </c>
      <c r="U35" s="214">
        <v>17</v>
      </c>
      <c r="V35" s="424"/>
      <c r="W35" s="424"/>
      <c r="X35" s="123">
        <f>+IF(H36="s",0,IF(AB35=0,0,IF(COUNTA(M35:W35)=AN37+0.25,SUMIF($C:$C,B35,$AB:$AB)/AN37,SUMIF($C:$C,B35,$AB:$AB)/(COUNTA(M35:W35)))))</f>
        <v>37.142857142857146</v>
      </c>
      <c r="Y35" s="439"/>
      <c r="Z35" s="400"/>
      <c r="AA35" s="541"/>
      <c r="AB35" s="134">
        <f t="shared" si="1"/>
        <v>325</v>
      </c>
      <c r="AC35" s="137">
        <f>+AB35+AD35</f>
        <v>3379</v>
      </c>
      <c r="AD35" s="137">
        <v>3054</v>
      </c>
      <c r="AE35" s="439"/>
      <c r="AF35" s="439">
        <f>+AE35+Y35</f>
        <v>0</v>
      </c>
      <c r="AG35" s="140">
        <f>+AC34-AC35</f>
        <v>1522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>
        <f>-350+AB34</f>
        <v>0</v>
      </c>
      <c r="AU35" s="393">
        <v>1.5</v>
      </c>
      <c r="AW35" s="356">
        <v>1497</v>
      </c>
      <c r="AY35" s="356">
        <f t="shared" ref="AY35" si="17">+AW35-AG35</f>
        <v>-25</v>
      </c>
    </row>
    <row r="36" spans="2:61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78" t="str">
        <f t="shared" si="16"/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-156.25</v>
      </c>
      <c r="Y36" s="440"/>
      <c r="Z36" s="400"/>
      <c r="AA36" s="541"/>
      <c r="AB36" s="443">
        <f t="shared" si="5"/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79" t="str">
        <f t="shared" si="16"/>
        <v>2917-496-712</v>
      </c>
      <c r="H37" s="454">
        <f>+AC34-H35</f>
        <v>-2099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63.133636363636363</v>
      </c>
      <c r="AA37" s="168">
        <f>+IF(COUNTA(M35:W35)=$AM$4+0.25,$AM$4-(AB35/K35),COUNTA(M35:W35)-(AB35/K35))+Z37</f>
        <v>65.974545454545449</v>
      </c>
      <c r="AB37" s="444">
        <f t="shared" si="5"/>
        <v>0</v>
      </c>
      <c r="AC37" s="139"/>
      <c r="AD37" s="139"/>
      <c r="AE37" s="441"/>
      <c r="AF37" s="441"/>
      <c r="AG37" s="119">
        <f>+IFERROR(AG35/(K35*$AT$3),"")</f>
        <v>3.1625974025974024</v>
      </c>
      <c r="AH37" s="162"/>
      <c r="AI37" s="161"/>
      <c r="AJ37" s="161"/>
      <c r="AK37" s="167"/>
      <c r="AL37" s="167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3.1106493506493504</v>
      </c>
      <c r="AY37" s="356"/>
    </row>
    <row r="38" spans="2:61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77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>
        <v>50</v>
      </c>
      <c r="P38" s="423">
        <v>50</v>
      </c>
      <c r="Q38" s="423">
        <v>50</v>
      </c>
      <c r="R38" s="423">
        <v>50</v>
      </c>
      <c r="S38" s="423">
        <v>50</v>
      </c>
      <c r="T38" s="423">
        <v>50</v>
      </c>
      <c r="U38" s="423"/>
      <c r="V38" s="423"/>
      <c r="W38" s="423"/>
      <c r="X38" s="135">
        <f t="shared" si="0"/>
        <v>400</v>
      </c>
      <c r="Y38" s="438"/>
      <c r="Z38" s="400">
        <v>0</v>
      </c>
      <c r="AA38" s="540">
        <f>+X40</f>
        <v>-122</v>
      </c>
      <c r="AB38" s="135">
        <f t="shared" si="1"/>
        <v>400</v>
      </c>
      <c r="AC38" s="136">
        <f>+AD38+AB38</f>
        <v>3306</v>
      </c>
      <c r="AD38" s="136">
        <v>2906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78" t="str">
        <f>+G38</f>
        <v>2917-496-712</v>
      </c>
      <c r="H39" s="450">
        <v>7000</v>
      </c>
      <c r="I39" s="111" t="s">
        <v>33</v>
      </c>
      <c r="J39" s="113">
        <v>42.84</v>
      </c>
      <c r="K39" s="130">
        <v>60</v>
      </c>
      <c r="L39" s="101" t="s">
        <v>17</v>
      </c>
      <c r="M39" s="214">
        <v>20</v>
      </c>
      <c r="N39" s="214">
        <v>45</v>
      </c>
      <c r="O39" s="214">
        <v>52</v>
      </c>
      <c r="P39" s="214">
        <v>37</v>
      </c>
      <c r="Q39" s="214">
        <v>45</v>
      </c>
      <c r="R39" s="214">
        <v>60</v>
      </c>
      <c r="S39" s="214">
        <v>44</v>
      </c>
      <c r="T39" s="214">
        <v>60</v>
      </c>
      <c r="U39" s="214">
        <v>40</v>
      </c>
      <c r="V39" s="424"/>
      <c r="W39" s="424"/>
      <c r="X39" s="123">
        <f>+IF(H40="s",0,IF(AB39=0,0,IF(COUNTA(M39:W39)=AN41+0.25,SUMIF($C:$C,B39,$AB:$AB)/AN41,SUMIF($C:$C,B39,$AB:$AB)/(COUNTA(M39:W39)))))</f>
        <v>46.057142857142857</v>
      </c>
      <c r="Y39" s="439"/>
      <c r="Z39" s="400"/>
      <c r="AA39" s="541"/>
      <c r="AB39" s="134">
        <f t="shared" si="1"/>
        <v>403</v>
      </c>
      <c r="AC39" s="137">
        <f>+AB39+AD39</f>
        <v>2547</v>
      </c>
      <c r="AD39" s="137">
        <v>2144</v>
      </c>
      <c r="AE39" s="439">
        <v>0</v>
      </c>
      <c r="AF39" s="439">
        <f>+AE39+Y39</f>
        <v>0</v>
      </c>
      <c r="AG39" s="140">
        <f>+AC38-AC39</f>
        <v>759</v>
      </c>
      <c r="AH39" s="131">
        <f>+IF(((AB40+(AB41/2))*60)=0,"",(J39*AB39)/((AB40+(AB41/2))*60))</f>
        <v>0.66433939393939401</v>
      </c>
      <c r="AI39" s="161">
        <f>+AB40+AB41/2</f>
        <v>433.125</v>
      </c>
      <c r="AJ39" s="161">
        <f t="shared" si="2"/>
        <v>433.07499999999999</v>
      </c>
      <c r="AK39" s="167">
        <f t="shared" si="3"/>
        <v>25987.5</v>
      </c>
      <c r="AL39" s="167">
        <f>+AB39*J39</f>
        <v>17264.52</v>
      </c>
      <c r="AM39" s="230">
        <f>+AB39-(AI39*K39/K41)</f>
        <v>-127.35714285714289</v>
      </c>
      <c r="AN39" s="339"/>
      <c r="AO39" s="340"/>
      <c r="AP39" s="167"/>
      <c r="AQ39" s="167"/>
      <c r="AR39" s="167"/>
      <c r="AS39" s="167"/>
      <c r="AT39" s="433">
        <f t="shared" ref="AT39" si="18">IF(AU39=0,"",AW39-(($AT$3*K39)+($AT$3*K39)*AU39)+AB38)</f>
        <v>-150.5</v>
      </c>
      <c r="AU39" s="393">
        <v>1.5</v>
      </c>
      <c r="AW39" s="356">
        <v>762</v>
      </c>
      <c r="AY39" s="356">
        <f t="shared" ref="AY39" si="19">+AW39-AG39</f>
        <v>3</v>
      </c>
      <c r="AZ39" s="581" t="s">
        <v>482</v>
      </c>
      <c r="BA39" s="581"/>
      <c r="BB39" s="581"/>
      <c r="BC39" s="581"/>
      <c r="BD39" s="581"/>
      <c r="BE39" s="581"/>
      <c r="BF39" s="581"/>
      <c r="BG39" s="581"/>
      <c r="BH39" s="581"/>
      <c r="BI39" s="581"/>
    </row>
    <row r="40" spans="2:61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78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49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-122</v>
      </c>
      <c r="Y40" s="440"/>
      <c r="Z40" s="400"/>
      <c r="AA40" s="541"/>
      <c r="AB40" s="443">
        <f t="shared" si="5"/>
        <v>428.75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428.75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79" t="str">
        <f>+G38</f>
        <v>2917-496-712</v>
      </c>
      <c r="H41" s="454">
        <f>+AC38-H39</f>
        <v>-3694</v>
      </c>
      <c r="I41" s="397"/>
      <c r="J41" s="165">
        <v>0.91625000000000001</v>
      </c>
      <c r="K41" s="118">
        <v>49</v>
      </c>
      <c r="L41" s="104" t="s">
        <v>19</v>
      </c>
      <c r="M41" s="427">
        <v>1</v>
      </c>
      <c r="N41" s="427">
        <v>1</v>
      </c>
      <c r="O41" s="427">
        <v>1</v>
      </c>
      <c r="P41" s="427">
        <v>1</v>
      </c>
      <c r="Q41" s="427">
        <v>1</v>
      </c>
      <c r="R41" s="427">
        <v>1</v>
      </c>
      <c r="S41" s="427">
        <v>1</v>
      </c>
      <c r="T41" s="427">
        <v>1</v>
      </c>
      <c r="U41" s="427">
        <v>1</v>
      </c>
      <c r="V41" s="428"/>
      <c r="W41" s="428"/>
      <c r="X41" s="173"/>
      <c r="Y41" s="441"/>
      <c r="Z41" s="401">
        <v>23.113333333333333</v>
      </c>
      <c r="AA41" s="168">
        <f>+IF(COUNTA(M39:W39)=$AM$4+0.25,$AM$4-(AB39/K39),COUNTA(M39:W39)-(AB39/K39))+Z41</f>
        <v>25.146666666666668</v>
      </c>
      <c r="AB41" s="444">
        <f t="shared" si="5"/>
        <v>8.75</v>
      </c>
      <c r="AC41" s="139"/>
      <c r="AD41" s="139"/>
      <c r="AE41" s="441"/>
      <c r="AF41" s="441"/>
      <c r="AG41" s="119">
        <f>+IFERROR(AG39/(K39*$AT$3),"")</f>
        <v>1.4457142857142857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8.75</v>
      </c>
      <c r="AP41" s="167">
        <f>+AO41-AB41</f>
        <v>0</v>
      </c>
      <c r="AQ41" s="167"/>
      <c r="AR41" s="167"/>
      <c r="AS41" s="167"/>
      <c r="AT41" s="435"/>
      <c r="AU41" s="393"/>
      <c r="AW41" s="356">
        <v>1.4514285714285715</v>
      </c>
      <c r="AY41" s="356"/>
    </row>
    <row r="42" spans="2:61" s="98" customFormat="1" ht="62.25" customHeight="1" thickTop="1" x14ac:dyDescent="0.9">
      <c r="B42" s="97">
        <f>+B43</f>
        <v>8</v>
      </c>
      <c r="C42" s="370"/>
      <c r="D42" s="106"/>
      <c r="E42" s="106"/>
      <c r="F42" s="106"/>
      <c r="G42" s="582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100</v>
      </c>
      <c r="N42" s="423">
        <v>50</v>
      </c>
      <c r="O42" s="423">
        <v>100</v>
      </c>
      <c r="P42" s="423"/>
      <c r="Q42" s="423">
        <v>50</v>
      </c>
      <c r="R42" s="423">
        <v>50</v>
      </c>
      <c r="S42" s="423">
        <v>50</v>
      </c>
      <c r="T42" s="423"/>
      <c r="U42" s="423"/>
      <c r="V42" s="423"/>
      <c r="W42" s="423"/>
      <c r="X42" s="135">
        <f t="shared" si="0"/>
        <v>400</v>
      </c>
      <c r="Y42" s="438"/>
      <c r="Z42" s="400">
        <v>0.5</v>
      </c>
      <c r="AA42" s="540">
        <f>+X44</f>
        <v>0.5</v>
      </c>
      <c r="AB42" s="135">
        <f t="shared" si="1"/>
        <v>400</v>
      </c>
      <c r="AC42" s="136">
        <f>+AD42+AB42</f>
        <v>6085</v>
      </c>
      <c r="AD42" s="136">
        <v>5685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8</v>
      </c>
      <c r="C43" s="371">
        <f>+B43</f>
        <v>8</v>
      </c>
      <c r="D43" s="372" t="s">
        <v>441</v>
      </c>
      <c r="E43" s="111"/>
      <c r="F43" s="111" t="s">
        <v>35</v>
      </c>
      <c r="G43" s="582" t="str">
        <f>+G42</f>
        <v>7741-793-052</v>
      </c>
      <c r="H43" s="450">
        <v>11500</v>
      </c>
      <c r="I43" s="111" t="s">
        <v>33</v>
      </c>
      <c r="J43" s="113">
        <v>55.14</v>
      </c>
      <c r="K43" s="130">
        <v>46</v>
      </c>
      <c r="L43" s="101" t="s">
        <v>17</v>
      </c>
      <c r="M43" s="214">
        <v>46</v>
      </c>
      <c r="N43" s="214">
        <v>46</v>
      </c>
      <c r="O43" s="214">
        <v>46</v>
      </c>
      <c r="P43" s="214">
        <v>46</v>
      </c>
      <c r="Q43" s="214">
        <v>46</v>
      </c>
      <c r="R43" s="214">
        <v>46</v>
      </c>
      <c r="S43" s="214">
        <v>46</v>
      </c>
      <c r="T43" s="214">
        <v>46</v>
      </c>
      <c r="U43" s="214">
        <v>35</v>
      </c>
      <c r="V43" s="424"/>
      <c r="W43" s="424"/>
      <c r="X43" s="123">
        <f>+IF(H44="s",0,IF(AB43=0,0,IF(COUNTA(M43:W43)=AN45+0.25,SUMIF($C:$C,B43,$AB:$AB)/AN45,SUMIF($C:$C,B43,$AB:$AB)/(COUNTA(M43:W43)))))</f>
        <v>46.057142857142857</v>
      </c>
      <c r="Y43" s="439"/>
      <c r="Z43" s="400"/>
      <c r="AA43" s="541"/>
      <c r="AB43" s="134">
        <f t="shared" si="1"/>
        <v>403</v>
      </c>
      <c r="AC43" s="137">
        <f>+AB43+AD43</f>
        <v>4950</v>
      </c>
      <c r="AD43" s="137">
        <v>4547</v>
      </c>
      <c r="AE43" s="439">
        <v>0</v>
      </c>
      <c r="AF43" s="439">
        <f>+AE43+Y43</f>
        <v>0</v>
      </c>
      <c r="AG43" s="140">
        <f>+AC42-AC43</f>
        <v>1135</v>
      </c>
      <c r="AH43" s="131">
        <f>+IF(((AB44+(AB45/2))*60)=0,"",(J43*AB43)/((AB44+(AB45/2))*60))</f>
        <v>0.86380641399416913</v>
      </c>
      <c r="AI43" s="161">
        <f>+AB44+AB45/2</f>
        <v>428.75</v>
      </c>
      <c r="AJ43" s="161">
        <f t="shared" si="2"/>
        <v>428.45</v>
      </c>
      <c r="AK43" s="167">
        <f t="shared" si="3"/>
        <v>25725</v>
      </c>
      <c r="AL43" s="167">
        <f>+AB43*J43</f>
        <v>22221.420000000002</v>
      </c>
      <c r="AM43" s="230">
        <f>+AB43-(AI43*K43/K45)</f>
        <v>0.5</v>
      </c>
      <c r="AN43" s="339"/>
      <c r="AO43" s="340"/>
      <c r="AP43" s="167"/>
      <c r="AQ43" s="167"/>
      <c r="AR43" s="167"/>
      <c r="AS43" s="167"/>
      <c r="AT43" s="433">
        <f t="shared" ref="AT43" si="20">IF(AU43=0,"",AW43-(($AT$3*K43)+($AT$3*K43)*AU43)+AB42)</f>
        <v>8.5</v>
      </c>
      <c r="AU43" s="393">
        <v>2.8</v>
      </c>
      <c r="AW43" s="356">
        <v>1138</v>
      </c>
      <c r="AY43" s="356">
        <f t="shared" ref="AY43" si="21">+AW43-AG43</f>
        <v>3</v>
      </c>
    </row>
    <row r="44" spans="2:61" s="98" customFormat="1" ht="62.25" customHeight="1" x14ac:dyDescent="0.9">
      <c r="B44" s="125">
        <f>+B43</f>
        <v>8</v>
      </c>
      <c r="C44" s="373"/>
      <c r="D44" s="184"/>
      <c r="E44" s="111">
        <f>+B43</f>
        <v>8</v>
      </c>
      <c r="F44" s="374"/>
      <c r="G44" s="582" t="str">
        <f>+G43</f>
        <v>7741-793-052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49</v>
      </c>
      <c r="N44" s="425">
        <v>49</v>
      </c>
      <c r="O44" s="425">
        <v>49</v>
      </c>
      <c r="P44" s="425">
        <v>49</v>
      </c>
      <c r="Q44" s="425">
        <v>49</v>
      </c>
      <c r="R44" s="425">
        <v>49</v>
      </c>
      <c r="S44" s="425">
        <v>49</v>
      </c>
      <c r="T44" s="425">
        <v>49</v>
      </c>
      <c r="U44" s="425">
        <v>49</v>
      </c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0.5</v>
      </c>
      <c r="Y44" s="440"/>
      <c r="Z44" s="400"/>
      <c r="AA44" s="541"/>
      <c r="AB44" s="443">
        <f t="shared" si="5"/>
        <v>428.75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428.75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8</v>
      </c>
      <c r="C45" s="375"/>
      <c r="D45" s="174" t="s">
        <v>373</v>
      </c>
      <c r="E45" s="175">
        <f>+E44+100</f>
        <v>108</v>
      </c>
      <c r="F45" s="175"/>
      <c r="G45" s="582" t="str">
        <f>+G44</f>
        <v>7741-793-052</v>
      </c>
      <c r="H45" s="454">
        <f>+AC42-H43</f>
        <v>-5415</v>
      </c>
      <c r="I45" s="397"/>
      <c r="J45" s="165">
        <f>+IF(K45="","",IF(K43=0,"",(K43*J43)/(K45*60)))</f>
        <v>0.86273469387755108</v>
      </c>
      <c r="K45" s="118">
        <v>49</v>
      </c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8"/>
      <c r="W45" s="428"/>
      <c r="X45" s="173"/>
      <c r="Y45" s="441"/>
      <c r="Z45" s="401">
        <v>24.299090909090911</v>
      </c>
      <c r="AA45" s="169">
        <v>24.299090909090911</v>
      </c>
      <c r="AB45" s="444">
        <f t="shared" si="5"/>
        <v>0</v>
      </c>
      <c r="AC45" s="139"/>
      <c r="AD45" s="139"/>
      <c r="AE45" s="441"/>
      <c r="AF45" s="441"/>
      <c r="AG45" s="119">
        <f>+IFERROR(AG43/(K43*$AT$3),"")</f>
        <v>2.8198757763975157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2.8273291925465838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77" t="s">
        <v>428</v>
      </c>
      <c r="H46" s="106"/>
      <c r="I46" s="106"/>
      <c r="J46" s="107" t="s">
        <v>20</v>
      </c>
      <c r="K46" s="108" t="s">
        <v>23</v>
      </c>
      <c r="L46" s="100" t="s">
        <v>21</v>
      </c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135" t="str">
        <f t="shared" si="0"/>
        <v/>
      </c>
      <c r="Y46" s="438"/>
      <c r="Z46" s="400">
        <v>-52.75</v>
      </c>
      <c r="AA46" s="540">
        <f>+X48</f>
        <v>-173.75</v>
      </c>
      <c r="AB46" s="135">
        <f t="shared" si="1"/>
        <v>0</v>
      </c>
      <c r="AC46" s="136">
        <f>+AD46+AB46</f>
        <v>10477</v>
      </c>
      <c r="AD46" s="136">
        <v>10477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427</v>
      </c>
      <c r="E47" s="111"/>
      <c r="F47" s="111" t="s">
        <v>426</v>
      </c>
      <c r="G47" s="578" t="str">
        <f>+G46</f>
        <v>NUDIE-301580</v>
      </c>
      <c r="H47" s="450">
        <v>10450</v>
      </c>
      <c r="I47" s="111" t="s">
        <v>425</v>
      </c>
      <c r="J47" s="113">
        <v>44.17</v>
      </c>
      <c r="K47" s="130">
        <v>65</v>
      </c>
      <c r="L47" s="101" t="s">
        <v>17</v>
      </c>
      <c r="M47" s="214">
        <v>30</v>
      </c>
      <c r="N47" s="214">
        <v>60</v>
      </c>
      <c r="O47" s="214">
        <v>55</v>
      </c>
      <c r="P47" s="214">
        <v>45</v>
      </c>
      <c r="Q47" s="214">
        <v>45</v>
      </c>
      <c r="R47" s="214">
        <v>45</v>
      </c>
      <c r="S47" s="214">
        <v>45</v>
      </c>
      <c r="T47" s="214">
        <v>40</v>
      </c>
      <c r="U47" s="214">
        <v>30</v>
      </c>
      <c r="V47" s="214"/>
      <c r="W47" s="424"/>
      <c r="X47" s="123">
        <f>+IF(H48="s",0,IF(AB47=0,0,IF(COUNTA(M47:W47)=AN49+0.25,SUMIF($C:$C,B47,$AB:$AB)/AN49,SUMIF($C:$C,B47,$AB:$AB)/(COUNTA(M47:W47)))))</f>
        <v>45.142857142857146</v>
      </c>
      <c r="Y47" s="439"/>
      <c r="Z47" s="400"/>
      <c r="AA47" s="541"/>
      <c r="AB47" s="134">
        <f t="shared" si="1"/>
        <v>395</v>
      </c>
      <c r="AC47" s="137">
        <f>+AB47+AD47</f>
        <v>10212</v>
      </c>
      <c r="AD47" s="137">
        <v>9817</v>
      </c>
      <c r="AE47" s="439">
        <v>0</v>
      </c>
      <c r="AF47" s="439">
        <f>+AE47+Y47</f>
        <v>0</v>
      </c>
      <c r="AG47" s="140">
        <f>+AC46-AC47</f>
        <v>265</v>
      </c>
      <c r="AH47" s="131">
        <f>+IF(((AB48+(AB49/2))*60)=0,"",(J47*AB47)/((AB48+(AB49/2))*60))</f>
        <v>0.65825881909073769</v>
      </c>
      <c r="AI47" s="161">
        <f>+AB48+AB49/2</f>
        <v>441.75</v>
      </c>
      <c r="AJ47" s="161">
        <f t="shared" si="2"/>
        <v>441.45</v>
      </c>
      <c r="AK47" s="167">
        <f t="shared" si="3"/>
        <v>26505</v>
      </c>
      <c r="AL47" s="167">
        <f>+AB47*J47</f>
        <v>17447.150000000001</v>
      </c>
      <c r="AM47" s="230">
        <f>+AB47-(AI47*K47/K49)</f>
        <v>-136.73611111111109</v>
      </c>
      <c r="AN47" s="339"/>
      <c r="AO47" s="340"/>
      <c r="AP47" s="167"/>
      <c r="AQ47" s="167"/>
      <c r="AR47" s="167"/>
      <c r="AS47" s="167"/>
      <c r="AT47" s="433"/>
      <c r="AU47" s="393">
        <v>1.5</v>
      </c>
      <c r="AW47" s="356">
        <v>660</v>
      </c>
      <c r="AY47" s="356">
        <f t="shared" ref="AY47" si="22">+AW47-AG47</f>
        <v>395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78" t="str">
        <f>+G47</f>
        <v>NUDIE-301580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>
        <v>1</v>
      </c>
      <c r="K48" s="114" t="s">
        <v>22</v>
      </c>
      <c r="L48" s="102" t="s">
        <v>18</v>
      </c>
      <c r="M48" s="425">
        <v>52</v>
      </c>
      <c r="N48" s="425">
        <v>52</v>
      </c>
      <c r="O48" s="425">
        <v>52</v>
      </c>
      <c r="P48" s="425">
        <v>52</v>
      </c>
      <c r="Q48" s="425">
        <v>50</v>
      </c>
      <c r="R48" s="425">
        <v>49</v>
      </c>
      <c r="S48" s="425">
        <v>49</v>
      </c>
      <c r="T48" s="425">
        <v>49</v>
      </c>
      <c r="U48" s="425">
        <v>49</v>
      </c>
      <c r="V48" s="425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-173.75</v>
      </c>
      <c r="Y48" s="440"/>
      <c r="Z48" s="400"/>
      <c r="AA48" s="541"/>
      <c r="AB48" s="443">
        <f t="shared" si="5"/>
        <v>441.75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441.75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79" t="str">
        <f>+G48</f>
        <v>NUDIE-301580</v>
      </c>
      <c r="H49" s="454">
        <f>+AC46-H47</f>
        <v>27</v>
      </c>
      <c r="I49" s="397"/>
      <c r="J49" s="165">
        <f>+IF(K49="","",IF(K47=0,"",(K47*J47)/(K49*60)))</f>
        <v>0.8861265432098766</v>
      </c>
      <c r="K49" s="118">
        <v>54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5"/>
        <v>0</v>
      </c>
      <c r="AC49" s="139"/>
      <c r="AD49" s="139"/>
      <c r="AE49" s="441"/>
      <c r="AF49" s="441"/>
      <c r="AG49" s="119">
        <f>+IFERROR(AG47/(K47*$AT$3),"")</f>
        <v>0.46593406593406594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1.1604395604395605</v>
      </c>
      <c r="AY49" s="356"/>
    </row>
    <row r="50" spans="2:51" s="98" customFormat="1" ht="62.25" customHeight="1" thickTop="1" x14ac:dyDescent="0.9">
      <c r="B50" s="97">
        <f>+B51</f>
        <v>11</v>
      </c>
      <c r="C50" s="370"/>
      <c r="D50" s="106"/>
      <c r="E50" s="106"/>
      <c r="F50" s="106"/>
      <c r="G50" s="582" t="s">
        <v>474</v>
      </c>
      <c r="H50" s="106"/>
      <c r="I50" s="106"/>
      <c r="J50" s="107" t="s">
        <v>20</v>
      </c>
      <c r="K50" s="108" t="s">
        <v>23</v>
      </c>
      <c r="L50" s="100" t="s">
        <v>21</v>
      </c>
      <c r="M50" s="423"/>
      <c r="N50" s="423"/>
      <c r="O50" s="423">
        <v>50</v>
      </c>
      <c r="P50" s="423"/>
      <c r="Q50" s="423"/>
      <c r="R50" s="423"/>
      <c r="S50" s="423"/>
      <c r="T50" s="423"/>
      <c r="U50" s="423"/>
      <c r="V50" s="423"/>
      <c r="W50" s="423"/>
      <c r="X50" s="135">
        <f t="shared" ref="X50" si="23">IF(AT51="","",SUM(M50:W50)-(-(AT51-SUM(M50:W50))/$AT$3)*SUM($M$2:$W$2))</f>
        <v>50</v>
      </c>
      <c r="Y50" s="438"/>
      <c r="Z50" s="400">
        <v>0</v>
      </c>
      <c r="AA50" s="540">
        <f>+X52</f>
        <v>0</v>
      </c>
      <c r="AB50" s="135">
        <f t="shared" ref="AB50:AB51" si="24">+SUM(L50:W50)</f>
        <v>50</v>
      </c>
      <c r="AC50" s="136">
        <f>+AD50+AB50</f>
        <v>50</v>
      </c>
      <c r="AD50" s="136">
        <v>0</v>
      </c>
      <c r="AE50" s="438"/>
      <c r="AF50" s="438"/>
      <c r="AG50" s="109"/>
      <c r="AH50" s="110"/>
      <c r="AI50" s="157"/>
      <c r="AJ50" s="161">
        <f t="shared" si="2"/>
        <v>0</v>
      </c>
      <c r="AK50" s="167">
        <f t="shared" si="3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11</v>
      </c>
      <c r="C51" s="371">
        <v>11</v>
      </c>
      <c r="D51" s="372" t="s">
        <v>475</v>
      </c>
      <c r="E51" s="111"/>
      <c r="F51" s="111" t="s">
        <v>447</v>
      </c>
      <c r="G51" s="582" t="s">
        <v>474</v>
      </c>
      <c r="H51" s="450">
        <v>3360</v>
      </c>
      <c r="I51" s="111" t="s">
        <v>476</v>
      </c>
      <c r="J51" s="113"/>
      <c r="K51" s="130"/>
      <c r="L51" s="101" t="s">
        <v>17</v>
      </c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424"/>
      <c r="X51" s="123">
        <f>+IF(H52="s",0,IF(AB51=0,0,IF(COUNTA(M51:W51)=AN53+0.25,SUMIF($C:$C,B51,$AB:$AB)/AN53,SUMIF($C:$C,B51,$AB:$AB)/(COUNTA(M51:W51)))))</f>
        <v>0</v>
      </c>
      <c r="Y51" s="439"/>
      <c r="Z51" s="400"/>
      <c r="AA51" s="541"/>
      <c r="AB51" s="134">
        <f t="shared" si="24"/>
        <v>0</v>
      </c>
      <c r="AC51" s="137">
        <f>+AB51+AD51</f>
        <v>0</v>
      </c>
      <c r="AD51" s="137">
        <v>0</v>
      </c>
      <c r="AE51" s="439">
        <v>0</v>
      </c>
      <c r="AF51" s="439">
        <f>+AE51+Y51</f>
        <v>0</v>
      </c>
      <c r="AG51" s="140">
        <f>+AC50-AC51</f>
        <v>50</v>
      </c>
      <c r="AH51" s="131">
        <f>+IF(((AB52+(AB53/2))*60)=0,"",(J51*AB51)/((AB52+(AB53/2))*60))</f>
        <v>0</v>
      </c>
      <c r="AI51" s="161">
        <f>+AB52+AB53/2</f>
        <v>9.5</v>
      </c>
      <c r="AJ51" s="161">
        <f t="shared" si="2"/>
        <v>9.3000000000000007</v>
      </c>
      <c r="AK51" s="167">
        <f t="shared" si="3"/>
        <v>570</v>
      </c>
      <c r="AL51" s="167">
        <f>+AB51*J51</f>
        <v>0</v>
      </c>
      <c r="AM51" s="230" t="e">
        <f>+AB51-(AI51*K51/K53)</f>
        <v>#DIV/0!</v>
      </c>
      <c r="AN51" s="339"/>
      <c r="AO51" s="340"/>
      <c r="AP51" s="167"/>
      <c r="AQ51" s="167"/>
      <c r="AR51" s="167"/>
      <c r="AS51" s="167"/>
      <c r="AT51" s="433">
        <f>-50+AB50</f>
        <v>0</v>
      </c>
      <c r="AU51" s="393">
        <v>1.5</v>
      </c>
      <c r="AW51" s="356">
        <v>0</v>
      </c>
      <c r="AY51" s="356">
        <f t="shared" ref="AY51" si="25">+AW51-AG51</f>
        <v>-50</v>
      </c>
    </row>
    <row r="52" spans="2:51" s="98" customFormat="1" ht="62.25" customHeight="1" x14ac:dyDescent="0.9">
      <c r="B52" s="125">
        <f>+B51</f>
        <v>11</v>
      </c>
      <c r="C52" s="373"/>
      <c r="D52" s="184"/>
      <c r="E52" s="111">
        <f>+B51</f>
        <v>11</v>
      </c>
      <c r="F52" s="374"/>
      <c r="G52" s="582" t="s">
        <v>474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/>
      <c r="N52" s="425"/>
      <c r="O52" s="425"/>
      <c r="P52" s="425"/>
      <c r="Q52" s="425">
        <v>2</v>
      </c>
      <c r="R52" s="425">
        <v>2</v>
      </c>
      <c r="S52" s="425">
        <v>2</v>
      </c>
      <c r="T52" s="425">
        <v>2</v>
      </c>
      <c r="U52" s="425">
        <v>2</v>
      </c>
      <c r="V52" s="425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0</v>
      </c>
      <c r="Y52" s="440"/>
      <c r="Z52" s="400"/>
      <c r="AA52" s="541"/>
      <c r="AB52" s="443">
        <f t="shared" ref="AB52:AB53" si="26">+SUM(M52:W52)-U52*0.25</f>
        <v>9.5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167">
        <f t="shared" si="3"/>
        <v>0</v>
      </c>
      <c r="AL52" s="167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9.5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+B51</f>
        <v>11</v>
      </c>
      <c r="C53" s="375"/>
      <c r="D53" s="174" t="s">
        <v>403</v>
      </c>
      <c r="E53" s="175">
        <f>+E52+100</f>
        <v>111</v>
      </c>
      <c r="F53" s="175"/>
      <c r="G53" s="582" t="s">
        <v>474</v>
      </c>
      <c r="H53" s="454">
        <f>+AC50-H51</f>
        <v>-3310</v>
      </c>
      <c r="I53" s="397"/>
      <c r="J53" s="165" t="str">
        <f>+IF(K53="","",IF(K51=0,"",(K51*J51)/(K53*60)))</f>
        <v/>
      </c>
      <c r="K53" s="118"/>
      <c r="L53" s="104" t="s">
        <v>19</v>
      </c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8"/>
      <c r="X53" s="173"/>
      <c r="Y53" s="441"/>
      <c r="Z53" s="401">
        <v>46.941105769230759</v>
      </c>
      <c r="AA53" s="401">
        <v>46.941105769230759</v>
      </c>
      <c r="AB53" s="444">
        <f t="shared" si="26"/>
        <v>0</v>
      </c>
      <c r="AC53" s="139"/>
      <c r="AD53" s="139"/>
      <c r="AE53" s="441"/>
      <c r="AF53" s="441"/>
      <c r="AG53" s="119" t="str">
        <f>+IFERROR(AG51/(K51*$AT$3),"")</f>
        <v/>
      </c>
      <c r="AH53" s="162"/>
      <c r="AI53" s="161"/>
      <c r="AJ53" s="161">
        <f t="shared" si="2"/>
        <v>0</v>
      </c>
      <c r="AK53" s="167">
        <f t="shared" si="3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0</v>
      </c>
      <c r="AP53" s="167">
        <f>+AO53-AB53</f>
        <v>0</v>
      </c>
      <c r="AQ53" s="167"/>
      <c r="AR53" s="167"/>
      <c r="AS53" s="167"/>
      <c r="AT53" s="435"/>
      <c r="AU53" s="393"/>
      <c r="AW53" s="356" t="s">
        <v>429</v>
      </c>
      <c r="AY53" s="356"/>
    </row>
    <row r="54" spans="2:51" s="98" customFormat="1" ht="62.25" customHeight="1" thickTop="1" x14ac:dyDescent="0.9">
      <c r="B54" s="97">
        <f>+B55</f>
        <v>12</v>
      </c>
      <c r="C54" s="370"/>
      <c r="D54" s="106"/>
      <c r="E54" s="106"/>
      <c r="F54" s="106"/>
      <c r="G54" s="577"/>
      <c r="H54" s="106"/>
      <c r="I54" s="111"/>
      <c r="J54" s="107" t="s">
        <v>20</v>
      </c>
      <c r="K54" s="108" t="s">
        <v>23</v>
      </c>
      <c r="L54" s="100" t="s">
        <v>21</v>
      </c>
      <c r="M54" s="423">
        <v>150</v>
      </c>
      <c r="N54" s="423">
        <v>150</v>
      </c>
      <c r="O54" s="423">
        <v>150</v>
      </c>
      <c r="P54" s="423">
        <v>150</v>
      </c>
      <c r="Q54" s="423">
        <v>150</v>
      </c>
      <c r="R54" s="423"/>
      <c r="S54" s="423"/>
      <c r="T54" s="423"/>
      <c r="U54" s="423"/>
      <c r="V54" s="423"/>
      <c r="W54" s="423"/>
      <c r="X54" s="135">
        <f t="shared" si="0"/>
        <v>750</v>
      </c>
      <c r="Y54" s="438"/>
      <c r="Z54" s="400">
        <v>0.5</v>
      </c>
      <c r="AA54" s="540">
        <f>+X56</f>
        <v>0.5</v>
      </c>
      <c r="AB54" s="135">
        <f t="shared" si="1"/>
        <v>750</v>
      </c>
      <c r="AC54" s="136">
        <f>+AD54+AB54</f>
        <v>9901</v>
      </c>
      <c r="AD54" s="136">
        <v>9151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12</v>
      </c>
      <c r="C55" s="371">
        <f>+B55</f>
        <v>12</v>
      </c>
      <c r="D55" s="372" t="s">
        <v>432</v>
      </c>
      <c r="E55" s="111"/>
      <c r="F55" s="111" t="s">
        <v>35</v>
      </c>
      <c r="G55" s="578">
        <f>+G54</f>
        <v>0</v>
      </c>
      <c r="H55" s="450">
        <v>11080</v>
      </c>
      <c r="I55" s="111" t="s">
        <v>251</v>
      </c>
      <c r="J55" s="113">
        <v>50</v>
      </c>
      <c r="K55" s="130">
        <v>58</v>
      </c>
      <c r="L55" s="101" t="s">
        <v>17</v>
      </c>
      <c r="M55" s="214">
        <v>58</v>
      </c>
      <c r="N55" s="214">
        <v>58</v>
      </c>
      <c r="O55" s="214">
        <v>58</v>
      </c>
      <c r="P55" s="214">
        <v>58</v>
      </c>
      <c r="Q55" s="214">
        <v>58</v>
      </c>
      <c r="R55" s="214">
        <v>58</v>
      </c>
      <c r="S55" s="214">
        <v>58</v>
      </c>
      <c r="T55" s="214">
        <v>58</v>
      </c>
      <c r="U55" s="214">
        <v>44</v>
      </c>
      <c r="V55" s="214"/>
      <c r="W55" s="424"/>
      <c r="X55" s="123">
        <f>+IF(H56="s",0,IF(AB55=0,0,IF(COUNTA(M55:W55)=AN57+0.25,SUMIF($C:$C,B55,$AB:$AB)/AN57,SUMIF($C:$C,B55,$AB:$AB)/(COUNTA(M55:W55)))))</f>
        <v>58.057142857142857</v>
      </c>
      <c r="Y55" s="439"/>
      <c r="Z55" s="400"/>
      <c r="AA55" s="541"/>
      <c r="AB55" s="134">
        <f t="shared" si="1"/>
        <v>508</v>
      </c>
      <c r="AC55" s="137">
        <f>+AB55+AD55</f>
        <v>8341</v>
      </c>
      <c r="AD55" s="137">
        <v>7833</v>
      </c>
      <c r="AE55" s="439">
        <v>0</v>
      </c>
      <c r="AF55" s="439">
        <f>+AE55+Y55</f>
        <v>0</v>
      </c>
      <c r="AG55" s="140">
        <f>+AC54-AC55</f>
        <v>1560</v>
      </c>
      <c r="AH55" s="131">
        <f>+IF(((AB56+(AB57/2))*60)=0,"",(J55*AB55)/((AB56+(AB57/2))*60))</f>
        <v>0.95803866100895807</v>
      </c>
      <c r="AI55" s="161">
        <f>+AB56+AB57/2</f>
        <v>441.875</v>
      </c>
      <c r="AJ55" s="161">
        <f t="shared" si="2"/>
        <v>441.52499999999998</v>
      </c>
      <c r="AK55" s="167">
        <f t="shared" si="3"/>
        <v>26512.5</v>
      </c>
      <c r="AL55" s="167">
        <f>+AB55*J55</f>
        <v>25400</v>
      </c>
      <c r="AM55" s="230">
        <f>+AB55-(AI55*K55/K57)</f>
        <v>33.393518518518533</v>
      </c>
      <c r="AN55" s="339"/>
      <c r="AO55" s="340"/>
      <c r="AP55" s="167"/>
      <c r="AQ55" s="167"/>
      <c r="AR55" s="167"/>
      <c r="AS55" s="167"/>
      <c r="AT55" s="433">
        <f t="shared" ref="AT55" si="27">IF(AU55=0,"",AW55-(($AT$3*K55)+($AT$3*K55)*AU55)+AB54)</f>
        <v>38</v>
      </c>
      <c r="AU55" s="393">
        <v>3</v>
      </c>
      <c r="AW55" s="356">
        <v>1318</v>
      </c>
      <c r="AY55" s="356">
        <f t="shared" ref="AY55" si="28">+AW55-AG55</f>
        <v>-242</v>
      </c>
    </row>
    <row r="56" spans="2:51" s="98" customFormat="1" ht="62.25" customHeight="1" x14ac:dyDescent="0.9">
      <c r="B56" s="125">
        <f>B55</f>
        <v>12</v>
      </c>
      <c r="C56" s="373"/>
      <c r="D56" s="184"/>
      <c r="E56" s="111">
        <f>+B55</f>
        <v>12</v>
      </c>
      <c r="F56" s="377"/>
      <c r="G56" s="578">
        <f>+G54</f>
        <v>0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50</v>
      </c>
      <c r="N56" s="425">
        <v>50</v>
      </c>
      <c r="O56" s="425">
        <v>50</v>
      </c>
      <c r="P56" s="425">
        <v>50</v>
      </c>
      <c r="Q56" s="425">
        <v>50</v>
      </c>
      <c r="R56" s="425">
        <v>50</v>
      </c>
      <c r="S56" s="425">
        <v>50</v>
      </c>
      <c r="T56" s="425">
        <v>50</v>
      </c>
      <c r="U56" s="425">
        <v>50</v>
      </c>
      <c r="V56" s="426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0.5</v>
      </c>
      <c r="Y56" s="440"/>
      <c r="Z56" s="400"/>
      <c r="AA56" s="541"/>
      <c r="AB56" s="443">
        <f t="shared" si="5"/>
        <v>437.5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230"/>
      <c r="AN56" s="339"/>
      <c r="AO56" s="340">
        <f>+IF(AN57=7.75,SUM(M56:S56)+T56*0.75,IF(AN57=8,SUM(M56:T56),IF(AN57=7.25,SUM(M56:S56)+T56*0.25,IF(AN57=8.25,SUM(M56:T56)+U56*0.25,IF(AN57=8.75,SUM(M56:T56)+U56*0.75,0)))))</f>
        <v>437.5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B55</f>
        <v>12</v>
      </c>
      <c r="C57" s="375"/>
      <c r="D57" s="174" t="s">
        <v>366</v>
      </c>
      <c r="E57" s="175">
        <f>+E56+100</f>
        <v>112</v>
      </c>
      <c r="F57" s="175"/>
      <c r="G57" s="579">
        <f>+G54</f>
        <v>0</v>
      </c>
      <c r="H57" s="454">
        <f>+AC54-H55</f>
        <v>-1179</v>
      </c>
      <c r="I57" s="397" t="s">
        <v>182</v>
      </c>
      <c r="J57" s="165">
        <f>+IF(K57="","",IF(K55=0,"",(K55*J55)/(K57*60)))</f>
        <v>0.89506172839506171</v>
      </c>
      <c r="K57" s="118">
        <v>54</v>
      </c>
      <c r="L57" s="104" t="s">
        <v>19</v>
      </c>
      <c r="M57" s="427">
        <v>1</v>
      </c>
      <c r="N57" s="427">
        <v>1</v>
      </c>
      <c r="O57" s="427">
        <v>1</v>
      </c>
      <c r="P57" s="427">
        <v>1</v>
      </c>
      <c r="Q57" s="427">
        <v>1</v>
      </c>
      <c r="R57" s="427">
        <v>1</v>
      </c>
      <c r="S57" s="427">
        <v>1</v>
      </c>
      <c r="T57" s="427">
        <v>1</v>
      </c>
      <c r="U57" s="427">
        <v>1</v>
      </c>
      <c r="V57" s="428"/>
      <c r="W57" s="428"/>
      <c r="X57" s="173"/>
      <c r="Y57" s="441"/>
      <c r="Z57" s="401">
        <v>20.200641379310341</v>
      </c>
      <c r="AA57" s="401">
        <v>20.200641379310341</v>
      </c>
      <c r="AB57" s="444">
        <f t="shared" si="5"/>
        <v>8.75</v>
      </c>
      <c r="AC57" s="139"/>
      <c r="AD57" s="139"/>
      <c r="AE57" s="441"/>
      <c r="AF57" s="441"/>
      <c r="AG57" s="119">
        <f>+IFERROR(AG55/(K55*$AT$3),"")</f>
        <v>3.0738916256157633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8.75</v>
      </c>
      <c r="AP57" s="167">
        <f>+AO57-AB57</f>
        <v>0</v>
      </c>
      <c r="AQ57" s="167"/>
      <c r="AR57" s="167"/>
      <c r="AS57" s="167"/>
      <c r="AT57" s="435"/>
      <c r="AU57" s="393"/>
      <c r="AW57" s="356">
        <v>3.0125714285714285</v>
      </c>
      <c r="AY57" s="356"/>
    </row>
    <row r="58" spans="2:51" s="98" customFormat="1" ht="62.25" customHeight="1" thickTop="1" x14ac:dyDescent="0.9">
      <c r="B58" s="97">
        <f>+B59</f>
        <v>13</v>
      </c>
      <c r="C58" s="370"/>
      <c r="D58" s="106"/>
      <c r="E58" s="106"/>
      <c r="F58" s="106"/>
      <c r="G58" s="577" t="s">
        <v>442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150</v>
      </c>
      <c r="N58" s="423">
        <v>75</v>
      </c>
      <c r="O58" s="423">
        <v>75</v>
      </c>
      <c r="P58" s="423" t="s">
        <v>185</v>
      </c>
      <c r="Q58" s="423"/>
      <c r="R58" s="423"/>
      <c r="S58" s="423"/>
      <c r="T58" s="423"/>
      <c r="U58" s="423"/>
      <c r="V58" s="423"/>
      <c r="W58" s="423"/>
      <c r="X58" s="135">
        <f t="shared" si="0"/>
        <v>300</v>
      </c>
      <c r="Y58" s="438"/>
      <c r="Z58" s="400">
        <v>-402.5</v>
      </c>
      <c r="AA58" s="540">
        <f>+X60</f>
        <v>-342.5</v>
      </c>
      <c r="AB58" s="135">
        <f t="shared" si="1"/>
        <v>300</v>
      </c>
      <c r="AC58" s="136">
        <f>+AD58+AB58</f>
        <v>1450</v>
      </c>
      <c r="AD58" s="136">
        <v>1150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62.25" customHeight="1" x14ac:dyDescent="0.9">
      <c r="B59" s="132">
        <v>13</v>
      </c>
      <c r="C59" s="371">
        <f>+B59</f>
        <v>13</v>
      </c>
      <c r="D59" s="372" t="s">
        <v>441</v>
      </c>
      <c r="E59" s="111"/>
      <c r="F59" s="111" t="s">
        <v>35</v>
      </c>
      <c r="G59" s="578" t="str">
        <f>+G58</f>
        <v>7741-793-052</v>
      </c>
      <c r="H59" s="450">
        <v>8500</v>
      </c>
      <c r="I59" s="111" t="s">
        <v>33</v>
      </c>
      <c r="J59" s="113">
        <v>55.14</v>
      </c>
      <c r="K59" s="130">
        <v>46</v>
      </c>
      <c r="L59" s="101" t="s">
        <v>17</v>
      </c>
      <c r="M59" s="214">
        <v>0</v>
      </c>
      <c r="N59" s="214">
        <v>0</v>
      </c>
      <c r="O59" s="214">
        <v>0</v>
      </c>
      <c r="P59" s="214">
        <v>0</v>
      </c>
      <c r="Q59" s="214">
        <v>0</v>
      </c>
      <c r="R59" s="214">
        <v>10</v>
      </c>
      <c r="S59" s="214">
        <v>15</v>
      </c>
      <c r="T59" s="214">
        <v>20</v>
      </c>
      <c r="U59" s="214">
        <v>15</v>
      </c>
      <c r="V59" s="214"/>
      <c r="W59" s="424"/>
      <c r="X59" s="123">
        <f>+IF(H60="s",0,IF(AB59=0,0,IF(COUNTA(M59:W59)=AN61+0.25,SUMIF($C:$C,B59,$AB:$AB)/AN61,SUMIF($C:$C,B59,$AB:$AB)/(COUNTA(M59:W59)))))</f>
        <v>6.8571428571428568</v>
      </c>
      <c r="Y59" s="439"/>
      <c r="Z59" s="400"/>
      <c r="AA59" s="541"/>
      <c r="AB59" s="134">
        <f t="shared" si="1"/>
        <v>60</v>
      </c>
      <c r="AC59" s="137">
        <f>+AB59+AD59</f>
        <v>60</v>
      </c>
      <c r="AD59" s="137">
        <v>0</v>
      </c>
      <c r="AE59" s="439"/>
      <c r="AF59" s="439">
        <f>+AE59+Y59</f>
        <v>0</v>
      </c>
      <c r="AG59" s="140">
        <f>+AC58-AC59</f>
        <v>1390</v>
      </c>
      <c r="AH59" s="131">
        <f>+IF(((AB60+(AB61/2))*60)=0,"",(J59*AB59)/((AB60+(AB61/2))*60))</f>
        <v>0.13128571428571428</v>
      </c>
      <c r="AI59" s="161">
        <f>+AB60+AB61/2</f>
        <v>420</v>
      </c>
      <c r="AJ59" s="161">
        <f t="shared" si="2"/>
        <v>420</v>
      </c>
      <c r="AK59" s="167">
        <f t="shared" si="3"/>
        <v>25200</v>
      </c>
      <c r="AL59" s="167">
        <f>+AB59*J59</f>
        <v>3308.4</v>
      </c>
      <c r="AM59" s="230">
        <f>+AB59-(AI59*K59/K61)</f>
        <v>-334.28571428571428</v>
      </c>
      <c r="AN59" s="339"/>
      <c r="AO59" s="340"/>
      <c r="AP59" s="167"/>
      <c r="AQ59" s="167"/>
      <c r="AR59" s="167"/>
      <c r="AS59" s="167"/>
      <c r="AT59" s="433">
        <f t="shared" ref="AT59" si="29">IF(AU59=0,"",AW59-(($AT$3*K59)+($AT$3*K59)*AU59)+AB58)</f>
        <v>41.25</v>
      </c>
      <c r="AU59" s="393">
        <v>2.5</v>
      </c>
      <c r="AW59" s="356">
        <v>1150</v>
      </c>
      <c r="AY59" s="356">
        <f t="shared" ref="AY59" si="30">+AW59-AG59</f>
        <v>-240</v>
      </c>
    </row>
    <row r="60" spans="2:51" s="98" customFormat="1" ht="62.25" customHeight="1" x14ac:dyDescent="0.9">
      <c r="B60" s="125">
        <f>+B59</f>
        <v>13</v>
      </c>
      <c r="C60" s="373"/>
      <c r="D60" s="184"/>
      <c r="E60" s="111">
        <f>+B59</f>
        <v>13</v>
      </c>
      <c r="F60" s="374"/>
      <c r="G60" s="578" t="str">
        <f>+G59</f>
        <v>7741-793-052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48</v>
      </c>
      <c r="N60" s="425">
        <v>48</v>
      </c>
      <c r="O60" s="425">
        <v>48</v>
      </c>
      <c r="P60" s="425">
        <v>48</v>
      </c>
      <c r="Q60" s="425">
        <v>48</v>
      </c>
      <c r="R60" s="425">
        <v>48</v>
      </c>
      <c r="S60" s="425">
        <v>48</v>
      </c>
      <c r="T60" s="425">
        <v>48</v>
      </c>
      <c r="U60" s="425">
        <v>48</v>
      </c>
      <c r="V60" s="425"/>
      <c r="W60" s="426"/>
      <c r="X60" s="160">
        <f>+IF(H60="l",IF(COUNTA(M59:W59)=AN61+0.25,AB59-K59*AN61,AB59-(K59*COUNTA(M59:W59))),IF(H60="s",0,IF(COUNTA(M59:W59)=AN61+0.25,SUMIF($C:$C,B59,$AB:$AB)-K59*AN61,SUMIF($C:$C,B59,$AB:$AB)-K59*COUNTA(M59:W59))))</f>
        <v>-342.5</v>
      </c>
      <c r="Y60" s="440"/>
      <c r="Z60" s="400"/>
      <c r="AA60" s="541"/>
      <c r="AB60" s="443">
        <f t="shared" si="5"/>
        <v>420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420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62.25" customHeight="1" thickBot="1" x14ac:dyDescent="0.95">
      <c r="B61" s="126">
        <f>+B59</f>
        <v>13</v>
      </c>
      <c r="C61" s="375"/>
      <c r="D61" s="174" t="s">
        <v>468</v>
      </c>
      <c r="E61" s="175">
        <f>+E60+100</f>
        <v>113</v>
      </c>
      <c r="F61" s="175"/>
      <c r="G61" s="579" t="str">
        <f>+G60</f>
        <v>7741-793-052</v>
      </c>
      <c r="H61" s="454">
        <f>+AC58-H59</f>
        <v>-7050</v>
      </c>
      <c r="I61" s="397"/>
      <c r="J61" s="165">
        <f>+IF(K61="","",IF(K59=0,"",(K59*J59)/(K61*60)))</f>
        <v>0.86273469387755108</v>
      </c>
      <c r="K61" s="429">
        <v>49</v>
      </c>
      <c r="L61" s="104" t="s">
        <v>19</v>
      </c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8"/>
      <c r="X61" s="173"/>
      <c r="Y61" s="441"/>
      <c r="Z61" s="448">
        <v>18.058900000000001</v>
      </c>
      <c r="AA61" s="168">
        <f>+IF(COUNTA(M59:W59)=$AM$4+0.25,$AM$4-(AB59/K59),COUNTA(M59:W59)-(AB59/K59))+Z61</f>
        <v>25.504552173913044</v>
      </c>
      <c r="AB61" s="444">
        <f t="shared" si="5"/>
        <v>0</v>
      </c>
      <c r="AC61" s="139"/>
      <c r="AD61" s="139"/>
      <c r="AE61" s="441"/>
      <c r="AF61" s="441"/>
      <c r="AG61" s="119">
        <f>+IFERROR(AG59/(K59*$AT$3),"")</f>
        <v>3.4534161490683228</v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0</v>
      </c>
      <c r="AQ61" s="167"/>
      <c r="AR61" s="167"/>
      <c r="AS61" s="167"/>
      <c r="AT61" s="435"/>
      <c r="AU61" s="393"/>
      <c r="AW61" s="356">
        <v>2.8571428571428572</v>
      </c>
      <c r="AY61" s="356"/>
    </row>
    <row r="62" spans="2:51" s="98" customFormat="1" ht="58.5" customHeight="1" thickTop="1" x14ac:dyDescent="0.9">
      <c r="B62" s="127">
        <f>+B63</f>
        <v>14</v>
      </c>
      <c r="C62" s="370"/>
      <c r="D62" s="106"/>
      <c r="E62" s="106"/>
      <c r="F62" s="106"/>
      <c r="G62" s="577" t="s">
        <v>456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120</v>
      </c>
      <c r="N62" s="423">
        <v>120</v>
      </c>
      <c r="O62" s="423">
        <v>120</v>
      </c>
      <c r="P62" s="423">
        <v>120</v>
      </c>
      <c r="Q62" s="423">
        <v>120</v>
      </c>
      <c r="R62" s="423">
        <v>120</v>
      </c>
      <c r="S62" s="423"/>
      <c r="T62" s="423"/>
      <c r="U62" s="423"/>
      <c r="V62" s="423"/>
      <c r="W62" s="423"/>
      <c r="X62" s="135">
        <f t="shared" si="0"/>
        <v>720</v>
      </c>
      <c r="Y62" s="438"/>
      <c r="Z62" s="400">
        <v>24</v>
      </c>
      <c r="AA62" s="540">
        <f>+X64</f>
        <v>45</v>
      </c>
      <c r="AB62" s="135">
        <f t="shared" si="1"/>
        <v>720</v>
      </c>
      <c r="AC62" s="136">
        <f>+AD62+AB62</f>
        <v>4446</v>
      </c>
      <c r="AD62" s="136">
        <v>3726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58.5" customHeight="1" x14ac:dyDescent="0.9">
      <c r="B63" s="133">
        <v>14</v>
      </c>
      <c r="C63" s="371">
        <f>+B63</f>
        <v>14</v>
      </c>
      <c r="D63" s="372" t="s">
        <v>461</v>
      </c>
      <c r="E63" s="111"/>
      <c r="F63" s="111" t="s">
        <v>447</v>
      </c>
      <c r="G63" s="578" t="str">
        <f t="shared" ref="G63:G65" si="31">+G62</f>
        <v>DOT KEYHOLE</v>
      </c>
      <c r="H63" s="450">
        <v>6262</v>
      </c>
      <c r="I63" s="111" t="s">
        <v>252</v>
      </c>
      <c r="J63" s="113">
        <v>36.090000000000003</v>
      </c>
      <c r="K63" s="130">
        <v>80</v>
      </c>
      <c r="L63" s="101" t="s">
        <v>17</v>
      </c>
      <c r="M63" s="214">
        <v>85</v>
      </c>
      <c r="N63" s="214">
        <v>85</v>
      </c>
      <c r="O63" s="214">
        <v>85</v>
      </c>
      <c r="P63" s="214">
        <v>85</v>
      </c>
      <c r="Q63" s="214">
        <v>85</v>
      </c>
      <c r="R63" s="214">
        <v>85</v>
      </c>
      <c r="S63" s="214">
        <v>85</v>
      </c>
      <c r="T63" s="214">
        <v>85</v>
      </c>
      <c r="U63" s="214">
        <v>65</v>
      </c>
      <c r="V63" s="214"/>
      <c r="W63" s="214"/>
      <c r="X63" s="123">
        <f>+IF(H64="s",0,IF(AB63=0,0,IF(COUNTA(M63:W63)=AN65+0.25,SUMIF($C:$C,B63,$AB:$AB)/AN65,SUMIF($C:$C,B63,$AB:$AB)/(COUNTA(M63:W63)))))</f>
        <v>85.142857142857139</v>
      </c>
      <c r="Y63" s="439"/>
      <c r="Z63" s="400"/>
      <c r="AA63" s="541"/>
      <c r="AB63" s="134">
        <f t="shared" si="1"/>
        <v>745</v>
      </c>
      <c r="AC63" s="137">
        <f>+AB63+AD63</f>
        <v>3162</v>
      </c>
      <c r="AD63" s="137">
        <v>2417</v>
      </c>
      <c r="AE63" s="439"/>
      <c r="AF63" s="439">
        <f>+AE63+Y63</f>
        <v>0</v>
      </c>
      <c r="AG63" s="140">
        <f>+AC62-AC63</f>
        <v>1284</v>
      </c>
      <c r="AH63" s="131">
        <f>+IF(((AB64+(AB65/2))*60)=0,"",(J63*AB63)/((AB64+(AB65/2))*60))</f>
        <v>0.87544322344322356</v>
      </c>
      <c r="AI63" s="161">
        <f>+AB64+AB65/2</f>
        <v>511.875</v>
      </c>
      <c r="AJ63" s="161">
        <f t="shared" si="2"/>
        <v>511.52499999999998</v>
      </c>
      <c r="AK63" s="167">
        <f t="shared" si="3"/>
        <v>30712.5</v>
      </c>
      <c r="AL63" s="167">
        <f>+AB63*J63</f>
        <v>26887.050000000003</v>
      </c>
      <c r="AM63" s="230">
        <f>+AB63-(AI63*K63/K65)</f>
        <v>13.75</v>
      </c>
      <c r="AN63" s="339"/>
      <c r="AO63" s="340"/>
      <c r="AP63" s="167"/>
      <c r="AQ63" s="167"/>
      <c r="AR63" s="167"/>
      <c r="AS63" s="167"/>
      <c r="AT63" s="433">
        <f>-720+AB62</f>
        <v>0</v>
      </c>
      <c r="AU63" s="393">
        <v>1.95</v>
      </c>
      <c r="AW63" s="356">
        <v>1309</v>
      </c>
      <c r="AY63" s="356">
        <f t="shared" ref="AY63" si="32">+AW63-AG63</f>
        <v>25</v>
      </c>
    </row>
    <row r="64" spans="2:51" s="98" customFormat="1" ht="58.5" customHeight="1" x14ac:dyDescent="0.9">
      <c r="B64" s="125">
        <f>+B63</f>
        <v>14</v>
      </c>
      <c r="C64" s="373"/>
      <c r="D64" s="184"/>
      <c r="E64" s="111">
        <f>+B63</f>
        <v>14</v>
      </c>
      <c r="F64" s="374"/>
      <c r="G64" s="578" t="str">
        <f t="shared" si="31"/>
        <v>DOT KEYHOLE</v>
      </c>
      <c r="H64" s="376"/>
      <c r="I64" s="113">
        <f>+IFERROR(IF(K65=0,0,IF((LOOKUP(2,1/(M64:W64&lt;&gt;""),M64:W64)-K65)&lt;0,0,IF(K65=0,"",LOOKUP(2,1/(M64:W64&lt;&gt;""),M64:W64)-K65))),0)</f>
        <v>2</v>
      </c>
      <c r="J64" s="113"/>
      <c r="K64" s="114" t="s">
        <v>22</v>
      </c>
      <c r="L64" s="102" t="s">
        <v>18</v>
      </c>
      <c r="M64" s="425">
        <v>58</v>
      </c>
      <c r="N64" s="425">
        <v>58</v>
      </c>
      <c r="O64" s="425">
        <v>58</v>
      </c>
      <c r="P64" s="425">
        <v>58</v>
      </c>
      <c r="Q64" s="425">
        <v>58</v>
      </c>
      <c r="R64" s="425">
        <v>58</v>
      </c>
      <c r="S64" s="425">
        <v>58</v>
      </c>
      <c r="T64" s="425">
        <v>58</v>
      </c>
      <c r="U64" s="425">
        <v>58</v>
      </c>
      <c r="V64" s="425"/>
      <c r="W64" s="425"/>
      <c r="X64" s="160">
        <f>+IF(H64="l",IF(COUNTA(M63:W63)=AN65+0.25,AB63-K63*AN65,AB63-(K63*COUNTA(M63:W63))),IF(H64="s",0,IF(COUNTA(M63:W63)=AN65+0.25,SUMIF($C:$C,B63,$AB:$AB)-K63*AN65,SUMIF($C:$C,B63,$AB:$AB)-K63*COUNTA(M63:W63))))</f>
        <v>45</v>
      </c>
      <c r="Y64" s="440"/>
      <c r="Z64" s="400"/>
      <c r="AA64" s="541"/>
      <c r="AB64" s="443">
        <f t="shared" si="5"/>
        <v>507.5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507.5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58.5" customHeight="1" thickBot="1" x14ac:dyDescent="0.95">
      <c r="B65" s="126">
        <f>+B63</f>
        <v>14</v>
      </c>
      <c r="C65" s="375"/>
      <c r="D65" s="174" t="s">
        <v>112</v>
      </c>
      <c r="E65" s="175">
        <f>+E64+100</f>
        <v>114</v>
      </c>
      <c r="F65" s="175"/>
      <c r="G65" s="579" t="str">
        <f t="shared" si="31"/>
        <v>DOT KEYHOLE</v>
      </c>
      <c r="H65" s="454">
        <f>+AC62-H63</f>
        <v>-1816</v>
      </c>
      <c r="I65" s="397"/>
      <c r="J65" s="165">
        <f>+IF(K65="","",IF(K63=0,"",(K63*J63)/(K65*60)))</f>
        <v>0.85928571428571432</v>
      </c>
      <c r="K65" s="118">
        <v>56</v>
      </c>
      <c r="L65" s="104" t="s">
        <v>19</v>
      </c>
      <c r="M65" s="427">
        <v>1</v>
      </c>
      <c r="N65" s="427">
        <v>1</v>
      </c>
      <c r="O65" s="427">
        <v>1</v>
      </c>
      <c r="P65" s="427">
        <v>1</v>
      </c>
      <c r="Q65" s="427">
        <v>1</v>
      </c>
      <c r="R65" s="427">
        <v>1</v>
      </c>
      <c r="S65" s="427">
        <v>1</v>
      </c>
      <c r="T65" s="427">
        <v>1</v>
      </c>
      <c r="U65" s="427">
        <v>1</v>
      </c>
      <c r="V65" s="427"/>
      <c r="W65" s="427"/>
      <c r="X65" s="173"/>
      <c r="Y65" s="441"/>
      <c r="Z65" s="401">
        <v>41.23</v>
      </c>
      <c r="AA65" s="401">
        <v>41.23</v>
      </c>
      <c r="AB65" s="444">
        <f t="shared" si="5"/>
        <v>8.75</v>
      </c>
      <c r="AC65" s="139"/>
      <c r="AD65" s="139"/>
      <c r="AE65" s="441"/>
      <c r="AF65" s="441"/>
      <c r="AG65" s="119">
        <f>+IFERROR(AG63/(K63*$AT$3),"")</f>
        <v>1.8342857142857143</v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8.75</v>
      </c>
      <c r="AP65" s="167">
        <f>+AO65-AB65</f>
        <v>0</v>
      </c>
      <c r="AQ65" s="167"/>
      <c r="AR65" s="167"/>
      <c r="AS65" s="167"/>
      <c r="AT65" s="435"/>
      <c r="AU65" s="393"/>
      <c r="AW65" s="356">
        <v>1.87</v>
      </c>
      <c r="AY65" s="356"/>
    </row>
    <row r="66" spans="2:62" s="98" customFormat="1" ht="62.25" customHeight="1" thickTop="1" x14ac:dyDescent="0.9">
      <c r="B66" s="97">
        <f>+B67</f>
        <v>15</v>
      </c>
      <c r="C66" s="370"/>
      <c r="D66" s="106"/>
      <c r="E66" s="106"/>
      <c r="F66" s="106"/>
      <c r="G66" s="577" t="s">
        <v>440</v>
      </c>
      <c r="H66" s="106"/>
      <c r="I66" s="106"/>
      <c r="J66" s="107" t="s">
        <v>20</v>
      </c>
      <c r="K66" s="108" t="s">
        <v>23</v>
      </c>
      <c r="L66" s="100" t="s">
        <v>21</v>
      </c>
      <c r="M66" s="423">
        <v>75</v>
      </c>
      <c r="N66" s="423">
        <v>75</v>
      </c>
      <c r="O66" s="423">
        <v>75</v>
      </c>
      <c r="P66" s="423"/>
      <c r="Q66" s="423">
        <v>75</v>
      </c>
      <c r="R66" s="423">
        <v>75</v>
      </c>
      <c r="S66" s="423"/>
      <c r="T66" s="423"/>
      <c r="U66" s="423"/>
      <c r="V66" s="423"/>
      <c r="W66" s="423"/>
      <c r="X66" s="135">
        <f t="shared" ref="X66:X94" si="33">IF(AT67="","",SUM(M66:W66)-(-(AT67-SUM(M66:W66))/$AT$3)*SUM($M$2:$W$2))</f>
        <v>375</v>
      </c>
      <c r="Y66" s="438"/>
      <c r="Z66" s="400">
        <v>0</v>
      </c>
      <c r="AA66" s="540">
        <f>+X68</f>
        <v>0</v>
      </c>
      <c r="AB66" s="135">
        <f t="shared" ref="AB66:AB95" si="34">+SUM(L66:W66)</f>
        <v>375</v>
      </c>
      <c r="AC66" s="136">
        <f>+AD66+AB66</f>
        <v>2626</v>
      </c>
      <c r="AD66" s="136">
        <v>2251</v>
      </c>
      <c r="AE66" s="438"/>
      <c r="AF66" s="438"/>
      <c r="AG66" s="109"/>
      <c r="AH66" s="110"/>
      <c r="AI66" s="157"/>
      <c r="AJ66" s="161">
        <f t="shared" si="2"/>
        <v>0</v>
      </c>
      <c r="AK66" s="167">
        <f t="shared" si="3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1.35">
      <c r="B67" s="132">
        <v>15</v>
      </c>
      <c r="C67" s="371">
        <f>+B67</f>
        <v>15</v>
      </c>
      <c r="D67" s="372" t="s">
        <v>439</v>
      </c>
      <c r="E67" s="111"/>
      <c r="F67" s="111" t="s">
        <v>35</v>
      </c>
      <c r="G67" s="578" t="str">
        <f>+G66</f>
        <v>7740-876-052</v>
      </c>
      <c r="H67" s="450">
        <v>7700</v>
      </c>
      <c r="I67" s="111" t="s">
        <v>33</v>
      </c>
      <c r="J67" s="113">
        <v>55.78</v>
      </c>
      <c r="K67" s="130">
        <v>52</v>
      </c>
      <c r="L67" s="101" t="s">
        <v>17</v>
      </c>
      <c r="M67" s="214">
        <v>52</v>
      </c>
      <c r="N67" s="214">
        <v>52</v>
      </c>
      <c r="O67" s="214">
        <v>52</v>
      </c>
      <c r="P67" s="214">
        <v>52</v>
      </c>
      <c r="Q67" s="214">
        <v>52</v>
      </c>
      <c r="R67" s="214">
        <v>52</v>
      </c>
      <c r="S67" s="214">
        <v>52</v>
      </c>
      <c r="T67" s="214">
        <v>52</v>
      </c>
      <c r="U67" s="214">
        <v>39</v>
      </c>
      <c r="V67" s="424"/>
      <c r="W67" s="424"/>
      <c r="X67" s="123">
        <f>+IF(H68="s",0,IF(AB67=0,0,IF(COUNTA(M67:W67)=AN69+0.25,SUMIF($C:$C,B67,$AB:$AB)/AN69,SUMIF($C:$C,B67,$AB:$AB)/(COUNTA(M67:W67)))))</f>
        <v>52</v>
      </c>
      <c r="Y67" s="439"/>
      <c r="Z67" s="400"/>
      <c r="AA67" s="541"/>
      <c r="AB67" s="134">
        <f t="shared" si="34"/>
        <v>455</v>
      </c>
      <c r="AC67" s="137">
        <f>+AB67+AD67</f>
        <v>1458</v>
      </c>
      <c r="AD67" s="137">
        <v>1003</v>
      </c>
      <c r="AE67" s="439">
        <v>0</v>
      </c>
      <c r="AF67" s="439">
        <f>+AE67+Y67</f>
        <v>0</v>
      </c>
      <c r="AG67" s="140">
        <f>+AC66-AC67</f>
        <v>1168</v>
      </c>
      <c r="AH67" s="131">
        <f>+IF(((AB68+(AB69/2))*60)=0,"",(J67*AB67)/((AB68+(AB69/2))*60))</f>
        <v>0.92966666666666675</v>
      </c>
      <c r="AI67" s="161">
        <f>+AB68+AB69/2</f>
        <v>455</v>
      </c>
      <c r="AJ67" s="161">
        <f t="shared" si="2"/>
        <v>455</v>
      </c>
      <c r="AK67" s="167">
        <f t="shared" si="3"/>
        <v>27300</v>
      </c>
      <c r="AL67" s="167">
        <f>+AB67*J67</f>
        <v>25379.9</v>
      </c>
      <c r="AM67" s="230">
        <f>+AB67-(AI67*K67/K69)</f>
        <v>8.5849056603773306</v>
      </c>
      <c r="AN67" s="339"/>
      <c r="AO67" s="340"/>
      <c r="AP67" s="167"/>
      <c r="AQ67" s="167"/>
      <c r="AR67" s="167"/>
      <c r="AS67" s="167"/>
      <c r="AT67" s="433">
        <f t="shared" ref="AT67" si="35">IF(AU67=0,"",AW67-(($AT$3*K67)+($AT$3*K67)*AU67)+AB66)</f>
        <v>7.75</v>
      </c>
      <c r="AU67" s="393">
        <v>2.5499999999999998</v>
      </c>
      <c r="AW67" s="356">
        <v>1248</v>
      </c>
      <c r="AY67" s="356">
        <f t="shared" ref="AY67" si="36">+AW67-AG67</f>
        <v>80</v>
      </c>
      <c r="AZ67" s="581"/>
      <c r="BA67" s="581"/>
      <c r="BB67" s="581"/>
      <c r="BC67" s="581"/>
      <c r="BD67" s="581"/>
      <c r="BE67" s="581"/>
      <c r="BF67" s="581"/>
      <c r="BG67" s="581"/>
      <c r="BH67" s="581"/>
      <c r="BI67" s="581"/>
    </row>
    <row r="68" spans="2:62" s="98" customFormat="1" ht="62.25" customHeight="1" x14ac:dyDescent="0.9">
      <c r="B68" s="125">
        <f>+B67</f>
        <v>15</v>
      </c>
      <c r="C68" s="373"/>
      <c r="D68" s="184"/>
      <c r="E68" s="111">
        <f>+B67</f>
        <v>15</v>
      </c>
      <c r="F68" s="377"/>
      <c r="G68" s="578" t="str">
        <f>+G67</f>
        <v>7740-876-052</v>
      </c>
      <c r="H68" s="376" t="s">
        <v>399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>
        <v>51</v>
      </c>
      <c r="N68" s="425">
        <v>51</v>
      </c>
      <c r="O68" s="425">
        <v>51</v>
      </c>
      <c r="P68" s="425">
        <v>51</v>
      </c>
      <c r="Q68" s="425">
        <v>51</v>
      </c>
      <c r="R68" s="425">
        <v>51</v>
      </c>
      <c r="S68" s="425">
        <v>51</v>
      </c>
      <c r="T68" s="425">
        <v>51</v>
      </c>
      <c r="U68" s="425">
        <v>51</v>
      </c>
      <c r="V68" s="426"/>
      <c r="W68" s="426"/>
      <c r="X68" s="160">
        <f>+IF(H68="l",IF(COUNTA(M67:W67)=AN69+0.25,AB67-K67*AN69,AB67-(K67*COUNTA(M67:W67))),IF(H68="s",0,IF(COUNTA(M67:W67)=AN69+0.25,SUMIF($C:$C,B67,$AB:$AB)-K67*AN69,SUMIF($C:$C,B67,$AB:$AB)-K67*COUNTA(M67:W67))))</f>
        <v>0</v>
      </c>
      <c r="Y68" s="440"/>
      <c r="Z68" s="400"/>
      <c r="AA68" s="541"/>
      <c r="AB68" s="443">
        <f t="shared" ref="AB68:AB97" si="37">+SUM(M68:W68)-U68*0.25</f>
        <v>446.25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167">
        <f t="shared" si="3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446.25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126">
        <f>+B67</f>
        <v>15</v>
      </c>
      <c r="C69" s="375"/>
      <c r="D69" s="174" t="s">
        <v>93</v>
      </c>
      <c r="E69" s="175">
        <f>+E68+100</f>
        <v>115</v>
      </c>
      <c r="F69" s="175"/>
      <c r="G69" s="579" t="str">
        <f>+G68</f>
        <v>7740-876-052</v>
      </c>
      <c r="H69" s="454">
        <f>+AC66-H67</f>
        <v>-5074</v>
      </c>
      <c r="I69" s="397"/>
      <c r="J69" s="165">
        <f>+IF(K69="","",IF(K67=0,"",(K67*J67)/(K69*60)))</f>
        <v>0.91212578616352202</v>
      </c>
      <c r="K69" s="118">
        <v>53</v>
      </c>
      <c r="L69" s="104" t="s">
        <v>19</v>
      </c>
      <c r="M69" s="427">
        <v>2</v>
      </c>
      <c r="N69" s="427">
        <v>2</v>
      </c>
      <c r="O69" s="427">
        <v>2</v>
      </c>
      <c r="P69" s="427">
        <v>2</v>
      </c>
      <c r="Q69" s="427">
        <v>2</v>
      </c>
      <c r="R69" s="427">
        <v>2</v>
      </c>
      <c r="S69" s="427">
        <v>2</v>
      </c>
      <c r="T69" s="427">
        <v>2</v>
      </c>
      <c r="U69" s="427">
        <v>2</v>
      </c>
      <c r="V69" s="428"/>
      <c r="W69" s="428"/>
      <c r="X69" s="173"/>
      <c r="Y69" s="441"/>
      <c r="Z69" s="401">
        <v>11.961538461538462</v>
      </c>
      <c r="AA69" s="448">
        <v>11.961538461538462</v>
      </c>
      <c r="AB69" s="444">
        <f t="shared" si="37"/>
        <v>17.5</v>
      </c>
      <c r="AC69" s="139"/>
      <c r="AD69" s="139"/>
      <c r="AE69" s="441"/>
      <c r="AF69" s="441"/>
      <c r="AG69" s="119">
        <f>+IFERROR(AG67/(K67*$AT$3),"")</f>
        <v>2.5670329670329672</v>
      </c>
      <c r="AH69" s="162"/>
      <c r="AI69" s="161"/>
      <c r="AJ69" s="161">
        <f t="shared" si="2"/>
        <v>0</v>
      </c>
      <c r="AK69" s="167">
        <f t="shared" si="3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17.5</v>
      </c>
      <c r="AP69" s="167">
        <f>+AO69-AB69</f>
        <v>0</v>
      </c>
      <c r="AQ69" s="167"/>
      <c r="AR69" s="167"/>
      <c r="AS69" s="167"/>
      <c r="AT69" s="435"/>
      <c r="AU69" s="393"/>
      <c r="AW69" s="356">
        <v>2.7428571428571429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77" t="s">
        <v>450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si="33"/>
        <v/>
      </c>
      <c r="Y70" s="438"/>
      <c r="Z70" s="400">
        <v>0</v>
      </c>
      <c r="AA70" s="540">
        <f>+X72</f>
        <v>0</v>
      </c>
      <c r="AB70" s="135">
        <f t="shared" si="34"/>
        <v>0</v>
      </c>
      <c r="AC70" s="136">
        <f>+AD70+AB70</f>
        <v>3528</v>
      </c>
      <c r="AD70" s="136">
        <v>3528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449</v>
      </c>
      <c r="E71" s="111"/>
      <c r="F71" s="111" t="s">
        <v>422</v>
      </c>
      <c r="G71" s="578" t="str">
        <f>+G70</f>
        <v>PIANO-PURPLE</v>
      </c>
      <c r="H71" s="450">
        <v>3528</v>
      </c>
      <c r="I71" s="111" t="s">
        <v>451</v>
      </c>
      <c r="J71" s="113">
        <v>33.86</v>
      </c>
      <c r="K71" s="130">
        <v>75</v>
      </c>
      <c r="L71" s="101" t="s">
        <v>17</v>
      </c>
      <c r="M71" s="214"/>
      <c r="N71" s="214"/>
      <c r="O71" s="214"/>
      <c r="P71" s="214"/>
      <c r="Q71" s="214"/>
      <c r="R71" s="214"/>
      <c r="S71" s="214"/>
      <c r="T71" s="214"/>
      <c r="U71" s="214"/>
      <c r="V71" s="424"/>
      <c r="W71" s="424"/>
      <c r="X71" s="123">
        <f>+IF(H72="s",0,IF(AB71=0,0,IF(COUNTA(M71:W71)=AN73+0.25,SUMIF($C:$C,B71,$AB:$AB)/AN73,SUMIF($C:$C,B71,$AB:$AB)/(COUNTA(M71:W71)))))</f>
        <v>0</v>
      </c>
      <c r="Y71" s="439"/>
      <c r="Z71" s="400"/>
      <c r="AA71" s="541"/>
      <c r="AB71" s="134">
        <f t="shared" si="34"/>
        <v>0</v>
      </c>
      <c r="AC71" s="137">
        <f>+AB71+AD71</f>
        <v>3523</v>
      </c>
      <c r="AD71" s="137">
        <v>3523</v>
      </c>
      <c r="AE71" s="439"/>
      <c r="AF71" s="439">
        <f>+AE71+Y71</f>
        <v>0</v>
      </c>
      <c r="AG71" s="140">
        <f>+AC70-AC71</f>
        <v>5</v>
      </c>
      <c r="AH71" s="131" t="str">
        <f>+IF(((AB72+(AB73/2))*60)=0,"",(J71*AB71)/((AB72+(AB73/2))*60))</f>
        <v/>
      </c>
      <c r="AI71" s="161">
        <f>+AB72+AB73/2</f>
        <v>0</v>
      </c>
      <c r="AJ71" s="161">
        <f t="shared" si="2"/>
        <v>0</v>
      </c>
      <c r="AK71" s="167">
        <f t="shared" si="3"/>
        <v>0</v>
      </c>
      <c r="AL71" s="167">
        <f>+AB71*J71</f>
        <v>0</v>
      </c>
      <c r="AM71" s="230">
        <f>+AB71-(AI71*K71/K73)</f>
        <v>0</v>
      </c>
      <c r="AN71" s="339"/>
      <c r="AO71" s="340"/>
      <c r="AP71" s="167"/>
      <c r="AQ71" s="167"/>
      <c r="AR71" s="167"/>
      <c r="AS71" s="167"/>
      <c r="AT71" s="433" t="str">
        <f t="shared" ref="AT71" si="38">IF(AU71=0,"",AW71-(($AT$3*K71)+($AT$3*K71)*AU71)+AB70)</f>
        <v/>
      </c>
      <c r="AU71" s="393"/>
      <c r="AW71" s="356">
        <v>5</v>
      </c>
      <c r="AY71" s="356">
        <f t="shared" ref="AY71" si="39">+AW71-AG71</f>
        <v>0</v>
      </c>
      <c r="AZ71" s="580"/>
      <c r="BA71" s="580"/>
      <c r="BB71" s="580"/>
      <c r="BC71" s="580"/>
      <c r="BD71" s="580"/>
      <c r="BE71" s="580"/>
      <c r="BF71" s="580"/>
      <c r="BG71" s="580"/>
      <c r="BH71" s="580"/>
      <c r="BI71" s="580"/>
      <c r="BJ71" s="580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78" t="str">
        <f>+G70</f>
        <v>PIANO-PURPLE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>
        <v>1</v>
      </c>
      <c r="K72" s="114" t="s">
        <v>22</v>
      </c>
      <c r="L72" s="102" t="s">
        <v>18</v>
      </c>
      <c r="M72" s="425"/>
      <c r="N72" s="425"/>
      <c r="O72" s="425"/>
      <c r="P72" s="425"/>
      <c r="Q72" s="425"/>
      <c r="R72" s="425"/>
      <c r="S72" s="425"/>
      <c r="T72" s="425"/>
      <c r="U72" s="425"/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0</v>
      </c>
      <c r="Y72" s="440"/>
      <c r="Z72" s="400"/>
      <c r="AA72" s="541"/>
      <c r="AB72" s="443">
        <f t="shared" si="37"/>
        <v>0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0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79" t="str">
        <f>+G70</f>
        <v>PIANO-PURPLE</v>
      </c>
      <c r="H73" s="454">
        <f>+AC70-H71</f>
        <v>0</v>
      </c>
      <c r="I73" s="397"/>
      <c r="J73" s="165">
        <f>+IF(K73="","",IF(K71=0,"",(K71*J71)/(K73*60)))</f>
        <v>0.81394230769230769</v>
      </c>
      <c r="K73" s="118">
        <v>52</v>
      </c>
      <c r="L73" s="104" t="s">
        <v>19</v>
      </c>
      <c r="M73" s="427"/>
      <c r="N73" s="427"/>
      <c r="O73" s="427"/>
      <c r="P73" s="427"/>
      <c r="Q73" s="427"/>
      <c r="R73" s="427"/>
      <c r="S73" s="427"/>
      <c r="T73" s="427"/>
      <c r="U73" s="427"/>
      <c r="V73" s="428"/>
      <c r="W73" s="428"/>
      <c r="X73" s="173"/>
      <c r="Y73" s="441"/>
      <c r="Z73" s="401">
        <v>26.999523809523808</v>
      </c>
      <c r="AA73" s="168">
        <f>+IF(COUNTA(M71:W71)=$AM$4+0.25,$AM$4-(AB71/K71),COUNTA(M71:W71)-(AB71/K71))+Z73</f>
        <v>26.999523809523808</v>
      </c>
      <c r="AB73" s="444">
        <f t="shared" si="37"/>
        <v>0</v>
      </c>
      <c r="AC73" s="139"/>
      <c r="AD73" s="139"/>
      <c r="AE73" s="441"/>
      <c r="AF73" s="441"/>
      <c r="AG73" s="119">
        <f>+IFERROR(AG71/(K71*$AT$3),"")</f>
        <v>7.619047619047619E-3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0</v>
      </c>
      <c r="AQ73" s="167"/>
      <c r="AR73" s="167"/>
      <c r="AS73" s="167"/>
      <c r="AT73" s="435"/>
      <c r="AU73" s="393"/>
      <c r="AW73" s="356">
        <v>7.619047619047619E-3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77" t="s">
        <v>463</v>
      </c>
      <c r="H74" s="106"/>
      <c r="I74" s="106"/>
      <c r="J74" s="107" t="s">
        <v>20</v>
      </c>
      <c r="K74" s="108" t="s">
        <v>23</v>
      </c>
      <c r="L74" s="100" t="s">
        <v>21</v>
      </c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135" t="str">
        <f t="shared" si="33"/>
        <v/>
      </c>
      <c r="Y74" s="438"/>
      <c r="Z74" s="400">
        <v>-207.25</v>
      </c>
      <c r="AA74" s="540">
        <f>+X76</f>
        <v>-253.25</v>
      </c>
      <c r="AB74" s="135">
        <f t="shared" si="34"/>
        <v>0</v>
      </c>
      <c r="AC74" s="136">
        <f>+AD74+AB74</f>
        <v>2169</v>
      </c>
      <c r="AD74" s="136">
        <v>2169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462</v>
      </c>
      <c r="E75" s="111"/>
      <c r="F75" s="111" t="s">
        <v>422</v>
      </c>
      <c r="G75" s="578" t="str">
        <f>+G74</f>
        <v>PIANO-Turquaz</v>
      </c>
      <c r="H75" s="450">
        <v>2155</v>
      </c>
      <c r="I75" s="111" t="s">
        <v>451</v>
      </c>
      <c r="J75" s="113">
        <v>33.86</v>
      </c>
      <c r="K75" s="130">
        <v>75</v>
      </c>
      <c r="L75" s="101" t="s">
        <v>17</v>
      </c>
      <c r="M75" s="214">
        <v>35</v>
      </c>
      <c r="N75" s="214">
        <v>60</v>
      </c>
      <c r="O75" s="214">
        <v>45</v>
      </c>
      <c r="P75" s="214">
        <v>50</v>
      </c>
      <c r="Q75" s="214">
        <v>60</v>
      </c>
      <c r="R75" s="214">
        <v>55</v>
      </c>
      <c r="S75" s="214">
        <v>31</v>
      </c>
      <c r="T75" s="214">
        <v>40</v>
      </c>
      <c r="U75" s="214">
        <v>27</v>
      </c>
      <c r="V75" s="424"/>
      <c r="W75" s="424"/>
      <c r="X75" s="123">
        <f>+IF(H76="s",0,IF(AB75=0,0,IF(COUNTA(M75:W75)=AN77+0.25,SUMIF($C:$C,B75,$AB:$AB)/AN77,SUMIF($C:$C,B75,$AB:$AB)/(COUNTA(M75:W75)))))</f>
        <v>46.057142857142857</v>
      </c>
      <c r="Y75" s="439"/>
      <c r="Z75" s="400"/>
      <c r="AA75" s="541"/>
      <c r="AB75" s="134">
        <f t="shared" si="34"/>
        <v>403</v>
      </c>
      <c r="AC75" s="137">
        <f>+AB75+AD75</f>
        <v>1360</v>
      </c>
      <c r="AD75" s="137">
        <v>957</v>
      </c>
      <c r="AE75" s="439"/>
      <c r="AF75" s="439">
        <f>+AE75+Y75</f>
        <v>0</v>
      </c>
      <c r="AG75" s="140">
        <f>+AC74-AC75</f>
        <v>809</v>
      </c>
      <c r="AH75" s="131">
        <f>+IF(((AB76+(AB77/2))*60)=0,"",(J75*AB75)/((AB76+(AB77/2))*60))</f>
        <v>0.6163315266485998</v>
      </c>
      <c r="AI75" s="161">
        <f>+AB76+AB77/2</f>
        <v>369</v>
      </c>
      <c r="AJ75" s="161">
        <f t="shared" si="2"/>
        <v>369</v>
      </c>
      <c r="AK75" s="167">
        <f t="shared" si="3"/>
        <v>22140</v>
      </c>
      <c r="AL75" s="167">
        <f>+AB75*J75</f>
        <v>13645.58</v>
      </c>
      <c r="AM75" s="230">
        <f>+AB75-(AI75*K75/K77)</f>
        <v>-150.5</v>
      </c>
      <c r="AN75" s="339"/>
      <c r="AO75" s="340"/>
      <c r="AP75" s="167"/>
      <c r="AQ75" s="167"/>
      <c r="AR75" s="167"/>
      <c r="AS75" s="167"/>
      <c r="AT75" s="433"/>
      <c r="AU75" s="393"/>
      <c r="AW75" s="356">
        <v>1212</v>
      </c>
      <c r="AY75" s="356">
        <f t="shared" ref="AY75" si="40">+AW75-AG75</f>
        <v>403</v>
      </c>
      <c r="AZ75" s="580"/>
      <c r="BA75" s="580"/>
      <c r="BB75" s="580"/>
      <c r="BC75" s="580"/>
      <c r="BD75" s="580"/>
      <c r="BE75" s="580"/>
      <c r="BF75" s="580"/>
      <c r="BG75" s="580"/>
      <c r="BH75" s="580"/>
      <c r="BI75" s="580"/>
      <c r="BJ75" s="580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78" t="str">
        <f>+G74</f>
        <v>PIANO-Turquaz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>
        <v>46</v>
      </c>
      <c r="N76" s="425">
        <v>46</v>
      </c>
      <c r="O76" s="425">
        <v>43</v>
      </c>
      <c r="P76" s="425">
        <v>42</v>
      </c>
      <c r="Q76" s="425">
        <v>42</v>
      </c>
      <c r="R76" s="425">
        <v>40</v>
      </c>
      <c r="S76" s="425">
        <v>40</v>
      </c>
      <c r="T76" s="425">
        <v>40</v>
      </c>
      <c r="U76" s="425">
        <v>40</v>
      </c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-253.25</v>
      </c>
      <c r="Y76" s="440"/>
      <c r="Z76" s="400"/>
      <c r="AA76" s="541"/>
      <c r="AB76" s="443">
        <f t="shared" si="37"/>
        <v>369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369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79" t="str">
        <f>+G74</f>
        <v>PIANO-Turquaz</v>
      </c>
      <c r="H77" s="454">
        <f>+AC74-H75</f>
        <v>14</v>
      </c>
      <c r="I77" s="397"/>
      <c r="J77" s="165">
        <f>+IF(K77="","",IF(K75=0,"",(K75*J75)/(K77*60)))</f>
        <v>0.84650000000000003</v>
      </c>
      <c r="K77" s="118">
        <v>50</v>
      </c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169">
        <v>24.69</v>
      </c>
      <c r="AA77" s="169">
        <v>24.69</v>
      </c>
      <c r="AB77" s="444">
        <f t="shared" si="37"/>
        <v>0</v>
      </c>
      <c r="AC77" s="139"/>
      <c r="AD77" s="139"/>
      <c r="AE77" s="441"/>
      <c r="AF77" s="441"/>
      <c r="AG77" s="119">
        <f>+IFERROR(AG75/(K75*$AT$3),"")</f>
        <v>1.2327619047619047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>
        <v>1.8468571428571428</v>
      </c>
      <c r="AY77" s="356"/>
    </row>
    <row r="78" spans="2:62" s="98" customFormat="1" ht="62.25" customHeight="1" thickTop="1" x14ac:dyDescent="0.9">
      <c r="B78" s="127">
        <f>+B79</f>
        <v>16</v>
      </c>
      <c r="C78" s="370"/>
      <c r="D78" s="106"/>
      <c r="E78" s="106"/>
      <c r="F78" s="106"/>
      <c r="G78" s="577" t="s">
        <v>472</v>
      </c>
      <c r="H78" s="106"/>
      <c r="I78" s="106"/>
      <c r="J78" s="107" t="s">
        <v>20</v>
      </c>
      <c r="K78" s="108" t="s">
        <v>23</v>
      </c>
      <c r="L78" s="100" t="s">
        <v>21</v>
      </c>
      <c r="M78" s="423">
        <v>100</v>
      </c>
      <c r="N78" s="423">
        <v>100</v>
      </c>
      <c r="O78" s="423">
        <v>100</v>
      </c>
      <c r="P78" s="423"/>
      <c r="Q78" s="423"/>
      <c r="R78" s="423"/>
      <c r="S78" s="423"/>
      <c r="T78" s="423"/>
      <c r="U78" s="423"/>
      <c r="V78" s="423"/>
      <c r="W78" s="423"/>
      <c r="X78" s="135">
        <f t="shared" ref="X78" si="41">IF(AT79="","",SUM(M78:W78)-(-(AT79-SUM(M78:W78))/$AT$3)*SUM($M$2:$W$2))</f>
        <v>300</v>
      </c>
      <c r="Y78" s="438"/>
      <c r="Z78" s="400">
        <v>0</v>
      </c>
      <c r="AA78" s="540">
        <f>+X80</f>
        <v>0</v>
      </c>
      <c r="AB78" s="135">
        <f t="shared" ref="AB78:AB79" si="42">+SUM(L78:W78)</f>
        <v>300</v>
      </c>
      <c r="AC78" s="136">
        <f>+AD78+AB78</f>
        <v>500</v>
      </c>
      <c r="AD78" s="136">
        <v>200</v>
      </c>
      <c r="AE78" s="438"/>
      <c r="AF78" s="438"/>
      <c r="AG78" s="109"/>
      <c r="AH78" s="110"/>
      <c r="AI78" s="157"/>
      <c r="AJ78" s="161">
        <f t="shared" si="2"/>
        <v>0</v>
      </c>
      <c r="AK78" s="167">
        <f t="shared" si="3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3">
        <v>16</v>
      </c>
      <c r="C79" s="371">
        <f>+B79</f>
        <v>16</v>
      </c>
      <c r="D79" s="372" t="s">
        <v>473</v>
      </c>
      <c r="E79" s="111"/>
      <c r="F79" s="111" t="s">
        <v>35</v>
      </c>
      <c r="G79" s="578" t="str">
        <f>+G78</f>
        <v>7674-739-401</v>
      </c>
      <c r="H79" s="450">
        <v>8333</v>
      </c>
      <c r="I79" s="111" t="s">
        <v>251</v>
      </c>
      <c r="J79" s="113"/>
      <c r="K79" s="130"/>
      <c r="L79" s="101" t="s">
        <v>17</v>
      </c>
      <c r="M79" s="214"/>
      <c r="N79" s="214"/>
      <c r="O79" s="214"/>
      <c r="P79" s="214"/>
      <c r="Q79" s="214"/>
      <c r="R79" s="214"/>
      <c r="S79" s="214"/>
      <c r="T79" s="214"/>
      <c r="U79" s="214"/>
      <c r="V79" s="424"/>
      <c r="W79" s="424"/>
      <c r="X79" s="123">
        <f>+IF(H80="s",0,IF(AB79=0,0,IF(COUNTA(M79:W79)=AN81+0.25,SUMIF($C:$C,B79,$AB:$AB)/AN81,SUMIF($C:$C,B79,$AB:$AB)/(COUNTA(M79:W79)))))</f>
        <v>0</v>
      </c>
      <c r="Y79" s="439"/>
      <c r="Z79" s="400"/>
      <c r="AA79" s="541"/>
      <c r="AB79" s="134">
        <f t="shared" si="42"/>
        <v>0</v>
      </c>
      <c r="AC79" s="137">
        <f>+AB79+AD79</f>
        <v>0</v>
      </c>
      <c r="AD79" s="137">
        <v>0</v>
      </c>
      <c r="AE79" s="439"/>
      <c r="AF79" s="439">
        <f>+AE79+Y79</f>
        <v>0</v>
      </c>
      <c r="AG79" s="140">
        <f>+AC78-AC79</f>
        <v>500</v>
      </c>
      <c r="AH79" s="131">
        <f>+IF(((AB80+(AB81/2))*60)=0,"",(J79*AB79)/((AB80+(AB81/2))*60))</f>
        <v>0</v>
      </c>
      <c r="AI79" s="161">
        <f>+AB80+AB81/2</f>
        <v>45.25</v>
      </c>
      <c r="AJ79" s="161">
        <f t="shared" si="2"/>
        <v>45.15</v>
      </c>
      <c r="AK79" s="167">
        <f t="shared" si="3"/>
        <v>2715</v>
      </c>
      <c r="AL79" s="167">
        <f>+AB79*J79</f>
        <v>0</v>
      </c>
      <c r="AM79" s="230">
        <f>+AB79-(AI79*K79/K81)</f>
        <v>0</v>
      </c>
      <c r="AN79" s="339"/>
      <c r="AO79" s="340"/>
      <c r="AP79" s="167"/>
      <c r="AQ79" s="167"/>
      <c r="AR79" s="167"/>
      <c r="AS79" s="167"/>
      <c r="AT79" s="433">
        <f>-300+AB78</f>
        <v>0</v>
      </c>
      <c r="AU79" s="393"/>
      <c r="AW79" s="356">
        <v>200</v>
      </c>
      <c r="AY79" s="356">
        <f t="shared" ref="AY79" si="43">+AW79-AG79</f>
        <v>-300</v>
      </c>
      <c r="AZ79" s="580"/>
      <c r="BA79" s="580"/>
      <c r="BB79" s="580"/>
      <c r="BC79" s="580"/>
      <c r="BD79" s="580"/>
      <c r="BE79" s="580"/>
      <c r="BF79" s="580"/>
      <c r="BG79" s="580"/>
      <c r="BH79" s="580"/>
      <c r="BI79" s="580"/>
      <c r="BJ79" s="580"/>
    </row>
    <row r="80" spans="2:62" s="98" customFormat="1" ht="62.25" customHeight="1" x14ac:dyDescent="0.9">
      <c r="B80" s="125">
        <f>+B79</f>
        <v>16</v>
      </c>
      <c r="C80" s="373"/>
      <c r="D80" s="184"/>
      <c r="E80" s="111">
        <f>+B79</f>
        <v>16</v>
      </c>
      <c r="F80" s="374"/>
      <c r="G80" s="578" t="str">
        <f>+G78</f>
        <v>7674-739-401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>
        <v>1</v>
      </c>
      <c r="K80" s="114" t="s">
        <v>22</v>
      </c>
      <c r="L80" s="102" t="s">
        <v>18</v>
      </c>
      <c r="M80" s="425">
        <v>2</v>
      </c>
      <c r="N80" s="425">
        <v>2</v>
      </c>
      <c r="O80" s="425">
        <v>5</v>
      </c>
      <c r="P80" s="425">
        <v>5</v>
      </c>
      <c r="Q80" s="425">
        <v>5</v>
      </c>
      <c r="R80" s="425">
        <v>7</v>
      </c>
      <c r="S80" s="425">
        <v>7</v>
      </c>
      <c r="T80" s="425">
        <v>7</v>
      </c>
      <c r="U80" s="425">
        <v>7</v>
      </c>
      <c r="V80" s="426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0</v>
      </c>
      <c r="Y80" s="440"/>
      <c r="Z80" s="400"/>
      <c r="AA80" s="541"/>
      <c r="AB80" s="443">
        <f t="shared" ref="AB80:AB81" si="44">+SUM(M80:W80)-U80*0.25</f>
        <v>45.25</v>
      </c>
      <c r="AC80" s="341"/>
      <c r="AD80" s="341"/>
      <c r="AE80" s="440"/>
      <c r="AF80" s="440"/>
      <c r="AG80" s="115"/>
      <c r="AH80" s="116"/>
      <c r="AI80" s="157"/>
      <c r="AJ80" s="161">
        <f t="shared" si="2"/>
        <v>0</v>
      </c>
      <c r="AK80" s="167">
        <f t="shared" si="3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45.25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343">
        <f>+B79</f>
        <v>16</v>
      </c>
      <c r="C81" s="375"/>
      <c r="D81" s="378" t="s">
        <v>152</v>
      </c>
      <c r="E81" s="175">
        <f>+E80+100</f>
        <v>116</v>
      </c>
      <c r="F81" s="175"/>
      <c r="G81" s="579" t="str">
        <f>+G78</f>
        <v>7674-739-401</v>
      </c>
      <c r="H81" s="454">
        <f>+AC78-H79</f>
        <v>-7833</v>
      </c>
      <c r="I81" s="397"/>
      <c r="J81" s="165" t="str">
        <f>+IF(K81="","",IF(K79=0,"",(K79*J79)/(K81*60)))</f>
        <v/>
      </c>
      <c r="K81" s="118">
        <v>52</v>
      </c>
      <c r="L81" s="104" t="s">
        <v>19</v>
      </c>
      <c r="M81" s="427"/>
      <c r="N81" s="427"/>
      <c r="O81" s="427"/>
      <c r="P81" s="427"/>
      <c r="Q81" s="427"/>
      <c r="R81" s="427"/>
      <c r="S81" s="427"/>
      <c r="T81" s="427"/>
      <c r="U81" s="427"/>
      <c r="V81" s="428"/>
      <c r="W81" s="428"/>
      <c r="X81" s="173"/>
      <c r="Y81" s="441"/>
      <c r="Z81" s="401" t="e">
        <v>#DIV/0!</v>
      </c>
      <c r="AA81" s="168" t="e">
        <f>+IF(COUNTA(M79:W79)=$AM$4+0.25,$AM$4-(AB79/K79),COUNTA(M79:W79)-(AB79/K79))+Z81</f>
        <v>#DIV/0!</v>
      </c>
      <c r="AB81" s="444">
        <f t="shared" si="44"/>
        <v>0</v>
      </c>
      <c r="AC81" s="139"/>
      <c r="AD81" s="139"/>
      <c r="AE81" s="441"/>
      <c r="AF81" s="441"/>
      <c r="AG81" s="119" t="str">
        <f>+IFERROR(AG79/(K79*$AT$3),"")</f>
        <v/>
      </c>
      <c r="AH81" s="162"/>
      <c r="AI81" s="161"/>
      <c r="AJ81" s="161">
        <f t="shared" si="2"/>
        <v>0</v>
      </c>
      <c r="AK81" s="167">
        <f t="shared" si="3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0</v>
      </c>
      <c r="AP81" s="167">
        <f>+AO81-AB81</f>
        <v>0</v>
      </c>
      <c r="AQ81" s="167"/>
      <c r="AR81" s="167"/>
      <c r="AS81" s="167"/>
      <c r="AT81" s="435"/>
      <c r="AU81" s="393"/>
      <c r="AW81" s="356" t="s">
        <v>429</v>
      </c>
      <c r="AY81" s="356"/>
    </row>
    <row r="82" spans="2:51" s="98" customFormat="1" ht="62.25" customHeight="1" thickTop="1" x14ac:dyDescent="0.9">
      <c r="B82" s="97">
        <f>+B83</f>
        <v>17</v>
      </c>
      <c r="C82" s="370"/>
      <c r="D82" s="106"/>
      <c r="E82" s="106"/>
      <c r="F82" s="106"/>
      <c r="G82" s="577" t="s">
        <v>436</v>
      </c>
      <c r="H82" s="106"/>
      <c r="I82" s="111"/>
      <c r="J82" s="107" t="s">
        <v>20</v>
      </c>
      <c r="K82" s="108" t="s">
        <v>23</v>
      </c>
      <c r="L82" s="100" t="s">
        <v>21</v>
      </c>
      <c r="M82" s="423">
        <v>120</v>
      </c>
      <c r="N82" s="423">
        <v>120</v>
      </c>
      <c r="O82" s="423">
        <v>120</v>
      </c>
      <c r="P82" s="423"/>
      <c r="Q82" s="423">
        <v>60</v>
      </c>
      <c r="R82" s="423"/>
      <c r="S82" s="423">
        <v>60</v>
      </c>
      <c r="T82" s="423"/>
      <c r="U82" s="423"/>
      <c r="V82" s="423"/>
      <c r="W82" s="423"/>
      <c r="X82" s="135">
        <f t="shared" si="33"/>
        <v>480</v>
      </c>
      <c r="Y82" s="438"/>
      <c r="Z82" s="400">
        <v>35.25</v>
      </c>
      <c r="AA82" s="540">
        <f>+X84</f>
        <v>6.25</v>
      </c>
      <c r="AB82" s="135">
        <f t="shared" si="34"/>
        <v>480</v>
      </c>
      <c r="AC82" s="136">
        <f>+AD82+AB82</f>
        <v>6781</v>
      </c>
      <c r="AD82" s="136">
        <v>6301</v>
      </c>
      <c r="AE82" s="438"/>
      <c r="AF82" s="438"/>
      <c r="AG82" s="109"/>
      <c r="AH82" s="110"/>
      <c r="AI82" s="157"/>
      <c r="AJ82" s="161">
        <f t="shared" si="2"/>
        <v>0</v>
      </c>
      <c r="AK82" s="167">
        <f t="shared" si="3"/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2">
        <v>17</v>
      </c>
      <c r="C83" s="371">
        <f>+B83</f>
        <v>17</v>
      </c>
      <c r="D83" s="372" t="s">
        <v>435</v>
      </c>
      <c r="E83" s="111"/>
      <c r="F83" s="111" t="s">
        <v>35</v>
      </c>
      <c r="G83" s="578" t="str">
        <f>+G82</f>
        <v>2628-510-630</v>
      </c>
      <c r="H83" s="450">
        <v>10010</v>
      </c>
      <c r="I83" s="111" t="s">
        <v>33</v>
      </c>
      <c r="J83" s="113">
        <v>44.34</v>
      </c>
      <c r="K83" s="130">
        <v>53</v>
      </c>
      <c r="L83" s="101" t="s">
        <v>17</v>
      </c>
      <c r="M83" s="214">
        <v>33</v>
      </c>
      <c r="N83" s="214">
        <v>67</v>
      </c>
      <c r="O83" s="214">
        <v>57</v>
      </c>
      <c r="P83" s="214">
        <v>57</v>
      </c>
      <c r="Q83" s="214">
        <v>57</v>
      </c>
      <c r="R83" s="214">
        <v>53</v>
      </c>
      <c r="S83" s="214">
        <v>53</v>
      </c>
      <c r="T83" s="214">
        <v>53</v>
      </c>
      <c r="U83" s="214">
        <v>40</v>
      </c>
      <c r="V83" s="214"/>
      <c r="W83" s="424"/>
      <c r="X83" s="123">
        <f>+IF(H84="s",0,IF(AB83=0,0,IF(COUNTA(M83:W83)=AN85+0.25,SUMIF($C:$C,B83,$AB:$AB)/AN85,SUMIF($C:$C,B83,$AB:$AB)/(COUNTA(M83:W83)))))</f>
        <v>53.714285714285715</v>
      </c>
      <c r="Y83" s="439"/>
      <c r="Z83" s="400"/>
      <c r="AA83" s="541"/>
      <c r="AB83" s="134">
        <f t="shared" si="34"/>
        <v>470</v>
      </c>
      <c r="AC83" s="137">
        <f>+AB83+AD83</f>
        <v>5983</v>
      </c>
      <c r="AD83" s="137">
        <v>5513</v>
      </c>
      <c r="AE83" s="439">
        <v>0</v>
      </c>
      <c r="AF83" s="439">
        <f>+AE83+Y83</f>
        <v>0</v>
      </c>
      <c r="AG83" s="140">
        <f>+AC82-AC83</f>
        <v>798</v>
      </c>
      <c r="AH83" s="131">
        <f>+IF(((AB84+(AB85/2))*60)=0,"",(J83*AB83)/((AB84+(AB85/2))*60))</f>
        <v>0.85365284178187417</v>
      </c>
      <c r="AI83" s="161">
        <f>+AB84+AB85/2</f>
        <v>406.875</v>
      </c>
      <c r="AJ83" s="161">
        <f t="shared" si="2"/>
        <v>406.52499999999998</v>
      </c>
      <c r="AK83" s="167">
        <f t="shared" si="3"/>
        <v>24412.5</v>
      </c>
      <c r="AL83" s="167">
        <f>+AB83*J83</f>
        <v>20839.800000000003</v>
      </c>
      <c r="AM83" s="230">
        <f>+AB83-(AI83*K83/K85)</f>
        <v>1.2092391304348098</v>
      </c>
      <c r="AN83" s="339"/>
      <c r="AO83" s="340"/>
      <c r="AP83" s="167"/>
      <c r="AQ83" s="167"/>
      <c r="AR83" s="167"/>
      <c r="AS83" s="167"/>
      <c r="AT83" s="433">
        <f t="shared" ref="AT83" si="45">IF(AU83=0,"",AW83-(($AT$3*K83)+($AT$3*K83)*AU83)+AB82)</f>
        <v>15.875</v>
      </c>
      <c r="AU83" s="393">
        <v>1.7</v>
      </c>
      <c r="AW83" s="356">
        <v>788</v>
      </c>
      <c r="AY83" s="356">
        <f t="shared" ref="AY83" si="46">+AW83-AG83</f>
        <v>-10</v>
      </c>
    </row>
    <row r="84" spans="2:51" s="98" customFormat="1" ht="62.25" customHeight="1" x14ac:dyDescent="0.9">
      <c r="B84" s="125">
        <f>+B83</f>
        <v>17</v>
      </c>
      <c r="C84" s="373"/>
      <c r="D84" s="184"/>
      <c r="E84" s="111">
        <f>+B83</f>
        <v>17</v>
      </c>
      <c r="F84" s="374"/>
      <c r="G84" s="578" t="str">
        <f>+G82</f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25">
        <v>46</v>
      </c>
      <c r="N84" s="425">
        <v>46</v>
      </c>
      <c r="O84" s="425">
        <v>46</v>
      </c>
      <c r="P84" s="425">
        <v>46</v>
      </c>
      <c r="Q84" s="425">
        <v>46</v>
      </c>
      <c r="R84" s="425">
        <v>46</v>
      </c>
      <c r="S84" s="425">
        <v>46</v>
      </c>
      <c r="T84" s="425">
        <v>46</v>
      </c>
      <c r="U84" s="425">
        <v>46</v>
      </c>
      <c r="V84" s="426"/>
      <c r="W84" s="426"/>
      <c r="X84" s="160">
        <f>+IF(H84="l",IF(COUNTA(M83:W83)=AN85+0.25,AB83-K83*AN85,AB83-(K83*COUNTA(M83:W83))),IF(H84="s",0,IF(COUNTA(M83:W83)=AN85+0.25,SUMIF($C:$C,B83,$AB:$AB)-K83*AN85,SUMIF($C:$C,B83,$AB:$AB)-K83*COUNTA(M83:W83))))</f>
        <v>6.25</v>
      </c>
      <c r="Y84" s="440"/>
      <c r="Z84" s="400"/>
      <c r="AA84" s="541"/>
      <c r="AB84" s="443">
        <f t="shared" si="37"/>
        <v>402.5</v>
      </c>
      <c r="AC84" s="341"/>
      <c r="AD84" s="341"/>
      <c r="AE84" s="440"/>
      <c r="AF84" s="440"/>
      <c r="AG84" s="115"/>
      <c r="AH84" s="116"/>
      <c r="AI84" s="157"/>
      <c r="AJ84" s="161">
        <f t="shared" si="2"/>
        <v>0</v>
      </c>
      <c r="AK84" s="167">
        <f t="shared" si="3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402.5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126">
        <f>+B83</f>
        <v>17</v>
      </c>
      <c r="C85" s="375"/>
      <c r="D85" s="174" t="s">
        <v>379</v>
      </c>
      <c r="E85" s="175">
        <f>+E84+100</f>
        <v>117</v>
      </c>
      <c r="F85" s="175"/>
      <c r="G85" s="579" t="str">
        <f>+G82</f>
        <v>2628-510-630</v>
      </c>
      <c r="H85" s="454">
        <f>+AC82-H83</f>
        <v>-3229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7">
        <v>1</v>
      </c>
      <c r="N85" s="427">
        <v>1</v>
      </c>
      <c r="O85" s="427">
        <v>1</v>
      </c>
      <c r="P85" s="427">
        <v>1</v>
      </c>
      <c r="Q85" s="427">
        <v>1</v>
      </c>
      <c r="R85" s="427">
        <v>1</v>
      </c>
      <c r="S85" s="427">
        <v>1</v>
      </c>
      <c r="T85" s="427">
        <v>1</v>
      </c>
      <c r="U85" s="427">
        <v>1</v>
      </c>
      <c r="V85" s="428"/>
      <c r="W85" s="428"/>
      <c r="X85" s="173"/>
      <c r="Y85" s="441"/>
      <c r="Z85" s="401">
        <v>41.323268679526997</v>
      </c>
      <c r="AA85" s="169">
        <v>41.323268679526997</v>
      </c>
      <c r="AB85" s="444">
        <f t="shared" si="37"/>
        <v>8.75</v>
      </c>
      <c r="AC85" s="139"/>
      <c r="AD85" s="139"/>
      <c r="AE85" s="441"/>
      <c r="AF85" s="441"/>
      <c r="AG85" s="119">
        <f>+IFERROR(AG83/(K83*$AT$3),"")</f>
        <v>1.7207547169811321</v>
      </c>
      <c r="AH85" s="162"/>
      <c r="AI85" s="161"/>
      <c r="AJ85" s="161">
        <f t="shared" si="2"/>
        <v>0</v>
      </c>
      <c r="AK85" s="167">
        <f t="shared" si="3"/>
        <v>0</v>
      </c>
      <c r="AL85" s="167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8.75</v>
      </c>
      <c r="AP85" s="167">
        <f>+AO85-AB85</f>
        <v>0</v>
      </c>
      <c r="AQ85" s="167"/>
      <c r="AR85" s="167"/>
      <c r="AS85" s="167"/>
      <c r="AT85" s="435"/>
      <c r="AU85" s="393"/>
      <c r="AW85" s="356">
        <v>1.6991913746630727</v>
      </c>
      <c r="AY85" s="356"/>
    </row>
    <row r="86" spans="2:51" s="98" customFormat="1" ht="62.25" customHeight="1" thickTop="1" x14ac:dyDescent="0.9">
      <c r="B86" s="127">
        <f>+B87</f>
        <v>18</v>
      </c>
      <c r="C86" s="370"/>
      <c r="D86" s="106"/>
      <c r="E86" s="106"/>
      <c r="F86" s="106"/>
      <c r="G86" s="577" t="s">
        <v>436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120</v>
      </c>
      <c r="N86" s="423">
        <v>120</v>
      </c>
      <c r="O86" s="423">
        <v>120</v>
      </c>
      <c r="P86" s="423">
        <v>60</v>
      </c>
      <c r="Q86" s="423">
        <v>60</v>
      </c>
      <c r="R86" s="423">
        <v>60</v>
      </c>
      <c r="S86" s="423">
        <v>60</v>
      </c>
      <c r="T86" s="423"/>
      <c r="U86" s="423"/>
      <c r="V86" s="423"/>
      <c r="W86" s="423"/>
      <c r="X86" s="135">
        <f t="shared" si="33"/>
        <v>600</v>
      </c>
      <c r="Y86" s="438"/>
      <c r="Z86" s="400">
        <v>0.25</v>
      </c>
      <c r="AA86" s="540">
        <f>+X88</f>
        <v>-44.75</v>
      </c>
      <c r="AB86" s="135">
        <f t="shared" si="34"/>
        <v>600</v>
      </c>
      <c r="AC86" s="136">
        <f>+AD86+AB86</f>
        <v>7765</v>
      </c>
      <c r="AD86" s="136">
        <v>7165</v>
      </c>
      <c r="AE86" s="438"/>
      <c r="AF86" s="438"/>
      <c r="AG86" s="109"/>
      <c r="AH86" s="110"/>
      <c r="AI86" s="157"/>
      <c r="AJ86" s="161">
        <f t="shared" ref="AJ86:AJ97" si="47">TRUNC(AI86)+(AI86-TRUNC(AI86))*60/100</f>
        <v>0</v>
      </c>
      <c r="AK86" s="167">
        <f t="shared" ref="AK86:AK97" si="48">+AI86*60</f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18</v>
      </c>
      <c r="C87" s="371">
        <f>+B87</f>
        <v>18</v>
      </c>
      <c r="D87" s="372" t="s">
        <v>435</v>
      </c>
      <c r="E87" s="111"/>
      <c r="F87" s="111" t="s">
        <v>35</v>
      </c>
      <c r="G87" s="578" t="str">
        <f t="shared" ref="G87:G97" si="49">+G86</f>
        <v>2628-510-630</v>
      </c>
      <c r="H87" s="450">
        <v>10800</v>
      </c>
      <c r="I87" s="111" t="s">
        <v>33</v>
      </c>
      <c r="J87" s="113">
        <v>44.34</v>
      </c>
      <c r="K87" s="130">
        <v>53</v>
      </c>
      <c r="L87" s="101" t="s">
        <v>17</v>
      </c>
      <c r="M87" s="424">
        <v>28</v>
      </c>
      <c r="N87" s="424">
        <v>53</v>
      </c>
      <c r="O87" s="424">
        <v>50</v>
      </c>
      <c r="P87" s="424">
        <v>25</v>
      </c>
      <c r="Q87" s="424">
        <v>53</v>
      </c>
      <c r="R87" s="424">
        <v>63</v>
      </c>
      <c r="S87" s="424">
        <v>53</v>
      </c>
      <c r="T87" s="424">
        <v>53</v>
      </c>
      <c r="U87" s="424">
        <v>41</v>
      </c>
      <c r="V87" s="424"/>
      <c r="W87" s="424"/>
      <c r="X87" s="123">
        <f>+IF(H88="s",0,IF(AB87=0,0,IF(COUNTA(M87:W87)=AN89+0.25,SUMIF($C:$C,B87,$AB:$AB)/AN89,SUMIF($C:$C,B87,$AB:$AB)/(COUNTA(M87:W87)))))</f>
        <v>47.885714285714286</v>
      </c>
      <c r="Y87" s="439"/>
      <c r="Z87" s="400"/>
      <c r="AA87" s="541"/>
      <c r="AB87" s="134">
        <f t="shared" si="34"/>
        <v>419</v>
      </c>
      <c r="AC87" s="137">
        <f>+AB87+AD87</f>
        <v>6953</v>
      </c>
      <c r="AD87" s="137">
        <v>6534</v>
      </c>
      <c r="AE87" s="439">
        <v>0</v>
      </c>
      <c r="AF87" s="439">
        <f>+AE87+Y87</f>
        <v>0</v>
      </c>
      <c r="AG87" s="140">
        <f>+AC86-AC87</f>
        <v>812</v>
      </c>
      <c r="AH87" s="131">
        <f>+IF(((AB88+(AB89/2))*60)=0,"",(J87*AB87)/((AB88+(AB89/2))*60))</f>
        <v>0.76102242703533041</v>
      </c>
      <c r="AI87" s="161">
        <f>+AB88+AB89/2</f>
        <v>406.875</v>
      </c>
      <c r="AJ87" s="161">
        <f t="shared" si="47"/>
        <v>406.52499999999998</v>
      </c>
      <c r="AK87" s="167">
        <f t="shared" si="48"/>
        <v>24412.5</v>
      </c>
      <c r="AL87" s="167">
        <f>+AB87*J87</f>
        <v>18578.460000000003</v>
      </c>
      <c r="AM87" s="230">
        <f>+AB87-(AI87*K87/K89)</f>
        <v>-49.79076086956519</v>
      </c>
      <c r="AN87" s="339"/>
      <c r="AO87" s="340"/>
      <c r="AP87" s="167"/>
      <c r="AQ87" s="167"/>
      <c r="AR87" s="167"/>
      <c r="AS87" s="167"/>
      <c r="AT87" s="433">
        <f t="shared" ref="AT87" si="50">IF(AU87=0,"",AW87-(($AT$3*K87)+($AT$3*K87)*AU87)+AB86)</f>
        <v>71.625</v>
      </c>
      <c r="AU87" s="393">
        <v>1.5</v>
      </c>
      <c r="AW87" s="356">
        <v>631</v>
      </c>
      <c r="AY87" s="356">
        <f t="shared" ref="AY87" si="51">+AW87-AG87</f>
        <v>-181</v>
      </c>
    </row>
    <row r="88" spans="2:51" s="98" customFormat="1" ht="62.25" customHeight="1" x14ac:dyDescent="0.9">
      <c r="B88" s="125">
        <f>+B87</f>
        <v>18</v>
      </c>
      <c r="C88" s="373"/>
      <c r="D88" s="184"/>
      <c r="E88" s="111">
        <f>+B87</f>
        <v>18</v>
      </c>
      <c r="F88" s="374"/>
      <c r="G88" s="578" t="str">
        <f t="shared" si="49"/>
        <v>2628-510-630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25">
        <v>46</v>
      </c>
      <c r="N88" s="425">
        <v>46</v>
      </c>
      <c r="O88" s="425">
        <v>46</v>
      </c>
      <c r="P88" s="425">
        <v>46</v>
      </c>
      <c r="Q88" s="425">
        <v>46</v>
      </c>
      <c r="R88" s="425">
        <v>46</v>
      </c>
      <c r="S88" s="425">
        <v>46</v>
      </c>
      <c r="T88" s="425">
        <v>46</v>
      </c>
      <c r="U88" s="425">
        <v>46</v>
      </c>
      <c r="V88" s="425"/>
      <c r="W88" s="425"/>
      <c r="X88" s="160">
        <f>+IF(H88="l",IF(COUNTA(M87:W87)=AN89+0.25,AB87-K87*AN89,AB87-(K87*COUNTA(M87:W87))),IF(H88="s",0,IF(COUNTA(M87:W87)=AN89+0.25,SUMIF($C:$C,B87,$AB:$AB)-K87*AN89,SUMIF($C:$C,B87,$AB:$AB)-K87*COUNTA(M87:W87))))</f>
        <v>-44.75</v>
      </c>
      <c r="Y88" s="440"/>
      <c r="Z88" s="400"/>
      <c r="AA88" s="541"/>
      <c r="AB88" s="443">
        <f t="shared" si="37"/>
        <v>402.5</v>
      </c>
      <c r="AC88" s="138"/>
      <c r="AD88" s="138"/>
      <c r="AE88" s="442"/>
      <c r="AF88" s="440"/>
      <c r="AG88" s="115"/>
      <c r="AH88" s="116"/>
      <c r="AI88" s="157"/>
      <c r="AJ88" s="161">
        <f t="shared" si="47"/>
        <v>0</v>
      </c>
      <c r="AK88" s="167">
        <f t="shared" si="48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402.5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18</v>
      </c>
      <c r="C89" s="375"/>
      <c r="D89" s="378" t="s">
        <v>406</v>
      </c>
      <c r="E89" s="175">
        <f>+E88+100</f>
        <v>118</v>
      </c>
      <c r="F89" s="175"/>
      <c r="G89" s="579" t="str">
        <f t="shared" si="49"/>
        <v>2628-510-630</v>
      </c>
      <c r="H89" s="454">
        <f>+AC86-H87</f>
        <v>-3035</v>
      </c>
      <c r="I89" s="397"/>
      <c r="J89" s="165">
        <f>+IF(K89="","",IF(K87=0,"",(K87*J87)/(K89*60)))</f>
        <v>0.85145652173913045</v>
      </c>
      <c r="K89" s="118">
        <v>46</v>
      </c>
      <c r="L89" s="104" t="s">
        <v>19</v>
      </c>
      <c r="M89" s="428">
        <v>1</v>
      </c>
      <c r="N89" s="428">
        <v>1</v>
      </c>
      <c r="O89" s="428">
        <v>1</v>
      </c>
      <c r="P89" s="428">
        <v>1</v>
      </c>
      <c r="Q89" s="428">
        <v>1</v>
      </c>
      <c r="R89" s="428">
        <v>1</v>
      </c>
      <c r="S89" s="428">
        <v>1</v>
      </c>
      <c r="T89" s="428">
        <v>1</v>
      </c>
      <c r="U89" s="428">
        <v>1</v>
      </c>
      <c r="V89" s="428"/>
      <c r="W89" s="428"/>
      <c r="X89" s="173"/>
      <c r="Y89" s="441"/>
      <c r="Z89" s="401">
        <v>40.950645170328073</v>
      </c>
      <c r="AA89" s="401">
        <v>40.950645170328073</v>
      </c>
      <c r="AB89" s="444">
        <f t="shared" si="37"/>
        <v>8.75</v>
      </c>
      <c r="AC89" s="139"/>
      <c r="AD89" s="139"/>
      <c r="AE89" s="441"/>
      <c r="AF89" s="441"/>
      <c r="AG89" s="119">
        <f>+IFERROR(AG87/(K87*$AT$3),"")</f>
        <v>1.7509433962264151</v>
      </c>
      <c r="AH89" s="162"/>
      <c r="AI89" s="161"/>
      <c r="AJ89" s="161">
        <f t="shared" si="47"/>
        <v>0</v>
      </c>
      <c r="AK89" s="167">
        <f t="shared" si="48"/>
        <v>0</v>
      </c>
      <c r="AL89" s="167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8.75</v>
      </c>
      <c r="AP89" s="167">
        <f>+AO89-AB89</f>
        <v>0</v>
      </c>
      <c r="AQ89" s="167"/>
      <c r="AR89" s="167"/>
      <c r="AS89" s="167"/>
      <c r="AT89" s="435"/>
      <c r="AU89" s="393"/>
      <c r="AW89" s="356">
        <v>1.3606469002695418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77" t="s">
        <v>477</v>
      </c>
      <c r="H90" s="106"/>
      <c r="I90" s="106"/>
      <c r="J90" s="107" t="s">
        <v>20</v>
      </c>
      <c r="K90" s="108" t="s">
        <v>23</v>
      </c>
      <c r="L90" s="100" t="s">
        <v>21</v>
      </c>
      <c r="M90" s="423">
        <v>150</v>
      </c>
      <c r="N90" s="423">
        <v>150</v>
      </c>
      <c r="O90" s="423">
        <v>150</v>
      </c>
      <c r="P90" s="423">
        <v>150</v>
      </c>
      <c r="Q90" s="423">
        <v>150</v>
      </c>
      <c r="R90" s="423">
        <v>150</v>
      </c>
      <c r="S90" s="423">
        <v>48</v>
      </c>
      <c r="T90" s="423"/>
      <c r="U90" s="423"/>
      <c r="V90" s="423"/>
      <c r="W90" s="423"/>
      <c r="X90" s="135">
        <f t="shared" ref="X90" si="52">IF(AT91="","",SUM(M90:W90)-(-(AT91-SUM(M90:W90))/$AT$3)*SUM($M$2:$W$2))</f>
        <v>948</v>
      </c>
      <c r="Y90" s="438"/>
      <c r="Z90" s="400">
        <v>0</v>
      </c>
      <c r="AA90" s="540">
        <f>+X92</f>
        <v>0</v>
      </c>
      <c r="AB90" s="135">
        <f t="shared" ref="AB90:AB91" si="53">+SUM(L90:W90)</f>
        <v>948</v>
      </c>
      <c r="AC90" s="136">
        <f>+AD90+AB90</f>
        <v>948</v>
      </c>
      <c r="AD90" s="136">
        <v>0</v>
      </c>
      <c r="AE90" s="438"/>
      <c r="AF90" s="438"/>
      <c r="AG90" s="109"/>
      <c r="AH90" s="110"/>
      <c r="AI90" s="157"/>
      <c r="AJ90" s="161">
        <f t="shared" si="47"/>
        <v>0</v>
      </c>
      <c r="AK90" s="167">
        <f t="shared" si="48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478</v>
      </c>
      <c r="E91" s="111"/>
      <c r="F91" s="111" t="s">
        <v>422</v>
      </c>
      <c r="G91" s="578" t="str">
        <f t="shared" si="49"/>
        <v>ADA-Turquaz</v>
      </c>
      <c r="H91" s="450">
        <v>2145</v>
      </c>
      <c r="I91" s="111" t="s">
        <v>252</v>
      </c>
      <c r="J91" s="113">
        <v>13.23</v>
      </c>
      <c r="K91" s="130">
        <v>40</v>
      </c>
      <c r="L91" s="101" t="s">
        <v>17</v>
      </c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123">
        <f>+IF(H92="s",0,IF(AB91=0,0,IF(COUNTA(M91:W91)=AN93+0.25,SUMIF($C:$C,B91,$AB:$AB)/AN93,SUMIF($C:$C,B91,$AB:$AB)/(COUNTA(M91:W91)))))</f>
        <v>0</v>
      </c>
      <c r="Y91" s="439"/>
      <c r="Z91" s="400"/>
      <c r="AA91" s="541"/>
      <c r="AB91" s="134">
        <f t="shared" si="53"/>
        <v>0</v>
      </c>
      <c r="AC91" s="137">
        <f>+AB91+AD91</f>
        <v>0</v>
      </c>
      <c r="AD91" s="137">
        <v>0</v>
      </c>
      <c r="AE91" s="439">
        <v>0</v>
      </c>
      <c r="AF91" s="439">
        <f>+AE91+Y91</f>
        <v>0</v>
      </c>
      <c r="AG91" s="140">
        <f>+AC90-AC91</f>
        <v>948</v>
      </c>
      <c r="AH91" s="131" t="str">
        <f>+IF(((AB92+(AB93/2))*60)=0,"",(J91*AB91)/((AB92+(AB93/2))*60))</f>
        <v/>
      </c>
      <c r="AI91" s="161">
        <f>+AB92+AB93/2</f>
        <v>0</v>
      </c>
      <c r="AJ91" s="161">
        <f t="shared" si="47"/>
        <v>0</v>
      </c>
      <c r="AK91" s="167">
        <f t="shared" si="48"/>
        <v>0</v>
      </c>
      <c r="AL91" s="167">
        <f>+AB91*J91</f>
        <v>0</v>
      </c>
      <c r="AM91" s="230">
        <f>+AB91-(AI91*K91/K93)</f>
        <v>0</v>
      </c>
      <c r="AN91" s="339"/>
      <c r="AO91" s="340"/>
      <c r="AP91" s="167"/>
      <c r="AQ91" s="167"/>
      <c r="AR91" s="167"/>
      <c r="AS91" s="167"/>
      <c r="AT91" s="433">
        <f>-400+AB90</f>
        <v>548</v>
      </c>
      <c r="AU91" s="393">
        <v>1.5</v>
      </c>
      <c r="AW91" s="356">
        <v>0</v>
      </c>
      <c r="AY91" s="356">
        <f t="shared" ref="AY91" si="54">+AW91-AG91</f>
        <v>-948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78" t="str">
        <f t="shared" si="49"/>
        <v>ADA-Turquaz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160">
        <f>+IF(H92="l",IF(COUNTA(M91:W91)=AN93+0.25,AB91-K91*AN93,AB91-(K91*COUNTA(M91:W91))),IF(H92="s",0,IF(COUNTA(M91:W91)=AN93+0.25,SUMIF($C:$C,B91,$AB:$AB)-K91*AN93,SUMIF($C:$C,B91,$AB:$AB)-K91*COUNTA(M91:W91))))</f>
        <v>0</v>
      </c>
      <c r="Y92" s="440"/>
      <c r="Z92" s="400"/>
      <c r="AA92" s="541"/>
      <c r="AB92" s="443">
        <f t="shared" ref="AB92:AB93" si="55">+SUM(M92:W92)-U92*0.25</f>
        <v>0</v>
      </c>
      <c r="AC92" s="138"/>
      <c r="AD92" s="138"/>
      <c r="AE92" s="442"/>
      <c r="AF92" s="440"/>
      <c r="AG92" s="115"/>
      <c r="AH92" s="116"/>
      <c r="AI92" s="157"/>
      <c r="AJ92" s="161">
        <f t="shared" si="47"/>
        <v>0</v>
      </c>
      <c r="AK92" s="167">
        <f t="shared" si="48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0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79" t="str">
        <f t="shared" si="49"/>
        <v>ADA-Turquaz</v>
      </c>
      <c r="H93" s="454">
        <f>+AC90-H91</f>
        <v>-1197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55"/>
        <v>0</v>
      </c>
      <c r="AC93" s="139"/>
      <c r="AD93" s="139"/>
      <c r="AE93" s="441"/>
      <c r="AF93" s="441"/>
      <c r="AG93" s="119">
        <f>+IFERROR(AG91/(K91*$AT$3),"")</f>
        <v>2.7085714285714286</v>
      </c>
      <c r="AH93" s="162"/>
      <c r="AI93" s="161"/>
      <c r="AJ93" s="161">
        <f t="shared" si="47"/>
        <v>0</v>
      </c>
      <c r="AK93" s="167">
        <f t="shared" si="48"/>
        <v>0</v>
      </c>
      <c r="AL93" s="167"/>
      <c r="AM93" s="230"/>
      <c r="AN93" s="342">
        <f>+$AM$4</f>
        <v>8.75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0</v>
      </c>
      <c r="AY93" s="356"/>
    </row>
    <row r="94" spans="2:51" s="98" customFormat="1" ht="62.25" customHeight="1" thickTop="1" x14ac:dyDescent="0.9">
      <c r="B94" s="127">
        <f>+B95</f>
        <v>20</v>
      </c>
      <c r="C94" s="370"/>
      <c r="D94" s="106"/>
      <c r="E94" s="106"/>
      <c r="F94" s="106"/>
      <c r="G94" s="577" t="s">
        <v>459</v>
      </c>
      <c r="H94" s="106"/>
      <c r="I94" s="106"/>
      <c r="J94" s="107" t="s">
        <v>20</v>
      </c>
      <c r="K94" s="108" t="s">
        <v>23</v>
      </c>
      <c r="L94" s="100" t="s">
        <v>21</v>
      </c>
      <c r="M94" s="423"/>
      <c r="N94" s="423"/>
      <c r="O94" s="423"/>
      <c r="P94" s="423"/>
      <c r="Q94" s="423"/>
      <c r="R94" s="423"/>
      <c r="S94" s="423"/>
      <c r="T94" s="423"/>
      <c r="U94" s="423"/>
      <c r="V94" s="423"/>
      <c r="W94" s="423"/>
      <c r="X94" s="135" t="str">
        <f t="shared" si="33"/>
        <v/>
      </c>
      <c r="Y94" s="438"/>
      <c r="Z94" s="400">
        <v>-34</v>
      </c>
      <c r="AA94" s="540">
        <f>+X96</f>
        <v>28</v>
      </c>
      <c r="AB94" s="135">
        <f t="shared" si="34"/>
        <v>0</v>
      </c>
      <c r="AC94" s="136">
        <f>+AD94+AB94</f>
        <v>2869</v>
      </c>
      <c r="AD94" s="136">
        <v>2869</v>
      </c>
      <c r="AE94" s="438"/>
      <c r="AF94" s="438"/>
      <c r="AG94" s="109"/>
      <c r="AH94" s="110"/>
      <c r="AI94" s="157"/>
      <c r="AJ94" s="161">
        <f t="shared" si="47"/>
        <v>0</v>
      </c>
      <c r="AK94" s="167">
        <f t="shared" si="48"/>
        <v>0</v>
      </c>
      <c r="AL94" s="167"/>
      <c r="AM94" s="167"/>
      <c r="AN94" s="339"/>
      <c r="AO94" s="340"/>
      <c r="AP94" s="167"/>
      <c r="AQ94" s="167"/>
      <c r="AR94" s="167"/>
      <c r="AS94" s="167"/>
      <c r="AT94" s="432"/>
      <c r="AU94" s="393"/>
      <c r="AW94" s="356"/>
      <c r="AY94" s="356"/>
    </row>
    <row r="95" spans="2:51" s="98" customFormat="1" ht="62.25" customHeight="1" x14ac:dyDescent="0.9">
      <c r="B95" s="133">
        <v>20</v>
      </c>
      <c r="C95" s="371">
        <f>+B95</f>
        <v>20</v>
      </c>
      <c r="D95" s="372" t="s">
        <v>460</v>
      </c>
      <c r="E95" s="111"/>
      <c r="F95" s="111" t="s">
        <v>422</v>
      </c>
      <c r="G95" s="578" t="str">
        <f t="shared" si="49"/>
        <v>ADA-PURPLE</v>
      </c>
      <c r="H95" s="450">
        <v>2869</v>
      </c>
      <c r="I95" s="111" t="s">
        <v>252</v>
      </c>
      <c r="J95" s="113">
        <v>13.23</v>
      </c>
      <c r="K95" s="130">
        <v>40</v>
      </c>
      <c r="L95" s="101" t="s">
        <v>17</v>
      </c>
      <c r="M95" s="214">
        <v>19</v>
      </c>
      <c r="N95" s="214">
        <v>51</v>
      </c>
      <c r="O95" s="214">
        <v>38</v>
      </c>
      <c r="P95" s="214">
        <v>40</v>
      </c>
      <c r="Q95" s="214">
        <v>40</v>
      </c>
      <c r="R95" s="214">
        <v>40</v>
      </c>
      <c r="S95" s="214">
        <v>40</v>
      </c>
      <c r="T95" s="214">
        <v>40</v>
      </c>
      <c r="U95" s="214">
        <v>30</v>
      </c>
      <c r="V95" s="214">
        <v>65</v>
      </c>
      <c r="W95" s="214">
        <v>65</v>
      </c>
      <c r="X95" s="123">
        <f>+IF(H96="s",0,IF(AB95=0,0,IF(COUNTA(M95:W95)=AN97+0.25,SUMIF($C:$C,B95,$AB:$AB)/AN97,SUMIF($C:$C,B95,$AB:$AB)/(COUNTA(M95:W95)))))</f>
        <v>42.545454545454547</v>
      </c>
      <c r="Y95" s="439"/>
      <c r="Z95" s="400"/>
      <c r="AA95" s="541"/>
      <c r="AB95" s="134">
        <f t="shared" si="34"/>
        <v>468</v>
      </c>
      <c r="AC95" s="137">
        <f>+AB95+AD95</f>
        <v>2339</v>
      </c>
      <c r="AD95" s="137">
        <v>1871</v>
      </c>
      <c r="AE95" s="439">
        <v>0</v>
      </c>
      <c r="AF95" s="439">
        <f>+AE95+Y95</f>
        <v>0</v>
      </c>
      <c r="AG95" s="140">
        <f>+AC94-AC95</f>
        <v>530</v>
      </c>
      <c r="AH95" s="131">
        <f>+IF(((AB96+(AB97/2))*60)=0,"",(J95*AB95)/((AB96+(AB97/2))*60))</f>
        <v>0.80620312500000002</v>
      </c>
      <c r="AI95" s="161">
        <f>+AB96+AB97/2</f>
        <v>128</v>
      </c>
      <c r="AJ95" s="161">
        <f t="shared" si="47"/>
        <v>128</v>
      </c>
      <c r="AK95" s="167">
        <f t="shared" si="48"/>
        <v>7680</v>
      </c>
      <c r="AL95" s="167">
        <f>+AB95*J95</f>
        <v>6191.64</v>
      </c>
      <c r="AM95" s="230">
        <f>+AB95-(AI95*K95/K97)</f>
        <v>2.545454545454561</v>
      </c>
      <c r="AN95" s="339"/>
      <c r="AO95" s="340"/>
      <c r="AP95" s="167"/>
      <c r="AQ95" s="167"/>
      <c r="AR95" s="167"/>
      <c r="AS95" s="167"/>
      <c r="AT95" s="433"/>
      <c r="AU95" s="393">
        <v>1.5</v>
      </c>
      <c r="AW95" s="356">
        <v>998</v>
      </c>
      <c r="AY95" s="356">
        <f t="shared" ref="AY95" si="56">+AW95-AG95</f>
        <v>468</v>
      </c>
    </row>
    <row r="96" spans="2:51" s="98" customFormat="1" ht="62.25" customHeight="1" x14ac:dyDescent="0.9">
      <c r="B96" s="125">
        <f>+B95</f>
        <v>20</v>
      </c>
      <c r="C96" s="373"/>
      <c r="D96" s="184"/>
      <c r="E96" s="111">
        <f>+B95</f>
        <v>20</v>
      </c>
      <c r="F96" s="374"/>
      <c r="G96" s="578" t="str">
        <f t="shared" si="49"/>
        <v>ADA-PURPLE</v>
      </c>
      <c r="H96" s="376" t="s">
        <v>400</v>
      </c>
      <c r="I96" s="113">
        <f>+IFERROR(IF(K97=0,0,IF((LOOKUP(2,1/(M96:W96&lt;&gt;""),M96:W96)-K97)&lt;0,0,IF(K97=0,"",LOOKUP(2,1/(M96:W96&lt;&gt;""),M96:W96)-K97))),0)</f>
        <v>1</v>
      </c>
      <c r="J96" s="113"/>
      <c r="K96" s="114" t="s">
        <v>22</v>
      </c>
      <c r="L96" s="102" t="s">
        <v>18</v>
      </c>
      <c r="M96" s="451">
        <v>11</v>
      </c>
      <c r="N96" s="451">
        <v>12</v>
      </c>
      <c r="O96" s="451">
        <v>12</v>
      </c>
      <c r="P96" s="451">
        <v>12</v>
      </c>
      <c r="Q96" s="451">
        <v>12</v>
      </c>
      <c r="R96" s="451">
        <v>12</v>
      </c>
      <c r="S96" s="451">
        <v>12</v>
      </c>
      <c r="T96" s="451">
        <v>12</v>
      </c>
      <c r="U96" s="451">
        <v>12</v>
      </c>
      <c r="V96" s="451">
        <v>12</v>
      </c>
      <c r="W96" s="451">
        <v>12</v>
      </c>
      <c r="X96" s="160">
        <f>+IF(H96="l",IF(COUNTA(M95:W95)=AN97+0.25,AB95-K95*AN97,AB95-(K95*COUNTA(M95:W95))),IF(H96="s",0,IF(COUNTA(M95:W95)=AN97+0.25,SUMIF($C:$C,B95,$AB:$AB)-K95*AN97,SUMIF($C:$C,B95,$AB:$AB)-K95*COUNTA(M95:W95))))</f>
        <v>28</v>
      </c>
      <c r="Y96" s="440"/>
      <c r="Z96" s="400"/>
      <c r="AA96" s="541"/>
      <c r="AB96" s="443">
        <f t="shared" si="37"/>
        <v>128</v>
      </c>
      <c r="AC96" s="138"/>
      <c r="AD96" s="138"/>
      <c r="AE96" s="442"/>
      <c r="AF96" s="440"/>
      <c r="AG96" s="115"/>
      <c r="AH96" s="116"/>
      <c r="AI96" s="157"/>
      <c r="AJ96" s="161">
        <f t="shared" si="47"/>
        <v>0</v>
      </c>
      <c r="AK96" s="167">
        <f t="shared" si="48"/>
        <v>0</v>
      </c>
      <c r="AL96" s="167"/>
      <c r="AM96" s="167"/>
      <c r="AN96" s="339"/>
      <c r="AO96" s="340">
        <f>+IF(AN97=7.75,SUM(M96:S96)+T96*0.75,IF(AN97=8,SUM(M96:T96),IF(AN97=7.25,SUM(M96:S96)+T96*0.25,IF(AN97=8.25,SUM(M96:T96)+U96*0.25,IF(AN97=8.75,SUM(M96:T96)+U96*0.75,0)))))</f>
        <v>104</v>
      </c>
      <c r="AP96" s="167">
        <f>+AO96-AB96</f>
        <v>-24</v>
      </c>
      <c r="AQ96" s="167"/>
      <c r="AR96" s="167"/>
      <c r="AS96" s="167"/>
      <c r="AT96" s="434"/>
      <c r="AU96" s="393"/>
      <c r="AW96" s="356"/>
      <c r="AY96" s="356"/>
    </row>
    <row r="97" spans="2:51" s="98" customFormat="1" ht="62.25" customHeight="1" thickBot="1" x14ac:dyDescent="0.95">
      <c r="B97" s="343">
        <f>+B95</f>
        <v>20</v>
      </c>
      <c r="C97" s="375"/>
      <c r="D97" s="378" t="s">
        <v>78</v>
      </c>
      <c r="E97" s="175">
        <f>+E96+100</f>
        <v>120</v>
      </c>
      <c r="F97" s="175"/>
      <c r="G97" s="579" t="str">
        <f t="shared" si="49"/>
        <v>ADA-PURPLE</v>
      </c>
      <c r="H97" s="454">
        <f>+AC94-H95</f>
        <v>0</v>
      </c>
      <c r="I97" s="397"/>
      <c r="J97" s="165">
        <f>+IF(K97="","",IF(K95=0,"",(K95*J95)/(K97*60)))</f>
        <v>0.80181818181818187</v>
      </c>
      <c r="K97" s="118">
        <v>11</v>
      </c>
      <c r="L97" s="104" t="s">
        <v>19</v>
      </c>
      <c r="M97" s="428"/>
      <c r="N97" s="428"/>
      <c r="O97" s="428"/>
      <c r="P97" s="428"/>
      <c r="Q97" s="428"/>
      <c r="R97" s="428"/>
      <c r="S97" s="428"/>
      <c r="T97" s="428"/>
      <c r="U97" s="428"/>
      <c r="V97" s="428"/>
      <c r="W97" s="428"/>
      <c r="X97" s="173"/>
      <c r="Y97" s="441"/>
      <c r="Z97" s="401">
        <v>19.29</v>
      </c>
      <c r="AA97" s="169">
        <v>19.29</v>
      </c>
      <c r="AB97" s="444">
        <f t="shared" si="37"/>
        <v>0</v>
      </c>
      <c r="AC97" s="139"/>
      <c r="AD97" s="139"/>
      <c r="AE97" s="441"/>
      <c r="AF97" s="441"/>
      <c r="AG97" s="119">
        <f>+IFERROR(AG95/(K95*$AT$3),"")</f>
        <v>1.5142857142857142</v>
      </c>
      <c r="AH97" s="162"/>
      <c r="AI97" s="161"/>
      <c r="AJ97" s="161">
        <f t="shared" si="47"/>
        <v>0</v>
      </c>
      <c r="AK97" s="167">
        <f t="shared" si="48"/>
        <v>0</v>
      </c>
      <c r="AL97" s="167"/>
      <c r="AM97" s="230"/>
      <c r="AN97" s="342">
        <f>+$AM$4</f>
        <v>8.75</v>
      </c>
      <c r="AO97" s="340">
        <f>+IF(AN97=7.75,SUM(M97:S97)+T97*0.75,IF(AN97=8,SUM(M97:T97),IF(AN97=7.25,SUM(M97:S97)+T97*0.25,IF(AN97=8.25,SUM(M97:T97)+U97*0.25,IF(AN97=8.75,SUM(M97:T97)+U97*0.75,0)))))</f>
        <v>0</v>
      </c>
      <c r="AP97" s="167">
        <f>+AO97-AB97</f>
        <v>0</v>
      </c>
      <c r="AQ97" s="167"/>
      <c r="AR97" s="167"/>
      <c r="AS97" s="167"/>
      <c r="AT97" s="435"/>
      <c r="AU97" s="393"/>
      <c r="AW97" s="356">
        <v>2.8514285714285714</v>
      </c>
      <c r="AY97" s="356"/>
    </row>
    <row r="98" spans="2:51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0"/>
      <c r="Y98" s="381"/>
      <c r="Z98" s="380"/>
      <c r="AA98" s="380"/>
      <c r="AB98" s="380"/>
      <c r="AC98" s="380"/>
      <c r="AD98" s="380"/>
      <c r="AE98" s="380"/>
      <c r="AF98" s="380"/>
      <c r="AG98" s="380"/>
      <c r="AH98" s="382"/>
      <c r="AI98" s="383"/>
      <c r="AJ98" s="383"/>
      <c r="AN98" s="385"/>
      <c r="AO98" s="386"/>
      <c r="AU98" s="394"/>
    </row>
    <row r="99" spans="2:51" s="384" customFormat="1" ht="91.5" customHeight="1" thickTop="1" thickBot="1" x14ac:dyDescent="0.95">
      <c r="B99" s="379"/>
      <c r="C99" s="379"/>
      <c r="D99" s="380"/>
      <c r="E99" s="380"/>
      <c r="F99" s="380"/>
      <c r="G99" s="380"/>
      <c r="H99" s="380"/>
      <c r="I99" s="380"/>
      <c r="J99" s="380"/>
      <c r="K99" s="380"/>
      <c r="L99" s="346" t="s">
        <v>21</v>
      </c>
      <c r="M99" s="166">
        <f t="shared" ref="M99:W99" si="57">+SUMIF($L$6:$L$98,$L$99,M6:M98)</f>
        <v>1585</v>
      </c>
      <c r="N99" s="166">
        <f t="shared" si="57"/>
        <v>1385</v>
      </c>
      <c r="O99" s="166">
        <f t="shared" si="57"/>
        <v>1360</v>
      </c>
      <c r="P99" s="166">
        <f t="shared" si="57"/>
        <v>705</v>
      </c>
      <c r="Q99" s="166">
        <f t="shared" si="57"/>
        <v>1015</v>
      </c>
      <c r="R99" s="166">
        <f t="shared" si="57"/>
        <v>805</v>
      </c>
      <c r="S99" s="166">
        <f t="shared" si="57"/>
        <v>511</v>
      </c>
      <c r="T99" s="166">
        <f t="shared" si="57"/>
        <v>150</v>
      </c>
      <c r="U99" s="166">
        <f t="shared" si="57"/>
        <v>0</v>
      </c>
      <c r="V99" s="166">
        <f t="shared" si="57"/>
        <v>0</v>
      </c>
      <c r="W99" s="166">
        <f t="shared" si="57"/>
        <v>0</v>
      </c>
      <c r="X99" s="332"/>
      <c r="Y99" s="223"/>
      <c r="Z99" s="332"/>
      <c r="AA99" s="575">
        <f>+SUM(M99:W99)</f>
        <v>7516</v>
      </c>
      <c r="AB99" s="576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51" s="384" customFormat="1" ht="91.5" customHeight="1" thickTop="1" thickBot="1" x14ac:dyDescent="0.95">
      <c r="B100" s="379"/>
      <c r="C100" s="379"/>
      <c r="D100" s="380"/>
      <c r="E100" s="380"/>
      <c r="F100" s="380"/>
      <c r="G100" s="380"/>
      <c r="H100" s="380"/>
      <c r="I100" s="380"/>
      <c r="J100" s="380"/>
      <c r="K100" s="380"/>
      <c r="L100" s="347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32"/>
      <c r="Y100" s="344"/>
      <c r="Z100" s="332"/>
      <c r="AA100" s="332"/>
      <c r="AB100" s="332"/>
      <c r="AC100" s="380"/>
      <c r="AD100" s="380"/>
      <c r="AE100" s="380"/>
      <c r="AF100" s="380"/>
      <c r="AG100" s="380"/>
      <c r="AH100" s="382"/>
      <c r="AI100" s="383"/>
      <c r="AJ100" s="383"/>
      <c r="AN100" s="385"/>
      <c r="AU100" s="394"/>
    </row>
    <row r="101" spans="2:51" s="384" customFormat="1" ht="91.5" customHeight="1" thickTop="1" thickBot="1" x14ac:dyDescent="0.95">
      <c r="B101" s="379"/>
      <c r="C101" s="379"/>
      <c r="D101" s="380"/>
      <c r="E101" s="380"/>
      <c r="F101" s="380"/>
      <c r="G101" s="380"/>
      <c r="H101" s="380"/>
      <c r="I101" s="380"/>
      <c r="J101" s="380"/>
      <c r="K101" s="380"/>
      <c r="L101" s="346" t="s">
        <v>17</v>
      </c>
      <c r="M101" s="166">
        <f t="shared" ref="M101:W101" si="58">+SUMIF($L$6:$L$98,$L$101,M6:M98)</f>
        <v>656</v>
      </c>
      <c r="N101" s="166">
        <f t="shared" si="58"/>
        <v>831</v>
      </c>
      <c r="O101" s="166">
        <f t="shared" si="58"/>
        <v>811</v>
      </c>
      <c r="P101" s="166">
        <f t="shared" si="58"/>
        <v>733</v>
      </c>
      <c r="Q101" s="166">
        <f t="shared" si="58"/>
        <v>855</v>
      </c>
      <c r="R101" s="166">
        <f t="shared" si="58"/>
        <v>889</v>
      </c>
      <c r="S101" s="166">
        <f t="shared" si="58"/>
        <v>840</v>
      </c>
      <c r="T101" s="166">
        <f t="shared" si="58"/>
        <v>831</v>
      </c>
      <c r="U101" s="166">
        <f t="shared" si="58"/>
        <v>586</v>
      </c>
      <c r="V101" s="166">
        <f t="shared" si="58"/>
        <v>65</v>
      </c>
      <c r="W101" s="166">
        <f t="shared" si="58"/>
        <v>65</v>
      </c>
      <c r="X101" s="332"/>
      <c r="Y101" s="223"/>
      <c r="Z101" s="332"/>
      <c r="AA101" s="575">
        <f>+SUM(M101:W101)</f>
        <v>7162</v>
      </c>
      <c r="AB101" s="576"/>
      <c r="AC101" s="380"/>
      <c r="AD101" s="380"/>
      <c r="AE101" s="380"/>
      <c r="AF101" s="380"/>
      <c r="AG101" s="380"/>
      <c r="AH101" s="382"/>
      <c r="AI101" s="383"/>
      <c r="AJ101" s="383"/>
      <c r="AN101" s="385"/>
      <c r="AU101" s="394"/>
    </row>
    <row r="102" spans="2:51" s="384" customFormat="1" ht="91.5" customHeight="1" thickTop="1" thickBot="1" x14ac:dyDescent="0.95">
      <c r="B102" s="379"/>
      <c r="C102" s="379"/>
      <c r="D102" s="380"/>
      <c r="E102" s="380"/>
      <c r="F102" s="380"/>
      <c r="G102" s="380"/>
      <c r="H102" s="380"/>
      <c r="I102" s="380"/>
      <c r="J102" s="380"/>
      <c r="K102" s="380"/>
      <c r="L102" s="347"/>
      <c r="M102" s="344"/>
      <c r="N102" s="344"/>
      <c r="O102" s="344"/>
      <c r="P102" s="344"/>
      <c r="Q102" s="344"/>
      <c r="R102" s="344"/>
      <c r="S102" s="344"/>
      <c r="T102" s="344"/>
      <c r="U102" s="344"/>
      <c r="V102" s="344"/>
      <c r="W102" s="344"/>
      <c r="X102" s="332"/>
      <c r="Y102" s="344"/>
      <c r="Z102" s="332"/>
      <c r="AA102" s="332"/>
      <c r="AB102" s="332"/>
      <c r="AC102" s="380"/>
      <c r="AD102" s="380"/>
      <c r="AE102" s="380"/>
      <c r="AF102" s="380"/>
      <c r="AG102" s="380"/>
      <c r="AH102" s="382"/>
      <c r="AI102" s="383"/>
      <c r="AJ102" s="383"/>
      <c r="AN102" s="385"/>
      <c r="AU102" s="394"/>
    </row>
    <row r="103" spans="2:51" s="384" customFormat="1" ht="91.5" customHeight="1" thickTop="1" thickBot="1" x14ac:dyDescent="0.95">
      <c r="B103" s="379"/>
      <c r="C103" s="379"/>
      <c r="D103" s="387"/>
      <c r="E103" s="387"/>
      <c r="F103" s="387"/>
      <c r="G103" s="387"/>
      <c r="H103" s="387"/>
      <c r="I103" s="387"/>
      <c r="J103" s="388"/>
      <c r="K103" s="387"/>
      <c r="L103" s="346" t="s">
        <v>19</v>
      </c>
      <c r="M103" s="166">
        <f t="shared" ref="M103:W103" si="59">+SUMIF($L$6:$L$98,$L$103,M6:M98)</f>
        <v>13</v>
      </c>
      <c r="N103" s="166">
        <f t="shared" si="59"/>
        <v>13</v>
      </c>
      <c r="O103" s="166">
        <f t="shared" si="59"/>
        <v>13</v>
      </c>
      <c r="P103" s="166">
        <f t="shared" si="59"/>
        <v>13</v>
      </c>
      <c r="Q103" s="166">
        <f t="shared" si="59"/>
        <v>13</v>
      </c>
      <c r="R103" s="166">
        <f t="shared" si="59"/>
        <v>13</v>
      </c>
      <c r="S103" s="166">
        <f t="shared" si="59"/>
        <v>13</v>
      </c>
      <c r="T103" s="166">
        <f t="shared" si="59"/>
        <v>13</v>
      </c>
      <c r="U103" s="166">
        <f t="shared" si="59"/>
        <v>13</v>
      </c>
      <c r="V103" s="166">
        <f t="shared" si="59"/>
        <v>0</v>
      </c>
      <c r="W103" s="166">
        <f t="shared" si="59"/>
        <v>0</v>
      </c>
      <c r="X103" s="348"/>
      <c r="Y103" s="223"/>
      <c r="Z103" s="348"/>
      <c r="AA103" s="332"/>
      <c r="AB103" s="332"/>
      <c r="AC103" s="380"/>
      <c r="AD103" s="380"/>
      <c r="AE103" s="380"/>
      <c r="AF103" s="380"/>
      <c r="AG103" s="380"/>
      <c r="AH103" s="382"/>
      <c r="AI103" s="383"/>
      <c r="AJ103" s="383"/>
      <c r="AN103" s="385"/>
      <c r="AU103" s="394"/>
    </row>
    <row r="104" spans="2:51" s="384" customFormat="1" ht="62.25" customHeight="1" thickTop="1" x14ac:dyDescent="0.9">
      <c r="B104" s="379"/>
      <c r="C104" s="379"/>
      <c r="D104" s="387"/>
      <c r="E104" s="387"/>
      <c r="F104" s="387"/>
      <c r="G104" s="387"/>
      <c r="H104" s="387"/>
      <c r="I104" s="389"/>
      <c r="J104" s="388"/>
      <c r="K104" s="387"/>
      <c r="L104" s="347"/>
      <c r="M104" s="349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32"/>
      <c r="Y104" s="345"/>
      <c r="Z104" s="332"/>
      <c r="AA104" s="332"/>
      <c r="AB104" s="332"/>
      <c r="AC104" s="380"/>
      <c r="AD104" s="380"/>
      <c r="AE104" s="380"/>
      <c r="AF104" s="380"/>
      <c r="AG104" s="390"/>
      <c r="AH104" s="382"/>
      <c r="AI104" s="383"/>
      <c r="AJ104" s="383"/>
      <c r="AN104" s="385"/>
      <c r="AU104" s="394"/>
    </row>
    <row r="105" spans="2:51" s="98" customFormat="1" ht="62.25" customHeight="1" thickBot="1" x14ac:dyDescent="0.95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35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51" s="98" customFormat="1" ht="88.5" customHeight="1" thickTop="1" thickBot="1" x14ac:dyDescent="0.95">
      <c r="B106" s="94"/>
      <c r="C106" s="94"/>
      <c r="D106" s="92"/>
      <c r="E106" s="92"/>
      <c r="F106" s="92"/>
      <c r="G106" s="92"/>
      <c r="H106" s="92"/>
      <c r="I106" s="91"/>
      <c r="J106" s="93"/>
      <c r="K106" s="212" t="s">
        <v>18</v>
      </c>
      <c r="L106" s="351" t="s">
        <v>180</v>
      </c>
      <c r="M106" s="166">
        <f t="shared" ref="M106:W106" si="60">+IF(M109=0,0,SUMIFS($J$6:$J$98,$L$6:$L$98,$K$106))</f>
        <v>5</v>
      </c>
      <c r="N106" s="166">
        <f t="shared" si="60"/>
        <v>5</v>
      </c>
      <c r="O106" s="166">
        <f t="shared" si="60"/>
        <v>5</v>
      </c>
      <c r="P106" s="166">
        <f t="shared" si="60"/>
        <v>5</v>
      </c>
      <c r="Q106" s="166">
        <f t="shared" si="60"/>
        <v>5</v>
      </c>
      <c r="R106" s="166">
        <f t="shared" si="60"/>
        <v>5</v>
      </c>
      <c r="S106" s="166">
        <f t="shared" si="60"/>
        <v>5</v>
      </c>
      <c r="T106" s="166">
        <f t="shared" si="60"/>
        <v>5</v>
      </c>
      <c r="U106" s="166">
        <f t="shared" si="60"/>
        <v>5</v>
      </c>
      <c r="V106" s="166">
        <f t="shared" si="60"/>
        <v>5</v>
      </c>
      <c r="W106" s="166">
        <f t="shared" si="60"/>
        <v>5</v>
      </c>
      <c r="X106" s="2"/>
      <c r="Y106" s="223"/>
      <c r="Z106" s="2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51" s="98" customFormat="1" ht="62.25" customHeight="1" thickTop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1"/>
      <c r="Y107" s="352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51" s="98" customFormat="1" ht="62.25" customHeight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212"/>
      <c r="L108" s="350"/>
      <c r="M108" s="1"/>
      <c r="N108" s="1"/>
      <c r="O108" s="1"/>
      <c r="P108" s="1"/>
      <c r="Q108" s="353"/>
      <c r="R108" s="353"/>
      <c r="S108" s="353"/>
      <c r="T108" s="353"/>
      <c r="U108" s="353"/>
      <c r="V108" s="353"/>
      <c r="W108" s="353"/>
      <c r="X108" s="1"/>
      <c r="Y108" s="353"/>
      <c r="Z108" s="1"/>
      <c r="AA108" s="1"/>
      <c r="AB108" s="1"/>
      <c r="AC108" s="91"/>
      <c r="AD108" s="91"/>
      <c r="AE108" s="91"/>
      <c r="AF108" s="91"/>
      <c r="AG108" s="91"/>
      <c r="AH108" s="95"/>
      <c r="AI108" s="158"/>
      <c r="AJ108" s="158"/>
      <c r="AN108" s="183"/>
      <c r="AU108" s="393"/>
    </row>
    <row r="109" spans="2:51" s="98" customFormat="1" ht="98.25" customHeight="1" thickTop="1" thickBot="1" x14ac:dyDescent="0.95">
      <c r="B109" s="94"/>
      <c r="C109" s="94"/>
      <c r="D109" s="92"/>
      <c r="E109" s="92"/>
      <c r="F109" s="92"/>
      <c r="G109" s="92"/>
      <c r="H109" s="92"/>
      <c r="I109" s="92"/>
      <c r="J109" s="93"/>
      <c r="K109" s="212"/>
      <c r="L109" s="351" t="s">
        <v>18</v>
      </c>
      <c r="M109" s="166">
        <f t="shared" ref="M109:W109" si="61">+SUMIF($L$6:$L$98,$L$109,M6:M98)</f>
        <v>757</v>
      </c>
      <c r="N109" s="166">
        <f t="shared" si="61"/>
        <v>758</v>
      </c>
      <c r="O109" s="166">
        <f t="shared" si="61"/>
        <v>758</v>
      </c>
      <c r="P109" s="166">
        <f t="shared" si="61"/>
        <v>757</v>
      </c>
      <c r="Q109" s="166">
        <f t="shared" si="61"/>
        <v>757</v>
      </c>
      <c r="R109" s="166">
        <f t="shared" si="61"/>
        <v>756</v>
      </c>
      <c r="S109" s="166">
        <f t="shared" si="61"/>
        <v>756</v>
      </c>
      <c r="T109" s="166">
        <f t="shared" si="61"/>
        <v>756</v>
      </c>
      <c r="U109" s="166">
        <f t="shared" si="61"/>
        <v>756</v>
      </c>
      <c r="V109" s="166">
        <f t="shared" si="61"/>
        <v>12</v>
      </c>
      <c r="W109" s="166">
        <f t="shared" si="61"/>
        <v>12</v>
      </c>
      <c r="X109" s="1"/>
      <c r="Y109" s="223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51" s="98" customFormat="1" ht="62.25" customHeight="1" thickTop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212"/>
      <c r="L110" s="350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1"/>
      <c r="Y110" s="354"/>
      <c r="Z110" s="1"/>
      <c r="AA110" s="1"/>
      <c r="AB110" s="1"/>
      <c r="AC110" s="91"/>
      <c r="AD110" s="91"/>
      <c r="AE110" s="91"/>
      <c r="AF110" s="91"/>
      <c r="AG110" s="91"/>
      <c r="AH110" s="95"/>
      <c r="AI110" s="158"/>
      <c r="AJ110" s="158"/>
      <c r="AN110" s="183"/>
      <c r="AU110" s="393"/>
    </row>
    <row r="111" spans="2:51" s="98" customFormat="1" ht="62.25" customHeight="1" thickBot="1" x14ac:dyDescent="0.95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50"/>
      <c r="M111" s="1"/>
      <c r="N111" s="1"/>
      <c r="O111" s="1"/>
      <c r="P111" s="1"/>
      <c r="Q111" s="353"/>
      <c r="R111" s="353"/>
      <c r="S111" s="353"/>
      <c r="T111" s="353"/>
      <c r="U111" s="353"/>
      <c r="V111" s="353"/>
      <c r="W111" s="353"/>
      <c r="X111" s="1"/>
      <c r="Y111" s="353"/>
      <c r="Z111" s="1"/>
      <c r="AA111" s="1"/>
      <c r="AB111" s="1"/>
      <c r="AC111" s="91"/>
      <c r="AD111" s="91"/>
      <c r="AE111" s="91"/>
      <c r="AF111" s="91"/>
      <c r="AG111" s="91"/>
      <c r="AH111" s="95"/>
      <c r="AI111" s="158"/>
      <c r="AJ111" s="158"/>
      <c r="AN111" s="183"/>
      <c r="AU111" s="393"/>
    </row>
    <row r="112" spans="2:51" s="98" customFormat="1" ht="94.5" customHeight="1" thickTop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351" t="s">
        <v>13</v>
      </c>
      <c r="M112" s="166">
        <f>+M109+M106+M103</f>
        <v>775</v>
      </c>
      <c r="N112" s="166">
        <f t="shared" ref="N112:W112" si="62">+N109+N106+N103</f>
        <v>776</v>
      </c>
      <c r="O112" s="166">
        <f t="shared" si="62"/>
        <v>776</v>
      </c>
      <c r="P112" s="166">
        <f t="shared" si="62"/>
        <v>775</v>
      </c>
      <c r="Q112" s="166">
        <f t="shared" si="62"/>
        <v>775</v>
      </c>
      <c r="R112" s="166">
        <f t="shared" si="62"/>
        <v>774</v>
      </c>
      <c r="S112" s="166">
        <f t="shared" si="62"/>
        <v>774</v>
      </c>
      <c r="T112" s="166">
        <f t="shared" si="62"/>
        <v>774</v>
      </c>
      <c r="U112" s="166">
        <f t="shared" si="62"/>
        <v>774</v>
      </c>
      <c r="V112" s="166">
        <f t="shared" si="62"/>
        <v>17</v>
      </c>
      <c r="W112" s="166">
        <f t="shared" si="62"/>
        <v>17</v>
      </c>
      <c r="X112" s="1"/>
      <c r="Y112" s="223"/>
      <c r="Z112" s="1"/>
      <c r="AA112" s="1"/>
      <c r="AB112" s="1"/>
      <c r="AC112" s="91"/>
      <c r="AD112" s="91"/>
      <c r="AE112" s="91"/>
      <c r="AF112" s="91"/>
      <c r="AG112" s="91"/>
      <c r="AH112" s="95"/>
      <c r="AI112" s="155"/>
      <c r="AJ112" s="155"/>
      <c r="AN112" s="183"/>
      <c r="AU112" s="393"/>
    </row>
    <row r="113" spans="2:47" s="98" customFormat="1" ht="62.25" thickTop="1" x14ac:dyDescent="0.9">
      <c r="B113" s="94"/>
      <c r="C113" s="94"/>
      <c r="D113" s="92"/>
      <c r="E113" s="92"/>
      <c r="F113" s="92"/>
      <c r="G113" s="92"/>
      <c r="H113" s="92"/>
      <c r="I113" s="92"/>
      <c r="J113" s="93"/>
      <c r="K113" s="92"/>
      <c r="L113" s="35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x14ac:dyDescent="0.9">
      <c r="J114" s="91"/>
      <c r="K114" s="91"/>
      <c r="T114" s="544"/>
      <c r="U114" s="544"/>
      <c r="V114" s="544"/>
      <c r="AI114" s="158"/>
      <c r="AJ114" s="158"/>
    </row>
    <row r="115" spans="2:47" ht="105" customHeight="1" x14ac:dyDescent="0.9">
      <c r="B115" s="391"/>
      <c r="AI115" s="158"/>
      <c r="AJ115" s="158"/>
    </row>
    <row r="116" spans="2:47" s="98" customFormat="1" x14ac:dyDescent="0.9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5"/>
      <c r="AI116" s="158"/>
      <c r="AJ116" s="158"/>
      <c r="AN116" s="183"/>
      <c r="AU116" s="393"/>
    </row>
    <row r="117" spans="2:47" s="98" customFormat="1" x14ac:dyDescent="0.9">
      <c r="B117" s="94"/>
      <c r="C117" s="94"/>
      <c r="D117" s="92"/>
      <c r="E117" s="92"/>
      <c r="F117" s="92"/>
      <c r="G117" s="92"/>
      <c r="H117" s="92"/>
      <c r="I117" s="91"/>
      <c r="J117" s="93"/>
      <c r="K117" s="92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8"/>
      <c r="AJ117" s="158"/>
      <c r="AN117" s="183"/>
      <c r="AU117" s="393"/>
    </row>
    <row r="118" spans="2:47" s="98" customFormat="1" x14ac:dyDescent="0.9">
      <c r="B118" s="94"/>
      <c r="C118" s="94"/>
      <c r="D118" s="92"/>
      <c r="E118" s="92"/>
      <c r="F118" s="92"/>
      <c r="G118" s="92"/>
      <c r="H118" s="92"/>
      <c r="I118" s="92"/>
      <c r="J118" s="93"/>
      <c r="K118" s="92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8"/>
      <c r="AJ118" s="158"/>
      <c r="AN118" s="183"/>
      <c r="AU118" s="393"/>
    </row>
    <row r="119" spans="2:47" s="98" customFormat="1" ht="66" customHeight="1" x14ac:dyDescent="0.9">
      <c r="B119" s="94"/>
      <c r="C119" s="94"/>
      <c r="D119" s="92"/>
      <c r="E119" s="92"/>
      <c r="F119" s="92"/>
      <c r="G119" s="92"/>
      <c r="H119" s="92"/>
      <c r="I119" s="92"/>
      <c r="J119" s="93"/>
      <c r="K119" s="92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8"/>
      <c r="AJ119" s="158"/>
      <c r="AN119" s="183"/>
      <c r="AU119" s="393"/>
    </row>
    <row r="121" spans="2:47" s="92" customFormat="1" x14ac:dyDescent="0.7">
      <c r="B121" s="94"/>
      <c r="C121" s="94"/>
      <c r="D121" s="92">
        <v>2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6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7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8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11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12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13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14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34" spans="2:47" s="92" customFormat="1" x14ac:dyDescent="0.7">
      <c r="B134" s="94"/>
      <c r="C134" s="94"/>
      <c r="H134" s="92">
        <v>15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5"/>
      <c r="AI134" s="155"/>
      <c r="AJ134" s="155"/>
      <c r="AK134" s="98"/>
      <c r="AL134" s="98"/>
      <c r="AM134" s="98"/>
      <c r="AN134" s="183"/>
      <c r="AO134" s="91"/>
      <c r="AP134" s="91"/>
      <c r="AU134" s="243"/>
    </row>
    <row r="135" spans="2:47" s="92" customFormat="1" x14ac:dyDescent="0.7">
      <c r="B135" s="94"/>
      <c r="C135" s="94"/>
      <c r="H135" s="92">
        <v>17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5"/>
      <c r="AI135" s="155"/>
      <c r="AJ135" s="155"/>
      <c r="AK135" s="98"/>
      <c r="AL135" s="98"/>
      <c r="AM135" s="98"/>
      <c r="AN135" s="183"/>
      <c r="AO135" s="91"/>
      <c r="AP135" s="91"/>
      <c r="AU135" s="243"/>
    </row>
    <row r="136" spans="2:47" s="92" customFormat="1" x14ac:dyDescent="0.7">
      <c r="B136" s="94"/>
      <c r="C136" s="94"/>
      <c r="H136" s="92">
        <v>18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5"/>
      <c r="AI136" s="155"/>
      <c r="AJ136" s="155"/>
      <c r="AK136" s="98"/>
      <c r="AL136" s="98"/>
      <c r="AM136" s="98"/>
      <c r="AN136" s="183"/>
      <c r="AO136" s="91"/>
      <c r="AP136" s="91"/>
      <c r="AU136" s="243"/>
    </row>
    <row r="137" spans="2:47" s="92" customFormat="1" x14ac:dyDescent="0.7">
      <c r="B137" s="94"/>
      <c r="C137" s="94"/>
      <c r="H137" s="92">
        <v>19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5"/>
      <c r="AI137" s="155"/>
      <c r="AJ137" s="155"/>
      <c r="AK137" s="98"/>
      <c r="AL137" s="98"/>
      <c r="AM137" s="98"/>
      <c r="AN137" s="183"/>
      <c r="AO137" s="91"/>
      <c r="AP137" s="91"/>
      <c r="AU137" s="243"/>
    </row>
    <row r="193" spans="2:47" s="92" customFormat="1" x14ac:dyDescent="0.7">
      <c r="B193" s="94"/>
      <c r="C193" s="94"/>
      <c r="G193" s="92">
        <v>1</v>
      </c>
      <c r="J193" s="93"/>
      <c r="L193" s="99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5"/>
      <c r="AI193" s="155"/>
      <c r="AJ193" s="155"/>
      <c r="AK193" s="98"/>
      <c r="AL193" s="98"/>
      <c r="AM193" s="98"/>
      <c r="AN193" s="183"/>
      <c r="AO193" s="91"/>
      <c r="AP193" s="91"/>
      <c r="AU193" s="243"/>
    </row>
  </sheetData>
  <autoFilter ref="A5:CT85">
    <filterColumn colId="9" showButton="0"/>
  </autoFilter>
  <mergeCells count="66">
    <mergeCell ref="T114:V114"/>
    <mergeCell ref="G90:G93"/>
    <mergeCell ref="AA90:AA92"/>
    <mergeCell ref="G94:G97"/>
    <mergeCell ref="AA94:AA96"/>
    <mergeCell ref="AA99:AB99"/>
    <mergeCell ref="AA101:AB101"/>
    <mergeCell ref="G66:G69"/>
    <mergeCell ref="AA66:AA68"/>
    <mergeCell ref="G86:G89"/>
    <mergeCell ref="AA86:AA88"/>
    <mergeCell ref="AZ67:BI67"/>
    <mergeCell ref="G70:G73"/>
    <mergeCell ref="AA70:AA72"/>
    <mergeCell ref="AZ71:BJ71"/>
    <mergeCell ref="G74:G77"/>
    <mergeCell ref="AA74:AA76"/>
    <mergeCell ref="AZ75:BJ75"/>
    <mergeCell ref="G78:G81"/>
    <mergeCell ref="AA78:AA80"/>
    <mergeCell ref="AZ79:BJ79"/>
    <mergeCell ref="G82:G85"/>
    <mergeCell ref="AA82:AA84"/>
    <mergeCell ref="G54:G57"/>
    <mergeCell ref="AA54:AA56"/>
    <mergeCell ref="G58:G61"/>
    <mergeCell ref="AA58:AA60"/>
    <mergeCell ref="G62:G65"/>
    <mergeCell ref="AA62:AA64"/>
    <mergeCell ref="AZ39:BI39"/>
    <mergeCell ref="G46:G49"/>
    <mergeCell ref="AA46:AA48"/>
    <mergeCell ref="G50:G53"/>
    <mergeCell ref="AA50:AA52"/>
    <mergeCell ref="G42:G45"/>
    <mergeCell ref="AA42:AA44"/>
    <mergeCell ref="G34:G37"/>
    <mergeCell ref="AA34:AA36"/>
    <mergeCell ref="G38:G41"/>
    <mergeCell ref="AA38:AA40"/>
    <mergeCell ref="G14:G17"/>
    <mergeCell ref="AA14:AA16"/>
    <mergeCell ref="G22:G25"/>
    <mergeCell ref="AA22:AA24"/>
    <mergeCell ref="G26:G29"/>
    <mergeCell ref="AA26:AA28"/>
    <mergeCell ref="G30:G33"/>
    <mergeCell ref="AA30:AA32"/>
    <mergeCell ref="AZ15:BI15"/>
    <mergeCell ref="G18:G21"/>
    <mergeCell ref="AA18:AA20"/>
    <mergeCell ref="AZ19:BI19"/>
    <mergeCell ref="J5:K5"/>
    <mergeCell ref="G6:G9"/>
    <mergeCell ref="AA6:AA8"/>
    <mergeCell ref="AZ7:BI7"/>
    <mergeCell ref="G10:G13"/>
    <mergeCell ref="AA10:AA12"/>
    <mergeCell ref="AZ11:BI11"/>
    <mergeCell ref="AG1:AH1"/>
    <mergeCell ref="AG2:AH3"/>
    <mergeCell ref="H3:I3"/>
    <mergeCell ref="K3:L3"/>
    <mergeCell ref="B4:G4"/>
    <mergeCell ref="K4:L4"/>
    <mergeCell ref="AG4:AH4"/>
  </mergeCells>
  <conditionalFormatting sqref="I8">
    <cfRule type="cellIs" dxfId="1404" priority="75" operator="greaterThan">
      <formula>0</formula>
    </cfRule>
  </conditionalFormatting>
  <conditionalFormatting sqref="I12">
    <cfRule type="cellIs" dxfId="1403" priority="130" operator="greaterThan">
      <formula>0</formula>
    </cfRule>
  </conditionalFormatting>
  <conditionalFormatting sqref="I16">
    <cfRule type="cellIs" dxfId="1402" priority="59" operator="greaterThan">
      <formula>0</formula>
    </cfRule>
  </conditionalFormatting>
  <conditionalFormatting sqref="I20">
    <cfRule type="cellIs" dxfId="1401" priority="117" operator="greaterThan">
      <formula>0</formula>
    </cfRule>
  </conditionalFormatting>
  <conditionalFormatting sqref="I24">
    <cfRule type="cellIs" dxfId="1400" priority="138" operator="greaterThan">
      <formula>0</formula>
    </cfRule>
  </conditionalFormatting>
  <conditionalFormatting sqref="I32">
    <cfRule type="cellIs" dxfId="1399" priority="147" operator="greaterThan">
      <formula>0</formula>
    </cfRule>
  </conditionalFormatting>
  <conditionalFormatting sqref="I36">
    <cfRule type="cellIs" dxfId="1398" priority="113" operator="greaterThan">
      <formula>0</formula>
    </cfRule>
  </conditionalFormatting>
  <conditionalFormatting sqref="I40">
    <cfRule type="cellIs" dxfId="1397" priority="95" operator="greaterThan">
      <formula>0</formula>
    </cfRule>
  </conditionalFormatting>
  <conditionalFormatting sqref="I44">
    <cfRule type="cellIs" dxfId="1396" priority="122" operator="greaterThan">
      <formula>0</formula>
    </cfRule>
  </conditionalFormatting>
  <conditionalFormatting sqref="I48">
    <cfRule type="cellIs" dxfId="1395" priority="153" operator="greaterThan">
      <formula>0</formula>
    </cfRule>
  </conditionalFormatting>
  <conditionalFormatting sqref="I56">
    <cfRule type="cellIs" dxfId="1394" priority="143" operator="greaterThan">
      <formula>0</formula>
    </cfRule>
  </conditionalFormatting>
  <conditionalFormatting sqref="I60">
    <cfRule type="cellIs" dxfId="1393" priority="64" operator="greaterThan">
      <formula>0</formula>
    </cfRule>
  </conditionalFormatting>
  <conditionalFormatting sqref="I64">
    <cfRule type="cellIs" dxfId="1392" priority="84" operator="greaterThan">
      <formula>0</formula>
    </cfRule>
  </conditionalFormatting>
  <conditionalFormatting sqref="I68">
    <cfRule type="cellIs" dxfId="1391" priority="77" operator="greaterThan">
      <formula>0</formula>
    </cfRule>
  </conditionalFormatting>
  <conditionalFormatting sqref="I72">
    <cfRule type="cellIs" dxfId="1390" priority="103" operator="greaterThan">
      <formula>0</formula>
    </cfRule>
  </conditionalFormatting>
  <conditionalFormatting sqref="I76">
    <cfRule type="cellIs" dxfId="1389" priority="69" operator="greaterThan">
      <formula>0</formula>
    </cfRule>
  </conditionalFormatting>
  <conditionalFormatting sqref="I84">
    <cfRule type="cellIs" dxfId="1388" priority="126" operator="greaterThan">
      <formula>0</formula>
    </cfRule>
  </conditionalFormatting>
  <conditionalFormatting sqref="I88">
    <cfRule type="cellIs" dxfId="1387" priority="136" operator="greaterThan">
      <formula>0</formula>
    </cfRule>
  </conditionalFormatting>
  <conditionalFormatting sqref="I96">
    <cfRule type="cellIs" dxfId="1386" priority="90" operator="greaterThan">
      <formula>0</formula>
    </cfRule>
  </conditionalFormatting>
  <conditionalFormatting sqref="J8">
    <cfRule type="cellIs" dxfId="1385" priority="54" operator="greaterThan">
      <formula>0</formula>
    </cfRule>
  </conditionalFormatting>
  <conditionalFormatting sqref="J12">
    <cfRule type="cellIs" dxfId="1384" priority="100" operator="greaterThan">
      <formula>0</formula>
    </cfRule>
  </conditionalFormatting>
  <conditionalFormatting sqref="J16">
    <cfRule type="cellIs" dxfId="1383" priority="55" operator="greaterThan">
      <formula>0</formula>
    </cfRule>
  </conditionalFormatting>
  <conditionalFormatting sqref="J20">
    <cfRule type="cellIs" dxfId="1382" priority="116" operator="greaterThan">
      <formula>0</formula>
    </cfRule>
  </conditionalFormatting>
  <conditionalFormatting sqref="J24">
    <cfRule type="cellIs" dxfId="1381" priority="139" operator="greaterThan">
      <formula>0</formula>
    </cfRule>
  </conditionalFormatting>
  <conditionalFormatting sqref="J32">
    <cfRule type="cellIs" dxfId="1380" priority="109" operator="greaterThan">
      <formula>0</formula>
    </cfRule>
  </conditionalFormatting>
  <conditionalFormatting sqref="J36">
    <cfRule type="cellIs" dxfId="1379" priority="110" operator="greaterThan">
      <formula>0</formula>
    </cfRule>
  </conditionalFormatting>
  <conditionalFormatting sqref="J40">
    <cfRule type="cellIs" dxfId="1378" priority="92" operator="greaterThan">
      <formula>0</formula>
    </cfRule>
  </conditionalFormatting>
  <conditionalFormatting sqref="J44">
    <cfRule type="cellIs" dxfId="1377" priority="120" operator="greaterThan">
      <formula>0</formula>
    </cfRule>
  </conditionalFormatting>
  <conditionalFormatting sqref="J48">
    <cfRule type="cellIs" dxfId="1376" priority="151" operator="greaterThan">
      <formula>0</formula>
    </cfRule>
  </conditionalFormatting>
  <conditionalFormatting sqref="J56">
    <cfRule type="cellIs" dxfId="1375" priority="108" operator="greaterThan">
      <formula>0</formula>
    </cfRule>
  </conditionalFormatting>
  <conditionalFormatting sqref="J60">
    <cfRule type="cellIs" dxfId="1374" priority="62" operator="greaterThan">
      <formula>0</formula>
    </cfRule>
  </conditionalFormatting>
  <conditionalFormatting sqref="J64">
    <cfRule type="cellIs" dxfId="1373" priority="81" operator="greaterThan">
      <formula>0</formula>
    </cfRule>
  </conditionalFormatting>
  <conditionalFormatting sqref="J68">
    <cfRule type="cellIs" dxfId="1372" priority="76" operator="greaterThan">
      <formula>0</formula>
    </cfRule>
  </conditionalFormatting>
  <conditionalFormatting sqref="J72">
    <cfRule type="cellIs" dxfId="1371" priority="101" operator="greaterThan">
      <formula>0</formula>
    </cfRule>
  </conditionalFormatting>
  <conditionalFormatting sqref="J76">
    <cfRule type="cellIs" dxfId="1370" priority="67" operator="greaterThan">
      <formula>0</formula>
    </cfRule>
  </conditionalFormatting>
  <conditionalFormatting sqref="J84">
    <cfRule type="cellIs" dxfId="1369" priority="49" operator="greaterThan">
      <formula>0</formula>
    </cfRule>
  </conditionalFormatting>
  <conditionalFormatting sqref="J88">
    <cfRule type="cellIs" dxfId="1368" priority="133" operator="greaterThan">
      <formula>0</formula>
    </cfRule>
  </conditionalFormatting>
  <conditionalFormatting sqref="J96">
    <cfRule type="cellIs" dxfId="1367" priority="86" operator="greaterThan">
      <formula>0</formula>
    </cfRule>
  </conditionalFormatting>
  <conditionalFormatting sqref="X6:X25 X30:X49 X54:X77 Z54:Z76 X94:X98 X82:X89">
    <cfRule type="cellIs" dxfId="1366" priority="156" operator="lessThan">
      <formula>0</formula>
    </cfRule>
  </conditionalFormatting>
  <conditionalFormatting sqref="X8 X12 X16 X20 X24 X32 X36 X40 X44 X48 X56 X60 X64 X68 X72 X76 X84 X88 X96">
    <cfRule type="cellIs" dxfId="1365" priority="52" operator="lessThan">
      <formula>0</formula>
    </cfRule>
  </conditionalFormatting>
  <conditionalFormatting sqref="X67 X63 X7 X11 X15 X19 X23 X31 X35 X39 X43 X47 X55 X59 X71 X75 X83 X87 X95">
    <cfRule type="iconSet" priority="53">
      <iconSet>
        <cfvo type="percent" val="0"/>
        <cfvo type="percent" val="&quot;$I$6&quot;"/>
        <cfvo type="percent" val="#REF!"/>
      </iconSet>
    </cfRule>
  </conditionalFormatting>
  <conditionalFormatting sqref="Z6:Z25 Z30:Z49">
    <cfRule type="cellIs" dxfId="1364" priority="57" operator="lessThan">
      <formula>0</formula>
    </cfRule>
  </conditionalFormatting>
  <conditionalFormatting sqref="Z7">
    <cfRule type="iconSet" priority="73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363" priority="72" operator="lessThan">
      <formula>0</formula>
    </cfRule>
  </conditionalFormatting>
  <conditionalFormatting sqref="Z11">
    <cfRule type="iconSet" priority="131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362" priority="129" operator="lessThan">
      <formula>0</formula>
    </cfRule>
  </conditionalFormatting>
  <conditionalFormatting sqref="Z15">
    <cfRule type="iconSet" priority="60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361" priority="56" operator="lessThan">
      <formula>0</formula>
    </cfRule>
  </conditionalFormatting>
  <conditionalFormatting sqref="Z19">
    <cfRule type="iconSet" priority="119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360" priority="115" operator="lessThan">
      <formula>0</formula>
    </cfRule>
  </conditionalFormatting>
  <conditionalFormatting sqref="Z23">
    <cfRule type="iconSet" priority="142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359" priority="140" operator="lessThan">
      <formula>0</formula>
    </cfRule>
  </conditionalFormatting>
  <conditionalFormatting sqref="Z31">
    <cfRule type="iconSet" priority="149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358" priority="148" operator="lessThan">
      <formula>0</formula>
    </cfRule>
  </conditionalFormatting>
  <conditionalFormatting sqref="Z35">
    <cfRule type="iconSet" priority="112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357" priority="111" operator="lessThan">
      <formula>0</formula>
    </cfRule>
  </conditionalFormatting>
  <conditionalFormatting sqref="Z39">
    <cfRule type="iconSet" priority="94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356" priority="93" operator="lessThan">
      <formula>0</formula>
    </cfRule>
  </conditionalFormatting>
  <conditionalFormatting sqref="Z43">
    <cfRule type="iconSet" priority="124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355" priority="121" operator="lessThan">
      <formula>0</formula>
    </cfRule>
  </conditionalFormatting>
  <conditionalFormatting sqref="Z47">
    <cfRule type="iconSet" priority="155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354" priority="152" operator="lessThan">
      <formula>0</formula>
    </cfRule>
  </conditionalFormatting>
  <conditionalFormatting sqref="Z55">
    <cfRule type="iconSet" priority="145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353" priority="144" operator="lessThan">
      <formula>0</formula>
    </cfRule>
  </conditionalFormatting>
  <conditionalFormatting sqref="Z59">
    <cfRule type="iconSet" priority="65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352" priority="63" operator="lessThan">
      <formula>0</formula>
    </cfRule>
  </conditionalFormatting>
  <conditionalFormatting sqref="Z63">
    <cfRule type="iconSet" priority="83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351" priority="82" operator="lessThan">
      <formula>0</formula>
    </cfRule>
  </conditionalFormatting>
  <conditionalFormatting sqref="Z67">
    <cfRule type="iconSet" priority="80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350" priority="78" operator="lessThan">
      <formula>0</formula>
    </cfRule>
  </conditionalFormatting>
  <conditionalFormatting sqref="Z71">
    <cfRule type="iconSet" priority="105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349" priority="102" operator="lessThan">
      <formula>0</formula>
    </cfRule>
  </conditionalFormatting>
  <conditionalFormatting sqref="Z75">
    <cfRule type="iconSet" priority="71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348" priority="68" operator="lessThan">
      <formula>0</formula>
    </cfRule>
  </conditionalFormatting>
  <conditionalFormatting sqref="Z82:Z89 Z94:Z98">
    <cfRule type="cellIs" dxfId="1347" priority="88" operator="lessThan">
      <formula>0</formula>
    </cfRule>
  </conditionalFormatting>
  <conditionalFormatting sqref="Z83">
    <cfRule type="iconSet" priority="128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346" priority="125" operator="lessThan">
      <formula>0</formula>
    </cfRule>
  </conditionalFormatting>
  <conditionalFormatting sqref="Z87">
    <cfRule type="iconSet" priority="135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1345" priority="134" operator="lessThan">
      <formula>0</formula>
    </cfRule>
  </conditionalFormatting>
  <conditionalFormatting sqref="Z95">
    <cfRule type="iconSet" priority="89">
      <iconSet>
        <cfvo type="percent" val="0"/>
        <cfvo type="percent" val="&quot;$I$6&quot;"/>
        <cfvo type="percent" val="#REF!"/>
      </iconSet>
    </cfRule>
  </conditionalFormatting>
  <conditionalFormatting sqref="Z96">
    <cfRule type="cellIs" dxfId="1344" priority="87" operator="lessThan">
      <formula>0</formula>
    </cfRule>
  </conditionalFormatting>
  <conditionalFormatting sqref="AA13">
    <cfRule type="cellIs" dxfId="1343" priority="99" operator="lessThan">
      <formula>0</formula>
    </cfRule>
  </conditionalFormatting>
  <conditionalFormatting sqref="AA21">
    <cfRule type="cellIs" dxfId="1342" priority="98" operator="lessThan">
      <formula>0</formula>
    </cfRule>
  </conditionalFormatting>
  <conditionalFormatting sqref="AA33">
    <cfRule type="cellIs" dxfId="1341" priority="107" operator="lessThan">
      <formula>0</formula>
    </cfRule>
  </conditionalFormatting>
  <conditionalFormatting sqref="AA49">
    <cfRule type="cellIs" dxfId="1340" priority="97" operator="lessThan">
      <formula>0</formula>
    </cfRule>
  </conditionalFormatting>
  <conditionalFormatting sqref="AA57">
    <cfRule type="cellIs" dxfId="1339" priority="106" operator="lessThan">
      <formula>0</formula>
    </cfRule>
  </conditionalFormatting>
  <conditionalFormatting sqref="AA65">
    <cfRule type="cellIs" dxfId="1338" priority="51" operator="lessThan">
      <formula>0</formula>
    </cfRule>
  </conditionalFormatting>
  <conditionalFormatting sqref="AG2:AH3">
    <cfRule type="cellIs" dxfId="1337" priority="157" operator="lessThan">
      <formula>0.85</formula>
    </cfRule>
  </conditionalFormatting>
  <conditionalFormatting sqref="AP1:AP25 AP30:AP49 AP54:AP77 AP94:AP1048576 AP82:AP89">
    <cfRule type="cellIs" dxfId="1336" priority="58" operator="notEqual">
      <formula>0</formula>
    </cfRule>
  </conditionalFormatting>
  <conditionalFormatting sqref="AT6:AT9 AT54:AT77 AT94:AT100 AT82:AT89">
    <cfRule type="cellIs" dxfId="1335" priority="50" operator="lessThan">
      <formula>0</formula>
    </cfRule>
  </conditionalFormatting>
  <conditionalFormatting sqref="AA69">
    <cfRule type="cellIs" dxfId="1334" priority="48" operator="lessThan">
      <formula>0</formula>
    </cfRule>
  </conditionalFormatting>
  <conditionalFormatting sqref="AA89">
    <cfRule type="cellIs" dxfId="1333" priority="47" operator="lessThan">
      <formula>0</formula>
    </cfRule>
  </conditionalFormatting>
  <conditionalFormatting sqref="AT10:AT25 AT30:AT49">
    <cfRule type="cellIs" dxfId="1332" priority="46" operator="lessThan">
      <formula>0</formula>
    </cfRule>
  </conditionalFormatting>
  <conditionalFormatting sqref="I28">
    <cfRule type="cellIs" dxfId="1331" priority="40" operator="greaterThan">
      <formula>0</formula>
    </cfRule>
  </conditionalFormatting>
  <conditionalFormatting sqref="J28">
    <cfRule type="cellIs" dxfId="1330" priority="41" operator="greaterThan">
      <formula>0</formula>
    </cfRule>
  </conditionalFormatting>
  <conditionalFormatting sqref="X26:X29">
    <cfRule type="cellIs" dxfId="1329" priority="45" operator="lessThan">
      <formula>0</formula>
    </cfRule>
  </conditionalFormatting>
  <conditionalFormatting sqref="X28">
    <cfRule type="cellIs" dxfId="1328" priority="36" operator="lessThan">
      <formula>0</formula>
    </cfRule>
  </conditionalFormatting>
  <conditionalFormatting sqref="X27">
    <cfRule type="iconSet" priority="37">
      <iconSet>
        <cfvo type="percent" val="0"/>
        <cfvo type="percent" val="&quot;$I$6&quot;"/>
        <cfvo type="percent" val="#REF!"/>
      </iconSet>
    </cfRule>
  </conditionalFormatting>
  <conditionalFormatting sqref="Z26:Z29">
    <cfRule type="cellIs" dxfId="1327" priority="38" operator="lessThan">
      <formula>0</formula>
    </cfRule>
  </conditionalFormatting>
  <conditionalFormatting sqref="Z27">
    <cfRule type="iconSet" priority="44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326" priority="42" operator="lessThan">
      <formula>0</formula>
    </cfRule>
  </conditionalFormatting>
  <conditionalFormatting sqref="AP26:AP29">
    <cfRule type="cellIs" dxfId="1325" priority="39" operator="notEqual">
      <formula>0</formula>
    </cfRule>
  </conditionalFormatting>
  <conditionalFormatting sqref="AT26:AT29">
    <cfRule type="cellIs" dxfId="1324" priority="35" operator="lessThan">
      <formula>0</formula>
    </cfRule>
  </conditionalFormatting>
  <conditionalFormatting sqref="I52">
    <cfRule type="cellIs" dxfId="1323" priority="31" operator="greaterThan">
      <formula>0</formula>
    </cfRule>
  </conditionalFormatting>
  <conditionalFormatting sqref="J52">
    <cfRule type="cellIs" dxfId="1322" priority="29" operator="greaterThan">
      <formula>0</formula>
    </cfRule>
  </conditionalFormatting>
  <conditionalFormatting sqref="X50:X53">
    <cfRule type="cellIs" dxfId="1321" priority="34" operator="lessThan">
      <formula>0</formula>
    </cfRule>
  </conditionalFormatting>
  <conditionalFormatting sqref="X52">
    <cfRule type="cellIs" dxfId="1320" priority="24" operator="lessThan">
      <formula>0</formula>
    </cfRule>
  </conditionalFormatting>
  <conditionalFormatting sqref="X51">
    <cfRule type="iconSet" priority="25">
      <iconSet>
        <cfvo type="percent" val="0"/>
        <cfvo type="percent" val="&quot;$I$6&quot;"/>
        <cfvo type="percent" val="#REF!"/>
      </iconSet>
    </cfRule>
  </conditionalFormatting>
  <conditionalFormatting sqref="Z50:Z53">
    <cfRule type="cellIs" dxfId="1319" priority="26" operator="lessThan">
      <formula>0</formula>
    </cfRule>
  </conditionalFormatting>
  <conditionalFormatting sqref="Z51">
    <cfRule type="iconSet" priority="33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318" priority="30" operator="lessThan">
      <formula>0</formula>
    </cfRule>
  </conditionalFormatting>
  <conditionalFormatting sqref="AA53">
    <cfRule type="cellIs" dxfId="1317" priority="28" operator="lessThan">
      <formula>0</formula>
    </cfRule>
  </conditionalFormatting>
  <conditionalFormatting sqref="AP50:AP53">
    <cfRule type="cellIs" dxfId="1316" priority="27" operator="notEqual">
      <formula>0</formula>
    </cfRule>
  </conditionalFormatting>
  <conditionalFormatting sqref="AT50:AT53">
    <cfRule type="cellIs" dxfId="1315" priority="23" operator="lessThan">
      <formula>0</formula>
    </cfRule>
  </conditionalFormatting>
  <conditionalFormatting sqref="I92">
    <cfRule type="cellIs" dxfId="1314" priority="20" operator="greaterThan">
      <formula>0</formula>
    </cfRule>
  </conditionalFormatting>
  <conditionalFormatting sqref="J92">
    <cfRule type="cellIs" dxfId="1313" priority="16" operator="greaterThan">
      <formula>0</formula>
    </cfRule>
  </conditionalFormatting>
  <conditionalFormatting sqref="X90:X93">
    <cfRule type="cellIs" dxfId="1312" priority="22" operator="lessThan">
      <formula>0</formula>
    </cfRule>
  </conditionalFormatting>
  <conditionalFormatting sqref="X92">
    <cfRule type="cellIs" dxfId="1311" priority="13" operator="lessThan">
      <formula>0</formula>
    </cfRule>
  </conditionalFormatting>
  <conditionalFormatting sqref="X91">
    <cfRule type="iconSet" priority="14">
      <iconSet>
        <cfvo type="percent" val="0"/>
        <cfvo type="percent" val="&quot;$I$6&quot;"/>
        <cfvo type="percent" val="#REF!"/>
      </iconSet>
    </cfRule>
  </conditionalFormatting>
  <conditionalFormatting sqref="Z90:Z92">
    <cfRule type="cellIs" dxfId="1310" priority="18" operator="lessThan">
      <formula>0</formula>
    </cfRule>
  </conditionalFormatting>
  <conditionalFormatting sqref="Z91">
    <cfRule type="iconSet" priority="19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1309" priority="17" operator="lessThan">
      <formula>0</formula>
    </cfRule>
  </conditionalFormatting>
  <conditionalFormatting sqref="AP90:AP93">
    <cfRule type="cellIs" dxfId="1308" priority="15" operator="notEqual">
      <formula>0</formula>
    </cfRule>
  </conditionalFormatting>
  <conditionalFormatting sqref="AT90:AT93">
    <cfRule type="cellIs" dxfId="1307" priority="12" operator="lessThan">
      <formula>0</formula>
    </cfRule>
  </conditionalFormatting>
  <conditionalFormatting sqref="Z93">
    <cfRule type="cellIs" dxfId="1306" priority="11" operator="lessThan">
      <formula>0</formula>
    </cfRule>
  </conditionalFormatting>
  <conditionalFormatting sqref="I80">
    <cfRule type="cellIs" dxfId="1305" priority="7" operator="greaterThan">
      <formula>0</formula>
    </cfRule>
  </conditionalFormatting>
  <conditionalFormatting sqref="J80">
    <cfRule type="cellIs" dxfId="1304" priority="5" operator="greaterThan">
      <formula>0</formula>
    </cfRule>
  </conditionalFormatting>
  <conditionalFormatting sqref="X78:X81 Z78:Z81">
    <cfRule type="cellIs" dxfId="1303" priority="10" operator="lessThan">
      <formula>0</formula>
    </cfRule>
  </conditionalFormatting>
  <conditionalFormatting sqref="X80">
    <cfRule type="cellIs" dxfId="1302" priority="2" operator="lessThan">
      <formula>0</formula>
    </cfRule>
  </conditionalFormatting>
  <conditionalFormatting sqref="X79">
    <cfRule type="iconSet" priority="3">
      <iconSet>
        <cfvo type="percent" val="0"/>
        <cfvo type="percent" val="&quot;$I$6&quot;"/>
        <cfvo type="percent" val="#REF!"/>
      </iconSet>
    </cfRule>
  </conditionalFormatting>
  <conditionalFormatting sqref="Z79">
    <cfRule type="iconSet" priority="9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301" priority="6" operator="lessThan">
      <formula>0</formula>
    </cfRule>
  </conditionalFormatting>
  <conditionalFormatting sqref="AP78:AP81">
    <cfRule type="cellIs" dxfId="1300" priority="4" operator="notEqual">
      <formula>0</formula>
    </cfRule>
  </conditionalFormatting>
  <conditionalFormatting sqref="AT78:AT81">
    <cfRule type="cellIs" dxfId="1299" priority="1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4" id="{5D646709-AA1F-4DCC-B4F5-5F64D88B00A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132" id="{7B85F558-13E4-4666-83F6-044A9A9C957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61" id="{61ABF3EC-DF9C-4E29-9899-DEA6B870800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18" id="{42F2F87E-CE88-44F7-9887-52E34086592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41" id="{CCDFDE2D-19A8-4AB4-9A5D-BE0F73AF75B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150" id="{98B0081A-7B77-4FE0-AB41-16A492293A2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114" id="{78E2E244-0D92-474C-8FDF-63A80753C34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96" id="{A4DFBA1B-A692-42D8-A637-0DB686A836B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23" id="{577A98B0-428D-48ED-9E42-13FE15D90D5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54" id="{AC30853C-5E84-4D8A-A27B-B13868E4350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146" id="{8B543C9C-EF84-40B2-8AF6-BEFD5344096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66" id="{18342370-5EBE-4F8B-BBB0-1B996CC29F0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85" id="{8F62CF8C-7E50-42F2-9EAE-E9E69B0AFF7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79" id="{53166FC7-D1AB-4C9C-A930-4506BB83C7C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104" id="{E217946A-703C-4543-99F0-2588A6163AE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70" id="{0A6927EC-2962-4C66-9AF5-7CF1CFF738A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127" id="{526753A4-B063-44BB-822F-F619410D005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37" id="{ECD3B52C-3A3F-4E42-892C-D6121519182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91" id="{B615E739-0D87-457E-B555-C86167810B9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AA94</xm:sqref>
        </x14:conditionalFormatting>
        <x14:conditionalFormatting xmlns:xm="http://schemas.microsoft.com/office/excel/2006/main">
          <x14:cfRule type="iconSet" priority="43" id="{9D478F50-C460-49D1-B1DF-78F1C9E089D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32" id="{29DD0329-74C1-44EC-B608-76917506BC1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21" id="{1220D138-033A-447C-8B86-192154D049F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8" id="{DC031FE2-31A0-4B1F-8582-F3EA85ADA75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89"/>
  <sheetViews>
    <sheetView zoomScale="18" zoomScaleNormal="18" zoomScaleSheetLayoutView="18"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AB6" sqref="AB6:AB9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0.74079661372226857</v>
      </c>
      <c r="AH2" s="535"/>
      <c r="AK2" s="183">
        <f>+SUBTOTAL(9,AK6:AK111)</f>
        <v>369727.5</v>
      </c>
      <c r="AL2" s="183">
        <f>+SUBTOTAL(9,AL6:AL111)</f>
        <v>273892.88000000006</v>
      </c>
      <c r="AW2" s="91">
        <v>0.59793648334624327</v>
      </c>
    </row>
    <row r="3" spans="2:64" ht="94.5" customHeight="1" x14ac:dyDescent="0.9">
      <c r="B3" s="363">
        <f>+AM4</f>
        <v>8.25</v>
      </c>
      <c r="C3" s="462"/>
      <c r="D3" s="462"/>
      <c r="E3" s="462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62"/>
      <c r="AD3" s="96"/>
      <c r="AE3" s="96"/>
      <c r="AF3" s="96"/>
      <c r="AG3" s="535"/>
      <c r="AH3" s="535"/>
      <c r="AK3" s="183"/>
      <c r="AL3" s="183"/>
      <c r="AT3" s="91">
        <v>8.75</v>
      </c>
    </row>
    <row r="4" spans="2:64" s="141" customFormat="1" ht="79.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+SUMIF($L$6:$L$94,AB3,$AB$6:$AB$94)</f>
        <v>6535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08-05-2026</v>
      </c>
      <c r="AH4" s="539"/>
      <c r="AI4" s="362">
        <f>+SUM(AI6:AI99)</f>
        <v>6162.125</v>
      </c>
      <c r="AJ4" s="362"/>
      <c r="AK4" s="98"/>
      <c r="AL4" s="98"/>
      <c r="AM4" s="363">
        <v>8.25</v>
      </c>
      <c r="AT4" s="396">
        <f>+SUBTOTAL(9,AT6:AT95)</f>
        <v>983.625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77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100</v>
      </c>
      <c r="N6" s="423">
        <v>50</v>
      </c>
      <c r="O6" s="423">
        <v>50</v>
      </c>
      <c r="P6" s="423">
        <v>50</v>
      </c>
      <c r="Q6" s="423">
        <v>50</v>
      </c>
      <c r="R6" s="423">
        <v>100</v>
      </c>
      <c r="S6" s="423">
        <v>100</v>
      </c>
      <c r="T6" s="423">
        <v>50</v>
      </c>
      <c r="U6" s="423">
        <v>100</v>
      </c>
      <c r="V6" s="423"/>
      <c r="W6" s="423"/>
      <c r="X6" s="135">
        <f>IF(AT7="","",SUM(M6:W6)-(-(AT7-SUM(M6:W6))/$AT$3)*SUM($M$2:$W$2))</f>
        <v>650</v>
      </c>
      <c r="Y6" s="438"/>
      <c r="Z6" s="400">
        <v>0</v>
      </c>
      <c r="AA6" s="540">
        <f>+X8</f>
        <v>0</v>
      </c>
      <c r="AB6" s="135">
        <f t="shared" ref="AB6:AB63" si="0">+SUM(L6:W6)</f>
        <v>650</v>
      </c>
      <c r="AC6" s="136">
        <f>+AD6+AB6</f>
        <v>2910</v>
      </c>
      <c r="AD6" s="136">
        <v>2260</v>
      </c>
      <c r="AE6" s="438"/>
      <c r="AF6" s="438"/>
      <c r="AG6" s="109"/>
      <c r="AH6" s="110"/>
      <c r="AI6" s="157"/>
      <c r="AJ6" s="161">
        <f t="shared" ref="AJ6:AJ81" si="1">TRUNC(AI6)+(AI6-TRUNC(AI6))*60/100</f>
        <v>0</v>
      </c>
      <c r="AK6" s="167">
        <f t="shared" ref="AK6:AK81" si="2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78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15</v>
      </c>
      <c r="V7" s="214"/>
      <c r="W7" s="424"/>
      <c r="X7" s="123">
        <f>+IF(H8="s",0,IF(AB7=0,0,IF(COUNTA(M7:W7)=AN9+0.75,SUMIF($C:$C,B7,$AB:$AB)/AN9,SUMIF($C:$C,B7,$AB:$AB)/(COUNTA(M7:W7)))))</f>
        <v>60</v>
      </c>
      <c r="Y7" s="439"/>
      <c r="Z7" s="400"/>
      <c r="AA7" s="541"/>
      <c r="AB7" s="134">
        <f t="shared" si="0"/>
        <v>495</v>
      </c>
      <c r="AC7" s="137">
        <f>+AB7+AD7</f>
        <v>2120</v>
      </c>
      <c r="AD7" s="137">
        <v>1625</v>
      </c>
      <c r="AE7" s="439">
        <v>0</v>
      </c>
      <c r="AF7" s="439">
        <f>+AE7+Y7</f>
        <v>0</v>
      </c>
      <c r="AG7" s="140">
        <f>+AC6-AC7</f>
        <v>790</v>
      </c>
      <c r="AH7" s="131">
        <f>+IF(((AB8+(AB9/2))*60)=0,"",(J7*AB7)/((AB8+(AB9/2))*60))</f>
        <v>0.93130434782608706</v>
      </c>
      <c r="AI7" s="161">
        <f>+AB8+AB9/2</f>
        <v>379.5</v>
      </c>
      <c r="AJ7" s="161">
        <f t="shared" si="1"/>
        <v>379.3</v>
      </c>
      <c r="AK7" s="167">
        <f t="shared" si="2"/>
        <v>22770</v>
      </c>
      <c r="AL7" s="167">
        <f>+AB7*J7</f>
        <v>21205.800000000003</v>
      </c>
      <c r="AM7" s="230">
        <f>+AB7-(AI7*K7/K9)</f>
        <v>30.306122448979579</v>
      </c>
      <c r="AN7" s="339"/>
      <c r="AO7" s="340"/>
      <c r="AP7" s="167"/>
      <c r="AQ7" s="167"/>
      <c r="AR7" s="167"/>
      <c r="AS7" s="167"/>
      <c r="AT7" s="433">
        <f>-650+AB6</f>
        <v>0</v>
      </c>
      <c r="AU7" s="393">
        <v>1.5</v>
      </c>
      <c r="AW7" s="356">
        <v>635</v>
      </c>
      <c r="AY7" s="356">
        <f>+AW7-AG7</f>
        <v>-155</v>
      </c>
      <c r="AZ7" s="581"/>
      <c r="BA7" s="581"/>
      <c r="BB7" s="581"/>
      <c r="BC7" s="581"/>
      <c r="BD7" s="581"/>
      <c r="BE7" s="581"/>
      <c r="BF7" s="581"/>
      <c r="BG7" s="581"/>
      <c r="BH7" s="581"/>
      <c r="BI7" s="58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78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45</v>
      </c>
      <c r="N8" s="215">
        <v>45</v>
      </c>
      <c r="O8" s="215">
        <v>45</v>
      </c>
      <c r="P8" s="215">
        <v>45</v>
      </c>
      <c r="Q8" s="215">
        <v>45</v>
      </c>
      <c r="R8" s="215">
        <v>45</v>
      </c>
      <c r="S8" s="215">
        <v>45</v>
      </c>
      <c r="T8" s="215">
        <v>45</v>
      </c>
      <c r="U8" s="215">
        <v>45</v>
      </c>
      <c r="V8" s="426"/>
      <c r="W8" s="426"/>
      <c r="X8" s="160">
        <f>+IF(H8="l",IF(COUNTA(M7:W7)=AN9+0.75,AB7-K7*AN9,AB7-(K7*COUNTA(M7:W7))),IF(H8="s",0,IF(COUNTA(M7:W7)=AN9+0.75,SUMIF($C:$C,B7,$AB:$AB)-K7*AN9,SUMIF($C:$C,B7,$AB:$AB)-K7*COUNTA(M7:W7))))</f>
        <v>0</v>
      </c>
      <c r="Y8" s="440"/>
      <c r="Z8" s="400"/>
      <c r="AA8" s="541"/>
      <c r="AB8" s="443">
        <f>+SUM(M8:W8)-U8*0.75</f>
        <v>371.25</v>
      </c>
      <c r="AC8" s="341"/>
      <c r="AD8" s="341"/>
      <c r="AE8" s="440"/>
      <c r="AF8" s="440"/>
      <c r="AG8" s="115"/>
      <c r="AH8" s="116"/>
      <c r="AI8" s="157"/>
      <c r="AJ8" s="161">
        <f t="shared" si="1"/>
        <v>0</v>
      </c>
      <c r="AK8" s="167">
        <f t="shared" si="2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371.25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79" t="str">
        <f>+G6</f>
        <v>2917-496-712</v>
      </c>
      <c r="H9" s="454">
        <f>+AC6-H7</f>
        <v>-3090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ref="AB9" si="3">+SUM(M9:W9)-U9*0.75</f>
        <v>16.5</v>
      </c>
      <c r="AC9" s="139"/>
      <c r="AD9" s="139"/>
      <c r="AE9" s="441"/>
      <c r="AF9" s="441"/>
      <c r="AG9" s="119">
        <f>+IFERROR(AG7/(K7*$AT$3),"")</f>
        <v>1.5047619047619047</v>
      </c>
      <c r="AH9" s="162"/>
      <c r="AI9" s="161"/>
      <c r="AJ9" s="161">
        <f t="shared" si="1"/>
        <v>0</v>
      </c>
      <c r="AK9" s="167">
        <f t="shared" si="2"/>
        <v>0</v>
      </c>
      <c r="AL9" s="167"/>
      <c r="AM9" s="230"/>
      <c r="AN9" s="342">
        <f>+$AM$4</f>
        <v>8.25</v>
      </c>
      <c r="AO9" s="340">
        <f>+IF(AN9=7.75,SUM(M9:S9)+T9*0.75,IF(AN9=8,SUM(M9:T9),IF(AN9=7.25,SUM(M9:S9)+T9*0.25,IF(AN9=8.25,SUM(M9:T9)+U9*0.25,IF(AN9=8.75,SUM(M9:T9)+U9*0.75,0)))))</f>
        <v>16.5</v>
      </c>
      <c r="AP9" s="167">
        <f>+AO9-AB9</f>
        <v>0</v>
      </c>
      <c r="AQ9" s="167"/>
      <c r="AR9" s="167"/>
      <c r="AS9" s="167"/>
      <c r="AT9" s="435"/>
      <c r="AU9" s="393"/>
      <c r="AW9" s="356">
        <v>1.2095238095238094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77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/>
      <c r="P10" s="423"/>
      <c r="Q10" s="423"/>
      <c r="R10" s="423"/>
      <c r="S10" s="423">
        <v>50</v>
      </c>
      <c r="T10" s="423">
        <v>50</v>
      </c>
      <c r="U10" s="423">
        <v>50</v>
      </c>
      <c r="V10" s="423"/>
      <c r="W10" s="423"/>
      <c r="X10" s="135">
        <f t="shared" ref="X10" si="4">IF(AT11="","",SUM(M10:W10)-(-(AT11-SUM(M10:W10))/$AT$3)*SUM($M$2:$W$2))</f>
        <v>150</v>
      </c>
      <c r="Y10" s="438"/>
      <c r="Z10" s="400">
        <v>-316</v>
      </c>
      <c r="AA10" s="540">
        <f>+X12</f>
        <v>-170.75</v>
      </c>
      <c r="AB10" s="135">
        <f t="shared" si="0"/>
        <v>150</v>
      </c>
      <c r="AC10" s="136">
        <f>+AD10+AB10</f>
        <v>1575</v>
      </c>
      <c r="AD10" s="136">
        <v>1425</v>
      </c>
      <c r="AE10" s="438"/>
      <c r="AF10" s="438"/>
      <c r="AG10" s="109"/>
      <c r="AH10" s="110"/>
      <c r="AI10" s="157"/>
      <c r="AJ10" s="161">
        <f t="shared" si="1"/>
        <v>0</v>
      </c>
      <c r="AK10" s="167">
        <f t="shared" si="2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439</v>
      </c>
      <c r="E11" s="111"/>
      <c r="F11" s="111" t="s">
        <v>35</v>
      </c>
      <c r="G11" s="578" t="str">
        <f>+G10</f>
        <v>7740-876-052</v>
      </c>
      <c r="H11" s="450">
        <v>7000</v>
      </c>
      <c r="I11" s="111" t="s">
        <v>33</v>
      </c>
      <c r="J11" s="113">
        <v>55.78</v>
      </c>
      <c r="K11" s="130">
        <v>35</v>
      </c>
      <c r="L11" s="101" t="s">
        <v>17</v>
      </c>
      <c r="M11" s="214">
        <v>6</v>
      </c>
      <c r="N11" s="214">
        <v>11</v>
      </c>
      <c r="O11" s="214">
        <v>7</v>
      </c>
      <c r="P11" s="214">
        <v>8</v>
      </c>
      <c r="Q11" s="214">
        <v>15</v>
      </c>
      <c r="R11" s="214">
        <v>20</v>
      </c>
      <c r="S11" s="214">
        <v>26</v>
      </c>
      <c r="T11" s="214">
        <v>15</v>
      </c>
      <c r="U11" s="214">
        <v>10</v>
      </c>
      <c r="V11" s="214"/>
      <c r="W11" s="424"/>
      <c r="X11" s="123">
        <f>+IF(H12="s",0,IF(AB11=0,0,IF(COUNTA(M11:W11)=AN13+0.75,SUMIF($C:$C,B11,$AB:$AB)/AN13,SUMIF($C:$C,B11,$AB:$AB)/(COUNTA(M11:W11)))))</f>
        <v>14.303030303030303</v>
      </c>
      <c r="Y11" s="439"/>
      <c r="Z11" s="400"/>
      <c r="AA11" s="541"/>
      <c r="AB11" s="134">
        <f t="shared" si="0"/>
        <v>118</v>
      </c>
      <c r="AC11" s="137">
        <f>+AB11+AD11</f>
        <v>257</v>
      </c>
      <c r="AD11" s="137">
        <v>139</v>
      </c>
      <c r="AE11" s="439">
        <v>0</v>
      </c>
      <c r="AF11" s="439">
        <f>+AE11+Y11</f>
        <v>0</v>
      </c>
      <c r="AG11" s="140">
        <f>+AC10-AC11</f>
        <v>1318</v>
      </c>
      <c r="AH11" s="131">
        <f>+IF(((AB12+(AB13/2))*60)=0,"",(J11*AB11)/((AB12+(AB13/2))*60))</f>
        <v>0.2937099509147702</v>
      </c>
      <c r="AI11" s="161">
        <f>+AB12+AB13/2</f>
        <v>373.5</v>
      </c>
      <c r="AJ11" s="161">
        <f t="shared" si="1"/>
        <v>373.3</v>
      </c>
      <c r="AK11" s="167">
        <f t="shared" si="2"/>
        <v>22410</v>
      </c>
      <c r="AL11" s="167">
        <f>+AB11*J11</f>
        <v>6582.04</v>
      </c>
      <c r="AM11" s="230">
        <f>+AB11-(AI11*K11/K13)</f>
        <v>-186.01162790697674</v>
      </c>
      <c r="AN11" s="339"/>
      <c r="AO11" s="340"/>
      <c r="AP11" s="167"/>
      <c r="AQ11" s="167"/>
      <c r="AR11" s="167"/>
      <c r="AS11" s="167"/>
      <c r="AT11" s="433">
        <f t="shared" ref="AT11" si="5">IF(AU11=0,"",AW11-(($AT$3*K11)+($AT$3*K11)*AU11)+AB10)</f>
        <v>364.125</v>
      </c>
      <c r="AU11" s="393">
        <v>2.5</v>
      </c>
      <c r="AW11" s="356">
        <v>1286</v>
      </c>
      <c r="AY11" s="356">
        <f>+AW11-AG11</f>
        <v>-32</v>
      </c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78" t="str">
        <f>+G10</f>
        <v>7740-876-052</v>
      </c>
      <c r="H12" s="376" t="s">
        <v>400</v>
      </c>
      <c r="I12" s="113">
        <f>+IFERROR(IF(K13=0,0,IF((LOOKUP(2,1/(M12:W12&lt;&gt;""),M12:W12)-K13)&lt;0,0,IF(K13=0,"",LOOKUP(2,1/(M12:W12&lt;&gt;""),M12:W12)-K13))),0)</f>
        <v>3</v>
      </c>
      <c r="J12" s="113"/>
      <c r="K12" s="114" t="s">
        <v>22</v>
      </c>
      <c r="L12" s="102" t="s">
        <v>18</v>
      </c>
      <c r="M12" s="215">
        <v>43</v>
      </c>
      <c r="N12" s="215">
        <v>43</v>
      </c>
      <c r="O12" s="215">
        <v>46</v>
      </c>
      <c r="P12" s="215">
        <v>46</v>
      </c>
      <c r="Q12" s="215">
        <v>46</v>
      </c>
      <c r="R12" s="215">
        <v>46</v>
      </c>
      <c r="S12" s="215">
        <v>46</v>
      </c>
      <c r="T12" s="215">
        <v>46</v>
      </c>
      <c r="U12" s="215">
        <v>46</v>
      </c>
      <c r="V12" s="215"/>
      <c r="W12" s="426"/>
      <c r="X12" s="160">
        <f>+IF(H12="l",IF(COUNTA(M11:W11)=AN13+0.75,AB11-K11*AN13,AB11-(K11*COUNTA(M11:W11))),IF(H12="s",0,IF(COUNTA(M11:W11)=AN13+0.75,SUMIF($C:$C,B11,$AB:$AB)-K11*AN13,SUMIF($C:$C,B11,$AB:$AB)-K11*COUNTA(M11:W11))))</f>
        <v>-170.75</v>
      </c>
      <c r="Y12" s="440"/>
      <c r="Z12" s="400"/>
      <c r="AA12" s="541"/>
      <c r="AB12" s="443">
        <f t="shared" ref="AB12" si="6">+SUM(M12:W12)-U12*0.75</f>
        <v>373.5</v>
      </c>
      <c r="AC12" s="341"/>
      <c r="AD12" s="341"/>
      <c r="AE12" s="440"/>
      <c r="AF12" s="440"/>
      <c r="AG12" s="115"/>
      <c r="AH12" s="116"/>
      <c r="AI12" s="157"/>
      <c r="AJ12" s="161">
        <f t="shared" si="1"/>
        <v>0</v>
      </c>
      <c r="AK12" s="167">
        <f t="shared" si="2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373.5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79" t="str">
        <f>+G10</f>
        <v>7740-876-052</v>
      </c>
      <c r="H13" s="454">
        <f>+AC10-H11</f>
        <v>-5425</v>
      </c>
      <c r="I13" s="397"/>
      <c r="J13" s="165">
        <f>+IF(K13="","",IF(K11=0,"",(K11*J11)/(K13*60)))</f>
        <v>0.75670542635658911</v>
      </c>
      <c r="K13" s="429">
        <v>43</v>
      </c>
      <c r="L13" s="104" t="s">
        <v>19</v>
      </c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8"/>
      <c r="X13" s="173"/>
      <c r="Y13" s="441"/>
      <c r="Z13" s="401">
        <v>25.846923076923076</v>
      </c>
      <c r="AA13" s="168">
        <f>+IF(COUNTA(M11:W11)=$AM$4+0.25,$AM$4-(AB11/K11),COUNTA(M11:W11)-(AB11/K11))+Z13</f>
        <v>31.475494505494503</v>
      </c>
      <c r="AB13" s="444">
        <f t="shared" ref="AB13:AB69" si="7">+SUM(M13:W13)-U13*0.75</f>
        <v>0</v>
      </c>
      <c r="AC13" s="139"/>
      <c r="AD13" s="139"/>
      <c r="AE13" s="441"/>
      <c r="AF13" s="441"/>
      <c r="AG13" s="119">
        <f>+IFERROR(AG11/(K11*$AT$3),"")</f>
        <v>4.3036734693877552</v>
      </c>
      <c r="AH13" s="162"/>
      <c r="AI13" s="161"/>
      <c r="AJ13" s="161">
        <f t="shared" si="1"/>
        <v>0</v>
      </c>
      <c r="AK13" s="167">
        <f t="shared" si="2"/>
        <v>0</v>
      </c>
      <c r="AL13" s="167"/>
      <c r="AM13" s="230"/>
      <c r="AN13" s="342">
        <f>+$AM$4</f>
        <v>8.25</v>
      </c>
      <c r="AO13" s="340">
        <f>+IF(AN13=7.75,SUM(M13:S13)+T13*0.75,IF(AN13=8,SUM(M13:T13),IF(AN13=7.25,SUM(M13:S13)+T13*0.25,IF(AN13=8.25,SUM(M13:T13)+U13*0.25,IF(AN13=8.75,SUM(M13:T13)+U13*0.75,0)))))</f>
        <v>0</v>
      </c>
      <c r="AP13" s="167">
        <f>+AO13-AB13</f>
        <v>0</v>
      </c>
      <c r="AQ13" s="167"/>
      <c r="AR13" s="167"/>
      <c r="AS13" s="167"/>
      <c r="AT13" s="435"/>
      <c r="AU13" s="393"/>
      <c r="AW13" s="356">
        <v>2.8263736263736265</v>
      </c>
      <c r="AY13" s="356"/>
    </row>
    <row r="14" spans="2:64" s="98" customFormat="1" ht="62.25" customHeight="1" thickTop="1" x14ac:dyDescent="0.9">
      <c r="B14" s="97">
        <f>+B15</f>
        <v>3</v>
      </c>
      <c r="C14" s="370"/>
      <c r="D14" s="106"/>
      <c r="E14" s="106"/>
      <c r="F14" s="106"/>
      <c r="G14" s="577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/>
      <c r="N14" s="423"/>
      <c r="O14" s="423">
        <v>75</v>
      </c>
      <c r="P14" s="423">
        <v>75</v>
      </c>
      <c r="Q14" s="423">
        <v>75</v>
      </c>
      <c r="R14" s="423"/>
      <c r="S14" s="423"/>
      <c r="T14" s="423"/>
      <c r="U14" s="423"/>
      <c r="V14" s="423"/>
      <c r="W14" s="423"/>
      <c r="X14" s="135">
        <f t="shared" ref="X14" si="8">IF(AT15="","",SUM(M14:W14)-(-(AT15-SUM(M14:W14))/$AT$3)*SUM($M$2:$W$2))</f>
        <v>225</v>
      </c>
      <c r="Y14" s="438"/>
      <c r="Z14" s="400">
        <v>-71</v>
      </c>
      <c r="AA14" s="540">
        <f>+X16</f>
        <v>0</v>
      </c>
      <c r="AB14" s="135">
        <f t="shared" si="0"/>
        <v>225</v>
      </c>
      <c r="AC14" s="136">
        <f>+AD14+AB14</f>
        <v>6489</v>
      </c>
      <c r="AD14" s="136">
        <v>6264</v>
      </c>
      <c r="AE14" s="438"/>
      <c r="AF14" s="438"/>
      <c r="AG14" s="109"/>
      <c r="AH14" s="110"/>
      <c r="AI14" s="157"/>
      <c r="AJ14" s="161">
        <f t="shared" si="1"/>
        <v>0</v>
      </c>
      <c r="AK14" s="167">
        <f t="shared" si="2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3</v>
      </c>
      <c r="C15" s="371">
        <v>3</v>
      </c>
      <c r="D15" s="372" t="s">
        <v>439</v>
      </c>
      <c r="E15" s="111"/>
      <c r="F15" s="111" t="s">
        <v>35</v>
      </c>
      <c r="G15" s="578" t="str">
        <f>+G14</f>
        <v>7740-876-052</v>
      </c>
      <c r="H15" s="450">
        <v>12000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52</v>
      </c>
      <c r="N15" s="214">
        <v>52</v>
      </c>
      <c r="O15" s="214">
        <v>52</v>
      </c>
      <c r="P15" s="214">
        <v>52</v>
      </c>
      <c r="Q15" s="214">
        <v>52</v>
      </c>
      <c r="R15" s="214">
        <v>52</v>
      </c>
      <c r="S15" s="214">
        <v>52</v>
      </c>
      <c r="T15" s="214">
        <v>52</v>
      </c>
      <c r="U15" s="214">
        <v>13</v>
      </c>
      <c r="V15" s="214"/>
      <c r="W15" s="424"/>
      <c r="X15" s="123">
        <f>+IF(H16="s",0,IF(AB15=0,0,IF(COUNTA(M15:W15)=AN17+0.75,SUMIF($C:$C,B15,$AB:$AB)/AN17,SUMIF($C:$C,B15,$AB:$AB)/(COUNTA(M15:W15)))))</f>
        <v>52</v>
      </c>
      <c r="Y15" s="439"/>
      <c r="Z15" s="400"/>
      <c r="AA15" s="541"/>
      <c r="AB15" s="134">
        <f t="shared" si="0"/>
        <v>429</v>
      </c>
      <c r="AC15" s="137">
        <f>+AB15+AD15</f>
        <v>5587</v>
      </c>
      <c r="AD15" s="137">
        <v>5158</v>
      </c>
      <c r="AE15" s="439"/>
      <c r="AF15" s="439">
        <f>+AE15+Y15</f>
        <v>0</v>
      </c>
      <c r="AG15" s="140">
        <f>+AC14-AC15</f>
        <v>902</v>
      </c>
      <c r="AH15" s="131">
        <f>+IF(((AB16+(AB17/2))*60)=0,"",(J15*AB15)/((AB16+(AB17/2))*60))</f>
        <v>0.91631705916140149</v>
      </c>
      <c r="AI15" s="161">
        <f>+AB16+AB17/2</f>
        <v>435.25</v>
      </c>
      <c r="AJ15" s="161">
        <f t="shared" si="1"/>
        <v>435.15</v>
      </c>
      <c r="AK15" s="167">
        <f t="shared" si="2"/>
        <v>26115</v>
      </c>
      <c r="AL15" s="167">
        <f>+AB15*J15</f>
        <v>23929.62</v>
      </c>
      <c r="AM15" s="230">
        <f>+AB15-(AI15*K15/K17)</f>
        <v>24.839285714285722</v>
      </c>
      <c r="AN15" s="339"/>
      <c r="AO15" s="340"/>
      <c r="AP15" s="167"/>
      <c r="AQ15" s="167"/>
      <c r="AR15" s="167"/>
      <c r="AS15" s="167"/>
      <c r="AT15" s="433">
        <f>-225+AB14</f>
        <v>0</v>
      </c>
      <c r="AU15" s="393">
        <v>2</v>
      </c>
      <c r="AW15" s="356">
        <v>1106</v>
      </c>
      <c r="AY15" s="356">
        <f t="shared" ref="AY15" si="9">+AW15-AG15</f>
        <v>204</v>
      </c>
      <c r="AZ15" s="581"/>
      <c r="BA15" s="581"/>
      <c r="BB15" s="581"/>
      <c r="BC15" s="581"/>
      <c r="BD15" s="581"/>
      <c r="BE15" s="581"/>
      <c r="BF15" s="581"/>
      <c r="BG15" s="581"/>
      <c r="BH15" s="581"/>
      <c r="BI15" s="581"/>
    </row>
    <row r="16" spans="2:64" s="98" customFormat="1" ht="62.25" customHeight="1" x14ac:dyDescent="0.9">
      <c r="B16" s="125">
        <f>+B15</f>
        <v>3</v>
      </c>
      <c r="C16" s="373"/>
      <c r="D16" s="184"/>
      <c r="E16" s="111">
        <f>+B15</f>
        <v>3</v>
      </c>
      <c r="F16" s="374"/>
      <c r="G16" s="578" t="str">
        <f>+G14</f>
        <v>7740-876-052</v>
      </c>
      <c r="H16" s="376"/>
      <c r="I16" s="113">
        <f>+IFERROR(IF(K17=0,0,IF((LOOKUP(2,1/(M16:W16&lt;&gt;""),M16:W16)-K17)&lt;0,0,IF(K17=0,"",LOOKUP(2,1/(M16:W16&lt;&gt;""),M16:W16)-K17))),0)</f>
        <v>0</v>
      </c>
      <c r="J16" s="113">
        <v>2</v>
      </c>
      <c r="K16" s="114" t="s">
        <v>22</v>
      </c>
      <c r="L16" s="102" t="s">
        <v>18</v>
      </c>
      <c r="M16" s="215">
        <v>50</v>
      </c>
      <c r="N16" s="215">
        <v>52</v>
      </c>
      <c r="O16" s="215">
        <v>52</v>
      </c>
      <c r="P16" s="215">
        <v>52</v>
      </c>
      <c r="Q16" s="215">
        <v>52</v>
      </c>
      <c r="R16" s="215">
        <v>52</v>
      </c>
      <c r="S16" s="215">
        <v>52</v>
      </c>
      <c r="T16" s="215">
        <v>52</v>
      </c>
      <c r="U16" s="215">
        <v>52</v>
      </c>
      <c r="V16" s="426"/>
      <c r="W16" s="426"/>
      <c r="X16" s="160">
        <f>+IF(H16="l",IF(COUNTA(M15:W15)=AN17+0.75,AB15-K15*AN17,AB15-(K15*COUNTA(M15:W15))),IF(H16="s",0,IF(COUNTA(M15:W15)=AN17+0.75,SUMIF($C:$C,B15,$AB:$AB)-K15*AN17,SUMIF($C:$C,B15,$AB:$AB)-K15*COUNTA(M15:W15))))</f>
        <v>0</v>
      </c>
      <c r="Y16" s="440"/>
      <c r="Z16" s="400"/>
      <c r="AA16" s="541"/>
      <c r="AB16" s="443">
        <f t="shared" ref="AB16" si="10">+SUM(M16:W16)-U16*0.75</f>
        <v>427</v>
      </c>
      <c r="AC16" s="341"/>
      <c r="AD16" s="341"/>
      <c r="AE16" s="440"/>
      <c r="AF16" s="440"/>
      <c r="AG16" s="115"/>
      <c r="AH16" s="116"/>
      <c r="AI16" s="157"/>
      <c r="AJ16" s="161">
        <f t="shared" si="1"/>
        <v>0</v>
      </c>
      <c r="AK16" s="167">
        <f t="shared" si="2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427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51" s="98" customFormat="1" ht="62.25" customHeight="1" thickBot="1" x14ac:dyDescent="0.95">
      <c r="B17" s="126">
        <f>+B15</f>
        <v>3</v>
      </c>
      <c r="C17" s="375"/>
      <c r="D17" s="174" t="s">
        <v>423</v>
      </c>
      <c r="E17" s="175">
        <f>+E16+100</f>
        <v>103</v>
      </c>
      <c r="F17" s="175"/>
      <c r="G17" s="579" t="str">
        <f>+G14</f>
        <v>7740-876-052</v>
      </c>
      <c r="H17" s="454">
        <f>+AC14-H15</f>
        <v>-5511</v>
      </c>
      <c r="I17" s="397"/>
      <c r="J17" s="165">
        <f>+IF(K17="","",IF(K15=0,"",(K15*J15)/(K17*60)))</f>
        <v>0.86326190476190479</v>
      </c>
      <c r="K17" s="118">
        <v>56</v>
      </c>
      <c r="L17" s="104" t="s">
        <v>19</v>
      </c>
      <c r="M17" s="427">
        <v>2</v>
      </c>
      <c r="N17" s="427">
        <v>2</v>
      </c>
      <c r="O17" s="427">
        <v>2</v>
      </c>
      <c r="P17" s="427">
        <v>2</v>
      </c>
      <c r="Q17" s="427">
        <v>2</v>
      </c>
      <c r="R17" s="427">
        <v>2</v>
      </c>
      <c r="S17" s="427">
        <v>2</v>
      </c>
      <c r="T17" s="427">
        <v>2</v>
      </c>
      <c r="U17" s="427">
        <v>2</v>
      </c>
      <c r="V17" s="428"/>
      <c r="W17" s="428"/>
      <c r="X17" s="173"/>
      <c r="Y17" s="441"/>
      <c r="Z17" s="401">
        <v>37.057412587412585</v>
      </c>
      <c r="AA17" s="401">
        <v>37.057412587412585</v>
      </c>
      <c r="AB17" s="444">
        <f t="shared" si="7"/>
        <v>16.5</v>
      </c>
      <c r="AC17" s="139"/>
      <c r="AD17" s="139"/>
      <c r="AE17" s="441"/>
      <c r="AF17" s="441"/>
      <c r="AG17" s="119">
        <f>+IFERROR(AG15/(K15*$AT$3),"")</f>
        <v>1.9824175824175825</v>
      </c>
      <c r="AH17" s="162"/>
      <c r="AI17" s="161"/>
      <c r="AJ17" s="161">
        <f t="shared" si="1"/>
        <v>0</v>
      </c>
      <c r="AK17" s="167">
        <f t="shared" si="2"/>
        <v>0</v>
      </c>
      <c r="AL17" s="167"/>
      <c r="AM17" s="230"/>
      <c r="AN17" s="342">
        <f>+$AM$4</f>
        <v>8.25</v>
      </c>
      <c r="AO17" s="340">
        <f>+IF(AN17=7.75,SUM(M17:S17)+T17*0.75,IF(AN17=8,SUM(M17:T17),IF(AN17=7.25,SUM(M17:S17)+T17*0.25,IF(AN17=8.25,SUM(M17:T17)+U17*0.25,IF(AN17=8.75,SUM(M17:T17)+U17*0.75,0)))))</f>
        <v>16.5</v>
      </c>
      <c r="AP17" s="167">
        <f>+AO17-AB17</f>
        <v>0</v>
      </c>
      <c r="AQ17" s="167"/>
      <c r="AR17" s="167"/>
      <c r="AS17" s="167"/>
      <c r="AT17" s="435"/>
      <c r="AU17" s="393"/>
      <c r="AW17" s="356">
        <v>2.4307692307692306</v>
      </c>
      <c r="AY17" s="356"/>
    </row>
    <row r="18" spans="2:51" s="98" customFormat="1" ht="62.25" customHeight="1" thickTop="1" x14ac:dyDescent="0.9">
      <c r="B18" s="97">
        <f>+B19</f>
        <v>4</v>
      </c>
      <c r="C18" s="370"/>
      <c r="D18" s="106"/>
      <c r="E18" s="106"/>
      <c r="F18" s="106"/>
      <c r="G18" s="582" t="s">
        <v>431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135" t="str">
        <f t="shared" ref="X18" si="11">IF(AT19="","",SUM(M18:W18)-(-(AT19-SUM(M18:W18))/$AT$3)*SUM($M$2:$W$2))</f>
        <v/>
      </c>
      <c r="Y18" s="438"/>
      <c r="Z18" s="400">
        <v>-164.25</v>
      </c>
      <c r="AA18" s="540">
        <f>+X20</f>
        <v>-123</v>
      </c>
      <c r="AB18" s="135">
        <f t="shared" si="0"/>
        <v>0</v>
      </c>
      <c r="AC18" s="136">
        <f>+AD18+AB18</f>
        <v>9585</v>
      </c>
      <c r="AD18" s="136">
        <v>9585</v>
      </c>
      <c r="AE18" s="438"/>
      <c r="AF18" s="438"/>
      <c r="AG18" s="109"/>
      <c r="AH18" s="110"/>
      <c r="AI18" s="157"/>
      <c r="AJ18" s="161">
        <f t="shared" si="1"/>
        <v>0</v>
      </c>
      <c r="AK18" s="167">
        <f t="shared" si="2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51" s="98" customFormat="1" ht="62.25" customHeight="1" x14ac:dyDescent="0.9">
      <c r="B19" s="132">
        <v>4</v>
      </c>
      <c r="C19" s="371">
        <f>+B19</f>
        <v>4</v>
      </c>
      <c r="D19" s="372" t="s">
        <v>430</v>
      </c>
      <c r="E19" s="111"/>
      <c r="F19" s="111" t="s">
        <v>35</v>
      </c>
      <c r="G19" s="582" t="str">
        <f>+G18</f>
        <v xml:space="preserve">2878-556-700 </v>
      </c>
      <c r="H19" s="450">
        <v>9585</v>
      </c>
      <c r="I19" s="111" t="s">
        <v>251</v>
      </c>
      <c r="J19" s="113">
        <v>36.65</v>
      </c>
      <c r="K19" s="130">
        <v>75</v>
      </c>
      <c r="L19" s="101" t="s">
        <v>17</v>
      </c>
      <c r="M19" s="214">
        <v>65</v>
      </c>
      <c r="N19" s="214">
        <v>30</v>
      </c>
      <c r="O19" s="214">
        <v>7</v>
      </c>
      <c r="P19" s="214"/>
      <c r="Q19" s="214"/>
      <c r="R19" s="214"/>
      <c r="S19" s="214"/>
      <c r="T19" s="214"/>
      <c r="U19" s="214"/>
      <c r="V19" s="214"/>
      <c r="W19" s="424"/>
      <c r="X19" s="123">
        <f>+IF(H20="s",0,IF(AB19=0,0,IF(COUNTA(M19:W19)=AN21+0.75,SUMIF($C:$C,B19,$AB:$AB)/AN21,SUMIF($C:$C,B19,$AB:$AB)/(COUNTA(M19:W19)))))</f>
        <v>34</v>
      </c>
      <c r="Y19" s="439"/>
      <c r="Z19" s="400"/>
      <c r="AA19" s="541"/>
      <c r="AB19" s="134">
        <f t="shared" si="0"/>
        <v>102</v>
      </c>
      <c r="AC19" s="137">
        <f>+AB19+AD19</f>
        <v>9549</v>
      </c>
      <c r="AD19" s="137">
        <v>9447</v>
      </c>
      <c r="AE19" s="439">
        <v>0</v>
      </c>
      <c r="AF19" s="439">
        <f>+AE19+Y19</f>
        <v>0</v>
      </c>
      <c r="AG19" s="140">
        <f>+AC18-AC19</f>
        <v>36</v>
      </c>
      <c r="AH19" s="131">
        <f>+IF(((AB20+(AB21/2))*60)=0,"",(J19*AB19)/((AB20+(AB21/2))*60))</f>
        <v>1.2461</v>
      </c>
      <c r="AI19" s="161">
        <f>+AB20+AB21/2</f>
        <v>50</v>
      </c>
      <c r="AJ19" s="161">
        <f t="shared" si="1"/>
        <v>50</v>
      </c>
      <c r="AK19" s="167">
        <f t="shared" si="2"/>
        <v>3000</v>
      </c>
      <c r="AL19" s="167">
        <f>+AB19*J19</f>
        <v>3738.2999999999997</v>
      </c>
      <c r="AM19" s="230">
        <f>+AB19-(AI19*K19/K21)</f>
        <v>27</v>
      </c>
      <c r="AN19" s="339"/>
      <c r="AO19" s="340"/>
      <c r="AP19" s="167"/>
      <c r="AQ19" s="167"/>
      <c r="AR19" s="167"/>
      <c r="AS19" s="167"/>
      <c r="AT19" s="433"/>
      <c r="AU19" s="393"/>
      <c r="AW19" s="356">
        <v>138</v>
      </c>
      <c r="AY19" s="356">
        <f t="shared" ref="AY19" si="12">+AW19-AG19</f>
        <v>102</v>
      </c>
    </row>
    <row r="20" spans="2:51" s="98" customFormat="1" ht="62.25" customHeight="1" x14ac:dyDescent="0.9">
      <c r="B20" s="125">
        <f>+B19</f>
        <v>4</v>
      </c>
      <c r="C20" s="373"/>
      <c r="D20" s="184"/>
      <c r="E20" s="111">
        <f>+B19</f>
        <v>4</v>
      </c>
      <c r="F20" s="374"/>
      <c r="G20" s="582" t="str">
        <f>+G19</f>
        <v xml:space="preserve">2878-556-700 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25">
        <v>20</v>
      </c>
      <c r="N20" s="425">
        <v>20</v>
      </c>
      <c r="O20" s="425">
        <v>10</v>
      </c>
      <c r="P20" s="425"/>
      <c r="Q20" s="425"/>
      <c r="R20" s="425"/>
      <c r="S20" s="425"/>
      <c r="T20" s="425"/>
      <c r="U20" s="425"/>
      <c r="V20" s="426"/>
      <c r="W20" s="426"/>
      <c r="X20" s="160">
        <f>+IF(H20="l",IF(COUNTA(M19:W19)=AN21+0.75,AB19-K19*AN21,AB19-(K19*COUNTA(M19:W19))),IF(H20="s",0,IF(COUNTA(M19:W19)=AN21+0.75,SUMIF($C:$C,B19,$AB:$AB)-K19*AN21,SUMIF($C:$C,B19,$AB:$AB)-K19*COUNTA(M19:W19))))</f>
        <v>-123</v>
      </c>
      <c r="Y20" s="440"/>
      <c r="Z20" s="400"/>
      <c r="AA20" s="541"/>
      <c r="AB20" s="443">
        <f t="shared" ref="AB20" si="13">+SUM(M20:W20)-U20*0.75</f>
        <v>50</v>
      </c>
      <c r="AC20" s="341"/>
      <c r="AD20" s="341"/>
      <c r="AE20" s="440"/>
      <c r="AF20" s="440"/>
      <c r="AG20" s="115"/>
      <c r="AH20" s="116"/>
      <c r="AI20" s="157"/>
      <c r="AJ20" s="161">
        <f t="shared" si="1"/>
        <v>0</v>
      </c>
      <c r="AK20" s="167">
        <f t="shared" si="2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50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51" s="98" customFormat="1" ht="62.25" customHeight="1" thickBot="1" x14ac:dyDescent="0.95">
      <c r="B21" s="126">
        <f>+B19</f>
        <v>4</v>
      </c>
      <c r="C21" s="375"/>
      <c r="D21" s="174" t="s">
        <v>445</v>
      </c>
      <c r="E21" s="175">
        <f>+E20+100</f>
        <v>104</v>
      </c>
      <c r="F21" s="175"/>
      <c r="G21" s="582" t="str">
        <f>+G20</f>
        <v xml:space="preserve">2878-556-700 </v>
      </c>
      <c r="H21" s="454">
        <f>+AC18-H19</f>
        <v>0</v>
      </c>
      <c r="I21" s="397"/>
      <c r="J21" s="165">
        <f>+IF(K21="","",IF(K19=0,"",(K19*J19)/(K21*60)))</f>
        <v>0.91625000000000001</v>
      </c>
      <c r="K21" s="118">
        <v>50</v>
      </c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8"/>
      <c r="W21" s="428"/>
      <c r="X21" s="173"/>
      <c r="Y21" s="441"/>
      <c r="Z21" s="401">
        <v>29.116666666666667</v>
      </c>
      <c r="AA21" s="169">
        <v>29.116666666666667</v>
      </c>
      <c r="AB21" s="444">
        <f t="shared" si="7"/>
        <v>0</v>
      </c>
      <c r="AC21" s="139"/>
      <c r="AD21" s="139"/>
      <c r="AE21" s="441"/>
      <c r="AF21" s="441"/>
      <c r="AG21" s="119">
        <f>+IFERROR(AG19/(K19*$AT$3),"")</f>
        <v>5.4857142857142854E-2</v>
      </c>
      <c r="AH21" s="162"/>
      <c r="AI21" s="161"/>
      <c r="AJ21" s="161">
        <f t="shared" si="1"/>
        <v>0</v>
      </c>
      <c r="AK21" s="167">
        <f t="shared" si="2"/>
        <v>0</v>
      </c>
      <c r="AL21" s="167"/>
      <c r="AM21" s="230"/>
      <c r="AN21" s="342">
        <f>+$AM$4</f>
        <v>8.25</v>
      </c>
      <c r="AO21" s="340">
        <f>+IF(AN21=7.75,SUM(N21:S21)+T21*0.75,IF(AN21=8,SUM(N21:T21),IF(AN21=7.25,SUM(N21:S21)+T21*0.25,IF(AN21=8.25,SUM(N21:T21)+U21*0.25,IF(AN21=8.75,SUM(N21:T21)+U21*0.75,0)))))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0.2102857142857143</v>
      </c>
      <c r="AY21" s="356"/>
    </row>
    <row r="22" spans="2:5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77" t="s">
        <v>472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100</v>
      </c>
      <c r="N22" s="423">
        <v>50</v>
      </c>
      <c r="O22" s="423">
        <v>100</v>
      </c>
      <c r="P22" s="423"/>
      <c r="Q22" s="423">
        <v>50</v>
      </c>
      <c r="R22" s="423"/>
      <c r="S22" s="423">
        <v>50</v>
      </c>
      <c r="T22" s="423"/>
      <c r="U22" s="423"/>
      <c r="V22" s="423"/>
      <c r="W22" s="423"/>
      <c r="X22" s="135">
        <f t="shared" ref="X22" si="14">IF(AT23="","",SUM(M22:W22)-(-(AT23-SUM(M22:W22))/$AT$3)*SUM($M$2:$W$2))</f>
        <v>350</v>
      </c>
      <c r="Y22" s="438"/>
      <c r="Z22" s="400">
        <v>0</v>
      </c>
      <c r="AA22" s="540">
        <f>+X24</f>
        <v>-525</v>
      </c>
      <c r="AB22" s="135">
        <f t="shared" si="0"/>
        <v>350</v>
      </c>
      <c r="AC22" s="136">
        <f>+AD22+AB22</f>
        <v>650</v>
      </c>
      <c r="AD22" s="136">
        <v>300</v>
      </c>
      <c r="AE22" s="438"/>
      <c r="AF22" s="438"/>
      <c r="AG22" s="109"/>
      <c r="AH22" s="110"/>
      <c r="AI22" s="157"/>
      <c r="AJ22" s="161">
        <f t="shared" si="1"/>
        <v>0</v>
      </c>
      <c r="AK22" s="167">
        <f t="shared" si="2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51" s="98" customFormat="1" ht="62.25" customHeight="1" x14ac:dyDescent="0.9">
      <c r="B23" s="132">
        <v>4</v>
      </c>
      <c r="C23" s="371">
        <f>+B23</f>
        <v>4</v>
      </c>
      <c r="D23" s="372" t="s">
        <v>473</v>
      </c>
      <c r="E23" s="111"/>
      <c r="F23" s="111" t="s">
        <v>35</v>
      </c>
      <c r="G23" s="578" t="s">
        <v>472</v>
      </c>
      <c r="H23" s="450">
        <v>8333</v>
      </c>
      <c r="I23" s="111" t="s">
        <v>251</v>
      </c>
      <c r="J23" s="113"/>
      <c r="K23" s="130">
        <v>75</v>
      </c>
      <c r="L23" s="101" t="s">
        <v>17</v>
      </c>
      <c r="M23" s="214"/>
      <c r="N23" s="214"/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  <c r="U23" s="214">
        <v>0</v>
      </c>
      <c r="V23" s="214"/>
      <c r="W23" s="424"/>
      <c r="X23" s="123">
        <f>+IF(H24="s",0,IF(AB23=0,0,IF(COUNTA(M23:W23)=AN25+0.75,SUMIF($C:$C,B23,$AB:$AB)/AN25,SUMIF($C:$C,B23,$AB:$AB)/(COUNTA(M23:W23)))))</f>
        <v>0</v>
      </c>
      <c r="Y23" s="439"/>
      <c r="Z23" s="400"/>
      <c r="AA23" s="541"/>
      <c r="AB23" s="134">
        <f t="shared" si="0"/>
        <v>0</v>
      </c>
      <c r="AC23" s="137">
        <f>+AB23+AD23</f>
        <v>0</v>
      </c>
      <c r="AD23" s="137">
        <v>0</v>
      </c>
      <c r="AE23" s="439">
        <v>0</v>
      </c>
      <c r="AF23" s="439">
        <f>+AE23+Y23</f>
        <v>0</v>
      </c>
      <c r="AG23" s="140">
        <f>+AC22-AC23</f>
        <v>650</v>
      </c>
      <c r="AH23" s="131">
        <f>+IF(((AB24+(AB25/2))*60)=0,"",(J23*AB23)/((AB24+(AB25/2))*60))</f>
        <v>0</v>
      </c>
      <c r="AI23" s="161">
        <f>+AB24+AB25/2</f>
        <v>315.375</v>
      </c>
      <c r="AJ23" s="161">
        <f t="shared" si="1"/>
        <v>315.22500000000002</v>
      </c>
      <c r="AK23" s="167">
        <f t="shared" si="2"/>
        <v>18922.5</v>
      </c>
      <c r="AL23" s="167">
        <f>+AB23*J23</f>
        <v>0</v>
      </c>
      <c r="AM23" s="230" t="e">
        <f>+AB23-(AI23*K23/K25)</f>
        <v>#DIV/0!</v>
      </c>
      <c r="AN23" s="339"/>
      <c r="AO23" s="340"/>
      <c r="AP23" s="167"/>
      <c r="AQ23" s="167"/>
      <c r="AR23" s="167"/>
      <c r="AS23" s="167"/>
      <c r="AT23" s="433">
        <f>-350+AB22</f>
        <v>0</v>
      </c>
      <c r="AU23" s="393">
        <v>1.5</v>
      </c>
      <c r="AW23" s="356">
        <v>300</v>
      </c>
      <c r="AY23" s="356">
        <f t="shared" ref="AY23" si="15">+AW23-AG23</f>
        <v>-350</v>
      </c>
    </row>
    <row r="24" spans="2:5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78" t="s">
        <v>472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20</v>
      </c>
      <c r="N24" s="425">
        <v>20</v>
      </c>
      <c r="O24" s="425">
        <v>35</v>
      </c>
      <c r="P24" s="425">
        <v>45</v>
      </c>
      <c r="Q24" s="425">
        <v>45</v>
      </c>
      <c r="R24" s="425">
        <v>45</v>
      </c>
      <c r="S24" s="425">
        <v>45</v>
      </c>
      <c r="T24" s="425">
        <v>45</v>
      </c>
      <c r="U24" s="425">
        <v>45</v>
      </c>
      <c r="V24" s="426"/>
      <c r="W24" s="426"/>
      <c r="X24" s="160">
        <f>+IF(H24="l",IF(COUNTA(M23:W23)=AN25+0.75,AB23-K23*AN25,AB23-(K23*COUNTA(M23:W23))),IF(H24="s",0,IF(COUNTA(M23:W23)=AN25+0.75,SUMIF($C:$C,B23,$AB:$AB)-K23*AN25,SUMIF($C:$C,B23,$AB:$AB)-K23*COUNTA(M23:W23))))</f>
        <v>-525</v>
      </c>
      <c r="Y24" s="440"/>
      <c r="Z24" s="400"/>
      <c r="AA24" s="541"/>
      <c r="AB24" s="443">
        <f t="shared" ref="AB24" si="16">+SUM(M24:W24)-U24*0.75</f>
        <v>311.25</v>
      </c>
      <c r="AC24" s="341"/>
      <c r="AD24" s="341"/>
      <c r="AE24" s="440"/>
      <c r="AF24" s="440"/>
      <c r="AG24" s="115"/>
      <c r="AH24" s="116"/>
      <c r="AI24" s="157"/>
      <c r="AJ24" s="161">
        <f t="shared" si="1"/>
        <v>0</v>
      </c>
      <c r="AK24" s="167">
        <f t="shared" si="2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311.25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5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79" t="s">
        <v>472</v>
      </c>
      <c r="H25" s="454">
        <f>+AC22-H23</f>
        <v>-7683</v>
      </c>
      <c r="I25" s="397"/>
      <c r="J25" s="165" t="str">
        <f>+IF(K25="","",IF(K23=0,"",(K23*J23)/(K25*60)))</f>
        <v/>
      </c>
      <c r="K25" s="118"/>
      <c r="L25" s="104" t="s">
        <v>19</v>
      </c>
      <c r="M25" s="427">
        <v>1</v>
      </c>
      <c r="N25" s="427">
        <v>1</v>
      </c>
      <c r="O25" s="427">
        <v>1</v>
      </c>
      <c r="P25" s="427">
        <v>1</v>
      </c>
      <c r="Q25" s="427">
        <v>1</v>
      </c>
      <c r="R25" s="427">
        <v>1</v>
      </c>
      <c r="S25" s="427">
        <v>1</v>
      </c>
      <c r="T25" s="427">
        <v>1</v>
      </c>
      <c r="U25" s="427">
        <v>1</v>
      </c>
      <c r="V25" s="428"/>
      <c r="W25" s="428"/>
      <c r="X25" s="173"/>
      <c r="Y25" s="441"/>
      <c r="Z25" s="401"/>
      <c r="AA25" s="168">
        <f>+IF(COUNTA(M23:W23)=$AM$4+0.25,$AM$4-(AB23/K23),COUNTA(M23:W23)-(AB23/K23))+Z25</f>
        <v>7</v>
      </c>
      <c r="AB25" s="444">
        <f t="shared" si="7"/>
        <v>8.25</v>
      </c>
      <c r="AC25" s="139"/>
      <c r="AD25" s="139"/>
      <c r="AE25" s="441"/>
      <c r="AF25" s="441"/>
      <c r="AG25" s="119">
        <f>+IFERROR(AG23/(K23*$AT$3),"")</f>
        <v>0.99047619047619051</v>
      </c>
      <c r="AH25" s="162"/>
      <c r="AI25" s="161"/>
      <c r="AJ25" s="161">
        <f t="shared" si="1"/>
        <v>0</v>
      </c>
      <c r="AK25" s="167">
        <f t="shared" si="2"/>
        <v>0</v>
      </c>
      <c r="AL25" s="167"/>
      <c r="AM25" s="230"/>
      <c r="AN25" s="342">
        <f>+$AM$4</f>
        <v>8.25</v>
      </c>
      <c r="AO25" s="340">
        <f>+IF(AN25=7.75,SUM(N25:S25)+T25*0.75,IF(AN25=8,SUM(N25:T25),IF(AN25=7.25,SUM(N25:S25)+T25*0.25,IF(AN25=8.25,SUM(N25:T25)+U25*0.25,IF(AN25=8.75,SUM(N25:T25)+U25*0.75,0)))))</f>
        <v>7.25</v>
      </c>
      <c r="AP25" s="167">
        <f>+AO25-AB25</f>
        <v>-1</v>
      </c>
      <c r="AQ25" s="167"/>
      <c r="AR25" s="167"/>
      <c r="AS25" s="167"/>
      <c r="AT25" s="435"/>
      <c r="AU25" s="393"/>
      <c r="AW25" s="356" t="s">
        <v>429</v>
      </c>
      <c r="AY25" s="356"/>
    </row>
    <row r="26" spans="2:5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77" t="s">
        <v>433</v>
      </c>
      <c r="H26" s="106"/>
      <c r="I26" s="111"/>
      <c r="J26" s="107" t="s">
        <v>20</v>
      </c>
      <c r="K26" s="108" t="s">
        <v>23</v>
      </c>
      <c r="L26" s="100" t="s">
        <v>21</v>
      </c>
      <c r="M26" s="423">
        <v>150</v>
      </c>
      <c r="N26" s="423">
        <v>150</v>
      </c>
      <c r="O26" s="423">
        <v>150</v>
      </c>
      <c r="P26" s="423"/>
      <c r="Q26" s="423">
        <v>75</v>
      </c>
      <c r="R26" s="423"/>
      <c r="S26" s="423"/>
      <c r="T26" s="423"/>
      <c r="U26" s="423"/>
      <c r="V26" s="423"/>
      <c r="W26" s="423"/>
      <c r="X26" s="135">
        <f t="shared" ref="X26" si="17">IF(AT27="","",SUM(M26:W26)-(-(AT27-SUM(M26:W26))/$AT$3)*SUM($M$2:$W$2))</f>
        <v>525</v>
      </c>
      <c r="Y26" s="438"/>
      <c r="Z26" s="400">
        <v>60.5</v>
      </c>
      <c r="AA26" s="540">
        <f>+X28</f>
        <v>59.5</v>
      </c>
      <c r="AB26" s="135">
        <f t="shared" si="0"/>
        <v>525</v>
      </c>
      <c r="AC26" s="136">
        <f>+AD26+AB26</f>
        <v>11304</v>
      </c>
      <c r="AD26" s="136">
        <v>10779</v>
      </c>
      <c r="AE26" s="438"/>
      <c r="AF26" s="438"/>
      <c r="AG26" s="109"/>
      <c r="AH26" s="110"/>
      <c r="AI26" s="157"/>
      <c r="AJ26" s="161">
        <f t="shared" si="1"/>
        <v>0</v>
      </c>
      <c r="AK26" s="167">
        <f t="shared" si="2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51" s="98" customFormat="1" ht="62.25" customHeight="1" x14ac:dyDescent="0.9">
      <c r="B27" s="132">
        <v>5</v>
      </c>
      <c r="C27" s="371">
        <f>+B27</f>
        <v>5</v>
      </c>
      <c r="D27" s="372" t="s">
        <v>432</v>
      </c>
      <c r="E27" s="111"/>
      <c r="F27" s="111" t="s">
        <v>35</v>
      </c>
      <c r="G27" s="578" t="str">
        <f>+G26</f>
        <v>2843-709-800</v>
      </c>
      <c r="H27" s="450">
        <v>11700</v>
      </c>
      <c r="I27" s="111" t="s">
        <v>251</v>
      </c>
      <c r="J27" s="113">
        <v>50</v>
      </c>
      <c r="K27" s="130">
        <v>58</v>
      </c>
      <c r="L27" s="101" t="s">
        <v>17</v>
      </c>
      <c r="M27" s="214">
        <v>65</v>
      </c>
      <c r="N27" s="214">
        <v>65</v>
      </c>
      <c r="O27" s="214">
        <v>65</v>
      </c>
      <c r="P27" s="214">
        <v>65</v>
      </c>
      <c r="Q27" s="214">
        <v>65</v>
      </c>
      <c r="R27" s="214">
        <v>65</v>
      </c>
      <c r="S27" s="214">
        <v>65</v>
      </c>
      <c r="T27" s="214">
        <v>65</v>
      </c>
      <c r="U27" s="214">
        <v>18</v>
      </c>
      <c r="V27" s="214"/>
      <c r="W27" s="424"/>
      <c r="X27" s="123">
        <f>+IF(H28="s",0,IF(AB27=0,0,IF(COUNTA(M27:W27)=AN29+0.75,SUMIF($C:$C,B27,$AB:$AB)/AN29,SUMIF($C:$C,B27,$AB:$AB)/(COUNTA(M27:W27)))))</f>
        <v>65.212121212121218</v>
      </c>
      <c r="Y27" s="439"/>
      <c r="Z27" s="400"/>
      <c r="AA27" s="541"/>
      <c r="AB27" s="134">
        <f t="shared" si="0"/>
        <v>538</v>
      </c>
      <c r="AC27" s="137">
        <f>+AB27+AD27</f>
        <v>9850</v>
      </c>
      <c r="AD27" s="137">
        <v>9312</v>
      </c>
      <c r="AE27" s="439">
        <v>0</v>
      </c>
      <c r="AF27" s="439">
        <f>+AE27+Y27</f>
        <v>0</v>
      </c>
      <c r="AG27" s="140">
        <f>+AC26-AC27</f>
        <v>1454</v>
      </c>
      <c r="AH27" s="131">
        <f>+IF(((AB28+(AB29/2))*60)=0,"",(J27*AB27)/((AB28+(AB29/2))*60))</f>
        <v>1.020388809862494</v>
      </c>
      <c r="AI27" s="161">
        <f>+AB28+AB29/2</f>
        <v>439.375</v>
      </c>
      <c r="AJ27" s="161">
        <f t="shared" si="1"/>
        <v>439.22500000000002</v>
      </c>
      <c r="AK27" s="167">
        <f t="shared" si="2"/>
        <v>26362.5</v>
      </c>
      <c r="AL27" s="167">
        <f>+AB27*J27</f>
        <v>26900</v>
      </c>
      <c r="AM27" s="230">
        <f>+AB27-(AI27*K27/K29)</f>
        <v>66.078703703703695</v>
      </c>
      <c r="AN27" s="339"/>
      <c r="AO27" s="340"/>
      <c r="AP27" s="167"/>
      <c r="AQ27" s="167"/>
      <c r="AR27" s="167"/>
      <c r="AS27" s="167"/>
      <c r="AT27" s="433">
        <f t="shared" ref="AT27" si="18">IF(AU27=0,"",AW27-(($AT$3*K27)+($AT$3*K27)*AU27)+AB26)</f>
        <v>12.75</v>
      </c>
      <c r="AU27" s="393">
        <v>2.9</v>
      </c>
      <c r="AW27" s="356">
        <v>1467</v>
      </c>
      <c r="AY27" s="356">
        <f t="shared" ref="AY27" si="19">+AW27-AG27</f>
        <v>13</v>
      </c>
    </row>
    <row r="28" spans="2:5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78" t="str">
        <f>+G26</f>
        <v>2843-709-800</v>
      </c>
      <c r="H28" s="376" t="s">
        <v>182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51</v>
      </c>
      <c r="N28" s="425">
        <v>53</v>
      </c>
      <c r="O28" s="425">
        <v>53</v>
      </c>
      <c r="P28" s="425">
        <v>53</v>
      </c>
      <c r="Q28" s="425">
        <v>53</v>
      </c>
      <c r="R28" s="425">
        <v>53</v>
      </c>
      <c r="S28" s="425">
        <v>53</v>
      </c>
      <c r="T28" s="425">
        <v>53</v>
      </c>
      <c r="U28" s="425">
        <v>53</v>
      </c>
      <c r="V28" s="426"/>
      <c r="W28" s="426"/>
      <c r="X28" s="160">
        <f>+IF(H28="l",IF(COUNTA(M27:W27)=AN29+0.75,AB27-K27*AN29,AB27-(K27*COUNTA(M27:W27))),IF(H28="s",0,IF(COUNTA(M27:W27)=AN29+0.75,SUMIF($C:$C,B27,$AB:$AB)-K27*AN29,SUMIF($C:$C,B27,$AB:$AB)-K27*COUNTA(M27:W27))))</f>
        <v>59.5</v>
      </c>
      <c r="Y28" s="440"/>
      <c r="Z28" s="400"/>
      <c r="AA28" s="541"/>
      <c r="AB28" s="443">
        <f t="shared" ref="AB28" si="20">+SUM(M28:W28)-U28*0.75</f>
        <v>435.25</v>
      </c>
      <c r="AC28" s="341"/>
      <c r="AD28" s="341"/>
      <c r="AE28" s="440"/>
      <c r="AF28" s="440"/>
      <c r="AG28" s="115"/>
      <c r="AH28" s="116"/>
      <c r="AI28" s="157"/>
      <c r="AJ28" s="161">
        <f t="shared" si="1"/>
        <v>0</v>
      </c>
      <c r="AK28" s="167">
        <f t="shared" si="2"/>
        <v>0</v>
      </c>
      <c r="AL28" s="167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435.25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5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79" t="str">
        <f>+G26</f>
        <v>2843-709-800</v>
      </c>
      <c r="H29" s="454">
        <f>+AC26-H27</f>
        <v>-396</v>
      </c>
      <c r="I29" s="397" t="s">
        <v>182</v>
      </c>
      <c r="J29" s="165">
        <f>+IF(K29="","",IF(K27=0,"",(K27*J27)/(K29*60)))</f>
        <v>0.89506172839506171</v>
      </c>
      <c r="K29" s="118">
        <v>54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>
        <v>1</v>
      </c>
      <c r="V29" s="428"/>
      <c r="W29" s="428"/>
      <c r="X29" s="173"/>
      <c r="Y29" s="441"/>
      <c r="Z29" s="401">
        <v>36.370689655172413</v>
      </c>
      <c r="AA29" s="401">
        <v>36.370689655172413</v>
      </c>
      <c r="AB29" s="444">
        <f t="shared" si="7"/>
        <v>8.25</v>
      </c>
      <c r="AC29" s="139"/>
      <c r="AD29" s="139"/>
      <c r="AE29" s="441"/>
      <c r="AF29" s="441"/>
      <c r="AG29" s="119">
        <f>+IFERROR(AG27/(K27*$AT$3),"")</f>
        <v>2.8650246305418721</v>
      </c>
      <c r="AH29" s="162"/>
      <c r="AI29" s="161"/>
      <c r="AJ29" s="161">
        <f t="shared" si="1"/>
        <v>0</v>
      </c>
      <c r="AK29" s="167">
        <f t="shared" si="2"/>
        <v>0</v>
      </c>
      <c r="AL29" s="167"/>
      <c r="AM29" s="230"/>
      <c r="AN29" s="342">
        <f>+$AM$4</f>
        <v>8.25</v>
      </c>
      <c r="AO29" s="340">
        <f>+IF(AN29=7.75,SUM(M29:S29)+T29*0.75,IF(AN29=8,SUM(M29:T29),IF(AN29=7.25,SUM(M29:S29)+T29*0.25,IF(AN29=8.25,SUM(M29:T29)+U29*0.25,IF(AN29=8.75,SUM(M29:T29)+U29*0.75,0)))))</f>
        <v>8.25</v>
      </c>
      <c r="AP29" s="167">
        <f>+AO29-AB29</f>
        <v>0</v>
      </c>
      <c r="AQ29" s="167"/>
      <c r="AR29" s="167"/>
      <c r="AS29" s="167"/>
      <c r="AT29" s="435"/>
      <c r="AU29" s="393"/>
      <c r="AW29" s="356">
        <v>2.89064039408867</v>
      </c>
      <c r="AY29" s="356"/>
    </row>
    <row r="30" spans="2:51" s="98" customFormat="1" ht="62.25" customHeight="1" thickTop="1" x14ac:dyDescent="0.9">
      <c r="B30" s="97">
        <f>+B31</f>
        <v>6</v>
      </c>
      <c r="C30" s="370"/>
      <c r="D30" s="106"/>
      <c r="E30" s="106"/>
      <c r="F30" s="106"/>
      <c r="G30" s="577" t="s">
        <v>444</v>
      </c>
      <c r="H30" s="106"/>
      <c r="I30" s="111"/>
      <c r="J30" s="107" t="s">
        <v>20</v>
      </c>
      <c r="K30" s="108">
        <v>0</v>
      </c>
      <c r="L30" s="100" t="s">
        <v>21</v>
      </c>
      <c r="M30" s="423">
        <v>50</v>
      </c>
      <c r="N30" s="423">
        <v>50</v>
      </c>
      <c r="O30" s="423">
        <v>50</v>
      </c>
      <c r="P30" s="423">
        <v>50</v>
      </c>
      <c r="Q30" s="423">
        <v>50</v>
      </c>
      <c r="R30" s="423">
        <v>50</v>
      </c>
      <c r="S30" s="423">
        <v>50</v>
      </c>
      <c r="T30" s="423">
        <v>50</v>
      </c>
      <c r="U30" s="423">
        <v>50</v>
      </c>
      <c r="V30" s="423"/>
      <c r="W30" s="423"/>
      <c r="X30" s="135">
        <f t="shared" ref="X30" si="21">IF(AT31="","",SUM(M30:W30)-(-(AT31-SUM(M30:W30))/$AT$3)*SUM($M$2:$W$2))</f>
        <v>450</v>
      </c>
      <c r="Y30" s="438"/>
      <c r="Z30" s="400">
        <v>-156.25</v>
      </c>
      <c r="AA30" s="540">
        <f>+X32</f>
        <v>-71.75</v>
      </c>
      <c r="AB30" s="135">
        <f t="shared" si="0"/>
        <v>450</v>
      </c>
      <c r="AC30" s="136">
        <f>+AD30+AB30</f>
        <v>5351</v>
      </c>
      <c r="AD30" s="136">
        <v>4901</v>
      </c>
      <c r="AE30" s="438"/>
      <c r="AF30" s="438"/>
      <c r="AG30" s="109"/>
      <c r="AH30" s="110"/>
      <c r="AI30" s="157"/>
      <c r="AJ30" s="161"/>
      <c r="AK30" s="167"/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51" s="98" customFormat="1" ht="62.25" customHeight="1" x14ac:dyDescent="0.9">
      <c r="B31" s="132">
        <v>6</v>
      </c>
      <c r="C31" s="371">
        <f>+B31</f>
        <v>6</v>
      </c>
      <c r="D31" s="372" t="s">
        <v>443</v>
      </c>
      <c r="E31" s="111"/>
      <c r="F31" s="111" t="s">
        <v>35</v>
      </c>
      <c r="G31" s="578" t="str">
        <f t="shared" ref="G31:G33" si="22">+G30</f>
        <v>2917-496-712</v>
      </c>
      <c r="H31" s="450">
        <v>7000</v>
      </c>
      <c r="I31" s="111" t="s">
        <v>33</v>
      </c>
      <c r="J31" s="113"/>
      <c r="K31" s="130">
        <v>55</v>
      </c>
      <c r="L31" s="101" t="s">
        <v>17</v>
      </c>
      <c r="M31" s="214">
        <v>40</v>
      </c>
      <c r="N31" s="214">
        <v>50</v>
      </c>
      <c r="O31" s="214">
        <v>50</v>
      </c>
      <c r="P31" s="214">
        <v>50</v>
      </c>
      <c r="Q31" s="214">
        <v>50</v>
      </c>
      <c r="R31" s="214">
        <v>26</v>
      </c>
      <c r="S31" s="214">
        <v>55</v>
      </c>
      <c r="T31" s="214">
        <v>50</v>
      </c>
      <c r="U31" s="214">
        <v>11</v>
      </c>
      <c r="V31" s="424"/>
      <c r="W31" s="424"/>
      <c r="X31" s="123">
        <f>+IF(H32="s",0,IF(AB31=0,0,IF(COUNTA(M31:W31)=AN33+0.75,SUMIF($C:$C,B31,$AB:$AB)/AN33,SUMIF($C:$C,B31,$AB:$AB)/(COUNTA(M31:W31)))))</f>
        <v>46.303030303030305</v>
      </c>
      <c r="Y31" s="439"/>
      <c r="Z31" s="400"/>
      <c r="AA31" s="541"/>
      <c r="AB31" s="134">
        <f t="shared" si="0"/>
        <v>382</v>
      </c>
      <c r="AC31" s="137">
        <f>+AB31+AD31</f>
        <v>3761</v>
      </c>
      <c r="AD31" s="137">
        <v>3379</v>
      </c>
      <c r="AE31" s="439"/>
      <c r="AF31" s="439">
        <f>+AE31+Y31</f>
        <v>0</v>
      </c>
      <c r="AG31" s="140">
        <f>+AC30-AC31</f>
        <v>1590</v>
      </c>
      <c r="AH31" s="131" t="str">
        <f>+IF(((AB32+(AB33/2))*60)=0,"",(J31*AB31)/((AB32+(AB33/2))*60))</f>
        <v/>
      </c>
      <c r="AI31" s="161"/>
      <c r="AJ31" s="161"/>
      <c r="AK31" s="167"/>
      <c r="AL31" s="167"/>
      <c r="AM31" s="230"/>
      <c r="AN31" s="339"/>
      <c r="AO31" s="340"/>
      <c r="AP31" s="167"/>
      <c r="AQ31" s="167"/>
      <c r="AR31" s="167"/>
      <c r="AS31" s="167"/>
      <c r="AT31" s="433">
        <f>-450+AB30</f>
        <v>0</v>
      </c>
      <c r="AU31" s="393">
        <v>1.5</v>
      </c>
      <c r="AW31" s="356">
        <v>1522</v>
      </c>
      <c r="AY31" s="356">
        <f t="shared" ref="AY31" si="23">+AW31-AG31</f>
        <v>-68</v>
      </c>
    </row>
    <row r="32" spans="2:51" s="98" customFormat="1" ht="62.25" customHeight="1" x14ac:dyDescent="0.9">
      <c r="B32" s="125">
        <f>B31</f>
        <v>6</v>
      </c>
      <c r="C32" s="373"/>
      <c r="D32" s="184"/>
      <c r="E32" s="111">
        <f>+B31</f>
        <v>6</v>
      </c>
      <c r="F32" s="374"/>
      <c r="G32" s="578" t="str">
        <f t="shared" si="22"/>
        <v>2917-496-712</v>
      </c>
      <c r="H32" s="376" t="s">
        <v>400</v>
      </c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215"/>
      <c r="N32" s="215"/>
      <c r="O32" s="215"/>
      <c r="P32" s="215"/>
      <c r="Q32" s="215"/>
      <c r="R32" s="215"/>
      <c r="S32" s="215"/>
      <c r="T32" s="215"/>
      <c r="U32" s="215"/>
      <c r="V32" s="426"/>
      <c r="W32" s="426"/>
      <c r="X32" s="160">
        <f>+IF(H32="l",IF(COUNTA(M31:W31)=AN33+0.75,AB31-K31*AN33,AB31-(K31*COUNTA(M31:W31))),IF(H32="s",0,IF(COUNTA(M31:W31)=AN33+0.75,SUMIF($C:$C,B31,$AB:$AB)-K31*AN33,SUMIF($C:$C,B31,$AB:$AB)-K31*COUNTA(M31:W31))))</f>
        <v>-71.75</v>
      </c>
      <c r="Y32" s="440"/>
      <c r="Z32" s="400"/>
      <c r="AA32" s="541"/>
      <c r="AB32" s="443">
        <f t="shared" ref="AB32" si="24">+SUM(M32:W32)-U32*0.75</f>
        <v>0</v>
      </c>
      <c r="AC32" s="341"/>
      <c r="AD32" s="341"/>
      <c r="AE32" s="440"/>
      <c r="AF32" s="440"/>
      <c r="AG32" s="115"/>
      <c r="AH32" s="116"/>
      <c r="AI32" s="157"/>
      <c r="AJ32" s="161"/>
      <c r="AK32" s="167"/>
      <c r="AL32" s="167"/>
      <c r="AM32" s="230"/>
      <c r="AN32" s="339"/>
      <c r="AO32" s="340"/>
      <c r="AP32" s="167"/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6</v>
      </c>
      <c r="C33" s="375"/>
      <c r="D33" s="174" t="s">
        <v>93</v>
      </c>
      <c r="E33" s="175">
        <f>+E32+100</f>
        <v>106</v>
      </c>
      <c r="F33" s="175"/>
      <c r="G33" s="579" t="str">
        <f t="shared" si="22"/>
        <v>2917-496-712</v>
      </c>
      <c r="H33" s="454">
        <f>+AC30-H31</f>
        <v>-1649</v>
      </c>
      <c r="I33" s="397"/>
      <c r="J33" s="165" t="str">
        <f>+IF(K33="","",IF(K31=0,"",(K31*J31)/(K33*60)))</f>
        <v/>
      </c>
      <c r="K33" s="118"/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>
        <v>65.974545454545449</v>
      </c>
      <c r="AA33" s="168">
        <f>+IF(COUNTA(M31:W31)=$AM$4+0.25,$AM$4-(AB31/K31),COUNTA(M31:W31)-(AB31/K31))+Z33</f>
        <v>68.029090909090911</v>
      </c>
      <c r="AB33" s="444">
        <f t="shared" si="7"/>
        <v>0</v>
      </c>
      <c r="AC33" s="139"/>
      <c r="AD33" s="139"/>
      <c r="AE33" s="441"/>
      <c r="AF33" s="441"/>
      <c r="AG33" s="119">
        <f>+IFERROR(AG31/(K31*$AT$3),"")</f>
        <v>3.3038961038961041</v>
      </c>
      <c r="AH33" s="162"/>
      <c r="AI33" s="161"/>
      <c r="AJ33" s="161"/>
      <c r="AK33" s="167"/>
      <c r="AL33" s="167"/>
      <c r="AM33" s="230"/>
      <c r="AN33" s="342">
        <f>+$AM$4</f>
        <v>8.25</v>
      </c>
      <c r="AO33" s="340"/>
      <c r="AP33" s="167"/>
      <c r="AQ33" s="167"/>
      <c r="AR33" s="167"/>
      <c r="AS33" s="167"/>
      <c r="AT33" s="435"/>
      <c r="AU33" s="393"/>
      <c r="AW33" s="356">
        <v>3.1625974025974024</v>
      </c>
      <c r="AY33" s="356"/>
    </row>
    <row r="34" spans="2:61" s="98" customFormat="1" ht="62.25" customHeight="1" thickTop="1" x14ac:dyDescent="0.9">
      <c r="B34" s="97">
        <f>+B35</f>
        <v>7</v>
      </c>
      <c r="C34" s="370"/>
      <c r="D34" s="106"/>
      <c r="E34" s="106"/>
      <c r="F34" s="106"/>
      <c r="G34" s="577" t="s">
        <v>444</v>
      </c>
      <c r="H34" s="106"/>
      <c r="I34" s="106"/>
      <c r="J34" s="107" t="s">
        <v>20</v>
      </c>
      <c r="K34" s="108" t="s">
        <v>23</v>
      </c>
      <c r="L34" s="100" t="s">
        <v>21</v>
      </c>
      <c r="M34" s="423">
        <v>50</v>
      </c>
      <c r="N34" s="423">
        <v>100</v>
      </c>
      <c r="O34" s="423">
        <v>50</v>
      </c>
      <c r="P34" s="423">
        <v>100</v>
      </c>
      <c r="Q34" s="423">
        <v>50</v>
      </c>
      <c r="R34" s="423"/>
      <c r="S34" s="423">
        <v>50</v>
      </c>
      <c r="T34" s="423">
        <v>100</v>
      </c>
      <c r="U34" s="423">
        <v>50</v>
      </c>
      <c r="V34" s="423"/>
      <c r="W34" s="423"/>
      <c r="X34" s="135">
        <f t="shared" ref="X34" si="25">IF(AT35="","",SUM(M34:W34)-(-(AT35-SUM(M34:W34))/$AT$3)*SUM($M$2:$W$2))</f>
        <v>550</v>
      </c>
      <c r="Y34" s="438"/>
      <c r="Z34" s="400">
        <v>-122</v>
      </c>
      <c r="AA34" s="540">
        <f>+X36</f>
        <v>-92</v>
      </c>
      <c r="AB34" s="135">
        <f t="shared" si="0"/>
        <v>550</v>
      </c>
      <c r="AC34" s="136">
        <f>+AD34+AB34</f>
        <v>3856</v>
      </c>
      <c r="AD34" s="136">
        <v>3306</v>
      </c>
      <c r="AE34" s="438"/>
      <c r="AF34" s="438"/>
      <c r="AG34" s="109"/>
      <c r="AH34" s="110"/>
      <c r="AI34" s="157"/>
      <c r="AJ34" s="161">
        <f t="shared" si="1"/>
        <v>0</v>
      </c>
      <c r="AK34" s="167">
        <f t="shared" si="2"/>
        <v>0</v>
      </c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1.35">
      <c r="B35" s="132">
        <v>7</v>
      </c>
      <c r="C35" s="371">
        <f>+B35</f>
        <v>7</v>
      </c>
      <c r="D35" s="372" t="s">
        <v>443</v>
      </c>
      <c r="E35" s="111"/>
      <c r="F35" s="111" t="s">
        <v>35</v>
      </c>
      <c r="G35" s="578" t="str">
        <f>+G34</f>
        <v>2917-496-712</v>
      </c>
      <c r="H35" s="450">
        <v>7000</v>
      </c>
      <c r="I35" s="111" t="s">
        <v>33</v>
      </c>
      <c r="J35" s="113">
        <v>42.84</v>
      </c>
      <c r="K35" s="130">
        <v>60</v>
      </c>
      <c r="L35" s="101" t="s">
        <v>17</v>
      </c>
      <c r="M35" s="214">
        <v>53</v>
      </c>
      <c r="N35" s="214">
        <v>43</v>
      </c>
      <c r="O35" s="214">
        <v>44</v>
      </c>
      <c r="P35" s="214">
        <v>50</v>
      </c>
      <c r="Q35" s="214">
        <v>50</v>
      </c>
      <c r="R35" s="214">
        <v>50</v>
      </c>
      <c r="S35" s="214">
        <v>50</v>
      </c>
      <c r="T35" s="214">
        <v>50</v>
      </c>
      <c r="U35" s="214">
        <v>13</v>
      </c>
      <c r="V35" s="424"/>
      <c r="W35" s="424"/>
      <c r="X35" s="123">
        <f>+IF(H36="s",0,IF(AB35=0,0,IF(COUNTA(M35:W35)=AN37+0.75,SUMIF($C:$C,B35,$AB:$AB)/AN37,SUMIF($C:$C,B35,$AB:$AB)/(COUNTA(M35:W35)))))</f>
        <v>48.848484848484851</v>
      </c>
      <c r="Y35" s="439"/>
      <c r="Z35" s="400"/>
      <c r="AA35" s="541"/>
      <c r="AB35" s="134">
        <f t="shared" si="0"/>
        <v>403</v>
      </c>
      <c r="AC35" s="137">
        <f>+AB35+AD35</f>
        <v>2950</v>
      </c>
      <c r="AD35" s="137">
        <v>2547</v>
      </c>
      <c r="AE35" s="439">
        <v>0</v>
      </c>
      <c r="AF35" s="439">
        <f>+AE35+Y35</f>
        <v>0</v>
      </c>
      <c r="AG35" s="140">
        <f>+AC34-AC35</f>
        <v>906</v>
      </c>
      <c r="AH35" s="131">
        <f>+IF(((AB36+(AB37/2))*60)=0,"",(J35*AB35)/((AB36+(AB37/2))*60))</f>
        <v>0.72274285714285713</v>
      </c>
      <c r="AI35" s="161">
        <f>+AB36+AB37/2</f>
        <v>398.125</v>
      </c>
      <c r="AJ35" s="161">
        <f t="shared" si="1"/>
        <v>398.07499999999999</v>
      </c>
      <c r="AK35" s="167">
        <f t="shared" si="2"/>
        <v>23887.5</v>
      </c>
      <c r="AL35" s="167">
        <f>+AB35*J35</f>
        <v>17264.52</v>
      </c>
      <c r="AM35" s="230">
        <f>+AB35-(AI35*K35/K37)</f>
        <v>-84.5</v>
      </c>
      <c r="AN35" s="339"/>
      <c r="AO35" s="340"/>
      <c r="AP35" s="167"/>
      <c r="AQ35" s="167"/>
      <c r="AR35" s="167"/>
      <c r="AS35" s="167"/>
      <c r="AT35" s="433">
        <f>-550+AB34</f>
        <v>0</v>
      </c>
      <c r="AU35" s="393">
        <v>1.5</v>
      </c>
      <c r="AW35" s="356">
        <v>759</v>
      </c>
      <c r="AY35" s="356">
        <f t="shared" ref="AY35" si="26">+AW35-AG35</f>
        <v>-147</v>
      </c>
      <c r="AZ35" s="581"/>
      <c r="BA35" s="581"/>
      <c r="BB35" s="581"/>
      <c r="BC35" s="581"/>
      <c r="BD35" s="581"/>
      <c r="BE35" s="581"/>
      <c r="BF35" s="581"/>
      <c r="BG35" s="581"/>
      <c r="BH35" s="581"/>
      <c r="BI35" s="581"/>
    </row>
    <row r="36" spans="2:61" s="98" customFormat="1" ht="62.25" customHeight="1" x14ac:dyDescent="0.9">
      <c r="B36" s="125">
        <f>B35</f>
        <v>7</v>
      </c>
      <c r="C36" s="373"/>
      <c r="D36" s="184"/>
      <c r="E36" s="111">
        <f>+B35</f>
        <v>7</v>
      </c>
      <c r="F36" s="374"/>
      <c r="G36" s="578" t="str">
        <f>+G34</f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/>
      <c r="K36" s="114" t="s">
        <v>22</v>
      </c>
      <c r="L36" s="102" t="s">
        <v>18</v>
      </c>
      <c r="M36" s="425">
        <v>46</v>
      </c>
      <c r="N36" s="425">
        <v>48</v>
      </c>
      <c r="O36" s="425">
        <v>48</v>
      </c>
      <c r="P36" s="425">
        <v>48</v>
      </c>
      <c r="Q36" s="425">
        <v>48</v>
      </c>
      <c r="R36" s="425">
        <v>48</v>
      </c>
      <c r="S36" s="425">
        <v>48</v>
      </c>
      <c r="T36" s="425">
        <v>48</v>
      </c>
      <c r="U36" s="425">
        <v>48</v>
      </c>
      <c r="V36" s="426"/>
      <c r="W36" s="426"/>
      <c r="X36" s="160">
        <f>+IF(H36="l",IF(COUNTA(M35:W35)=AN37+0.75,AB35-K35*AN37,AB35-(K35*COUNTA(M35:W35))),IF(H36="s",0,IF(COUNTA(M35:W35)=AN37+0.75,SUMIF($C:$C,B35,$AB:$AB)-K35*AN37,SUMIF($C:$C,B35,$AB:$AB)-K35*COUNTA(M35:W35))))</f>
        <v>-92</v>
      </c>
      <c r="Y36" s="440"/>
      <c r="Z36" s="400"/>
      <c r="AA36" s="541"/>
      <c r="AB36" s="443">
        <f t="shared" ref="AB36" si="27">+SUM(M36:W36)-U36*0.75</f>
        <v>394</v>
      </c>
      <c r="AC36" s="341"/>
      <c r="AD36" s="341"/>
      <c r="AE36" s="440"/>
      <c r="AF36" s="440"/>
      <c r="AG36" s="115"/>
      <c r="AH36" s="116"/>
      <c r="AI36" s="157"/>
      <c r="AJ36" s="161">
        <f t="shared" si="1"/>
        <v>0</v>
      </c>
      <c r="AK36" s="167">
        <f t="shared" si="2"/>
        <v>0</v>
      </c>
      <c r="AL36" s="167"/>
      <c r="AM36" s="167"/>
      <c r="AN36" s="339"/>
      <c r="AO36" s="340">
        <f>+IF(AN37=7.75,SUM(M36:S36)+T36*0.75,IF(AN37=8,SUM(M36:T36),IF(AN37=7.25,SUM(M36:S36)+T36*0.25,IF(AN37=8.25,SUM(M36:T36)+U36*0.25,IF(AN37=8.75,SUM(M36:T36)+U36*0.75,0)))))</f>
        <v>394</v>
      </c>
      <c r="AP36" s="167">
        <f>+AO36-AB36</f>
        <v>0</v>
      </c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9">
        <f>B35</f>
        <v>7</v>
      </c>
      <c r="C37" s="375"/>
      <c r="D37" s="174" t="s">
        <v>93</v>
      </c>
      <c r="E37" s="175">
        <f>+E36+100</f>
        <v>107</v>
      </c>
      <c r="F37" s="175"/>
      <c r="G37" s="579" t="str">
        <f>+G34</f>
        <v>2917-496-712</v>
      </c>
      <c r="H37" s="454">
        <f>+AC34-H35</f>
        <v>-3144</v>
      </c>
      <c r="I37" s="397"/>
      <c r="J37" s="165">
        <v>0.91625000000000001</v>
      </c>
      <c r="K37" s="118">
        <v>49</v>
      </c>
      <c r="L37" s="104" t="s">
        <v>19</v>
      </c>
      <c r="M37" s="427">
        <v>1</v>
      </c>
      <c r="N37" s="427">
        <v>1</v>
      </c>
      <c r="O37" s="427">
        <v>1</v>
      </c>
      <c r="P37" s="427">
        <v>1</v>
      </c>
      <c r="Q37" s="427">
        <v>1</v>
      </c>
      <c r="R37" s="427">
        <v>1</v>
      </c>
      <c r="S37" s="427">
        <v>1</v>
      </c>
      <c r="T37" s="427">
        <v>1</v>
      </c>
      <c r="U37" s="427">
        <v>1</v>
      </c>
      <c r="V37" s="428"/>
      <c r="W37" s="428"/>
      <c r="X37" s="173"/>
      <c r="Y37" s="441"/>
      <c r="Z37" s="401">
        <v>25.146666666666668</v>
      </c>
      <c r="AA37" s="168">
        <f>+IF(COUNTA(M35:W35)=$AM$4+0.25,$AM$4-(AB35/K35),COUNTA(M35:W35)-(AB35/K35))+Z37</f>
        <v>27.43</v>
      </c>
      <c r="AB37" s="444">
        <f t="shared" si="7"/>
        <v>8.25</v>
      </c>
      <c r="AC37" s="139"/>
      <c r="AD37" s="139"/>
      <c r="AE37" s="441"/>
      <c r="AF37" s="441"/>
      <c r="AG37" s="119">
        <f>+IFERROR(AG35/(K35*$AT$3),"")</f>
        <v>1.7257142857142858</v>
      </c>
      <c r="AH37" s="162"/>
      <c r="AI37" s="161"/>
      <c r="AJ37" s="161">
        <f t="shared" si="1"/>
        <v>0</v>
      </c>
      <c r="AK37" s="167">
        <f t="shared" si="2"/>
        <v>0</v>
      </c>
      <c r="AL37" s="167"/>
      <c r="AM37" s="230"/>
      <c r="AN37" s="342">
        <f>+$AM$4</f>
        <v>8.25</v>
      </c>
      <c r="AO37" s="340">
        <f>+IF(AN37=7.75,SUM(M37:S37)+T37*0.75,IF(AN37=8,SUM(M37:T37),IF(AN37=7.25,SUM(M37:S37)+T37*0.25,IF(AN37=8.25,SUM(M37:T37)+U37*0.25,IF(AN37=8.75,SUM(M37:T37)+U37*0.75,0)))))</f>
        <v>8.25</v>
      </c>
      <c r="AP37" s="167">
        <f>+AO37-AB37</f>
        <v>0</v>
      </c>
      <c r="AQ37" s="167"/>
      <c r="AR37" s="167"/>
      <c r="AS37" s="167"/>
      <c r="AT37" s="435"/>
      <c r="AU37" s="393"/>
      <c r="AW37" s="356">
        <v>1.4457142857142857</v>
      </c>
      <c r="AY37" s="356"/>
    </row>
    <row r="38" spans="2:61" s="98" customFormat="1" ht="62.25" customHeight="1" thickTop="1" x14ac:dyDescent="0.9">
      <c r="B38" s="97">
        <f>+B39</f>
        <v>8</v>
      </c>
      <c r="C38" s="370"/>
      <c r="D38" s="106"/>
      <c r="E38" s="106"/>
      <c r="F38" s="106"/>
      <c r="G38" s="582" t="s">
        <v>442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100</v>
      </c>
      <c r="N38" s="423">
        <v>100</v>
      </c>
      <c r="O38" s="423">
        <v>150</v>
      </c>
      <c r="P38" s="423"/>
      <c r="Q38" s="423"/>
      <c r="R38" s="423"/>
      <c r="S38" s="423"/>
      <c r="T38" s="423"/>
      <c r="U38" s="423"/>
      <c r="V38" s="423"/>
      <c r="W38" s="423"/>
      <c r="X38" s="135">
        <f t="shared" ref="X38" si="28">IF(AT39="","",SUM(M38:W38)-(-(AT39-SUM(M38:W38))/$AT$3)*SUM($M$2:$W$2))</f>
        <v>350</v>
      </c>
      <c r="Y38" s="438"/>
      <c r="Z38" s="400">
        <v>0.5</v>
      </c>
      <c r="AA38" s="540">
        <f>+X40</f>
        <v>0.5</v>
      </c>
      <c r="AB38" s="135">
        <f t="shared" si="0"/>
        <v>350</v>
      </c>
      <c r="AC38" s="136">
        <f>+AD38+AB38</f>
        <v>6435</v>
      </c>
      <c r="AD38" s="136">
        <v>6085</v>
      </c>
      <c r="AE38" s="438"/>
      <c r="AF38" s="438"/>
      <c r="AG38" s="109"/>
      <c r="AH38" s="110"/>
      <c r="AI38" s="157"/>
      <c r="AJ38" s="161">
        <f t="shared" si="1"/>
        <v>0</v>
      </c>
      <c r="AK38" s="167">
        <f t="shared" si="2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0.9">
      <c r="B39" s="132">
        <v>8</v>
      </c>
      <c r="C39" s="371">
        <f>+B39</f>
        <v>8</v>
      </c>
      <c r="D39" s="372" t="s">
        <v>441</v>
      </c>
      <c r="E39" s="111"/>
      <c r="F39" s="111" t="s">
        <v>35</v>
      </c>
      <c r="G39" s="582" t="str">
        <f>+G38</f>
        <v>7741-793-052</v>
      </c>
      <c r="H39" s="450">
        <v>11500</v>
      </c>
      <c r="I39" s="111" t="s">
        <v>33</v>
      </c>
      <c r="J39" s="113">
        <v>55.14</v>
      </c>
      <c r="K39" s="130">
        <v>46</v>
      </c>
      <c r="L39" s="101" t="s">
        <v>17</v>
      </c>
      <c r="M39" s="214">
        <v>46</v>
      </c>
      <c r="N39" s="214">
        <v>46</v>
      </c>
      <c r="O39" s="214">
        <v>46</v>
      </c>
      <c r="P39" s="214">
        <v>46</v>
      </c>
      <c r="Q39" s="214">
        <v>46</v>
      </c>
      <c r="R39" s="214">
        <v>46</v>
      </c>
      <c r="S39" s="214">
        <v>46</v>
      </c>
      <c r="T39" s="214">
        <v>46</v>
      </c>
      <c r="U39" s="214">
        <v>12</v>
      </c>
      <c r="V39" s="424"/>
      <c r="W39" s="424"/>
      <c r="X39" s="123">
        <f>+IF(H40="s",0,IF(AB39=0,0,IF(COUNTA(M39:W39)=AN41+0.75,SUMIF($C:$C,B39,$AB:$AB)/AN41,SUMIF($C:$C,B39,$AB:$AB)/(COUNTA(M39:W39)))))</f>
        <v>46.060606060606062</v>
      </c>
      <c r="Y39" s="439"/>
      <c r="Z39" s="400"/>
      <c r="AA39" s="541"/>
      <c r="AB39" s="134">
        <f t="shared" si="0"/>
        <v>380</v>
      </c>
      <c r="AC39" s="137">
        <f>+AB39+AD39</f>
        <v>5330</v>
      </c>
      <c r="AD39" s="137">
        <v>4950</v>
      </c>
      <c r="AE39" s="439">
        <v>0</v>
      </c>
      <c r="AF39" s="439">
        <f>+AE39+Y39</f>
        <v>0</v>
      </c>
      <c r="AG39" s="140">
        <f>+AC38-AC39</f>
        <v>1105</v>
      </c>
      <c r="AH39" s="131">
        <f>+IF(((AB40+(AB41/2))*60)=0,"",(J39*AB39)/((AB40+(AB41/2))*60))</f>
        <v>0.86816656308266005</v>
      </c>
      <c r="AI39" s="161">
        <f>+AB40+AB41/2</f>
        <v>402.25</v>
      </c>
      <c r="AJ39" s="161">
        <f t="shared" si="1"/>
        <v>402.15</v>
      </c>
      <c r="AK39" s="167">
        <f t="shared" si="2"/>
        <v>24135</v>
      </c>
      <c r="AL39" s="167">
        <f>+AB39*J39</f>
        <v>20953.2</v>
      </c>
      <c r="AM39" s="230">
        <f>+AB39-(AI39*K39/K41)</f>
        <v>2.3775510204081911</v>
      </c>
      <c r="AN39" s="339"/>
      <c r="AO39" s="340"/>
      <c r="AP39" s="167"/>
      <c r="AQ39" s="167"/>
      <c r="AR39" s="167"/>
      <c r="AS39" s="167"/>
      <c r="AT39" s="433">
        <f t="shared" ref="AT39" si="29">IF(AU39=0,"",AW39-(($AT$3*K39)+($AT$3*K39)*AU39)+AB38)</f>
        <v>76.25</v>
      </c>
      <c r="AU39" s="393">
        <v>2.5</v>
      </c>
      <c r="AW39" s="356">
        <v>1135</v>
      </c>
      <c r="AY39" s="356">
        <f t="shared" ref="AY39" si="30">+AW39-AG39</f>
        <v>30</v>
      </c>
    </row>
    <row r="40" spans="2:61" s="98" customFormat="1" ht="62.25" customHeight="1" x14ac:dyDescent="0.9">
      <c r="B40" s="125">
        <f>+B39</f>
        <v>8</v>
      </c>
      <c r="C40" s="373"/>
      <c r="D40" s="184"/>
      <c r="E40" s="111">
        <f>+B39</f>
        <v>8</v>
      </c>
      <c r="F40" s="374"/>
      <c r="G40" s="582" t="str">
        <f>+G39</f>
        <v>7741-793-052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47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+IF(H40="l",IF(COUNTA(M39:W39)=AN41+0.75,AB39-K39*AN41,AB39-(K39*COUNTA(M39:W39))),IF(H40="s",0,IF(COUNTA(M39:W39)=AN41+0.75,SUMIF($C:$C,B39,$AB:$AB)-K39*AN41,SUMIF($C:$C,B39,$AB:$AB)-K39*COUNTA(M39:W39))))</f>
        <v>0.5</v>
      </c>
      <c r="Y40" s="440"/>
      <c r="Z40" s="400"/>
      <c r="AA40" s="541"/>
      <c r="AB40" s="443">
        <f t="shared" ref="AB40" si="31">+SUM(M40:W40)-U40*0.75</f>
        <v>402.25</v>
      </c>
      <c r="AC40" s="341"/>
      <c r="AD40" s="341"/>
      <c r="AE40" s="440"/>
      <c r="AF40" s="440"/>
      <c r="AG40" s="115"/>
      <c r="AH40" s="116"/>
      <c r="AI40" s="157"/>
      <c r="AJ40" s="161">
        <f t="shared" si="1"/>
        <v>0</v>
      </c>
      <c r="AK40" s="167">
        <f t="shared" si="2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402.25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6">
        <f>+B39</f>
        <v>8</v>
      </c>
      <c r="C41" s="375"/>
      <c r="D41" s="174" t="s">
        <v>373</v>
      </c>
      <c r="E41" s="175">
        <f>+E40+100</f>
        <v>108</v>
      </c>
      <c r="F41" s="175"/>
      <c r="G41" s="582" t="str">
        <f>+G40</f>
        <v>7741-793-052</v>
      </c>
      <c r="H41" s="454">
        <f>+AC38-H39</f>
        <v>-5065</v>
      </c>
      <c r="I41" s="397"/>
      <c r="J41" s="165">
        <f>+IF(K41="","",IF(K39=0,"",(K39*J39)/(K41*60)))</f>
        <v>0.86273469387755108</v>
      </c>
      <c r="K41" s="118">
        <v>49</v>
      </c>
      <c r="L41" s="104" t="s">
        <v>19</v>
      </c>
      <c r="M41" s="427"/>
      <c r="N41" s="427"/>
      <c r="O41" s="427"/>
      <c r="P41" s="427"/>
      <c r="Q41" s="427"/>
      <c r="R41" s="427"/>
      <c r="S41" s="427"/>
      <c r="T41" s="427"/>
      <c r="U41" s="427"/>
      <c r="V41" s="428"/>
      <c r="W41" s="428"/>
      <c r="X41" s="173"/>
      <c r="Y41" s="441"/>
      <c r="Z41" s="401">
        <v>24.299090909090911</v>
      </c>
      <c r="AA41" s="169">
        <v>24.299090909090911</v>
      </c>
      <c r="AB41" s="444">
        <f t="shared" si="7"/>
        <v>0</v>
      </c>
      <c r="AC41" s="139"/>
      <c r="AD41" s="139"/>
      <c r="AE41" s="441"/>
      <c r="AF41" s="441"/>
      <c r="AG41" s="119">
        <f>+IFERROR(AG39/(K39*$AT$3),"")</f>
        <v>2.7453416149068324</v>
      </c>
      <c r="AH41" s="162"/>
      <c r="AI41" s="161"/>
      <c r="AJ41" s="161">
        <f t="shared" si="1"/>
        <v>0</v>
      </c>
      <c r="AK41" s="167">
        <f t="shared" si="2"/>
        <v>0</v>
      </c>
      <c r="AL41" s="167"/>
      <c r="AM41" s="230"/>
      <c r="AN41" s="342">
        <f>+$AM$4</f>
        <v>8.25</v>
      </c>
      <c r="AO41" s="340">
        <f>+IF(AN41=7.75,SUM(M41:S41)+T41*0.75,IF(AN41=8,SUM(M41:T41),IF(AN41=7.25,SUM(M41:S41)+T41*0.25,IF(AN41=8.25,SUM(M41:T41)+U41*0.25,IF(AN41=8.75,SUM(M41:T41)+U41*0.75,0)))))</f>
        <v>0</v>
      </c>
      <c r="AP41" s="167">
        <f>+AO41-AB41</f>
        <v>0</v>
      </c>
      <c r="AQ41" s="167"/>
      <c r="AR41" s="167"/>
      <c r="AS41" s="167"/>
      <c r="AT41" s="435"/>
      <c r="AU41" s="393"/>
      <c r="AW41" s="356">
        <v>2.8198757763975157</v>
      </c>
      <c r="AY41" s="356"/>
    </row>
    <row r="42" spans="2:61" s="98" customFormat="1" ht="62.25" customHeight="1" thickTop="1" x14ac:dyDescent="0.9">
      <c r="B42" s="97">
        <f>+B43</f>
        <v>11</v>
      </c>
      <c r="C42" s="370"/>
      <c r="D42" s="106"/>
      <c r="E42" s="106"/>
      <c r="F42" s="106"/>
      <c r="G42" s="577" t="s">
        <v>428</v>
      </c>
      <c r="H42" s="106"/>
      <c r="I42" s="106"/>
      <c r="J42" s="107" t="s">
        <v>20</v>
      </c>
      <c r="K42" s="108" t="s">
        <v>23</v>
      </c>
      <c r="L42" s="100" t="s">
        <v>21</v>
      </c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135" t="str">
        <f t="shared" ref="X42" si="32">IF(AT43="","",SUM(M42:W42)-(-(AT43-SUM(M42:W42))/$AT$3)*SUM($M$2:$W$2))</f>
        <v/>
      </c>
      <c r="Y42" s="438"/>
      <c r="Z42" s="400">
        <v>-173.75</v>
      </c>
      <c r="AA42" s="540">
        <f>+X44</f>
        <v>-342.25</v>
      </c>
      <c r="AB42" s="135">
        <f t="shared" si="0"/>
        <v>0</v>
      </c>
      <c r="AC42" s="136">
        <f>+AD42+AB42</f>
        <v>10477</v>
      </c>
      <c r="AD42" s="136">
        <v>10477</v>
      </c>
      <c r="AE42" s="438"/>
      <c r="AF42" s="438"/>
      <c r="AG42" s="109"/>
      <c r="AH42" s="110"/>
      <c r="AI42" s="157"/>
      <c r="AJ42" s="161">
        <f t="shared" si="1"/>
        <v>0</v>
      </c>
      <c r="AK42" s="167">
        <f t="shared" si="2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11</v>
      </c>
      <c r="C43" s="371">
        <v>11</v>
      </c>
      <c r="D43" s="372" t="s">
        <v>427</v>
      </c>
      <c r="E43" s="111"/>
      <c r="F43" s="111" t="s">
        <v>426</v>
      </c>
      <c r="G43" s="578" t="str">
        <f>+G42</f>
        <v>NUDIE-301580</v>
      </c>
      <c r="H43" s="450">
        <v>10450</v>
      </c>
      <c r="I43" s="111" t="s">
        <v>425</v>
      </c>
      <c r="J43" s="113">
        <v>44.17</v>
      </c>
      <c r="K43" s="130">
        <v>65</v>
      </c>
      <c r="L43" s="101" t="s">
        <v>17</v>
      </c>
      <c r="M43" s="214">
        <v>32</v>
      </c>
      <c r="N43" s="214">
        <v>30</v>
      </c>
      <c r="O43" s="214">
        <v>25</v>
      </c>
      <c r="P43" s="214">
        <v>20</v>
      </c>
      <c r="Q43" s="214">
        <v>20</v>
      </c>
      <c r="R43" s="214">
        <v>20</v>
      </c>
      <c r="S43" s="214">
        <v>19</v>
      </c>
      <c r="T43" s="214">
        <v>20</v>
      </c>
      <c r="U43" s="214">
        <v>8</v>
      </c>
      <c r="V43" s="214"/>
      <c r="W43" s="424"/>
      <c r="X43" s="123">
        <f>+IF(H44="s",0,IF(AB43=0,0,IF(COUNTA(M43:W43)=AN45+0.75,SUMIF($C:$C,B43,$AB:$AB)/AN45,SUMIF($C:$C,B43,$AB:$AB)/(COUNTA(M43:W43)))))</f>
        <v>23.515151515151516</v>
      </c>
      <c r="Y43" s="439"/>
      <c r="Z43" s="400"/>
      <c r="AA43" s="541"/>
      <c r="AB43" s="134">
        <f t="shared" si="0"/>
        <v>194</v>
      </c>
      <c r="AC43" s="137">
        <f>+AB43+AD43</f>
        <v>10406</v>
      </c>
      <c r="AD43" s="137">
        <v>10212</v>
      </c>
      <c r="AE43" s="439">
        <v>0</v>
      </c>
      <c r="AF43" s="439">
        <f>+AE43+Y43</f>
        <v>0</v>
      </c>
      <c r="AG43" s="140">
        <f>+AC42-AC43</f>
        <v>71</v>
      </c>
      <c r="AH43" s="131">
        <f>+IF(((AB44+(AB45/2))*60)=0,"",(J43*AB43)/((AB44+(AB45/2))*60))</f>
        <v>0.36903445305770888</v>
      </c>
      <c r="AI43" s="161">
        <f>+AB44+AB45/2</f>
        <v>387</v>
      </c>
      <c r="AJ43" s="161">
        <f t="shared" si="1"/>
        <v>387</v>
      </c>
      <c r="AK43" s="167">
        <f t="shared" si="2"/>
        <v>23220</v>
      </c>
      <c r="AL43" s="167">
        <f>+AB43*J43</f>
        <v>8568.98</v>
      </c>
      <c r="AM43" s="230">
        <f>+AB43-(AI43*K43/K45)</f>
        <v>-271.83333333333331</v>
      </c>
      <c r="AN43" s="339"/>
      <c r="AO43" s="340"/>
      <c r="AP43" s="167"/>
      <c r="AQ43" s="167"/>
      <c r="AR43" s="167"/>
      <c r="AS43" s="167"/>
      <c r="AT43" s="433"/>
      <c r="AU43" s="393"/>
      <c r="AW43" s="356">
        <v>265</v>
      </c>
      <c r="AY43" s="356">
        <f t="shared" ref="AY43" si="33">+AW43-AG43</f>
        <v>194</v>
      </c>
    </row>
    <row r="44" spans="2:61" s="98" customFormat="1" ht="62.25" customHeight="1" x14ac:dyDescent="0.9">
      <c r="B44" s="125">
        <f>+B43</f>
        <v>11</v>
      </c>
      <c r="C44" s="373"/>
      <c r="D44" s="184"/>
      <c r="E44" s="111">
        <f>+B43</f>
        <v>11</v>
      </c>
      <c r="F44" s="374"/>
      <c r="G44" s="578" t="str">
        <f>+G43</f>
        <v>NUDIE-301580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>
        <v>1</v>
      </c>
      <c r="K44" s="114" t="s">
        <v>22</v>
      </c>
      <c r="L44" s="102" t="s">
        <v>18</v>
      </c>
      <c r="M44" s="425">
        <v>49</v>
      </c>
      <c r="N44" s="425">
        <v>49</v>
      </c>
      <c r="O44" s="425">
        <v>49</v>
      </c>
      <c r="P44" s="425">
        <v>47</v>
      </c>
      <c r="Q44" s="425">
        <v>46</v>
      </c>
      <c r="R44" s="425">
        <v>46</v>
      </c>
      <c r="S44" s="425">
        <v>46</v>
      </c>
      <c r="T44" s="425">
        <v>44</v>
      </c>
      <c r="U44" s="425">
        <v>44</v>
      </c>
      <c r="V44" s="425"/>
      <c r="W44" s="426"/>
      <c r="X44" s="160">
        <f>+IF(H44="l",IF(COUNTA(M43:W43)=AN45+0.75,AB43-K43*AN45,AB43-(K43*COUNTA(M43:W43))),IF(H44="s",0,IF(COUNTA(M43:W43)=AN45+0.75,SUMIF($C:$C,B43,$AB:$AB)-K43*AN45,SUMIF($C:$C,B43,$AB:$AB)-K43*COUNTA(M43:W43))))</f>
        <v>-342.25</v>
      </c>
      <c r="Y44" s="440"/>
      <c r="Z44" s="400"/>
      <c r="AA44" s="541"/>
      <c r="AB44" s="443">
        <f t="shared" ref="AB44" si="34">+SUM(M44:W44)-U44*0.75</f>
        <v>387</v>
      </c>
      <c r="AC44" s="341"/>
      <c r="AD44" s="341"/>
      <c r="AE44" s="440"/>
      <c r="AF44" s="440"/>
      <c r="AG44" s="115"/>
      <c r="AH44" s="116"/>
      <c r="AI44" s="157"/>
      <c r="AJ44" s="161">
        <f t="shared" si="1"/>
        <v>0</v>
      </c>
      <c r="AK44" s="167">
        <f t="shared" si="2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387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11</v>
      </c>
      <c r="C45" s="375"/>
      <c r="D45" s="174" t="s">
        <v>403</v>
      </c>
      <c r="E45" s="175">
        <f>+E44+100</f>
        <v>111</v>
      </c>
      <c r="F45" s="175"/>
      <c r="G45" s="579" t="str">
        <f>+G44</f>
        <v>NUDIE-301580</v>
      </c>
      <c r="H45" s="454">
        <f>+AC42-H43</f>
        <v>27</v>
      </c>
      <c r="I45" s="397"/>
      <c r="J45" s="165">
        <f>+IF(K45="","",IF(K43=0,"",(K43*J43)/(K45*60)))</f>
        <v>0.8861265432098766</v>
      </c>
      <c r="K45" s="118">
        <v>54</v>
      </c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8"/>
      <c r="X45" s="173"/>
      <c r="Y45" s="441"/>
      <c r="Z45" s="401">
        <v>46.941105769230759</v>
      </c>
      <c r="AA45" s="401">
        <v>46.941105769230759</v>
      </c>
      <c r="AB45" s="444">
        <f t="shared" si="7"/>
        <v>0</v>
      </c>
      <c r="AC45" s="139"/>
      <c r="AD45" s="139"/>
      <c r="AE45" s="441"/>
      <c r="AF45" s="441"/>
      <c r="AG45" s="119">
        <f>+IFERROR(AG43/(K43*$AT$3),"")</f>
        <v>0.12483516483516484</v>
      </c>
      <c r="AH45" s="162"/>
      <c r="AI45" s="161"/>
      <c r="AJ45" s="161">
        <f t="shared" si="1"/>
        <v>0</v>
      </c>
      <c r="AK45" s="167">
        <f t="shared" si="2"/>
        <v>0</v>
      </c>
      <c r="AL45" s="167"/>
      <c r="AM45" s="230"/>
      <c r="AN45" s="342">
        <f>+$AM$4</f>
        <v>8.25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0.46593406593406594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82" t="s">
        <v>474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50</v>
      </c>
      <c r="N46" s="423"/>
      <c r="O46" s="423"/>
      <c r="P46" s="423"/>
      <c r="Q46" s="423">
        <v>50</v>
      </c>
      <c r="R46" s="423">
        <v>50</v>
      </c>
      <c r="S46" s="423">
        <v>50</v>
      </c>
      <c r="T46" s="423"/>
      <c r="U46" s="423"/>
      <c r="V46" s="423"/>
      <c r="W46" s="423"/>
      <c r="X46" s="135">
        <f t="shared" ref="X46" si="35">IF(AT47="","",SUM(M46:W46)-(-(AT47-SUM(M46:W46))/$AT$3)*SUM($M$2:$W$2))</f>
        <v>200</v>
      </c>
      <c r="Y46" s="438"/>
      <c r="Z46" s="400">
        <v>0</v>
      </c>
      <c r="AA46" s="540">
        <f>+X48</f>
        <v>0</v>
      </c>
      <c r="AB46" s="135">
        <f t="shared" si="0"/>
        <v>200</v>
      </c>
      <c r="AC46" s="136">
        <f>+AD46+AB46</f>
        <v>250</v>
      </c>
      <c r="AD46" s="136">
        <v>50</v>
      </c>
      <c r="AE46" s="438"/>
      <c r="AF46" s="438"/>
      <c r="AG46" s="109"/>
      <c r="AH46" s="110"/>
      <c r="AI46" s="157"/>
      <c r="AJ46" s="161">
        <f t="shared" si="1"/>
        <v>0</v>
      </c>
      <c r="AK46" s="167">
        <f t="shared" si="2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475</v>
      </c>
      <c r="E47" s="111"/>
      <c r="F47" s="111" t="s">
        <v>447</v>
      </c>
      <c r="G47" s="582" t="s">
        <v>474</v>
      </c>
      <c r="H47" s="450">
        <v>3360</v>
      </c>
      <c r="I47" s="111" t="s">
        <v>476</v>
      </c>
      <c r="J47" s="113">
        <v>38.65</v>
      </c>
      <c r="K47" s="130">
        <v>65</v>
      </c>
      <c r="L47" s="101" t="s">
        <v>17</v>
      </c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424"/>
      <c r="X47" s="123">
        <f>+IF(H48="s",0,IF(AB47=0,0,IF(COUNTA(M47:W47)=AN49+0.75,SUMIF($C:$C,B47,$AB:$AB)/AN49,SUMIF($C:$C,B47,$AB:$AB)/(COUNTA(M47:W47)))))</f>
        <v>0</v>
      </c>
      <c r="Y47" s="439"/>
      <c r="Z47" s="400"/>
      <c r="AA47" s="541"/>
      <c r="AB47" s="134">
        <f t="shared" si="0"/>
        <v>0</v>
      </c>
      <c r="AC47" s="137">
        <f>+AB47+AD47</f>
        <v>0</v>
      </c>
      <c r="AD47" s="137">
        <v>0</v>
      </c>
      <c r="AE47" s="439">
        <v>0</v>
      </c>
      <c r="AF47" s="439">
        <f>+AE47+Y47</f>
        <v>0</v>
      </c>
      <c r="AG47" s="140">
        <f>+AC46-AC47</f>
        <v>250</v>
      </c>
      <c r="AH47" s="131">
        <f>+IF(((AB48+(AB49/2))*60)=0,"",(J47*AB47)/((AB48+(AB49/2))*60))</f>
        <v>0</v>
      </c>
      <c r="AI47" s="161">
        <f>+AB48+AB49/2</f>
        <v>32.5</v>
      </c>
      <c r="AJ47" s="161">
        <f t="shared" si="1"/>
        <v>32.299999999999997</v>
      </c>
      <c r="AK47" s="167">
        <f t="shared" si="2"/>
        <v>1950</v>
      </c>
      <c r="AL47" s="167">
        <f>+AB47*J47</f>
        <v>0</v>
      </c>
      <c r="AM47" s="230">
        <f>+AB47-(AI47*K47/K49)</f>
        <v>-44.010416666666664</v>
      </c>
      <c r="AN47" s="339"/>
      <c r="AO47" s="340"/>
      <c r="AP47" s="167"/>
      <c r="AQ47" s="167"/>
      <c r="AR47" s="167"/>
      <c r="AS47" s="167"/>
      <c r="AT47" s="433">
        <f>-200+AB46</f>
        <v>0</v>
      </c>
      <c r="AU47" s="393">
        <v>1.5</v>
      </c>
      <c r="AW47" s="356">
        <v>50</v>
      </c>
      <c r="AY47" s="356">
        <f t="shared" ref="AY47" si="36">+AW47-AG47</f>
        <v>-200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82" t="s">
        <v>474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3</v>
      </c>
      <c r="N48" s="425">
        <v>3</v>
      </c>
      <c r="O48" s="425">
        <v>3</v>
      </c>
      <c r="P48" s="425">
        <v>4</v>
      </c>
      <c r="Q48" s="425">
        <v>4</v>
      </c>
      <c r="R48" s="425">
        <v>4</v>
      </c>
      <c r="S48" s="425">
        <v>4</v>
      </c>
      <c r="T48" s="425">
        <v>6</v>
      </c>
      <c r="U48" s="425">
        <v>6</v>
      </c>
      <c r="V48" s="425"/>
      <c r="W48" s="426"/>
      <c r="X48" s="160">
        <f>+IF(H48="l",IF(COUNTA(M47:W47)=AN49+0.75,AB47-K47*AN49,AB47-(K47*COUNTA(M47:W47))),IF(H48="s",0,IF(COUNTA(M47:W47)=AN49+0.75,SUMIF($C:$C,B47,$AB:$AB)-K47*AN49,SUMIF($C:$C,B47,$AB:$AB)-K47*COUNTA(M47:W47))))</f>
        <v>0</v>
      </c>
      <c r="Y48" s="440"/>
      <c r="Z48" s="400"/>
      <c r="AA48" s="541"/>
      <c r="AB48" s="443">
        <f t="shared" ref="AB48" si="37">+SUM(M48:W48)-U48*0.75</f>
        <v>32.5</v>
      </c>
      <c r="AC48" s="341"/>
      <c r="AD48" s="341"/>
      <c r="AE48" s="440"/>
      <c r="AF48" s="440"/>
      <c r="AG48" s="115"/>
      <c r="AH48" s="116"/>
      <c r="AI48" s="157"/>
      <c r="AJ48" s="161">
        <f t="shared" si="1"/>
        <v>0</v>
      </c>
      <c r="AK48" s="167">
        <f t="shared" si="2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32.5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6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82" t="s">
        <v>474</v>
      </c>
      <c r="H49" s="454">
        <f>+AC46-H47</f>
        <v>-3110</v>
      </c>
      <c r="I49" s="397"/>
      <c r="J49" s="165">
        <f>+IF(K49="","",IF(K47=0,"",(K47*J47)/(K49*60)))</f>
        <v>0.87230902777777775</v>
      </c>
      <c r="K49" s="118">
        <v>48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7"/>
        <v>0</v>
      </c>
      <c r="AC49" s="139"/>
      <c r="AD49" s="139"/>
      <c r="AE49" s="441"/>
      <c r="AF49" s="441"/>
      <c r="AG49" s="119">
        <f>+IFERROR(AG47/(K47*$AT$3),"")</f>
        <v>0.43956043956043955</v>
      </c>
      <c r="AH49" s="162"/>
      <c r="AI49" s="161"/>
      <c r="AJ49" s="161">
        <f t="shared" si="1"/>
        <v>0</v>
      </c>
      <c r="AK49" s="167">
        <f t="shared" si="2"/>
        <v>0</v>
      </c>
      <c r="AL49" s="167"/>
      <c r="AM49" s="230"/>
      <c r="AN49" s="342">
        <f>+$AM$4</f>
        <v>8.25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 t="s">
        <v>429</v>
      </c>
      <c r="AY49" s="356"/>
    </row>
    <row r="50" spans="2:61" s="98" customFormat="1" ht="62.25" customHeight="1" thickTop="1" x14ac:dyDescent="0.9">
      <c r="B50" s="97">
        <f>+B51</f>
        <v>12</v>
      </c>
      <c r="C50" s="370"/>
      <c r="D50" s="106"/>
      <c r="E50" s="106"/>
      <c r="F50" s="106"/>
      <c r="G50" s="577" t="s">
        <v>433</v>
      </c>
      <c r="H50" s="106"/>
      <c r="I50" s="111"/>
      <c r="J50" s="107" t="s">
        <v>20</v>
      </c>
      <c r="K50" s="108" t="s">
        <v>23</v>
      </c>
      <c r="L50" s="100" t="s">
        <v>21</v>
      </c>
      <c r="M50" s="423">
        <v>150</v>
      </c>
      <c r="N50" s="423">
        <v>150</v>
      </c>
      <c r="O50" s="423">
        <v>150</v>
      </c>
      <c r="P50" s="423"/>
      <c r="Q50" s="423">
        <v>75</v>
      </c>
      <c r="R50" s="423"/>
      <c r="S50" s="423"/>
      <c r="T50" s="423"/>
      <c r="U50" s="423"/>
      <c r="V50" s="423"/>
      <c r="W50" s="423"/>
      <c r="X50" s="135">
        <f t="shared" ref="X50" si="38">IF(AT51="","",SUM(M50:W50)-(-(AT51-SUM(M50:W50))/$AT$3)*SUM($M$2:$W$2))</f>
        <v>525</v>
      </c>
      <c r="Y50" s="438"/>
      <c r="Z50" s="400">
        <v>0.5</v>
      </c>
      <c r="AA50" s="540">
        <f>+X52</f>
        <v>0.5</v>
      </c>
      <c r="AB50" s="135">
        <f t="shared" si="0"/>
        <v>525</v>
      </c>
      <c r="AC50" s="136">
        <f>+AD50+AB50</f>
        <v>10426</v>
      </c>
      <c r="AD50" s="136">
        <v>9901</v>
      </c>
      <c r="AE50" s="438"/>
      <c r="AF50" s="438"/>
      <c r="AG50" s="109"/>
      <c r="AH50" s="110"/>
      <c r="AI50" s="157"/>
      <c r="AJ50" s="161">
        <f t="shared" si="1"/>
        <v>0</v>
      </c>
      <c r="AK50" s="167">
        <f t="shared" si="2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61" s="98" customFormat="1" ht="62.25" customHeight="1" x14ac:dyDescent="0.9">
      <c r="B51" s="132">
        <v>12</v>
      </c>
      <c r="C51" s="371">
        <f>+B51</f>
        <v>12</v>
      </c>
      <c r="D51" s="372" t="s">
        <v>432</v>
      </c>
      <c r="E51" s="111"/>
      <c r="F51" s="111" t="s">
        <v>35</v>
      </c>
      <c r="G51" s="578" t="str">
        <f>+G50</f>
        <v>2843-709-800</v>
      </c>
      <c r="H51" s="450">
        <v>11080</v>
      </c>
      <c r="I51" s="111" t="s">
        <v>251</v>
      </c>
      <c r="J51" s="113">
        <v>50</v>
      </c>
      <c r="K51" s="130">
        <v>58</v>
      </c>
      <c r="L51" s="101" t="s">
        <v>17</v>
      </c>
      <c r="M51" s="214">
        <v>58</v>
      </c>
      <c r="N51" s="214">
        <v>58</v>
      </c>
      <c r="O51" s="214">
        <v>58</v>
      </c>
      <c r="P51" s="214">
        <v>58</v>
      </c>
      <c r="Q51" s="214">
        <v>58</v>
      </c>
      <c r="R51" s="214">
        <v>58</v>
      </c>
      <c r="S51" s="214">
        <v>58</v>
      </c>
      <c r="T51" s="214">
        <v>58</v>
      </c>
      <c r="U51" s="214">
        <v>15</v>
      </c>
      <c r="V51" s="214"/>
      <c r="W51" s="424"/>
      <c r="X51" s="123">
        <f>+IF(H52="s",0,IF(AB51=0,0,IF(COUNTA(M51:W51)=AN53+0.75,SUMIF($C:$C,B51,$AB:$AB)/AN53,SUMIF($C:$C,B51,$AB:$AB)/(COUNTA(M51:W51)))))</f>
        <v>58.060606060606062</v>
      </c>
      <c r="Y51" s="439"/>
      <c r="Z51" s="400"/>
      <c r="AA51" s="541"/>
      <c r="AB51" s="134">
        <f t="shared" si="0"/>
        <v>479</v>
      </c>
      <c r="AC51" s="137">
        <f>+AB51+AD51</f>
        <v>8820</v>
      </c>
      <c r="AD51" s="137">
        <v>8341</v>
      </c>
      <c r="AE51" s="439">
        <v>0</v>
      </c>
      <c r="AF51" s="439">
        <f>+AE51+Y51</f>
        <v>0</v>
      </c>
      <c r="AG51" s="140">
        <f>+AC50-AC51</f>
        <v>1606</v>
      </c>
      <c r="AH51" s="131">
        <f>+IF(((AB52+(AB53/2))*60)=0,"",(J51*AB51)/((AB52+(AB53/2))*60))</f>
        <v>0.97745128048158347</v>
      </c>
      <c r="AI51" s="161">
        <f>+AB52+AB53/2</f>
        <v>408.375</v>
      </c>
      <c r="AJ51" s="161">
        <f t="shared" si="1"/>
        <v>408.22500000000002</v>
      </c>
      <c r="AK51" s="167">
        <f t="shared" si="2"/>
        <v>24502.5</v>
      </c>
      <c r="AL51" s="167">
        <f>+AB51*J51</f>
        <v>23950</v>
      </c>
      <c r="AM51" s="230">
        <f>+AB51-(AI51*K51/K53)</f>
        <v>40.375</v>
      </c>
      <c r="AN51" s="339"/>
      <c r="AO51" s="340"/>
      <c r="AP51" s="167"/>
      <c r="AQ51" s="167"/>
      <c r="AR51" s="167"/>
      <c r="AS51" s="167"/>
      <c r="AT51" s="433">
        <f t="shared" ref="AT51" si="39">IF(AU51=0,"",AW51-(($AT$3*K51)+($AT$3*K51)*AU51)+AB50)</f>
        <v>105.75</v>
      </c>
      <c r="AU51" s="393">
        <v>2.9</v>
      </c>
      <c r="AW51" s="356">
        <v>1560</v>
      </c>
      <c r="AY51" s="356">
        <f t="shared" ref="AY51" si="40">+AW51-AG51</f>
        <v>-46</v>
      </c>
    </row>
    <row r="52" spans="2:61" s="98" customFormat="1" ht="62.25" customHeight="1" x14ac:dyDescent="0.9">
      <c r="B52" s="125">
        <f>B51</f>
        <v>12</v>
      </c>
      <c r="C52" s="373"/>
      <c r="D52" s="184"/>
      <c r="E52" s="111">
        <f>+B51</f>
        <v>12</v>
      </c>
      <c r="F52" s="377"/>
      <c r="G52" s="578" t="str">
        <f>+G50</f>
        <v>2843-709-800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49</v>
      </c>
      <c r="N52" s="425">
        <v>49</v>
      </c>
      <c r="O52" s="425">
        <v>49</v>
      </c>
      <c r="P52" s="425">
        <v>49</v>
      </c>
      <c r="Q52" s="425">
        <v>49</v>
      </c>
      <c r="R52" s="425">
        <v>49</v>
      </c>
      <c r="S52" s="425">
        <v>49</v>
      </c>
      <c r="T52" s="425">
        <v>49</v>
      </c>
      <c r="U52" s="425">
        <v>49</v>
      </c>
      <c r="V52" s="426"/>
      <c r="W52" s="426"/>
      <c r="X52" s="160">
        <f>+IF(H52="l",IF(COUNTA(M51:W51)=AN53+0.75,AB51-K51*AN53,AB51-(K51*COUNTA(M51:W51))),IF(H52="s",0,IF(COUNTA(M51:W51)=AN53+0.75,SUMIF($C:$C,B51,$AB:$AB)-K51*AN53,SUMIF($C:$C,B51,$AB:$AB)-K51*COUNTA(M51:W51))))</f>
        <v>0.5</v>
      </c>
      <c r="Y52" s="440"/>
      <c r="Z52" s="400"/>
      <c r="AA52" s="541"/>
      <c r="AB52" s="443">
        <f t="shared" ref="AB52" si="41">+SUM(M52:W52)-U52*0.75</f>
        <v>404.25</v>
      </c>
      <c r="AC52" s="341"/>
      <c r="AD52" s="341"/>
      <c r="AE52" s="440"/>
      <c r="AF52" s="440"/>
      <c r="AG52" s="115"/>
      <c r="AH52" s="116"/>
      <c r="AI52" s="157"/>
      <c r="AJ52" s="161">
        <f t="shared" si="1"/>
        <v>0</v>
      </c>
      <c r="AK52" s="167">
        <f t="shared" si="2"/>
        <v>0</v>
      </c>
      <c r="AL52" s="167"/>
      <c r="AM52" s="230"/>
      <c r="AN52" s="339"/>
      <c r="AO52" s="340">
        <f>+IF(AN53=7.75,SUM(M52:S52)+T52*0.75,IF(AN53=8,SUM(M52:T52),IF(AN53=7.25,SUM(M52:S52)+T52*0.25,IF(AN53=8.25,SUM(M52:T52)+U52*0.25,IF(AN53=8.75,SUM(M52:T52)+U52*0.75,0)))))</f>
        <v>404.25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61" s="98" customFormat="1" ht="62.25" customHeight="1" thickBot="1" x14ac:dyDescent="0.95">
      <c r="B53" s="126">
        <f>B51</f>
        <v>12</v>
      </c>
      <c r="C53" s="375"/>
      <c r="D53" s="174" t="s">
        <v>366</v>
      </c>
      <c r="E53" s="175">
        <f>+E52+100</f>
        <v>112</v>
      </c>
      <c r="F53" s="175"/>
      <c r="G53" s="579" t="str">
        <f>+G50</f>
        <v>2843-709-800</v>
      </c>
      <c r="H53" s="454">
        <f>+AC50-H51</f>
        <v>-654</v>
      </c>
      <c r="I53" s="397" t="s">
        <v>182</v>
      </c>
      <c r="J53" s="165">
        <f>+IF(K53="","",IF(K51=0,"",(K51*J51)/(K53*60)))</f>
        <v>0.89506172839506171</v>
      </c>
      <c r="K53" s="118">
        <v>54</v>
      </c>
      <c r="L53" s="104" t="s">
        <v>19</v>
      </c>
      <c r="M53" s="427">
        <v>1</v>
      </c>
      <c r="N53" s="427">
        <v>1</v>
      </c>
      <c r="O53" s="427">
        <v>1</v>
      </c>
      <c r="P53" s="427">
        <v>1</v>
      </c>
      <c r="Q53" s="427">
        <v>1</v>
      </c>
      <c r="R53" s="427">
        <v>1</v>
      </c>
      <c r="S53" s="427">
        <v>1</v>
      </c>
      <c r="T53" s="427">
        <v>1</v>
      </c>
      <c r="U53" s="427">
        <v>1</v>
      </c>
      <c r="V53" s="428"/>
      <c r="W53" s="428"/>
      <c r="X53" s="173"/>
      <c r="Y53" s="441"/>
      <c r="Z53" s="401">
        <v>20.200641379310341</v>
      </c>
      <c r="AA53" s="401">
        <v>20.200641379310341</v>
      </c>
      <c r="AB53" s="444">
        <f t="shared" si="7"/>
        <v>8.25</v>
      </c>
      <c r="AC53" s="139"/>
      <c r="AD53" s="139"/>
      <c r="AE53" s="441"/>
      <c r="AF53" s="441"/>
      <c r="AG53" s="119">
        <f>+IFERROR(AG51/(K51*$AT$3),"")</f>
        <v>3.1645320197044335</v>
      </c>
      <c r="AH53" s="162"/>
      <c r="AI53" s="161"/>
      <c r="AJ53" s="161">
        <f t="shared" si="1"/>
        <v>0</v>
      </c>
      <c r="AK53" s="167">
        <f t="shared" si="2"/>
        <v>0</v>
      </c>
      <c r="AL53" s="167"/>
      <c r="AM53" s="230"/>
      <c r="AN53" s="342">
        <f>+$AM$4</f>
        <v>8.25</v>
      </c>
      <c r="AO53" s="340">
        <f>+IF(AN53=7.75,SUM(M53:S53)+T53*0.75,IF(AN53=8,SUM(M53:T53),IF(AN53=7.25,SUM(M53:S53)+T53*0.25,IF(AN53=8.25,SUM(M53:T53)+U53*0.25,IF(AN53=8.75,SUM(M53:T53)+U53*0.75,0)))))</f>
        <v>8.25</v>
      </c>
      <c r="AP53" s="167">
        <f>+AO53-AB53</f>
        <v>0</v>
      </c>
      <c r="AQ53" s="167"/>
      <c r="AR53" s="167"/>
      <c r="AS53" s="167"/>
      <c r="AT53" s="435"/>
      <c r="AU53" s="393"/>
      <c r="AW53" s="356">
        <v>3.0738916256157633</v>
      </c>
      <c r="AY53" s="356"/>
    </row>
    <row r="54" spans="2:61" s="98" customFormat="1" ht="62.25" customHeight="1" thickTop="1" x14ac:dyDescent="0.9">
      <c r="B54" s="97">
        <f>+B55</f>
        <v>13</v>
      </c>
      <c r="C54" s="370"/>
      <c r="D54" s="106"/>
      <c r="E54" s="106"/>
      <c r="F54" s="106"/>
      <c r="G54" s="577" t="s">
        <v>442</v>
      </c>
      <c r="H54" s="106"/>
      <c r="I54" s="106"/>
      <c r="J54" s="107" t="s">
        <v>20</v>
      </c>
      <c r="K54" s="108" t="s">
        <v>23</v>
      </c>
      <c r="L54" s="100" t="s">
        <v>21</v>
      </c>
      <c r="M54" s="423">
        <v>50</v>
      </c>
      <c r="N54" s="423">
        <v>50</v>
      </c>
      <c r="O54" s="423">
        <v>50</v>
      </c>
      <c r="P54" s="423">
        <v>50</v>
      </c>
      <c r="Q54" s="423">
        <v>50</v>
      </c>
      <c r="R54" s="423"/>
      <c r="S54" s="423"/>
      <c r="T54" s="423"/>
      <c r="U54" s="423"/>
      <c r="V54" s="423"/>
      <c r="W54" s="423"/>
      <c r="X54" s="135">
        <f t="shared" ref="X54" si="42">IF(AT55="","",SUM(M54:W54)-(-(AT55-SUM(M54:W54))/$AT$3)*SUM($M$2:$W$2))</f>
        <v>250</v>
      </c>
      <c r="Y54" s="438"/>
      <c r="Z54" s="400">
        <v>-342.5</v>
      </c>
      <c r="AA54" s="540">
        <f>+X56</f>
        <v>-109.75</v>
      </c>
      <c r="AB54" s="135">
        <f t="shared" si="0"/>
        <v>250</v>
      </c>
      <c r="AC54" s="136">
        <f>+AD54+AB54</f>
        <v>1700</v>
      </c>
      <c r="AD54" s="136">
        <v>1450</v>
      </c>
      <c r="AE54" s="438"/>
      <c r="AF54" s="438"/>
      <c r="AG54" s="109"/>
      <c r="AH54" s="110"/>
      <c r="AI54" s="157"/>
      <c r="AJ54" s="161">
        <f t="shared" si="1"/>
        <v>0</v>
      </c>
      <c r="AK54" s="167">
        <f t="shared" si="2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61" s="98" customFormat="1" ht="62.25" customHeight="1" x14ac:dyDescent="0.9">
      <c r="B55" s="132">
        <v>13</v>
      </c>
      <c r="C55" s="371">
        <f>+B55</f>
        <v>13</v>
      </c>
      <c r="D55" s="372" t="s">
        <v>441</v>
      </c>
      <c r="E55" s="111"/>
      <c r="F55" s="111" t="s">
        <v>35</v>
      </c>
      <c r="G55" s="578" t="str">
        <f>+G54</f>
        <v>7741-793-052</v>
      </c>
      <c r="H55" s="450">
        <v>8500</v>
      </c>
      <c r="I55" s="111" t="s">
        <v>33</v>
      </c>
      <c r="J55" s="113">
        <v>55.14</v>
      </c>
      <c r="K55" s="130">
        <v>43</v>
      </c>
      <c r="L55" s="101" t="s">
        <v>17</v>
      </c>
      <c r="M55" s="214">
        <v>25</v>
      </c>
      <c r="N55" s="214">
        <v>20</v>
      </c>
      <c r="O55" s="214">
        <v>40</v>
      </c>
      <c r="P55" s="214">
        <v>30</v>
      </c>
      <c r="Q55" s="214">
        <v>30</v>
      </c>
      <c r="R55" s="214">
        <v>30</v>
      </c>
      <c r="S55" s="214">
        <v>20</v>
      </c>
      <c r="T55" s="214">
        <v>30</v>
      </c>
      <c r="U55" s="214">
        <v>20</v>
      </c>
      <c r="V55" s="214"/>
      <c r="W55" s="424"/>
      <c r="X55" s="123">
        <f>+IF(H56="s",0,IF(AB55=0,0,IF(COUNTA(M55:W55)=AN57+0.75,SUMIF($C:$C,B55,$AB:$AB)/AN57,SUMIF($C:$C,B55,$AB:$AB)/(COUNTA(M55:W55)))))</f>
        <v>29.696969696969695</v>
      </c>
      <c r="Y55" s="439"/>
      <c r="Z55" s="400"/>
      <c r="AA55" s="541"/>
      <c r="AB55" s="134">
        <f t="shared" si="0"/>
        <v>245</v>
      </c>
      <c r="AC55" s="137">
        <f>+AB55+AD55</f>
        <v>305</v>
      </c>
      <c r="AD55" s="137">
        <v>60</v>
      </c>
      <c r="AE55" s="439"/>
      <c r="AF55" s="439">
        <f>+AE55+Y55</f>
        <v>0</v>
      </c>
      <c r="AG55" s="140">
        <f>+AC54-AC55</f>
        <v>1395</v>
      </c>
      <c r="AH55" s="131">
        <f>+IF(((AB56+(AB57/2))*60)=0,"",(J55*AB55)/((AB56+(AB57/2))*60))</f>
        <v>0.59329380764163364</v>
      </c>
      <c r="AI55" s="161">
        <f>+AB56+AB57/2</f>
        <v>379.5</v>
      </c>
      <c r="AJ55" s="161">
        <f t="shared" si="1"/>
        <v>379.3</v>
      </c>
      <c r="AK55" s="167">
        <f t="shared" si="2"/>
        <v>22770</v>
      </c>
      <c r="AL55" s="167">
        <f>+AB55*J55</f>
        <v>13509.3</v>
      </c>
      <c r="AM55" s="230">
        <f>+AB55-(AI55*K55/K57)</f>
        <v>-109.75</v>
      </c>
      <c r="AN55" s="339"/>
      <c r="AO55" s="340"/>
      <c r="AP55" s="167"/>
      <c r="AQ55" s="167"/>
      <c r="AR55" s="167"/>
      <c r="AS55" s="167"/>
      <c r="AT55" s="433">
        <f>-150+AB54</f>
        <v>100</v>
      </c>
      <c r="AU55" s="393">
        <v>2.5</v>
      </c>
      <c r="AW55" s="356">
        <v>1390</v>
      </c>
      <c r="AY55" s="356">
        <f t="shared" ref="AY55" si="43">+AW55-AG55</f>
        <v>-5</v>
      </c>
    </row>
    <row r="56" spans="2:61" s="98" customFormat="1" ht="62.25" customHeight="1" x14ac:dyDescent="0.9">
      <c r="B56" s="125">
        <f>+B55</f>
        <v>13</v>
      </c>
      <c r="C56" s="373"/>
      <c r="D56" s="184"/>
      <c r="E56" s="111">
        <f>+B55</f>
        <v>13</v>
      </c>
      <c r="F56" s="374"/>
      <c r="G56" s="578" t="str">
        <f>+G55</f>
        <v>7741-793-052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46</v>
      </c>
      <c r="N56" s="425">
        <v>46</v>
      </c>
      <c r="O56" s="425">
        <v>46</v>
      </c>
      <c r="P56" s="425">
        <v>46</v>
      </c>
      <c r="Q56" s="425">
        <v>46</v>
      </c>
      <c r="R56" s="425">
        <v>46</v>
      </c>
      <c r="S56" s="425">
        <v>46</v>
      </c>
      <c r="T56" s="425">
        <v>46</v>
      </c>
      <c r="U56" s="425">
        <v>46</v>
      </c>
      <c r="V56" s="425"/>
      <c r="W56" s="426"/>
      <c r="X56" s="160">
        <f>+IF(H56="l",IF(COUNTA(M55:W55)=AN57+0.75,AB55-K55*AN57,AB55-(K55*COUNTA(M55:W55))),IF(H56="s",0,IF(COUNTA(M55:W55)=AN57+0.75,SUMIF($C:$C,B55,$AB:$AB)-K55*AN57,SUMIF($C:$C,B55,$AB:$AB)-K55*COUNTA(M55:W55))))</f>
        <v>-109.75</v>
      </c>
      <c r="Y56" s="440"/>
      <c r="Z56" s="400"/>
      <c r="AA56" s="541"/>
      <c r="AB56" s="443">
        <f t="shared" ref="AB56" si="44">+SUM(M56:W56)-U56*0.75</f>
        <v>379.5</v>
      </c>
      <c r="AC56" s="341"/>
      <c r="AD56" s="341"/>
      <c r="AE56" s="440"/>
      <c r="AF56" s="440"/>
      <c r="AG56" s="115"/>
      <c r="AH56" s="116"/>
      <c r="AI56" s="157"/>
      <c r="AJ56" s="161">
        <f t="shared" si="1"/>
        <v>0</v>
      </c>
      <c r="AK56" s="167">
        <f t="shared" si="2"/>
        <v>0</v>
      </c>
      <c r="AL56" s="167"/>
      <c r="AM56" s="167"/>
      <c r="AN56" s="339"/>
      <c r="AO56" s="340">
        <f>+IF(AN57=7.75,SUM(M56:S56)+T56*0.75,IF(AN57=8,SUM(M56:T56),IF(AN57=7.25,SUM(M56:S56)+T56*0.25,IF(AN57=8.25,SUM(M56:T56)+U56*0.25,IF(AN57=8.75,SUM(M56:T56)+U56*0.75,0)))))</f>
        <v>379.5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61" s="98" customFormat="1" ht="62.25" customHeight="1" thickBot="1" x14ac:dyDescent="0.95">
      <c r="B57" s="126">
        <f>+B55</f>
        <v>13</v>
      </c>
      <c r="C57" s="375"/>
      <c r="D57" s="174" t="s">
        <v>468</v>
      </c>
      <c r="E57" s="175">
        <f>+E56+100</f>
        <v>113</v>
      </c>
      <c r="F57" s="175"/>
      <c r="G57" s="579" t="str">
        <f>+G56</f>
        <v>7741-793-052</v>
      </c>
      <c r="H57" s="454">
        <f>+AC54-H55</f>
        <v>-6800</v>
      </c>
      <c r="I57" s="397"/>
      <c r="J57" s="165">
        <f>+IF(K57="","",IF(K55=0,"",(K55*J55)/(K57*60)))</f>
        <v>0.85906521739130437</v>
      </c>
      <c r="K57" s="429">
        <v>46</v>
      </c>
      <c r="L57" s="104" t="s">
        <v>19</v>
      </c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8"/>
      <c r="X57" s="173"/>
      <c r="Y57" s="441"/>
      <c r="Z57" s="448">
        <v>25.504552173913044</v>
      </c>
      <c r="AA57" s="168">
        <f>+IF(COUNTA(M55:W55)=$AM$4+0.25,$AM$4-(AB55/K55),COUNTA(M55:W55)-(AB55/K55))+Z57</f>
        <v>28.806877755308392</v>
      </c>
      <c r="AB57" s="444">
        <f t="shared" si="7"/>
        <v>0</v>
      </c>
      <c r="AC57" s="139"/>
      <c r="AD57" s="139"/>
      <c r="AE57" s="441"/>
      <c r="AF57" s="441"/>
      <c r="AG57" s="119">
        <f>+IFERROR(AG55/(K55*$AT$3),"")</f>
        <v>3.7076411960132889</v>
      </c>
      <c r="AH57" s="162"/>
      <c r="AI57" s="161"/>
      <c r="AJ57" s="161">
        <f t="shared" si="1"/>
        <v>0</v>
      </c>
      <c r="AK57" s="167">
        <f t="shared" si="2"/>
        <v>0</v>
      </c>
      <c r="AL57" s="167"/>
      <c r="AM57" s="230"/>
      <c r="AN57" s="342">
        <f>+$AM$4</f>
        <v>8.25</v>
      </c>
      <c r="AO57" s="340">
        <f>+IF(AN57=7.75,SUM(M57:S57)+T57*0.75,IF(AN57=8,SUM(M57:T57),IF(AN57=7.25,SUM(M57:S57)+T57*0.25,IF(AN57=8.25,SUM(M57:T57)+U57*0.25,IF(AN57=8.75,SUM(M57:T57)+U57*0.75,0)))))</f>
        <v>0</v>
      </c>
      <c r="AP57" s="167">
        <f>+AO57-AB57</f>
        <v>0</v>
      </c>
      <c r="AQ57" s="167"/>
      <c r="AR57" s="167"/>
      <c r="AS57" s="167"/>
      <c r="AT57" s="435"/>
      <c r="AU57" s="393"/>
      <c r="AW57" s="356">
        <v>3.4534161490683228</v>
      </c>
      <c r="AY57" s="356"/>
    </row>
    <row r="58" spans="2:61" s="98" customFormat="1" ht="58.5" customHeight="1" thickTop="1" x14ac:dyDescent="0.9">
      <c r="B58" s="127">
        <f>+B59</f>
        <v>14</v>
      </c>
      <c r="C58" s="370"/>
      <c r="D58" s="106"/>
      <c r="E58" s="106"/>
      <c r="F58" s="106"/>
      <c r="G58" s="577" t="s">
        <v>456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180</v>
      </c>
      <c r="N58" s="423">
        <v>180</v>
      </c>
      <c r="O58" s="423">
        <v>180</v>
      </c>
      <c r="P58" s="423">
        <v>180</v>
      </c>
      <c r="Q58" s="423">
        <v>52</v>
      </c>
      <c r="R58" s="423"/>
      <c r="S58" s="423"/>
      <c r="T58" s="423"/>
      <c r="U58" s="423"/>
      <c r="V58" s="423"/>
      <c r="W58" s="423"/>
      <c r="X58" s="135">
        <f t="shared" ref="X58" si="45">IF(AT59="","",SUM(M58:W58)-(-(AT59-SUM(M58:W58))/$AT$3)*SUM($M$2:$W$2))</f>
        <v>772</v>
      </c>
      <c r="Y58" s="438"/>
      <c r="Z58" s="400">
        <v>45</v>
      </c>
      <c r="AA58" s="540">
        <f>+X60</f>
        <v>42</v>
      </c>
      <c r="AB58" s="135">
        <f t="shared" si="0"/>
        <v>772</v>
      </c>
      <c r="AC58" s="136">
        <f>+AD58+AB58</f>
        <v>5218</v>
      </c>
      <c r="AD58" s="136">
        <v>4446</v>
      </c>
      <c r="AE58" s="438"/>
      <c r="AF58" s="438"/>
      <c r="AG58" s="109"/>
      <c r="AH58" s="110"/>
      <c r="AI58" s="157"/>
      <c r="AJ58" s="161">
        <f t="shared" si="1"/>
        <v>0</v>
      </c>
      <c r="AK58" s="167">
        <f t="shared" si="2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61" s="98" customFormat="1" ht="58.5" customHeight="1" x14ac:dyDescent="0.9">
      <c r="B59" s="133">
        <v>14</v>
      </c>
      <c r="C59" s="371">
        <f>+B59</f>
        <v>14</v>
      </c>
      <c r="D59" s="372" t="s">
        <v>461</v>
      </c>
      <c r="E59" s="111"/>
      <c r="F59" s="111" t="s">
        <v>447</v>
      </c>
      <c r="G59" s="578" t="str">
        <f t="shared" ref="G59:G61" si="46">+G58</f>
        <v>DOT KEYHOLE</v>
      </c>
      <c r="H59" s="450">
        <v>6262</v>
      </c>
      <c r="I59" s="111" t="s">
        <v>252</v>
      </c>
      <c r="J59" s="113">
        <v>36.090000000000003</v>
      </c>
      <c r="K59" s="130">
        <v>80</v>
      </c>
      <c r="L59" s="101" t="s">
        <v>17</v>
      </c>
      <c r="M59" s="214">
        <v>85</v>
      </c>
      <c r="N59" s="214">
        <v>85</v>
      </c>
      <c r="O59" s="214">
        <v>85</v>
      </c>
      <c r="P59" s="214">
        <v>85</v>
      </c>
      <c r="Q59" s="214">
        <v>85</v>
      </c>
      <c r="R59" s="214">
        <v>85</v>
      </c>
      <c r="S59" s="214">
        <v>85</v>
      </c>
      <c r="T59" s="214">
        <v>85</v>
      </c>
      <c r="U59" s="214">
        <v>22</v>
      </c>
      <c r="V59" s="214"/>
      <c r="W59" s="214"/>
      <c r="X59" s="123">
        <f>+IF(H60="s",0,IF(AB59=0,0,IF(COUNTA(M59:W59)=AN61+0.75,SUMIF($C:$C,B59,$AB:$AB)/AN61,SUMIF($C:$C,B59,$AB:$AB)/(COUNTA(M59:W59)))))</f>
        <v>85.090909090909093</v>
      </c>
      <c r="Y59" s="439"/>
      <c r="Z59" s="400"/>
      <c r="AA59" s="541"/>
      <c r="AB59" s="134">
        <f t="shared" si="0"/>
        <v>702</v>
      </c>
      <c r="AC59" s="137">
        <f>+AB59+AD59</f>
        <v>3864</v>
      </c>
      <c r="AD59" s="137">
        <v>3162</v>
      </c>
      <c r="AE59" s="439"/>
      <c r="AF59" s="439">
        <f>+AE59+Y59</f>
        <v>0</v>
      </c>
      <c r="AG59" s="140">
        <f>+AC58-AC59</f>
        <v>1354</v>
      </c>
      <c r="AH59" s="131">
        <f>+IF(((AB60+(AB61/2))*60)=0,"",(J59*AB59)/((AB60+(AB61/2))*60))</f>
        <v>0.86196070426129123</v>
      </c>
      <c r="AI59" s="161">
        <f>+AB60+AB61/2</f>
        <v>489.875</v>
      </c>
      <c r="AJ59" s="161">
        <f t="shared" si="1"/>
        <v>489.52499999999998</v>
      </c>
      <c r="AK59" s="167">
        <f t="shared" si="2"/>
        <v>29392.5</v>
      </c>
      <c r="AL59" s="167">
        <f>+AB59*J59</f>
        <v>25335.180000000004</v>
      </c>
      <c r="AM59" s="230">
        <f>+AB59-(AI59*K59/K61)</f>
        <v>2.1785714285714448</v>
      </c>
      <c r="AN59" s="339"/>
      <c r="AO59" s="340"/>
      <c r="AP59" s="167"/>
      <c r="AQ59" s="167"/>
      <c r="AR59" s="167"/>
      <c r="AS59" s="167"/>
      <c r="AT59" s="433">
        <f t="shared" ref="AT59" si="47">IF(AU59=0,"",AW59-(($AT$3*K59)+($AT$3*K59)*AU59)+AB58)</f>
        <v>26</v>
      </c>
      <c r="AU59" s="393">
        <v>1.9</v>
      </c>
      <c r="AW59" s="356">
        <v>1284</v>
      </c>
      <c r="AY59" s="356">
        <f t="shared" ref="AY59" si="48">+AW59-AG59</f>
        <v>-70</v>
      </c>
    </row>
    <row r="60" spans="2:61" s="98" customFormat="1" ht="58.5" customHeight="1" x14ac:dyDescent="0.9">
      <c r="B60" s="125">
        <f>+B59</f>
        <v>14</v>
      </c>
      <c r="C60" s="373"/>
      <c r="D60" s="184"/>
      <c r="E60" s="111">
        <f>+B59</f>
        <v>14</v>
      </c>
      <c r="F60" s="374"/>
      <c r="G60" s="578" t="str">
        <f t="shared" si="46"/>
        <v>DOT KEYHOLE</v>
      </c>
      <c r="H60" s="376"/>
      <c r="I60" s="113">
        <f>+IFERROR(IF(K61=0,0,IF((LOOKUP(2,1/(M60:W60&lt;&gt;""),M60:W60)-K61)&lt;0,0,IF(K61=0,"",LOOKUP(2,1/(M60:W60&lt;&gt;""),M60:W60)-K61))),0)</f>
        <v>3</v>
      </c>
      <c r="J60" s="113"/>
      <c r="K60" s="114" t="s">
        <v>22</v>
      </c>
      <c r="L60" s="102" t="s">
        <v>18</v>
      </c>
      <c r="M60" s="425">
        <v>58</v>
      </c>
      <c r="N60" s="425">
        <v>59</v>
      </c>
      <c r="O60" s="425">
        <v>59</v>
      </c>
      <c r="P60" s="425">
        <v>59</v>
      </c>
      <c r="Q60" s="425">
        <v>59</v>
      </c>
      <c r="R60" s="425">
        <v>59</v>
      </c>
      <c r="S60" s="425">
        <v>59</v>
      </c>
      <c r="T60" s="425">
        <v>59</v>
      </c>
      <c r="U60" s="425">
        <v>59</v>
      </c>
      <c r="V60" s="425"/>
      <c r="W60" s="425"/>
      <c r="X60" s="160">
        <f>+IF(H60="l",IF(COUNTA(M59:W59)=AN61+0.75,AB59-K59*AN61,AB59-(K59*COUNTA(M59:W59))),IF(H60="s",0,IF(COUNTA(M59:W59)=AN61+0.75,SUMIF($C:$C,B59,$AB:$AB)-K59*AN61,SUMIF($C:$C,B59,$AB:$AB)-K59*COUNTA(M59:W59))))</f>
        <v>42</v>
      </c>
      <c r="Y60" s="440"/>
      <c r="Z60" s="400"/>
      <c r="AA60" s="541"/>
      <c r="AB60" s="443">
        <f t="shared" ref="AB60" si="49">+SUM(M60:W60)-U60*0.75</f>
        <v>485.75</v>
      </c>
      <c r="AC60" s="341"/>
      <c r="AD60" s="341"/>
      <c r="AE60" s="440"/>
      <c r="AF60" s="440"/>
      <c r="AG60" s="115"/>
      <c r="AH60" s="116"/>
      <c r="AI60" s="157"/>
      <c r="AJ60" s="161">
        <f t="shared" si="1"/>
        <v>0</v>
      </c>
      <c r="AK60" s="167">
        <f t="shared" si="2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485.75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61" s="98" customFormat="1" ht="58.5" customHeight="1" thickBot="1" x14ac:dyDescent="0.95">
      <c r="B61" s="126">
        <f>+B59</f>
        <v>14</v>
      </c>
      <c r="C61" s="375"/>
      <c r="D61" s="174" t="s">
        <v>112</v>
      </c>
      <c r="E61" s="175">
        <f>+E60+100</f>
        <v>114</v>
      </c>
      <c r="F61" s="175"/>
      <c r="G61" s="579" t="str">
        <f t="shared" si="46"/>
        <v>DOT KEYHOLE</v>
      </c>
      <c r="H61" s="454">
        <f>+AC58-H59</f>
        <v>-1044</v>
      </c>
      <c r="I61" s="397"/>
      <c r="J61" s="165">
        <f>+IF(K61="","",IF(K59=0,"",(K59*J59)/(K61*60)))</f>
        <v>0.85928571428571432</v>
      </c>
      <c r="K61" s="118">
        <v>56</v>
      </c>
      <c r="L61" s="104" t="s">
        <v>19</v>
      </c>
      <c r="M61" s="427">
        <v>1</v>
      </c>
      <c r="N61" s="427">
        <v>1</v>
      </c>
      <c r="O61" s="427">
        <v>1</v>
      </c>
      <c r="P61" s="427">
        <v>1</v>
      </c>
      <c r="Q61" s="427">
        <v>1</v>
      </c>
      <c r="R61" s="427">
        <v>1</v>
      </c>
      <c r="S61" s="427">
        <v>1</v>
      </c>
      <c r="T61" s="427">
        <v>1</v>
      </c>
      <c r="U61" s="427">
        <v>1</v>
      </c>
      <c r="V61" s="427"/>
      <c r="W61" s="427"/>
      <c r="X61" s="173"/>
      <c r="Y61" s="441"/>
      <c r="Z61" s="401">
        <v>41.23</v>
      </c>
      <c r="AA61" s="401">
        <v>41.23</v>
      </c>
      <c r="AB61" s="444">
        <f t="shared" si="7"/>
        <v>8.25</v>
      </c>
      <c r="AC61" s="139"/>
      <c r="AD61" s="139"/>
      <c r="AE61" s="441"/>
      <c r="AF61" s="441"/>
      <c r="AG61" s="119">
        <f>+IFERROR(AG59/(K59*$AT$3),"")</f>
        <v>1.9342857142857144</v>
      </c>
      <c r="AH61" s="162"/>
      <c r="AI61" s="161"/>
      <c r="AJ61" s="161">
        <f t="shared" si="1"/>
        <v>0</v>
      </c>
      <c r="AK61" s="167">
        <f t="shared" si="2"/>
        <v>0</v>
      </c>
      <c r="AL61" s="167"/>
      <c r="AM61" s="230"/>
      <c r="AN61" s="342">
        <f>+$AM$4</f>
        <v>8.25</v>
      </c>
      <c r="AO61" s="340">
        <f>+IF(AN61=7.75,SUM(M61:S61)+T61*0.75,IF(AN61=8,SUM(M61:T61),IF(AN61=7.25,SUM(M61:S61)+T61*0.25,IF(AN61=8.25,SUM(M61:T61)+U61*0.25,IF(AN61=8.75,SUM(M61:T61)+U61*0.75,0)))))</f>
        <v>8.25</v>
      </c>
      <c r="AP61" s="167">
        <f>+AO61-AB61</f>
        <v>0</v>
      </c>
      <c r="AQ61" s="167"/>
      <c r="AR61" s="167"/>
      <c r="AS61" s="167"/>
      <c r="AT61" s="435"/>
      <c r="AU61" s="393"/>
      <c r="AW61" s="356">
        <v>1.8342857142857143</v>
      </c>
      <c r="AY61" s="356"/>
    </row>
    <row r="62" spans="2:61" s="98" customFormat="1" ht="62.25" customHeight="1" thickTop="1" x14ac:dyDescent="0.9">
      <c r="B62" s="97">
        <f>+B63</f>
        <v>15</v>
      </c>
      <c r="C62" s="370"/>
      <c r="D62" s="106"/>
      <c r="E62" s="106"/>
      <c r="F62" s="106"/>
      <c r="G62" s="577" t="s">
        <v>440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150</v>
      </c>
      <c r="N62" s="423">
        <v>75</v>
      </c>
      <c r="O62" s="423">
        <v>150</v>
      </c>
      <c r="P62" s="423"/>
      <c r="Q62" s="423">
        <v>75</v>
      </c>
      <c r="R62" s="423"/>
      <c r="S62" s="423"/>
      <c r="T62" s="423"/>
      <c r="U62" s="423"/>
      <c r="V62" s="423"/>
      <c r="W62" s="423"/>
      <c r="X62" s="135">
        <f t="shared" ref="X62" si="50">IF(AT63="","",SUM(M62:W62)-(-(AT63-SUM(M62:W62))/$AT$3)*SUM($M$2:$W$2))</f>
        <v>450</v>
      </c>
      <c r="Y62" s="438"/>
      <c r="Z62" s="400">
        <v>0</v>
      </c>
      <c r="AA62" s="540">
        <f>+X64</f>
        <v>0</v>
      </c>
      <c r="AB62" s="135">
        <f t="shared" si="0"/>
        <v>450</v>
      </c>
      <c r="AC62" s="136">
        <f>+AD62+AB62</f>
        <v>3076</v>
      </c>
      <c r="AD62" s="136">
        <v>2626</v>
      </c>
      <c r="AE62" s="438"/>
      <c r="AF62" s="438"/>
      <c r="AG62" s="109"/>
      <c r="AH62" s="110"/>
      <c r="AI62" s="157"/>
      <c r="AJ62" s="161">
        <f t="shared" si="1"/>
        <v>0</v>
      </c>
      <c r="AK62" s="167">
        <f t="shared" si="2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61" s="98" customFormat="1" ht="62.25" customHeight="1" x14ac:dyDescent="1.35">
      <c r="B63" s="132">
        <v>15</v>
      </c>
      <c r="C63" s="371">
        <f>+B63</f>
        <v>15</v>
      </c>
      <c r="D63" s="372" t="s">
        <v>439</v>
      </c>
      <c r="E63" s="111"/>
      <c r="F63" s="111" t="s">
        <v>35</v>
      </c>
      <c r="G63" s="578" t="str">
        <f>+G62</f>
        <v>7740-876-052</v>
      </c>
      <c r="H63" s="450">
        <v>7700</v>
      </c>
      <c r="I63" s="111" t="s">
        <v>33</v>
      </c>
      <c r="J63" s="113">
        <v>55.78</v>
      </c>
      <c r="K63" s="130">
        <v>52</v>
      </c>
      <c r="L63" s="101" t="s">
        <v>17</v>
      </c>
      <c r="M63" s="214">
        <v>52</v>
      </c>
      <c r="N63" s="214">
        <v>52</v>
      </c>
      <c r="O63" s="214">
        <v>52</v>
      </c>
      <c r="P63" s="214">
        <v>52</v>
      </c>
      <c r="Q63" s="214">
        <v>52</v>
      </c>
      <c r="R63" s="214">
        <v>52</v>
      </c>
      <c r="S63" s="214">
        <v>52</v>
      </c>
      <c r="T63" s="214">
        <v>52</v>
      </c>
      <c r="U63" s="214">
        <v>13</v>
      </c>
      <c r="V63" s="424"/>
      <c r="W63" s="424"/>
      <c r="X63" s="123">
        <f>+IF(H64="s",0,IF(AB63=0,0,IF(COUNTA(M63:W63)=AN65+0.75,SUMIF($C:$C,B63,$AB:$AB)/AN65,SUMIF($C:$C,B63,$AB:$AB)/(COUNTA(M63:W63)))))</f>
        <v>52</v>
      </c>
      <c r="Y63" s="439"/>
      <c r="Z63" s="400"/>
      <c r="AA63" s="541"/>
      <c r="AB63" s="134">
        <f t="shared" si="0"/>
        <v>429</v>
      </c>
      <c r="AC63" s="137">
        <f>+AB63+AD63</f>
        <v>1887</v>
      </c>
      <c r="AD63" s="137">
        <v>1458</v>
      </c>
      <c r="AE63" s="439">
        <v>0</v>
      </c>
      <c r="AF63" s="439">
        <f>+AE63+Y63</f>
        <v>0</v>
      </c>
      <c r="AG63" s="140">
        <f>+AC62-AC63</f>
        <v>1189</v>
      </c>
      <c r="AH63" s="131">
        <f>+IF(((AB64+(AB65/2))*60)=0,"",(J63*AB63)/((AB64+(AB65/2))*60))</f>
        <v>0.91421661891117478</v>
      </c>
      <c r="AI63" s="161">
        <f>+AB64+AB65/2</f>
        <v>436.25</v>
      </c>
      <c r="AJ63" s="161">
        <f t="shared" si="1"/>
        <v>436.15</v>
      </c>
      <c r="AK63" s="167">
        <f t="shared" si="2"/>
        <v>26175</v>
      </c>
      <c r="AL63" s="167">
        <f>+AB63*J63</f>
        <v>23929.62</v>
      </c>
      <c r="AM63" s="230">
        <f>+AB63-(AI63*K63/K65)</f>
        <v>23.910714285714278</v>
      </c>
      <c r="AN63" s="339"/>
      <c r="AO63" s="340"/>
      <c r="AP63" s="167"/>
      <c r="AQ63" s="167"/>
      <c r="AR63" s="167"/>
      <c r="AS63" s="167"/>
      <c r="AT63" s="433">
        <f t="shared" ref="AT63" si="51">IF(AU63=0,"",AW63-(($AT$3*K63)+($AT$3*K63)*AU63)+AB62)</f>
        <v>25.5</v>
      </c>
      <c r="AU63" s="393">
        <v>2.5</v>
      </c>
      <c r="AW63" s="356">
        <v>1168</v>
      </c>
      <c r="AY63" s="356">
        <f t="shared" ref="AY63" si="52">+AW63-AG63</f>
        <v>-21</v>
      </c>
      <c r="AZ63" s="581"/>
      <c r="BA63" s="581"/>
      <c r="BB63" s="581"/>
      <c r="BC63" s="581"/>
      <c r="BD63" s="581"/>
      <c r="BE63" s="581"/>
      <c r="BF63" s="581"/>
      <c r="BG63" s="581"/>
      <c r="BH63" s="581"/>
      <c r="BI63" s="581"/>
    </row>
    <row r="64" spans="2:61" s="98" customFormat="1" ht="62.25" customHeight="1" x14ac:dyDescent="0.9">
      <c r="B64" s="125">
        <f>+B63</f>
        <v>15</v>
      </c>
      <c r="C64" s="373"/>
      <c r="D64" s="184"/>
      <c r="E64" s="111">
        <f>+B63</f>
        <v>15</v>
      </c>
      <c r="F64" s="377"/>
      <c r="G64" s="578" t="str">
        <f>+G63</f>
        <v>7740-876-052</v>
      </c>
      <c r="H64" s="376" t="s">
        <v>399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>
        <v>51</v>
      </c>
      <c r="N64" s="425">
        <v>52</v>
      </c>
      <c r="O64" s="425">
        <v>52</v>
      </c>
      <c r="P64" s="425">
        <v>52</v>
      </c>
      <c r="Q64" s="425">
        <v>52</v>
      </c>
      <c r="R64" s="425">
        <v>52</v>
      </c>
      <c r="S64" s="425">
        <v>52</v>
      </c>
      <c r="T64" s="425">
        <v>52</v>
      </c>
      <c r="U64" s="425">
        <v>52</v>
      </c>
      <c r="V64" s="426"/>
      <c r="W64" s="426"/>
      <c r="X64" s="160">
        <f>+IF(H64="l",IF(COUNTA(M63:W63)=AN65+0.75,AB63-K63*AN65,AB63-(K63*COUNTA(M63:W63))),IF(H64="s",0,IF(COUNTA(M63:W63)=AN65+0.75,SUMIF($C:$C,B63,$AB:$AB)-K63*AN65,SUMIF($C:$C,B63,$AB:$AB)-K63*COUNTA(M63:W63))))</f>
        <v>0</v>
      </c>
      <c r="Y64" s="440"/>
      <c r="Z64" s="400"/>
      <c r="AA64" s="541"/>
      <c r="AB64" s="443">
        <f t="shared" ref="AB64" si="53">+SUM(M64:W64)-U64*0.75</f>
        <v>428</v>
      </c>
      <c r="AC64" s="341"/>
      <c r="AD64" s="341"/>
      <c r="AE64" s="440"/>
      <c r="AF64" s="440"/>
      <c r="AG64" s="115"/>
      <c r="AH64" s="116"/>
      <c r="AI64" s="157"/>
      <c r="AJ64" s="161">
        <f t="shared" si="1"/>
        <v>0</v>
      </c>
      <c r="AK64" s="167">
        <f t="shared" si="2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428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62.25" customHeight="1" thickBot="1" x14ac:dyDescent="0.95">
      <c r="B65" s="126">
        <f>+B63</f>
        <v>15</v>
      </c>
      <c r="C65" s="375"/>
      <c r="D65" s="174" t="s">
        <v>93</v>
      </c>
      <c r="E65" s="175">
        <f>+E64+100</f>
        <v>115</v>
      </c>
      <c r="F65" s="175"/>
      <c r="G65" s="579" t="str">
        <f>+G64</f>
        <v>7740-876-052</v>
      </c>
      <c r="H65" s="454">
        <f>+AC62-H63</f>
        <v>-4624</v>
      </c>
      <c r="I65" s="397"/>
      <c r="J65" s="165">
        <f>+IF(K65="","",IF(K63=0,"",(K63*J63)/(K65*60)))</f>
        <v>0.86326190476190479</v>
      </c>
      <c r="K65" s="118">
        <v>56</v>
      </c>
      <c r="L65" s="104" t="s">
        <v>19</v>
      </c>
      <c r="M65" s="427">
        <v>2</v>
      </c>
      <c r="N65" s="427">
        <v>2</v>
      </c>
      <c r="O65" s="427">
        <v>2</v>
      </c>
      <c r="P65" s="427">
        <v>2</v>
      </c>
      <c r="Q65" s="427">
        <v>2</v>
      </c>
      <c r="R65" s="427">
        <v>2</v>
      </c>
      <c r="S65" s="427">
        <v>2</v>
      </c>
      <c r="T65" s="427">
        <v>2</v>
      </c>
      <c r="U65" s="427">
        <v>2</v>
      </c>
      <c r="V65" s="428"/>
      <c r="W65" s="428"/>
      <c r="X65" s="173"/>
      <c r="Y65" s="441"/>
      <c r="Z65" s="401">
        <v>11.961538461538462</v>
      </c>
      <c r="AA65" s="448">
        <v>11.961538461538462</v>
      </c>
      <c r="AB65" s="444">
        <f t="shared" si="7"/>
        <v>16.5</v>
      </c>
      <c r="AC65" s="139"/>
      <c r="AD65" s="139"/>
      <c r="AE65" s="441"/>
      <c r="AF65" s="441"/>
      <c r="AG65" s="119">
        <f>+IFERROR(AG63/(K63*$AT$3),"")</f>
        <v>2.6131868131868132</v>
      </c>
      <c r="AH65" s="162"/>
      <c r="AI65" s="161"/>
      <c r="AJ65" s="161">
        <f t="shared" si="1"/>
        <v>0</v>
      </c>
      <c r="AK65" s="167">
        <f t="shared" si="2"/>
        <v>0</v>
      </c>
      <c r="AL65" s="167"/>
      <c r="AM65" s="230"/>
      <c r="AN65" s="342">
        <f>+$AM$4</f>
        <v>8.25</v>
      </c>
      <c r="AO65" s="340">
        <f>+IF(AN65=7.75,SUM(M65:S65)+T65*0.75,IF(AN65=8,SUM(M65:T65),IF(AN65=7.25,SUM(M65:S65)+T65*0.25,IF(AN65=8.25,SUM(M65:T65)+U65*0.25,IF(AN65=8.75,SUM(M65:T65)+U65*0.75,0)))))</f>
        <v>16.5</v>
      </c>
      <c r="AP65" s="167">
        <f>+AO65-AB65</f>
        <v>0</v>
      </c>
      <c r="AQ65" s="167"/>
      <c r="AR65" s="167"/>
      <c r="AS65" s="167"/>
      <c r="AT65" s="435"/>
      <c r="AU65" s="393"/>
      <c r="AW65" s="356">
        <v>2.5670329670329672</v>
      </c>
      <c r="AY65" s="356"/>
    </row>
    <row r="66" spans="2:62" s="98" customFormat="1" ht="62.25" customHeight="1" thickTop="1" x14ac:dyDescent="0.9">
      <c r="B66" s="127">
        <f>+B67</f>
        <v>16</v>
      </c>
      <c r="C66" s="370"/>
      <c r="D66" s="106"/>
      <c r="E66" s="106"/>
      <c r="F66" s="106"/>
      <c r="G66" s="577" t="s">
        <v>450</v>
      </c>
      <c r="H66" s="106"/>
      <c r="I66" s="106"/>
      <c r="J66" s="107" t="s">
        <v>20</v>
      </c>
      <c r="K66" s="108" t="s">
        <v>23</v>
      </c>
      <c r="L66" s="100" t="s">
        <v>21</v>
      </c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135" t="str">
        <f t="shared" ref="X66" si="54">IF(AT67="","",SUM(M66:W66)-(-(AT67-SUM(M66:W66))/$AT$3)*SUM($M$2:$W$2))</f>
        <v/>
      </c>
      <c r="Y66" s="438"/>
      <c r="Z66" s="400">
        <v>0</v>
      </c>
      <c r="AA66" s="540">
        <f>+X68</f>
        <v>0</v>
      </c>
      <c r="AB66" s="135">
        <f t="shared" ref="AB66:AB91" si="55">+SUM(L66:W66)</f>
        <v>0</v>
      </c>
      <c r="AC66" s="136">
        <f>+AD66+AB66</f>
        <v>3528</v>
      </c>
      <c r="AD66" s="136">
        <v>3528</v>
      </c>
      <c r="AE66" s="438"/>
      <c r="AF66" s="438"/>
      <c r="AG66" s="109"/>
      <c r="AH66" s="110"/>
      <c r="AI66" s="157"/>
      <c r="AJ66" s="161">
        <f t="shared" si="1"/>
        <v>0</v>
      </c>
      <c r="AK66" s="167">
        <f t="shared" si="2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0.9">
      <c r="B67" s="133">
        <v>16</v>
      </c>
      <c r="C67" s="371">
        <f>+B67</f>
        <v>16</v>
      </c>
      <c r="D67" s="372" t="s">
        <v>449</v>
      </c>
      <c r="E67" s="111"/>
      <c r="F67" s="111" t="s">
        <v>422</v>
      </c>
      <c r="G67" s="578" t="str">
        <f>+G66</f>
        <v>PIANO-PURPLE</v>
      </c>
      <c r="H67" s="450">
        <v>3528</v>
      </c>
      <c r="I67" s="111" t="s">
        <v>451</v>
      </c>
      <c r="J67" s="113">
        <v>33.86</v>
      </c>
      <c r="K67" s="130">
        <v>75</v>
      </c>
      <c r="L67" s="101" t="s">
        <v>17</v>
      </c>
      <c r="M67" s="214"/>
      <c r="N67" s="214"/>
      <c r="O67" s="214"/>
      <c r="P67" s="214"/>
      <c r="Q67" s="214"/>
      <c r="R67" s="214"/>
      <c r="S67" s="214"/>
      <c r="T67" s="214"/>
      <c r="U67" s="214"/>
      <c r="V67" s="424"/>
      <c r="W67" s="424"/>
      <c r="X67" s="123">
        <f>+IF(H68="s",0,IF(AB67=0,0,IF(COUNTA(M67:W67)=AN69+0.75,SUMIF($C:$C,B67,$AB:$AB)/AN69,SUMIF($C:$C,B67,$AB:$AB)/(COUNTA(M67:W67)))))</f>
        <v>0</v>
      </c>
      <c r="Y67" s="439"/>
      <c r="Z67" s="400"/>
      <c r="AA67" s="541"/>
      <c r="AB67" s="134">
        <f t="shared" si="55"/>
        <v>0</v>
      </c>
      <c r="AC67" s="137">
        <f>+AB67+AD67</f>
        <v>3523</v>
      </c>
      <c r="AD67" s="137">
        <v>3523</v>
      </c>
      <c r="AE67" s="439"/>
      <c r="AF67" s="439">
        <f>+AE67+Y67</f>
        <v>0</v>
      </c>
      <c r="AG67" s="140">
        <f>+AC66-AC67</f>
        <v>5</v>
      </c>
      <c r="AH67" s="131" t="str">
        <f>+IF(((AB68+(AB69/2))*60)=0,"",(J67*AB67)/((AB68+(AB69/2))*60))</f>
        <v/>
      </c>
      <c r="AI67" s="161">
        <f>+AB68+AB69/2</f>
        <v>0</v>
      </c>
      <c r="AJ67" s="161">
        <f t="shared" si="1"/>
        <v>0</v>
      </c>
      <c r="AK67" s="167">
        <f t="shared" si="2"/>
        <v>0</v>
      </c>
      <c r="AL67" s="167">
        <f>+AB67*J67</f>
        <v>0</v>
      </c>
      <c r="AM67" s="230">
        <f>+AB67-(AI67*K67/K69)</f>
        <v>0</v>
      </c>
      <c r="AN67" s="339"/>
      <c r="AO67" s="340"/>
      <c r="AP67" s="167"/>
      <c r="AQ67" s="167"/>
      <c r="AR67" s="167"/>
      <c r="AS67" s="167"/>
      <c r="AT67" s="433"/>
      <c r="AU67" s="393"/>
      <c r="AW67" s="356">
        <v>5</v>
      </c>
      <c r="AY67" s="356">
        <f t="shared" ref="AY67" si="56">+AW67-AG67</f>
        <v>0</v>
      </c>
      <c r="AZ67" s="580"/>
      <c r="BA67" s="580"/>
      <c r="BB67" s="580"/>
      <c r="BC67" s="580"/>
      <c r="BD67" s="580"/>
      <c r="BE67" s="580"/>
      <c r="BF67" s="580"/>
      <c r="BG67" s="580"/>
      <c r="BH67" s="580"/>
      <c r="BI67" s="580"/>
      <c r="BJ67" s="580"/>
    </row>
    <row r="68" spans="2:62" s="98" customFormat="1" ht="62.25" customHeight="1" x14ac:dyDescent="0.9">
      <c r="B68" s="125">
        <f>+B67</f>
        <v>16</v>
      </c>
      <c r="C68" s="373"/>
      <c r="D68" s="184"/>
      <c r="E68" s="111">
        <f>+B67</f>
        <v>16</v>
      </c>
      <c r="F68" s="374"/>
      <c r="G68" s="578" t="str">
        <f>+G66</f>
        <v>PIANO-PURPLE</v>
      </c>
      <c r="H68" s="376" t="s">
        <v>400</v>
      </c>
      <c r="I68" s="113">
        <f>+IFERROR(IF(K69=0,0,IF((LOOKUP(2,1/(M68:W68&lt;&gt;""),M68:W68)-K69)&lt;0,0,IF(K69=0,"",LOOKUP(2,1/(M68:W68&lt;&gt;""),M68:W68)-K69))),0)</f>
        <v>0</v>
      </c>
      <c r="J68" s="113">
        <v>1</v>
      </c>
      <c r="K68" s="114" t="s">
        <v>22</v>
      </c>
      <c r="L68" s="102" t="s">
        <v>18</v>
      </c>
      <c r="M68" s="425"/>
      <c r="N68" s="425"/>
      <c r="O68" s="425"/>
      <c r="P68" s="425"/>
      <c r="Q68" s="425"/>
      <c r="R68" s="425"/>
      <c r="S68" s="425"/>
      <c r="T68" s="425"/>
      <c r="U68" s="425"/>
      <c r="V68" s="426"/>
      <c r="W68" s="426"/>
      <c r="X68" s="160">
        <f>+IF(H68="l",IF(COUNTA(M67:W67)=AN69+0.75,AB67-K67*AN69,AB67-(K67*COUNTA(M67:W67))),IF(H68="s",0,IF(COUNTA(M67:W67)=AN69+0.75,SUMIF($C:$C,B67,$AB:$AB)-K67*AN69,SUMIF($C:$C,B67,$AB:$AB)-K67*COUNTA(M67:W67))))</f>
        <v>0</v>
      </c>
      <c r="Y68" s="440"/>
      <c r="Z68" s="400"/>
      <c r="AA68" s="541"/>
      <c r="AB68" s="443">
        <f t="shared" ref="AB68" si="57">+SUM(M68:W68)-U68*0.75</f>
        <v>0</v>
      </c>
      <c r="AC68" s="341"/>
      <c r="AD68" s="341"/>
      <c r="AE68" s="440"/>
      <c r="AF68" s="440"/>
      <c r="AG68" s="115"/>
      <c r="AH68" s="116"/>
      <c r="AI68" s="157"/>
      <c r="AJ68" s="161">
        <f t="shared" si="1"/>
        <v>0</v>
      </c>
      <c r="AK68" s="167">
        <f t="shared" si="2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0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343">
        <f>+B67</f>
        <v>16</v>
      </c>
      <c r="C69" s="375"/>
      <c r="D69" s="378" t="s">
        <v>152</v>
      </c>
      <c r="E69" s="175">
        <f>+E68+100</f>
        <v>116</v>
      </c>
      <c r="F69" s="175"/>
      <c r="G69" s="579" t="str">
        <f>+G66</f>
        <v>PIANO-PURPLE</v>
      </c>
      <c r="H69" s="454">
        <f>+AC66-H67</f>
        <v>0</v>
      </c>
      <c r="I69" s="397"/>
      <c r="J69" s="165">
        <f>+IF(K69="","",IF(K67=0,"",(K67*J67)/(K69*60)))</f>
        <v>0.81394230769230769</v>
      </c>
      <c r="K69" s="118">
        <v>52</v>
      </c>
      <c r="L69" s="104" t="s">
        <v>19</v>
      </c>
      <c r="M69" s="427"/>
      <c r="N69" s="427"/>
      <c r="O69" s="427"/>
      <c r="P69" s="427"/>
      <c r="Q69" s="427"/>
      <c r="R69" s="427"/>
      <c r="S69" s="427"/>
      <c r="T69" s="427"/>
      <c r="U69" s="427"/>
      <c r="V69" s="428"/>
      <c r="W69" s="428"/>
      <c r="X69" s="173"/>
      <c r="Y69" s="441"/>
      <c r="Z69" s="401">
        <v>26.999523809523808</v>
      </c>
      <c r="AA69" s="168">
        <f>+IF(COUNTA(M67:W67)=$AM$4+0.25,$AM$4-(AB67/K67),COUNTA(M67:W67)-(AB67/K67))+Z69</f>
        <v>26.999523809523808</v>
      </c>
      <c r="AB69" s="444">
        <f t="shared" si="7"/>
        <v>0</v>
      </c>
      <c r="AC69" s="139"/>
      <c r="AD69" s="139"/>
      <c r="AE69" s="441"/>
      <c r="AF69" s="441"/>
      <c r="AG69" s="119">
        <f>+IFERROR(AG67/(K67*$AT$3),"")</f>
        <v>7.619047619047619E-3</v>
      </c>
      <c r="AH69" s="162"/>
      <c r="AI69" s="161"/>
      <c r="AJ69" s="161">
        <f t="shared" si="1"/>
        <v>0</v>
      </c>
      <c r="AK69" s="167">
        <f t="shared" si="2"/>
        <v>0</v>
      </c>
      <c r="AL69" s="167"/>
      <c r="AM69" s="230"/>
      <c r="AN69" s="342">
        <f>+$AM$4</f>
        <v>8.25</v>
      </c>
      <c r="AO69" s="340">
        <f>+IF(AN69=7.75,SUM(M69:S69)+T69*0.75,IF(AN69=8,SUM(M69:T69),IF(AN69=7.25,SUM(M69:S69)+T69*0.25,IF(AN69=8.25,SUM(M69:T69)+U69*0.25,IF(AN69=8.75,SUM(M69:T69)+U69*0.75,0)))))</f>
        <v>0</v>
      </c>
      <c r="AP69" s="167">
        <f>+AO69-AB69</f>
        <v>0</v>
      </c>
      <c r="AQ69" s="167"/>
      <c r="AR69" s="167"/>
      <c r="AS69" s="167"/>
      <c r="AT69" s="435"/>
      <c r="AU69" s="393"/>
      <c r="AW69" s="356">
        <v>7.619047619047619E-3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77" t="s">
        <v>463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ref="X70" si="58">IF(AT71="","",SUM(M70:W70)-(-(AT71-SUM(M70:W70))/$AT$3)*SUM($M$2:$W$2))</f>
        <v/>
      </c>
      <c r="Y70" s="438"/>
      <c r="Z70" s="400">
        <v>-253.25</v>
      </c>
      <c r="AA70" s="540">
        <f>+X72</f>
        <v>-200.75</v>
      </c>
      <c r="AB70" s="135">
        <f t="shared" si="55"/>
        <v>0</v>
      </c>
      <c r="AC70" s="136">
        <f>+AD70+AB70</f>
        <v>2169</v>
      </c>
      <c r="AD70" s="136">
        <v>2169</v>
      </c>
      <c r="AE70" s="438"/>
      <c r="AF70" s="438"/>
      <c r="AG70" s="109"/>
      <c r="AH70" s="110"/>
      <c r="AI70" s="157"/>
      <c r="AJ70" s="161">
        <f t="shared" si="1"/>
        <v>0</v>
      </c>
      <c r="AK70" s="167">
        <f t="shared" si="2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462</v>
      </c>
      <c r="E71" s="111"/>
      <c r="F71" s="111" t="s">
        <v>422</v>
      </c>
      <c r="G71" s="578" t="str">
        <f>+G70</f>
        <v>PIANO-Turquaz</v>
      </c>
      <c r="H71" s="450">
        <v>2155</v>
      </c>
      <c r="I71" s="111" t="s">
        <v>451</v>
      </c>
      <c r="J71" s="113">
        <v>33.86</v>
      </c>
      <c r="K71" s="130">
        <v>75</v>
      </c>
      <c r="L71" s="101" t="s">
        <v>17</v>
      </c>
      <c r="M71" s="214">
        <v>60</v>
      </c>
      <c r="N71" s="214">
        <v>0</v>
      </c>
      <c r="O71" s="214">
        <v>50</v>
      </c>
      <c r="P71" s="214">
        <v>50</v>
      </c>
      <c r="Q71" s="214">
        <v>50</v>
      </c>
      <c r="R71" s="214">
        <v>50</v>
      </c>
      <c r="S71" s="214">
        <v>70</v>
      </c>
      <c r="T71" s="214">
        <v>70</v>
      </c>
      <c r="U71" s="214">
        <v>18</v>
      </c>
      <c r="V71" s="424"/>
      <c r="W71" s="424"/>
      <c r="X71" s="123">
        <f>+IF(H72="s",0,IF(AB71=0,0,IF(COUNTA(M71:W71)=AN73+0.75,SUMIF($C:$C,B71,$AB:$AB)/AN73,SUMIF($C:$C,B71,$AB:$AB)/(COUNTA(M71:W71)))))</f>
        <v>50.666666666666664</v>
      </c>
      <c r="Y71" s="439"/>
      <c r="Z71" s="400"/>
      <c r="AA71" s="541"/>
      <c r="AB71" s="134">
        <f t="shared" si="55"/>
        <v>418</v>
      </c>
      <c r="AC71" s="137">
        <f>+AB71+AD71</f>
        <v>1778</v>
      </c>
      <c r="AD71" s="137">
        <v>1360</v>
      </c>
      <c r="AE71" s="439"/>
      <c r="AF71" s="439">
        <f>+AE71+Y71</f>
        <v>0</v>
      </c>
      <c r="AG71" s="140">
        <f>+AC70-AC71</f>
        <v>391</v>
      </c>
      <c r="AH71" s="131">
        <f>+IF(((AB72+(AB73/2))*60)=0,"",(J71*AB71)/((AB72+(AB73/2))*60))</f>
        <v>1.1286666666666667</v>
      </c>
      <c r="AI71" s="161">
        <f>+AB72+AB73/2</f>
        <v>209</v>
      </c>
      <c r="AJ71" s="161">
        <f t="shared" si="1"/>
        <v>209</v>
      </c>
      <c r="AK71" s="167">
        <f t="shared" si="2"/>
        <v>12540</v>
      </c>
      <c r="AL71" s="167">
        <f>+AB71*J71</f>
        <v>14153.48</v>
      </c>
      <c r="AM71" s="230">
        <f>+AB71-(AI71*K71/K73)</f>
        <v>104.5</v>
      </c>
      <c r="AN71" s="339"/>
      <c r="AO71" s="340"/>
      <c r="AP71" s="167"/>
      <c r="AQ71" s="167"/>
      <c r="AR71" s="167"/>
      <c r="AS71" s="167"/>
      <c r="AT71" s="433"/>
      <c r="AU71" s="393"/>
      <c r="AW71" s="356">
        <v>809</v>
      </c>
      <c r="AY71" s="356">
        <f t="shared" ref="AY71" si="59">+AW71-AG71</f>
        <v>418</v>
      </c>
      <c r="AZ71" s="580"/>
      <c r="BA71" s="580"/>
      <c r="BB71" s="580"/>
      <c r="BC71" s="580"/>
      <c r="BD71" s="580"/>
      <c r="BE71" s="580"/>
      <c r="BF71" s="580"/>
      <c r="BG71" s="580"/>
      <c r="BH71" s="580"/>
      <c r="BI71" s="580"/>
      <c r="BJ71" s="580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78" t="str">
        <f>+G70</f>
        <v>PIANO-Turquaz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>
        <v>30</v>
      </c>
      <c r="N72" s="425">
        <v>30</v>
      </c>
      <c r="O72" s="425">
        <v>28</v>
      </c>
      <c r="P72" s="425">
        <v>26</v>
      </c>
      <c r="Q72" s="425">
        <v>25</v>
      </c>
      <c r="R72" s="425">
        <v>25</v>
      </c>
      <c r="S72" s="425">
        <v>20</v>
      </c>
      <c r="T72" s="425">
        <v>20</v>
      </c>
      <c r="U72" s="425">
        <v>20</v>
      </c>
      <c r="V72" s="426"/>
      <c r="W72" s="426"/>
      <c r="X72" s="160">
        <f>+IF(H72="l",IF(COUNTA(M71:W71)=AN73+0.75,AB71-K71*AN73,AB71-(K71*COUNTA(M71:W71))),IF(H72="s",0,IF(COUNTA(M71:W71)=AN73+0.75,SUMIF($C:$C,B71,$AB:$AB)-K71*AN73,SUMIF($C:$C,B71,$AB:$AB)-K71*COUNTA(M71:W71))))</f>
        <v>-200.75</v>
      </c>
      <c r="Y72" s="440"/>
      <c r="Z72" s="400"/>
      <c r="AA72" s="541"/>
      <c r="AB72" s="443">
        <f t="shared" ref="AB72" si="60">+SUM(M72:W72)-U72*0.75</f>
        <v>209</v>
      </c>
      <c r="AC72" s="341"/>
      <c r="AD72" s="341"/>
      <c r="AE72" s="440"/>
      <c r="AF72" s="440"/>
      <c r="AG72" s="115"/>
      <c r="AH72" s="116"/>
      <c r="AI72" s="157"/>
      <c r="AJ72" s="161">
        <f t="shared" si="1"/>
        <v>0</v>
      </c>
      <c r="AK72" s="167">
        <f t="shared" si="2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209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79" t="str">
        <f>+G70</f>
        <v>PIANO-Turquaz</v>
      </c>
      <c r="H73" s="454">
        <f>+AC70-H71</f>
        <v>14</v>
      </c>
      <c r="I73" s="397"/>
      <c r="J73" s="165">
        <f>+IF(K73="","",IF(K71=0,"",(K71*J71)/(K73*60)))</f>
        <v>0.84650000000000003</v>
      </c>
      <c r="K73" s="118">
        <v>50</v>
      </c>
      <c r="L73" s="104" t="s">
        <v>19</v>
      </c>
      <c r="M73" s="427"/>
      <c r="N73" s="427"/>
      <c r="O73" s="427"/>
      <c r="P73" s="427"/>
      <c r="Q73" s="427"/>
      <c r="R73" s="427"/>
      <c r="S73" s="427"/>
      <c r="T73" s="427"/>
      <c r="U73" s="427"/>
      <c r="V73" s="428"/>
      <c r="W73" s="428"/>
      <c r="X73" s="173"/>
      <c r="Y73" s="441"/>
      <c r="Z73" s="169">
        <v>24.69</v>
      </c>
      <c r="AA73" s="169">
        <v>24.69</v>
      </c>
      <c r="AB73" s="444">
        <f t="shared" ref="AB73:AB93" si="61">+SUM(M73:W73)-U73*0.75</f>
        <v>0</v>
      </c>
      <c r="AC73" s="139"/>
      <c r="AD73" s="139"/>
      <c r="AE73" s="441"/>
      <c r="AF73" s="441"/>
      <c r="AG73" s="119">
        <f>+IFERROR(AG71/(K71*$AT$3),"")</f>
        <v>0.59580952380952379</v>
      </c>
      <c r="AH73" s="162"/>
      <c r="AI73" s="161"/>
      <c r="AJ73" s="161">
        <f t="shared" si="1"/>
        <v>0</v>
      </c>
      <c r="AK73" s="167">
        <f t="shared" si="2"/>
        <v>0</v>
      </c>
      <c r="AL73" s="167"/>
      <c r="AM73" s="230"/>
      <c r="AN73" s="342">
        <f>+$AM$4</f>
        <v>8.25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0</v>
      </c>
      <c r="AQ73" s="167"/>
      <c r="AR73" s="167"/>
      <c r="AS73" s="167"/>
      <c r="AT73" s="435"/>
      <c r="AU73" s="393"/>
      <c r="AW73" s="356">
        <v>1.2327619047619047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77" t="s">
        <v>472</v>
      </c>
      <c r="H74" s="106"/>
      <c r="I74" s="106"/>
      <c r="J74" s="107" t="s">
        <v>20</v>
      </c>
      <c r="K74" s="108" t="s">
        <v>23</v>
      </c>
      <c r="L74" s="100" t="s">
        <v>21</v>
      </c>
      <c r="M74" s="423">
        <v>100</v>
      </c>
      <c r="N74" s="423">
        <v>50</v>
      </c>
      <c r="O74" s="423">
        <v>100</v>
      </c>
      <c r="P74" s="423"/>
      <c r="Q74" s="423">
        <v>50</v>
      </c>
      <c r="R74" s="423"/>
      <c r="S74" s="423"/>
      <c r="T74" s="423"/>
      <c r="U74" s="423"/>
      <c r="V74" s="423"/>
      <c r="W74" s="423"/>
      <c r="X74" s="135">
        <f t="shared" ref="X74" si="62">IF(AT75="","",SUM(M74:W74)-(-(AT75-SUM(M74:W74))/$AT$3)*SUM($M$2:$W$2))</f>
        <v>300</v>
      </c>
      <c r="Y74" s="438"/>
      <c r="Z74" s="400">
        <v>0</v>
      </c>
      <c r="AA74" s="540">
        <f>+X76</f>
        <v>0</v>
      </c>
      <c r="AB74" s="135">
        <f t="shared" si="55"/>
        <v>300</v>
      </c>
      <c r="AC74" s="136">
        <f>+AD74+AB74</f>
        <v>800</v>
      </c>
      <c r="AD74" s="136">
        <v>500</v>
      </c>
      <c r="AE74" s="438"/>
      <c r="AF74" s="438"/>
      <c r="AG74" s="109"/>
      <c r="AH74" s="110"/>
      <c r="AI74" s="157"/>
      <c r="AJ74" s="161">
        <f t="shared" si="1"/>
        <v>0</v>
      </c>
      <c r="AK74" s="167">
        <f t="shared" si="2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473</v>
      </c>
      <c r="E75" s="111"/>
      <c r="F75" s="111" t="s">
        <v>35</v>
      </c>
      <c r="G75" s="578" t="str">
        <f>+G74</f>
        <v>7674-739-401</v>
      </c>
      <c r="H75" s="450">
        <v>8333</v>
      </c>
      <c r="I75" s="111" t="s">
        <v>251</v>
      </c>
      <c r="J75" s="113"/>
      <c r="K75" s="130"/>
      <c r="L75" s="101" t="s">
        <v>17</v>
      </c>
      <c r="M75" s="214">
        <v>0</v>
      </c>
      <c r="N75" s="214">
        <v>0</v>
      </c>
      <c r="O75" s="214">
        <v>0</v>
      </c>
      <c r="P75" s="214">
        <v>0</v>
      </c>
      <c r="Q75" s="214">
        <v>0</v>
      </c>
      <c r="R75" s="214">
        <v>0</v>
      </c>
      <c r="S75" s="214">
        <v>0</v>
      </c>
      <c r="T75" s="214">
        <v>0</v>
      </c>
      <c r="U75" s="214">
        <v>0</v>
      </c>
      <c r="V75" s="424"/>
      <c r="W75" s="424"/>
      <c r="X75" s="123">
        <f>+IF(H76="s",0,IF(AB75=0,0,IF(COUNTA(M75:W75)=AN77+0.75,SUMIF($C:$C,B75,$AB:$AB)/AN77,SUMIF($C:$C,B75,$AB:$AB)/(COUNTA(M75:W75)))))</f>
        <v>0</v>
      </c>
      <c r="Y75" s="439"/>
      <c r="Z75" s="400"/>
      <c r="AA75" s="541"/>
      <c r="AB75" s="134">
        <f t="shared" si="55"/>
        <v>0</v>
      </c>
      <c r="AC75" s="137">
        <f>+AB75+AD75</f>
        <v>0</v>
      </c>
      <c r="AD75" s="137">
        <v>0</v>
      </c>
      <c r="AE75" s="439"/>
      <c r="AF75" s="439">
        <f>+AE75+Y75</f>
        <v>0</v>
      </c>
      <c r="AG75" s="140">
        <f>+AC74-AC75</f>
        <v>800</v>
      </c>
      <c r="AH75" s="131">
        <f>+IF(((AB76+(AB77/2))*60)=0,"",(J75*AB75)/((AB76+(AB77/2))*60))</f>
        <v>0</v>
      </c>
      <c r="AI75" s="161">
        <f>+AB76+AB77/2</f>
        <v>168.25</v>
      </c>
      <c r="AJ75" s="161">
        <f t="shared" si="1"/>
        <v>168.15</v>
      </c>
      <c r="AK75" s="167">
        <f t="shared" si="2"/>
        <v>10095</v>
      </c>
      <c r="AL75" s="167">
        <f>+AB75*J75</f>
        <v>0</v>
      </c>
      <c r="AM75" s="230" t="e">
        <f>+AB75-(AI75*K75/K77)</f>
        <v>#DIV/0!</v>
      </c>
      <c r="AN75" s="339"/>
      <c r="AO75" s="340"/>
      <c r="AP75" s="167"/>
      <c r="AQ75" s="167"/>
      <c r="AR75" s="167"/>
      <c r="AS75" s="167"/>
      <c r="AT75" s="433">
        <f>-300+AB74</f>
        <v>0</v>
      </c>
      <c r="AU75" s="393">
        <v>1.5</v>
      </c>
      <c r="AW75" s="356">
        <v>500</v>
      </c>
      <c r="AY75" s="356">
        <f t="shared" ref="AY75" si="63">+AW75-AG75</f>
        <v>-300</v>
      </c>
      <c r="AZ75" s="580"/>
      <c r="BA75" s="580"/>
      <c r="BB75" s="580"/>
      <c r="BC75" s="580"/>
      <c r="BD75" s="580"/>
      <c r="BE75" s="580"/>
      <c r="BF75" s="580"/>
      <c r="BG75" s="580"/>
      <c r="BH75" s="580"/>
      <c r="BI75" s="580"/>
      <c r="BJ75" s="580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78" t="str">
        <f>+G74</f>
        <v>7674-739-401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>
        <v>17</v>
      </c>
      <c r="N76" s="425">
        <v>17</v>
      </c>
      <c r="O76" s="425">
        <v>19</v>
      </c>
      <c r="P76" s="425">
        <v>19</v>
      </c>
      <c r="Q76" s="425">
        <v>20</v>
      </c>
      <c r="R76" s="425">
        <v>20</v>
      </c>
      <c r="S76" s="425">
        <v>25</v>
      </c>
      <c r="T76" s="425">
        <v>25</v>
      </c>
      <c r="U76" s="425">
        <v>25</v>
      </c>
      <c r="V76" s="426"/>
      <c r="W76" s="426"/>
      <c r="X76" s="160">
        <f>+IF(H76="l",IF(COUNTA(M75:W75)=AN77+0.75,AB75-K75*AN77,AB75-(K75*COUNTA(M75:W75))),IF(H76="s",0,IF(COUNTA(M75:W75)=AN77+0.75,SUMIF($C:$C,B75,$AB:$AB)-K75*AN77,SUMIF($C:$C,B75,$AB:$AB)-K75*COUNTA(M75:W75))))</f>
        <v>0</v>
      </c>
      <c r="Y76" s="440"/>
      <c r="Z76" s="400"/>
      <c r="AA76" s="541"/>
      <c r="AB76" s="443">
        <f t="shared" ref="AB76" si="64">+SUM(M76:W76)-U76*0.75</f>
        <v>168.25</v>
      </c>
      <c r="AC76" s="341"/>
      <c r="AD76" s="341"/>
      <c r="AE76" s="440"/>
      <c r="AF76" s="440"/>
      <c r="AG76" s="115"/>
      <c r="AH76" s="116"/>
      <c r="AI76" s="157"/>
      <c r="AJ76" s="161">
        <f t="shared" si="1"/>
        <v>0</v>
      </c>
      <c r="AK76" s="167">
        <f t="shared" si="2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168.25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79" t="str">
        <f>+G74</f>
        <v>7674-739-401</v>
      </c>
      <c r="H77" s="454">
        <f>+AC74-H75</f>
        <v>-7533</v>
      </c>
      <c r="I77" s="397"/>
      <c r="J77" s="165" t="str">
        <f>+IF(K77="","",IF(K75=0,"",(K75*J75)/(K77*60)))</f>
        <v/>
      </c>
      <c r="K77" s="118"/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401" t="e">
        <v>#DIV/0!</v>
      </c>
      <c r="AA77" s="168" t="e">
        <f>+IF(COUNTA(M75:W75)=$AM$4+0.25,$AM$4-(AB75/K75),COUNTA(M75:W75)-(AB75/K75))+Z77</f>
        <v>#DIV/0!</v>
      </c>
      <c r="AB77" s="444">
        <f t="shared" si="61"/>
        <v>0</v>
      </c>
      <c r="AC77" s="139"/>
      <c r="AD77" s="139"/>
      <c r="AE77" s="441"/>
      <c r="AF77" s="441"/>
      <c r="AG77" s="119" t="str">
        <f>+IFERROR(AG75/(K75*$AT$3),"")</f>
        <v/>
      </c>
      <c r="AH77" s="162"/>
      <c r="AI77" s="161"/>
      <c r="AJ77" s="161">
        <f t="shared" si="1"/>
        <v>0</v>
      </c>
      <c r="AK77" s="167">
        <f t="shared" si="2"/>
        <v>0</v>
      </c>
      <c r="AL77" s="167"/>
      <c r="AM77" s="230"/>
      <c r="AN77" s="342">
        <f>+$AM$4</f>
        <v>8.25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 t="s">
        <v>429</v>
      </c>
      <c r="AY77" s="356"/>
    </row>
    <row r="78" spans="2:62" s="98" customFormat="1" ht="62.25" customHeight="1" thickTop="1" x14ac:dyDescent="0.9">
      <c r="B78" s="97">
        <f>+B79</f>
        <v>17</v>
      </c>
      <c r="C78" s="370"/>
      <c r="D78" s="106"/>
      <c r="E78" s="106"/>
      <c r="F78" s="106"/>
      <c r="G78" s="577" t="s">
        <v>436</v>
      </c>
      <c r="H78" s="106"/>
      <c r="I78" s="111"/>
      <c r="J78" s="107" t="s">
        <v>20</v>
      </c>
      <c r="K78" s="108" t="s">
        <v>23</v>
      </c>
      <c r="L78" s="100" t="s">
        <v>21</v>
      </c>
      <c r="M78" s="423">
        <v>60</v>
      </c>
      <c r="N78" s="423">
        <v>60</v>
      </c>
      <c r="O78" s="423">
        <v>60</v>
      </c>
      <c r="P78" s="423">
        <v>120</v>
      </c>
      <c r="Q78" s="423">
        <v>120</v>
      </c>
      <c r="R78" s="423"/>
      <c r="S78" s="423"/>
      <c r="T78" s="423"/>
      <c r="U78" s="423"/>
      <c r="V78" s="423"/>
      <c r="W78" s="423"/>
      <c r="X78" s="135">
        <f t="shared" ref="X78" si="65">IF(AT79="","",SUM(M78:W78)-(-(AT79-SUM(M78:W78))/$AT$3)*SUM($M$2:$W$2))</f>
        <v>420</v>
      </c>
      <c r="Y78" s="438"/>
      <c r="Z78" s="400">
        <v>6.25</v>
      </c>
      <c r="AA78" s="540">
        <f>+X80</f>
        <v>0.75</v>
      </c>
      <c r="AB78" s="135">
        <f t="shared" si="55"/>
        <v>420</v>
      </c>
      <c r="AC78" s="136">
        <f>+AD78+AB78</f>
        <v>7201</v>
      </c>
      <c r="AD78" s="136">
        <v>6781</v>
      </c>
      <c r="AE78" s="438"/>
      <c r="AF78" s="438"/>
      <c r="AG78" s="109"/>
      <c r="AH78" s="110"/>
      <c r="AI78" s="157"/>
      <c r="AJ78" s="161">
        <f t="shared" si="1"/>
        <v>0</v>
      </c>
      <c r="AK78" s="167">
        <f t="shared" si="2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2">
        <v>17</v>
      </c>
      <c r="C79" s="371">
        <f>+B79</f>
        <v>17</v>
      </c>
      <c r="D79" s="372" t="s">
        <v>435</v>
      </c>
      <c r="E79" s="111"/>
      <c r="F79" s="111" t="s">
        <v>35</v>
      </c>
      <c r="G79" s="578" t="str">
        <f>+G78</f>
        <v>2628-510-630</v>
      </c>
      <c r="H79" s="450">
        <v>10010</v>
      </c>
      <c r="I79" s="111" t="s">
        <v>33</v>
      </c>
      <c r="J79" s="113">
        <v>44.34</v>
      </c>
      <c r="K79" s="130">
        <v>53</v>
      </c>
      <c r="L79" s="101" t="s">
        <v>17</v>
      </c>
      <c r="M79" s="214">
        <v>53</v>
      </c>
      <c r="N79" s="214">
        <v>53</v>
      </c>
      <c r="O79" s="214">
        <v>53</v>
      </c>
      <c r="P79" s="214">
        <v>53</v>
      </c>
      <c r="Q79" s="214">
        <v>83</v>
      </c>
      <c r="R79" s="459">
        <v>23</v>
      </c>
      <c r="S79" s="214">
        <v>53</v>
      </c>
      <c r="T79" s="214">
        <v>53</v>
      </c>
      <c r="U79" s="214">
        <v>14</v>
      </c>
      <c r="V79" s="214"/>
      <c r="W79" s="424"/>
      <c r="X79" s="123">
        <f>+IF(H80="s",0,IF(AB79=0,0,IF(COUNTA(M79:W79)=AN81+0.75,SUMIF($C:$C,B79,$AB:$AB)/AN81,SUMIF($C:$C,B79,$AB:$AB)/(COUNTA(M79:W79)))))</f>
        <v>53.090909090909093</v>
      </c>
      <c r="Y79" s="439"/>
      <c r="Z79" s="400"/>
      <c r="AA79" s="541"/>
      <c r="AB79" s="134">
        <f t="shared" si="55"/>
        <v>438</v>
      </c>
      <c r="AC79" s="137">
        <f>+AB79+AD79</f>
        <v>6421</v>
      </c>
      <c r="AD79" s="137">
        <v>5983</v>
      </c>
      <c r="AE79" s="439">
        <v>0</v>
      </c>
      <c r="AF79" s="439">
        <f>+AE79+Y79</f>
        <v>0</v>
      </c>
      <c r="AG79" s="140">
        <f>+AC78-AC79</f>
        <v>780</v>
      </c>
      <c r="AH79" s="131">
        <f>+IF(((AB80+(AB81/2))*60)=0,"",(J79*AB79)/((AB80+(AB81/2))*60))</f>
        <v>0.84374584555229726</v>
      </c>
      <c r="AI79" s="161">
        <f>+AB80+AB81/2</f>
        <v>383.625</v>
      </c>
      <c r="AJ79" s="161">
        <f t="shared" si="1"/>
        <v>383.375</v>
      </c>
      <c r="AK79" s="167">
        <f t="shared" si="2"/>
        <v>23017.5</v>
      </c>
      <c r="AL79" s="167">
        <f>+AB79*J79</f>
        <v>19420.920000000002</v>
      </c>
      <c r="AM79" s="230">
        <f>+AB79-(AI79*K79/K81)</f>
        <v>-4.0027173913043725</v>
      </c>
      <c r="AN79" s="339"/>
      <c r="AO79" s="340"/>
      <c r="AP79" s="167"/>
      <c r="AQ79" s="167"/>
      <c r="AR79" s="167"/>
      <c r="AS79" s="167"/>
      <c r="AT79" s="433">
        <f t="shared" ref="AT79" si="66">IF(AU79=0,"",AW79-(($AT$3*K79)+($AT$3*K79)*AU79)+AB78)</f>
        <v>12.25</v>
      </c>
      <c r="AU79" s="393">
        <v>1.6</v>
      </c>
      <c r="AW79" s="356">
        <v>798</v>
      </c>
      <c r="AY79" s="356">
        <f t="shared" ref="AY79" si="67">+AW79-AG79</f>
        <v>18</v>
      </c>
    </row>
    <row r="80" spans="2:62" s="98" customFormat="1" ht="62.25" customHeight="1" x14ac:dyDescent="0.9">
      <c r="B80" s="125">
        <f>+B79</f>
        <v>17</v>
      </c>
      <c r="C80" s="373"/>
      <c r="D80" s="184"/>
      <c r="E80" s="111">
        <f>+B79</f>
        <v>17</v>
      </c>
      <c r="F80" s="374"/>
      <c r="G80" s="578" t="str">
        <f>+G78</f>
        <v>2628-510-630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46</v>
      </c>
      <c r="N80" s="425">
        <v>46</v>
      </c>
      <c r="O80" s="425">
        <v>46</v>
      </c>
      <c r="P80" s="425">
        <v>46</v>
      </c>
      <c r="Q80" s="425">
        <v>46</v>
      </c>
      <c r="R80" s="425">
        <v>46</v>
      </c>
      <c r="S80" s="425">
        <v>46</v>
      </c>
      <c r="T80" s="425">
        <v>46</v>
      </c>
      <c r="U80" s="425">
        <v>46</v>
      </c>
      <c r="V80" s="426"/>
      <c r="W80" s="426"/>
      <c r="X80" s="160">
        <f>+IF(H80="l",IF(COUNTA(M79:W79)=AN81+0.75,AB79-K79*AN81,AB79-(K79*COUNTA(M79:W79))),IF(H80="s",0,IF(COUNTA(M79:W79)=AN81+0.75,SUMIF($C:$C,B79,$AB:$AB)-K79*AN81,SUMIF($C:$C,B79,$AB:$AB)-K79*COUNTA(M79:W79))))</f>
        <v>0.75</v>
      </c>
      <c r="Y80" s="440"/>
      <c r="Z80" s="400"/>
      <c r="AA80" s="541"/>
      <c r="AB80" s="443">
        <f t="shared" ref="AB80" si="68">+SUM(M80:W80)-U80*0.75</f>
        <v>379.5</v>
      </c>
      <c r="AC80" s="341"/>
      <c r="AD80" s="341"/>
      <c r="AE80" s="440"/>
      <c r="AF80" s="440"/>
      <c r="AG80" s="115"/>
      <c r="AH80" s="116"/>
      <c r="AI80" s="157"/>
      <c r="AJ80" s="161">
        <f t="shared" si="1"/>
        <v>0</v>
      </c>
      <c r="AK80" s="167">
        <f t="shared" si="2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379.5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126">
        <f>+B79</f>
        <v>17</v>
      </c>
      <c r="C81" s="375"/>
      <c r="D81" s="174" t="s">
        <v>379</v>
      </c>
      <c r="E81" s="175">
        <f>+E80+100</f>
        <v>117</v>
      </c>
      <c r="F81" s="175"/>
      <c r="G81" s="579" t="str">
        <f>+G78</f>
        <v>2628-510-630</v>
      </c>
      <c r="H81" s="454">
        <f>+AC78-H79</f>
        <v>-2809</v>
      </c>
      <c r="I81" s="397"/>
      <c r="J81" s="165">
        <f>+IF(K81="","",IF(K79=0,"",(K79*J79)/(K81*60)))</f>
        <v>0.85145652173913045</v>
      </c>
      <c r="K81" s="118">
        <v>46</v>
      </c>
      <c r="L81" s="104" t="s">
        <v>19</v>
      </c>
      <c r="M81" s="427">
        <v>1</v>
      </c>
      <c r="N81" s="427">
        <v>1</v>
      </c>
      <c r="O81" s="427">
        <v>1</v>
      </c>
      <c r="P81" s="427">
        <v>1</v>
      </c>
      <c r="Q81" s="427">
        <v>1</v>
      </c>
      <c r="R81" s="427">
        <v>1</v>
      </c>
      <c r="S81" s="427">
        <v>1</v>
      </c>
      <c r="T81" s="427">
        <v>1</v>
      </c>
      <c r="U81" s="427">
        <v>1</v>
      </c>
      <c r="V81" s="428"/>
      <c r="W81" s="428"/>
      <c r="X81" s="173"/>
      <c r="Y81" s="441"/>
      <c r="Z81" s="401">
        <v>41.323268679526997</v>
      </c>
      <c r="AA81" s="169">
        <v>41.323268679526997</v>
      </c>
      <c r="AB81" s="444">
        <f t="shared" si="61"/>
        <v>8.25</v>
      </c>
      <c r="AC81" s="139"/>
      <c r="AD81" s="139"/>
      <c r="AE81" s="441"/>
      <c r="AF81" s="441"/>
      <c r="AG81" s="119">
        <f>+IFERROR(AG79/(K79*$AT$3),"")</f>
        <v>1.6819407008086253</v>
      </c>
      <c r="AH81" s="162"/>
      <c r="AI81" s="161"/>
      <c r="AJ81" s="161">
        <f t="shared" si="1"/>
        <v>0</v>
      </c>
      <c r="AK81" s="167">
        <f t="shared" si="2"/>
        <v>0</v>
      </c>
      <c r="AL81" s="167"/>
      <c r="AM81" s="230"/>
      <c r="AN81" s="342">
        <f>+$AM$4</f>
        <v>8.25</v>
      </c>
      <c r="AO81" s="340">
        <f>+IF(AN81=7.75,SUM(M81:S81)+T81*0.75,IF(AN81=8,SUM(M81:T81),IF(AN81=7.25,SUM(M81:S81)+T81*0.25,IF(AN81=8.25,SUM(M81:T81)+U81*0.25,IF(AN81=8.75,SUM(M81:T81)+U81*0.75,0)))))</f>
        <v>8.25</v>
      </c>
      <c r="AP81" s="167">
        <f>+AO81-AB81</f>
        <v>0</v>
      </c>
      <c r="AQ81" s="167"/>
      <c r="AR81" s="167"/>
      <c r="AS81" s="167"/>
      <c r="AT81" s="435"/>
      <c r="AU81" s="393"/>
      <c r="AW81" s="356">
        <v>1.7207547169811321</v>
      </c>
      <c r="AY81" s="356"/>
    </row>
    <row r="82" spans="2:51" s="98" customFormat="1" ht="62.25" customHeight="1" thickTop="1" x14ac:dyDescent="0.9">
      <c r="B82" s="127">
        <f>+B83</f>
        <v>18</v>
      </c>
      <c r="C82" s="370"/>
      <c r="D82" s="106"/>
      <c r="E82" s="106"/>
      <c r="F82" s="106"/>
      <c r="G82" s="577" t="s">
        <v>436</v>
      </c>
      <c r="H82" s="106"/>
      <c r="I82" s="106"/>
      <c r="J82" s="107" t="s">
        <v>20</v>
      </c>
      <c r="K82" s="108" t="s">
        <v>23</v>
      </c>
      <c r="L82" s="100" t="s">
        <v>21</v>
      </c>
      <c r="M82" s="423">
        <v>120</v>
      </c>
      <c r="N82" s="423">
        <v>180</v>
      </c>
      <c r="O82" s="423">
        <v>120</v>
      </c>
      <c r="P82" s="423"/>
      <c r="Q82" s="423"/>
      <c r="R82" s="423"/>
      <c r="S82" s="423"/>
      <c r="T82" s="423"/>
      <c r="U82" s="423"/>
      <c r="V82" s="423"/>
      <c r="W82" s="423"/>
      <c r="X82" s="135">
        <f t="shared" ref="X82" si="69">IF(AT83="","",SUM(M82:W82)-(-(AT83-SUM(M82:W82))/$AT$3)*SUM($M$2:$W$2))</f>
        <v>420</v>
      </c>
      <c r="Y82" s="438"/>
      <c r="Z82" s="400">
        <v>-44.75</v>
      </c>
      <c r="AA82" s="540">
        <f>+X84</f>
        <v>15.75</v>
      </c>
      <c r="AB82" s="135">
        <f t="shared" si="55"/>
        <v>420</v>
      </c>
      <c r="AC82" s="136">
        <f>+AD82+AB82</f>
        <v>8185</v>
      </c>
      <c r="AD82" s="136">
        <v>7765</v>
      </c>
      <c r="AE82" s="438"/>
      <c r="AF82" s="438"/>
      <c r="AG82" s="109"/>
      <c r="AH82" s="110"/>
      <c r="AI82" s="157"/>
      <c r="AJ82" s="161">
        <f t="shared" ref="AJ82:AJ93" si="70">TRUNC(AI82)+(AI82-TRUNC(AI82))*60/100</f>
        <v>0</v>
      </c>
      <c r="AK82" s="167">
        <f t="shared" ref="AK82:AK93" si="71">+AI82*60</f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3">
        <v>18</v>
      </c>
      <c r="C83" s="371">
        <f>+B83</f>
        <v>18</v>
      </c>
      <c r="D83" s="372" t="s">
        <v>435</v>
      </c>
      <c r="E83" s="111"/>
      <c r="F83" s="111" t="s">
        <v>35</v>
      </c>
      <c r="G83" s="578" t="str">
        <f t="shared" ref="G83:G93" si="72">+G82</f>
        <v>2628-510-630</v>
      </c>
      <c r="H83" s="450">
        <v>10800</v>
      </c>
      <c r="I83" s="111" t="s">
        <v>33</v>
      </c>
      <c r="J83" s="113">
        <v>44.34</v>
      </c>
      <c r="K83" s="130">
        <v>53</v>
      </c>
      <c r="L83" s="101" t="s">
        <v>17</v>
      </c>
      <c r="M83" s="424">
        <v>55</v>
      </c>
      <c r="N83" s="424">
        <v>55</v>
      </c>
      <c r="O83" s="424">
        <v>55</v>
      </c>
      <c r="P83" s="424">
        <v>55</v>
      </c>
      <c r="Q83" s="424">
        <v>55</v>
      </c>
      <c r="R83" s="424">
        <v>55</v>
      </c>
      <c r="S83" s="424">
        <v>55</v>
      </c>
      <c r="T83" s="424">
        <v>55</v>
      </c>
      <c r="U83" s="424">
        <v>13</v>
      </c>
      <c r="V83" s="424"/>
      <c r="W83" s="424"/>
      <c r="X83" s="123">
        <f>+IF(H84="s",0,IF(AB83=0,0,IF(COUNTA(M83:W83)=AN85+0.75,SUMIF($C:$C,B83,$AB:$AB)/AN85,SUMIF($C:$C,B83,$AB:$AB)/(COUNTA(M83:W83)))))</f>
        <v>54.909090909090907</v>
      </c>
      <c r="Y83" s="439"/>
      <c r="Z83" s="400"/>
      <c r="AA83" s="541"/>
      <c r="AB83" s="134">
        <f t="shared" si="55"/>
        <v>453</v>
      </c>
      <c r="AC83" s="137">
        <f>+AB83+AD83</f>
        <v>7406</v>
      </c>
      <c r="AD83" s="137">
        <v>6953</v>
      </c>
      <c r="AE83" s="439">
        <v>0</v>
      </c>
      <c r="AF83" s="439">
        <f>+AE83+Y83</f>
        <v>0</v>
      </c>
      <c r="AG83" s="140">
        <f>+AC82-AC83</f>
        <v>779</v>
      </c>
      <c r="AH83" s="131">
        <f>+IF(((AB84+(AB85/2))*60)=0,"",(J83*AB83)/((AB84+(AB85/2))*60))</f>
        <v>0.8726412512218964</v>
      </c>
      <c r="AI83" s="161">
        <f>+AB84+AB85/2</f>
        <v>383.625</v>
      </c>
      <c r="AJ83" s="161">
        <f t="shared" si="70"/>
        <v>383.375</v>
      </c>
      <c r="AK83" s="167">
        <f t="shared" si="71"/>
        <v>23017.5</v>
      </c>
      <c r="AL83" s="167">
        <f>+AB83*J83</f>
        <v>20086.02</v>
      </c>
      <c r="AM83" s="230">
        <f>+AB83-(AI83*K83/K85)</f>
        <v>10.997282608695627</v>
      </c>
      <c r="AN83" s="339"/>
      <c r="AO83" s="340"/>
      <c r="AP83" s="167"/>
      <c r="AQ83" s="167"/>
      <c r="AR83" s="167"/>
      <c r="AS83" s="167"/>
      <c r="AT83" s="433">
        <f>-420+AB82</f>
        <v>0</v>
      </c>
      <c r="AU83" s="393">
        <v>1.7</v>
      </c>
      <c r="AW83" s="356">
        <v>812</v>
      </c>
      <c r="AY83" s="356">
        <f t="shared" ref="AY83" si="73">+AW83-AG83</f>
        <v>33</v>
      </c>
    </row>
    <row r="84" spans="2:51" s="98" customFormat="1" ht="62.25" customHeight="1" x14ac:dyDescent="0.9">
      <c r="B84" s="125">
        <f>+B83</f>
        <v>18</v>
      </c>
      <c r="C84" s="373"/>
      <c r="D84" s="184"/>
      <c r="E84" s="111">
        <f>+B83</f>
        <v>18</v>
      </c>
      <c r="F84" s="374"/>
      <c r="G84" s="578" t="str">
        <f t="shared" si="72"/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25">
        <v>46</v>
      </c>
      <c r="N84" s="425">
        <v>46</v>
      </c>
      <c r="O84" s="425">
        <v>46</v>
      </c>
      <c r="P84" s="425">
        <v>46</v>
      </c>
      <c r="Q84" s="425">
        <v>46</v>
      </c>
      <c r="R84" s="425">
        <v>46</v>
      </c>
      <c r="S84" s="425">
        <v>46</v>
      </c>
      <c r="T84" s="425">
        <v>46</v>
      </c>
      <c r="U84" s="425">
        <v>46</v>
      </c>
      <c r="V84" s="425"/>
      <c r="W84" s="425"/>
      <c r="X84" s="160">
        <f>+IF(H84="l",IF(COUNTA(M83:W83)=AN85+0.75,AB83-K83*AN85,AB83-(K83*COUNTA(M83:W83))),IF(H84="s",0,IF(COUNTA(M83:W83)=AN85+0.75,SUMIF($C:$C,B83,$AB:$AB)-K83*AN85,SUMIF($C:$C,B83,$AB:$AB)-K83*COUNTA(M83:W83))))</f>
        <v>15.75</v>
      </c>
      <c r="Y84" s="440"/>
      <c r="Z84" s="400"/>
      <c r="AA84" s="541"/>
      <c r="AB84" s="443">
        <f t="shared" ref="AB84" si="74">+SUM(M84:W84)-U84*0.75</f>
        <v>379.5</v>
      </c>
      <c r="AC84" s="138"/>
      <c r="AD84" s="138"/>
      <c r="AE84" s="442"/>
      <c r="AF84" s="440"/>
      <c r="AG84" s="115"/>
      <c r="AH84" s="116"/>
      <c r="AI84" s="157"/>
      <c r="AJ84" s="161">
        <f t="shared" si="70"/>
        <v>0</v>
      </c>
      <c r="AK84" s="167">
        <f t="shared" si="71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379.5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343">
        <f>+B83</f>
        <v>18</v>
      </c>
      <c r="C85" s="375"/>
      <c r="D85" s="378" t="s">
        <v>406</v>
      </c>
      <c r="E85" s="175">
        <f>+E84+100</f>
        <v>118</v>
      </c>
      <c r="F85" s="175"/>
      <c r="G85" s="579" t="str">
        <f t="shared" si="72"/>
        <v>2628-510-630</v>
      </c>
      <c r="H85" s="454">
        <f>+AC82-H83</f>
        <v>-2615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8">
        <v>1</v>
      </c>
      <c r="N85" s="428">
        <v>1</v>
      </c>
      <c r="O85" s="428">
        <v>1</v>
      </c>
      <c r="P85" s="428">
        <v>1</v>
      </c>
      <c r="Q85" s="428">
        <v>1</v>
      </c>
      <c r="R85" s="428">
        <v>1</v>
      </c>
      <c r="S85" s="428">
        <v>1</v>
      </c>
      <c r="T85" s="428">
        <v>1</v>
      </c>
      <c r="U85" s="428">
        <v>1</v>
      </c>
      <c r="V85" s="428"/>
      <c r="W85" s="428"/>
      <c r="X85" s="173"/>
      <c r="Y85" s="441"/>
      <c r="Z85" s="401">
        <v>40.950645170328073</v>
      </c>
      <c r="AA85" s="401">
        <v>40.950645170328073</v>
      </c>
      <c r="AB85" s="444">
        <f t="shared" si="61"/>
        <v>8.25</v>
      </c>
      <c r="AC85" s="139"/>
      <c r="AD85" s="139"/>
      <c r="AE85" s="441"/>
      <c r="AF85" s="441"/>
      <c r="AG85" s="119">
        <f>+IFERROR(AG83/(K83*$AT$3),"")</f>
        <v>1.6797843665768195</v>
      </c>
      <c r="AH85" s="162"/>
      <c r="AI85" s="161"/>
      <c r="AJ85" s="161">
        <f t="shared" si="70"/>
        <v>0</v>
      </c>
      <c r="AK85" s="167">
        <f t="shared" si="71"/>
        <v>0</v>
      </c>
      <c r="AL85" s="167"/>
      <c r="AM85" s="230"/>
      <c r="AN85" s="342">
        <f>+$AM$4</f>
        <v>8.25</v>
      </c>
      <c r="AO85" s="340">
        <f>+IF(AN85=7.75,SUM(M85:S85)+T85*0.75,IF(AN85=8,SUM(M85:T85),IF(AN85=7.25,SUM(M85:S85)+T85*0.25,IF(AN85=8.25,SUM(M85:T85)+U85*0.25,IF(AN85=8.75,SUM(M85:T85)+U85*0.75,0)))))</f>
        <v>8.25</v>
      </c>
      <c r="AP85" s="167">
        <f>+AO85-AB85</f>
        <v>0</v>
      </c>
      <c r="AQ85" s="167"/>
      <c r="AR85" s="167"/>
      <c r="AS85" s="167"/>
      <c r="AT85" s="435"/>
      <c r="AU85" s="393"/>
      <c r="AW85" s="356">
        <v>1.7509433962264151</v>
      </c>
      <c r="AY85" s="356"/>
    </row>
    <row r="86" spans="2:51" s="98" customFormat="1" ht="62.25" customHeight="1" thickTop="1" x14ac:dyDescent="0.9">
      <c r="B86" s="127">
        <f>+B87</f>
        <v>20</v>
      </c>
      <c r="C86" s="370"/>
      <c r="D86" s="106"/>
      <c r="E86" s="106"/>
      <c r="F86" s="106"/>
      <c r="G86" s="577" t="s">
        <v>477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75</v>
      </c>
      <c r="N86" s="423">
        <v>75</v>
      </c>
      <c r="O86" s="423">
        <v>75</v>
      </c>
      <c r="P86" s="423">
        <v>69</v>
      </c>
      <c r="Q86" s="423">
        <v>69</v>
      </c>
      <c r="R86" s="423"/>
      <c r="S86" s="423"/>
      <c r="T86" s="423"/>
      <c r="U86" s="423"/>
      <c r="V86" s="423"/>
      <c r="W86" s="423"/>
      <c r="X86" s="135">
        <f t="shared" ref="X86" si="75">IF(AT87="","",SUM(M86:W86)-(-(AT87-SUM(M86:W86))/$AT$3)*SUM($M$2:$W$2))</f>
        <v>363</v>
      </c>
      <c r="Y86" s="438"/>
      <c r="Z86" s="400">
        <v>0</v>
      </c>
      <c r="AA86" s="540">
        <f>+X88</f>
        <v>0</v>
      </c>
      <c r="AB86" s="135">
        <f t="shared" si="55"/>
        <v>363</v>
      </c>
      <c r="AC86" s="136">
        <f>+AD86+AB86</f>
        <v>1311</v>
      </c>
      <c r="AD86" s="136">
        <v>948</v>
      </c>
      <c r="AE86" s="438"/>
      <c r="AF86" s="438"/>
      <c r="AG86" s="109"/>
      <c r="AH86" s="110"/>
      <c r="AI86" s="157"/>
      <c r="AJ86" s="161">
        <f t="shared" si="70"/>
        <v>0</v>
      </c>
      <c r="AK86" s="167">
        <f t="shared" si="71"/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20</v>
      </c>
      <c r="C87" s="371">
        <f>+B87</f>
        <v>20</v>
      </c>
      <c r="D87" s="372" t="s">
        <v>478</v>
      </c>
      <c r="E87" s="111"/>
      <c r="F87" s="111" t="s">
        <v>422</v>
      </c>
      <c r="G87" s="578" t="str">
        <f t="shared" si="72"/>
        <v>ADA-Turquaz</v>
      </c>
      <c r="H87" s="450">
        <v>2145</v>
      </c>
      <c r="I87" s="111" t="s">
        <v>252</v>
      </c>
      <c r="J87" s="113">
        <v>13.23</v>
      </c>
      <c r="K87" s="130">
        <v>40</v>
      </c>
      <c r="L87" s="101" t="s">
        <v>17</v>
      </c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123">
        <f>+IF(H88="s",0,IF(AB87=0,0,IF(COUNTA(M87:W87)=AN89+0.75,SUMIF($C:$C,B87,$AB:$AB)/AN89,SUMIF($C:$C,B87,$AB:$AB)/(COUNTA(M87:W87)))))</f>
        <v>0</v>
      </c>
      <c r="Y87" s="439"/>
      <c r="Z87" s="400"/>
      <c r="AA87" s="541"/>
      <c r="AB87" s="134">
        <f t="shared" si="55"/>
        <v>0</v>
      </c>
      <c r="AC87" s="137">
        <f>+AB87+AD87</f>
        <v>0</v>
      </c>
      <c r="AD87" s="137">
        <v>0</v>
      </c>
      <c r="AE87" s="439">
        <v>0</v>
      </c>
      <c r="AF87" s="439">
        <f>+AE87+Y87</f>
        <v>0</v>
      </c>
      <c r="AG87" s="140">
        <f>+AC86-AC87</f>
        <v>1311</v>
      </c>
      <c r="AH87" s="131" t="str">
        <f>+IF(((AB88+(AB89/2))*60)=0,"",(J87*AB87)/((AB88+(AB89/2))*60))</f>
        <v/>
      </c>
      <c r="AI87" s="161">
        <f>+AB88+AB89/2</f>
        <v>0</v>
      </c>
      <c r="AJ87" s="161">
        <f t="shared" si="70"/>
        <v>0</v>
      </c>
      <c r="AK87" s="167">
        <f t="shared" si="71"/>
        <v>0</v>
      </c>
      <c r="AL87" s="167">
        <f>+AB87*J87</f>
        <v>0</v>
      </c>
      <c r="AM87" s="230">
        <f>+AB87-(AI87*K87/K89)</f>
        <v>0</v>
      </c>
      <c r="AN87" s="339"/>
      <c r="AO87" s="340"/>
      <c r="AP87" s="167"/>
      <c r="AQ87" s="167"/>
      <c r="AR87" s="167"/>
      <c r="AS87" s="167"/>
      <c r="AT87" s="433">
        <f t="shared" ref="AT87" si="76">IF(AU87=0,"",AW87-(($AT$3*K87)+($AT$3*K87)*AU87)+AB86)</f>
        <v>261</v>
      </c>
      <c r="AU87" s="393">
        <v>2</v>
      </c>
      <c r="AW87" s="356">
        <v>948</v>
      </c>
      <c r="AY87" s="356">
        <f t="shared" ref="AY87" si="77">+AW87-AG87</f>
        <v>-363</v>
      </c>
    </row>
    <row r="88" spans="2:51" s="98" customFormat="1" ht="62.25" customHeight="1" x14ac:dyDescent="0.9">
      <c r="B88" s="125">
        <f>+B87</f>
        <v>20</v>
      </c>
      <c r="C88" s="373"/>
      <c r="D88" s="184"/>
      <c r="E88" s="111">
        <f>+B87</f>
        <v>20</v>
      </c>
      <c r="F88" s="374"/>
      <c r="G88" s="578" t="str">
        <f t="shared" si="72"/>
        <v>ADA-Turquaz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51"/>
      <c r="N88" s="451"/>
      <c r="O88" s="451"/>
      <c r="P88" s="451"/>
      <c r="Q88" s="451"/>
      <c r="R88" s="451"/>
      <c r="S88" s="451"/>
      <c r="T88" s="451"/>
      <c r="U88" s="451"/>
      <c r="V88" s="451"/>
      <c r="W88" s="451"/>
      <c r="X88" s="160">
        <f>+IF(H88="l",IF(COUNTA(M87:W87)=AN89+0.75,AB87-K87*AN89,AB87-(K87*COUNTA(M87:W87))),IF(H88="s",0,IF(COUNTA(M87:W87)=AN89+0.75,SUMIF($C:$C,B87,$AB:$AB)-K87*AN89,SUMIF($C:$C,B87,$AB:$AB)-K87*COUNTA(M87:W87))))</f>
        <v>0</v>
      </c>
      <c r="Y88" s="440"/>
      <c r="Z88" s="400"/>
      <c r="AA88" s="541"/>
      <c r="AB88" s="443">
        <f t="shared" ref="AB88" si="78">+SUM(M88:W88)-U88*0.75</f>
        <v>0</v>
      </c>
      <c r="AC88" s="138"/>
      <c r="AD88" s="138"/>
      <c r="AE88" s="442"/>
      <c r="AF88" s="440"/>
      <c r="AG88" s="115"/>
      <c r="AH88" s="116"/>
      <c r="AI88" s="157"/>
      <c r="AJ88" s="161">
        <f t="shared" si="70"/>
        <v>0</v>
      </c>
      <c r="AK88" s="167">
        <f t="shared" si="71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0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20</v>
      </c>
      <c r="C89" s="375"/>
      <c r="D89" s="378" t="s">
        <v>78</v>
      </c>
      <c r="E89" s="175">
        <f>+E88+100</f>
        <v>120</v>
      </c>
      <c r="F89" s="175"/>
      <c r="G89" s="579" t="str">
        <f t="shared" si="72"/>
        <v>ADA-Turquaz</v>
      </c>
      <c r="H89" s="454">
        <f>+AC86-H87</f>
        <v>-834</v>
      </c>
      <c r="I89" s="397"/>
      <c r="J89" s="165">
        <f>+IF(K89="","",IF(K87=0,"",(K87*J87)/(K89*60)))</f>
        <v>0.80181818181818187</v>
      </c>
      <c r="K89" s="118">
        <v>11</v>
      </c>
      <c r="L89" s="104" t="s">
        <v>19</v>
      </c>
      <c r="M89" s="428"/>
      <c r="N89" s="428"/>
      <c r="O89" s="428"/>
      <c r="P89" s="428"/>
      <c r="Q89" s="428"/>
      <c r="R89" s="428"/>
      <c r="S89" s="428"/>
      <c r="T89" s="428"/>
      <c r="U89" s="428"/>
      <c r="V89" s="428"/>
      <c r="W89" s="428"/>
      <c r="X89" s="173"/>
      <c r="Y89" s="441"/>
      <c r="Z89" s="401">
        <v>19.29</v>
      </c>
      <c r="AA89" s="169">
        <v>19.29</v>
      </c>
      <c r="AB89" s="444">
        <f t="shared" si="61"/>
        <v>0</v>
      </c>
      <c r="AC89" s="139"/>
      <c r="AD89" s="139"/>
      <c r="AE89" s="441"/>
      <c r="AF89" s="441"/>
      <c r="AG89" s="119">
        <f>+IFERROR(AG87/(K87*$AT$3),"")</f>
        <v>3.7457142857142856</v>
      </c>
      <c r="AH89" s="162"/>
      <c r="AI89" s="161"/>
      <c r="AJ89" s="161">
        <f t="shared" si="70"/>
        <v>0</v>
      </c>
      <c r="AK89" s="167">
        <f t="shared" si="71"/>
        <v>0</v>
      </c>
      <c r="AL89" s="167"/>
      <c r="AM89" s="230"/>
      <c r="AN89" s="342">
        <f>+$AM$4</f>
        <v>8.25</v>
      </c>
      <c r="AO89" s="340">
        <f>+IF(AN89=7.75,SUM(M89:S89)+T89*0.75,IF(AN89=8,SUM(M89:T89),IF(AN89=7.25,SUM(M89:S89)+T89*0.25,IF(AN89=8.25,SUM(M89:T89)+U89*0.25,IF(AN89=8.75,SUM(M89:T89)+U89*0.75,0)))))</f>
        <v>0</v>
      </c>
      <c r="AP89" s="167">
        <f>+AO89-AB89</f>
        <v>0</v>
      </c>
      <c r="AQ89" s="167"/>
      <c r="AR89" s="167"/>
      <c r="AS89" s="167"/>
      <c r="AT89" s="435"/>
      <c r="AU89" s="393"/>
      <c r="AW89" s="356">
        <v>2.7085714285714286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77" t="s">
        <v>459</v>
      </c>
      <c r="H90" s="106"/>
      <c r="I90" s="106"/>
      <c r="J90" s="107" t="s">
        <v>20</v>
      </c>
      <c r="K90" s="108" t="s">
        <v>23</v>
      </c>
      <c r="L90" s="100" t="s">
        <v>21</v>
      </c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135" t="str">
        <f t="shared" ref="X90" si="79">IF(AT91="","",SUM(M90:W90)-(-(AT91-SUM(M90:W90))/$AT$3)*SUM($M$2:$W$2))</f>
        <v/>
      </c>
      <c r="Y90" s="438"/>
      <c r="Z90" s="400">
        <v>28</v>
      </c>
      <c r="AA90" s="540">
        <f>+X92</f>
        <v>0</v>
      </c>
      <c r="AB90" s="135">
        <f t="shared" si="55"/>
        <v>0</v>
      </c>
      <c r="AC90" s="136">
        <f>+AD90+AB90</f>
        <v>2869</v>
      </c>
      <c r="AD90" s="136">
        <v>2869</v>
      </c>
      <c r="AE90" s="438"/>
      <c r="AF90" s="438"/>
      <c r="AG90" s="109"/>
      <c r="AH90" s="110"/>
      <c r="AI90" s="157"/>
      <c r="AJ90" s="161">
        <f t="shared" si="70"/>
        <v>0</v>
      </c>
      <c r="AK90" s="167">
        <f t="shared" si="71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460</v>
      </c>
      <c r="E91" s="111"/>
      <c r="F91" s="111" t="s">
        <v>422</v>
      </c>
      <c r="G91" s="578" t="str">
        <f t="shared" si="72"/>
        <v>ADA-PURPLE</v>
      </c>
      <c r="H91" s="450">
        <v>2869</v>
      </c>
      <c r="I91" s="111" t="s">
        <v>252</v>
      </c>
      <c r="J91" s="113">
        <v>13.23</v>
      </c>
      <c r="K91" s="130">
        <v>40</v>
      </c>
      <c r="L91" s="101" t="s">
        <v>17</v>
      </c>
      <c r="M91" s="214">
        <v>40</v>
      </c>
      <c r="N91" s="214">
        <v>40</v>
      </c>
      <c r="O91" s="214">
        <v>40</v>
      </c>
      <c r="P91" s="214">
        <v>40</v>
      </c>
      <c r="Q91" s="214">
        <v>40</v>
      </c>
      <c r="R91" s="214">
        <v>40</v>
      </c>
      <c r="S91" s="214">
        <v>40</v>
      </c>
      <c r="T91" s="214">
        <v>40</v>
      </c>
      <c r="U91" s="214">
        <v>10</v>
      </c>
      <c r="V91" s="214"/>
      <c r="W91" s="214"/>
      <c r="X91" s="123">
        <f>+IF(H92="s",0,IF(AB91=0,0,IF(COUNTA(M91:W91)=AN93+0.75,SUMIF($C:$C,B91,$AB:$AB)/AN93,SUMIF($C:$C,B91,$AB:$AB)/(COUNTA(M91:W91)))))</f>
        <v>40</v>
      </c>
      <c r="Y91" s="439"/>
      <c r="Z91" s="400"/>
      <c r="AA91" s="541"/>
      <c r="AB91" s="134">
        <f t="shared" si="55"/>
        <v>330</v>
      </c>
      <c r="AC91" s="137">
        <f>+AB91+AD91</f>
        <v>2669</v>
      </c>
      <c r="AD91" s="137">
        <v>2339</v>
      </c>
      <c r="AE91" s="439">
        <v>0</v>
      </c>
      <c r="AF91" s="439">
        <f>+AE91+Y91</f>
        <v>0</v>
      </c>
      <c r="AG91" s="140">
        <f>+AC90-AC91</f>
        <v>200</v>
      </c>
      <c r="AH91" s="131">
        <f>+IF(((AB92+(AB93/2))*60)=0,"",(J91*AB91)/((AB92+(AB93/2))*60))</f>
        <v>0.80181818181818187</v>
      </c>
      <c r="AI91" s="161">
        <f>+AB92+AB93/2</f>
        <v>90.75</v>
      </c>
      <c r="AJ91" s="161">
        <f t="shared" si="70"/>
        <v>90.45</v>
      </c>
      <c r="AK91" s="167">
        <f t="shared" si="71"/>
        <v>5445</v>
      </c>
      <c r="AL91" s="167">
        <f>+AB91*J91</f>
        <v>4365.9000000000005</v>
      </c>
      <c r="AM91" s="230">
        <f>+AB91-(AI91*K91/K93)</f>
        <v>0</v>
      </c>
      <c r="AN91" s="339"/>
      <c r="AO91" s="340"/>
      <c r="AP91" s="167"/>
      <c r="AQ91" s="167"/>
      <c r="AR91" s="167"/>
      <c r="AS91" s="167"/>
      <c r="AT91" s="433"/>
      <c r="AU91" s="393"/>
      <c r="AW91" s="356">
        <v>530</v>
      </c>
      <c r="AY91" s="356">
        <f t="shared" ref="AY91" si="80">+AW91-AG91</f>
        <v>330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78" t="str">
        <f t="shared" si="72"/>
        <v>ADA-PURPLE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>
        <v>11</v>
      </c>
      <c r="N92" s="451">
        <v>11</v>
      </c>
      <c r="O92" s="451">
        <v>11</v>
      </c>
      <c r="P92" s="451">
        <v>11</v>
      </c>
      <c r="Q92" s="451">
        <v>11</v>
      </c>
      <c r="R92" s="451">
        <v>11</v>
      </c>
      <c r="S92" s="451">
        <v>11</v>
      </c>
      <c r="T92" s="451">
        <v>11</v>
      </c>
      <c r="U92" s="451">
        <v>11</v>
      </c>
      <c r="V92" s="451"/>
      <c r="W92" s="451"/>
      <c r="X92" s="160">
        <f>+IF(H92="l",IF(COUNTA(M91:W91)=AN93+0.75,AB91-K91*AN93,AB91-(K91*COUNTA(M91:W91))),IF(H92="s",0,IF(COUNTA(M91:W91)=AN93+0.75,SUMIF($C:$C,B91,$AB:$AB)-K91*AN93,SUMIF($C:$C,B91,$AB:$AB)-K91*COUNTA(M91:W91))))</f>
        <v>0</v>
      </c>
      <c r="Y92" s="440"/>
      <c r="Z92" s="400"/>
      <c r="AA92" s="541"/>
      <c r="AB92" s="443">
        <f t="shared" ref="AB92" si="81">+SUM(M92:W92)-U92*0.75</f>
        <v>90.75</v>
      </c>
      <c r="AC92" s="138"/>
      <c r="AD92" s="138"/>
      <c r="AE92" s="442"/>
      <c r="AF92" s="440"/>
      <c r="AG92" s="115"/>
      <c r="AH92" s="116"/>
      <c r="AI92" s="157"/>
      <c r="AJ92" s="161">
        <f t="shared" si="70"/>
        <v>0</v>
      </c>
      <c r="AK92" s="167">
        <f t="shared" si="71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90.75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79" t="str">
        <f t="shared" si="72"/>
        <v>ADA-PURPLE</v>
      </c>
      <c r="H93" s="454">
        <f>+AC90-H91</f>
        <v>0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 t="s">
        <v>185</v>
      </c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61"/>
        <v>0</v>
      </c>
      <c r="AC93" s="139"/>
      <c r="AD93" s="139"/>
      <c r="AE93" s="441"/>
      <c r="AF93" s="441"/>
      <c r="AG93" s="119">
        <f>+IFERROR(AG91/(K91*$AT$3),"")</f>
        <v>0.5714285714285714</v>
      </c>
      <c r="AH93" s="162"/>
      <c r="AI93" s="161"/>
      <c r="AJ93" s="161">
        <f t="shared" si="70"/>
        <v>0</v>
      </c>
      <c r="AK93" s="167">
        <f t="shared" si="71"/>
        <v>0</v>
      </c>
      <c r="AL93" s="167"/>
      <c r="AM93" s="230"/>
      <c r="AN93" s="342">
        <f>+$AM$4</f>
        <v>8.25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1.5142857142857142</v>
      </c>
      <c r="AY93" s="356"/>
    </row>
    <row r="94" spans="2:51" s="384" customFormat="1" ht="91.5" customHeight="1" thickTop="1" thickBot="1" x14ac:dyDescent="0.95">
      <c r="B94" s="379"/>
      <c r="C94" s="379"/>
      <c r="D94" s="380"/>
      <c r="E94" s="380"/>
      <c r="F94" s="380"/>
      <c r="G94" s="380"/>
      <c r="H94" s="380"/>
      <c r="I94" s="380"/>
      <c r="J94" s="380"/>
      <c r="K94" s="380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0"/>
      <c r="Y94" s="381"/>
      <c r="Z94" s="380"/>
      <c r="AA94" s="380"/>
      <c r="AB94" s="380"/>
      <c r="AC94" s="380"/>
      <c r="AD94" s="380"/>
      <c r="AE94" s="380"/>
      <c r="AF94" s="380"/>
      <c r="AG94" s="380"/>
      <c r="AH94" s="382"/>
      <c r="AI94" s="383"/>
      <c r="AJ94" s="383"/>
      <c r="AN94" s="385"/>
      <c r="AO94" s="386"/>
      <c r="AU94" s="394"/>
    </row>
    <row r="95" spans="2:51" s="384" customFormat="1" ht="91.5" customHeight="1" thickTop="1" thickBot="1" x14ac:dyDescent="0.95">
      <c r="B95" s="379"/>
      <c r="C95" s="379"/>
      <c r="D95" s="380"/>
      <c r="E95" s="380"/>
      <c r="F95" s="380"/>
      <c r="G95" s="380"/>
      <c r="H95" s="380"/>
      <c r="I95" s="380"/>
      <c r="J95" s="380"/>
      <c r="K95" s="380"/>
      <c r="L95" s="346" t="s">
        <v>21</v>
      </c>
      <c r="M95" s="166">
        <f t="shared" ref="M95:W95" si="82">+SUMIF($L$6:$L$94,$L$95,M6:M94)</f>
        <v>1485</v>
      </c>
      <c r="N95" s="166">
        <f t="shared" si="82"/>
        <v>1320</v>
      </c>
      <c r="O95" s="166">
        <f t="shared" si="82"/>
        <v>1510</v>
      </c>
      <c r="P95" s="166">
        <f t="shared" si="82"/>
        <v>694</v>
      </c>
      <c r="Q95" s="166">
        <f t="shared" si="82"/>
        <v>891</v>
      </c>
      <c r="R95" s="166">
        <f t="shared" si="82"/>
        <v>200</v>
      </c>
      <c r="S95" s="166">
        <f t="shared" si="82"/>
        <v>350</v>
      </c>
      <c r="T95" s="166">
        <f t="shared" si="82"/>
        <v>250</v>
      </c>
      <c r="U95" s="166">
        <f t="shared" si="82"/>
        <v>250</v>
      </c>
      <c r="V95" s="166">
        <f t="shared" si="82"/>
        <v>0</v>
      </c>
      <c r="W95" s="166">
        <f t="shared" si="82"/>
        <v>0</v>
      </c>
      <c r="X95" s="332"/>
      <c r="Y95" s="223"/>
      <c r="Z95" s="332"/>
      <c r="AA95" s="575">
        <f>+SUM(M95:W95)</f>
        <v>6950</v>
      </c>
      <c r="AB95" s="576"/>
      <c r="AC95" s="380"/>
      <c r="AD95" s="380"/>
      <c r="AE95" s="380"/>
      <c r="AF95" s="380"/>
      <c r="AG95" s="380"/>
      <c r="AH95" s="382"/>
      <c r="AI95" s="383"/>
      <c r="AJ95" s="383"/>
      <c r="AN95" s="385"/>
      <c r="AU95" s="394"/>
    </row>
    <row r="96" spans="2:51" s="384" customFormat="1" ht="91.5" customHeight="1" thickTop="1" thickBot="1" x14ac:dyDescent="0.95">
      <c r="B96" s="379"/>
      <c r="C96" s="379"/>
      <c r="D96" s="380"/>
      <c r="E96" s="380"/>
      <c r="F96" s="380"/>
      <c r="G96" s="380"/>
      <c r="H96" s="380"/>
      <c r="I96" s="380"/>
      <c r="J96" s="380"/>
      <c r="K96" s="380"/>
      <c r="L96" s="347"/>
      <c r="M96" s="344"/>
      <c r="N96" s="344"/>
      <c r="O96" s="344"/>
      <c r="P96" s="344"/>
      <c r="Q96" s="344"/>
      <c r="R96" s="344"/>
      <c r="S96" s="344"/>
      <c r="T96" s="344"/>
      <c r="U96" s="344"/>
      <c r="V96" s="344"/>
      <c r="W96" s="344"/>
      <c r="X96" s="332"/>
      <c r="Y96" s="344"/>
      <c r="Z96" s="332"/>
      <c r="AA96" s="332"/>
      <c r="AB96" s="332"/>
      <c r="AC96" s="380"/>
      <c r="AD96" s="380"/>
      <c r="AE96" s="380"/>
      <c r="AF96" s="380"/>
      <c r="AG96" s="380"/>
      <c r="AH96" s="382"/>
      <c r="AI96" s="383"/>
      <c r="AJ96" s="383"/>
      <c r="AN96" s="385"/>
      <c r="AU96" s="394"/>
    </row>
    <row r="97" spans="2:47" s="384" customFormat="1" ht="91.5" customHeight="1" thickTop="1" thickBot="1" x14ac:dyDescent="0.95">
      <c r="B97" s="379"/>
      <c r="C97" s="379"/>
      <c r="D97" s="380"/>
      <c r="E97" s="380"/>
      <c r="F97" s="380"/>
      <c r="G97" s="380"/>
      <c r="H97" s="380"/>
      <c r="I97" s="380"/>
      <c r="J97" s="380"/>
      <c r="K97" s="380"/>
      <c r="L97" s="346" t="s">
        <v>17</v>
      </c>
      <c r="M97" s="166">
        <f t="shared" ref="M97:W97" si="83">+SUMIF($L$6:$L$94,$L$97,M6:M94)</f>
        <v>847</v>
      </c>
      <c r="N97" s="166">
        <f t="shared" si="83"/>
        <v>750</v>
      </c>
      <c r="O97" s="166">
        <f t="shared" si="83"/>
        <v>789</v>
      </c>
      <c r="P97" s="166">
        <f t="shared" si="83"/>
        <v>774</v>
      </c>
      <c r="Q97" s="166">
        <f t="shared" si="83"/>
        <v>811</v>
      </c>
      <c r="R97" s="166">
        <f t="shared" si="83"/>
        <v>732</v>
      </c>
      <c r="S97" s="166">
        <f t="shared" si="83"/>
        <v>806</v>
      </c>
      <c r="T97" s="166">
        <f t="shared" si="83"/>
        <v>801</v>
      </c>
      <c r="U97" s="166">
        <f t="shared" si="83"/>
        <v>225</v>
      </c>
      <c r="V97" s="166">
        <f t="shared" si="83"/>
        <v>0</v>
      </c>
      <c r="W97" s="166">
        <f t="shared" si="83"/>
        <v>0</v>
      </c>
      <c r="X97" s="332"/>
      <c r="Y97" s="223"/>
      <c r="Z97" s="332"/>
      <c r="AA97" s="575">
        <f>+SUM(M97:W97)</f>
        <v>6535</v>
      </c>
      <c r="AB97" s="576"/>
      <c r="AC97" s="380"/>
      <c r="AD97" s="380"/>
      <c r="AE97" s="380"/>
      <c r="AF97" s="380"/>
      <c r="AG97" s="380"/>
      <c r="AH97" s="382"/>
      <c r="AI97" s="383"/>
      <c r="AJ97" s="383"/>
      <c r="AN97" s="385"/>
      <c r="AU97" s="394"/>
    </row>
    <row r="98" spans="2:47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47"/>
      <c r="M98" s="344"/>
      <c r="N98" s="344"/>
      <c r="O98" s="344"/>
      <c r="P98" s="344"/>
      <c r="Q98" s="344"/>
      <c r="R98" s="344"/>
      <c r="S98" s="344"/>
      <c r="T98" s="344"/>
      <c r="U98" s="344"/>
      <c r="V98" s="344"/>
      <c r="W98" s="344"/>
      <c r="X98" s="332"/>
      <c r="Y98" s="344"/>
      <c r="Z98" s="332"/>
      <c r="AA98" s="332"/>
      <c r="AB98" s="332"/>
      <c r="AC98" s="380"/>
      <c r="AD98" s="380"/>
      <c r="AE98" s="380"/>
      <c r="AF98" s="380"/>
      <c r="AG98" s="380"/>
      <c r="AH98" s="382"/>
      <c r="AI98" s="383"/>
      <c r="AJ98" s="383"/>
      <c r="AN98" s="385"/>
      <c r="AU98" s="394"/>
    </row>
    <row r="99" spans="2:47" s="384" customFormat="1" ht="91.5" customHeight="1" thickTop="1" thickBot="1" x14ac:dyDescent="0.95">
      <c r="B99" s="379"/>
      <c r="C99" s="379"/>
      <c r="D99" s="387"/>
      <c r="E99" s="387"/>
      <c r="F99" s="387"/>
      <c r="G99" s="387"/>
      <c r="H99" s="387"/>
      <c r="I99" s="387"/>
      <c r="J99" s="388"/>
      <c r="K99" s="387"/>
      <c r="L99" s="346" t="s">
        <v>19</v>
      </c>
      <c r="M99" s="166">
        <f t="shared" ref="M99:W99" si="84">+SUMIF($L$6:$L$94,$L$99,M6:M94)</f>
        <v>13</v>
      </c>
      <c r="N99" s="166">
        <f t="shared" si="84"/>
        <v>13</v>
      </c>
      <c r="O99" s="166">
        <f t="shared" si="84"/>
        <v>13</v>
      </c>
      <c r="P99" s="166">
        <f t="shared" si="84"/>
        <v>13</v>
      </c>
      <c r="Q99" s="166">
        <f t="shared" si="84"/>
        <v>13</v>
      </c>
      <c r="R99" s="166">
        <f t="shared" si="84"/>
        <v>13</v>
      </c>
      <c r="S99" s="166">
        <f t="shared" si="84"/>
        <v>13</v>
      </c>
      <c r="T99" s="166">
        <f t="shared" si="84"/>
        <v>13</v>
      </c>
      <c r="U99" s="166">
        <f t="shared" si="84"/>
        <v>13</v>
      </c>
      <c r="V99" s="166">
        <f t="shared" si="84"/>
        <v>0</v>
      </c>
      <c r="W99" s="166">
        <f t="shared" si="84"/>
        <v>0</v>
      </c>
      <c r="X99" s="348"/>
      <c r="Y99" s="223"/>
      <c r="Z99" s="348"/>
      <c r="AA99" s="332"/>
      <c r="AB99" s="332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47" s="384" customFormat="1" ht="62.25" customHeight="1" thickTop="1" x14ac:dyDescent="0.9">
      <c r="B100" s="379"/>
      <c r="C100" s="379"/>
      <c r="D100" s="387"/>
      <c r="E100" s="387"/>
      <c r="F100" s="387"/>
      <c r="G100" s="387"/>
      <c r="H100" s="387"/>
      <c r="I100" s="389"/>
      <c r="J100" s="388"/>
      <c r="K100" s="387"/>
      <c r="L100" s="347"/>
      <c r="M100" s="349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32"/>
      <c r="Y100" s="345"/>
      <c r="Z100" s="332"/>
      <c r="AA100" s="332"/>
      <c r="AB100" s="332"/>
      <c r="AC100" s="380"/>
      <c r="AD100" s="380"/>
      <c r="AE100" s="380"/>
      <c r="AF100" s="380"/>
      <c r="AG100" s="390"/>
      <c r="AH100" s="382"/>
      <c r="AI100" s="383"/>
      <c r="AJ100" s="383"/>
      <c r="AN100" s="385"/>
      <c r="AU100" s="394"/>
    </row>
    <row r="101" spans="2:47" s="98" customFormat="1" ht="62.25" customHeight="1" thickBot="1" x14ac:dyDescent="0.95">
      <c r="B101" s="94"/>
      <c r="C101" s="94"/>
      <c r="D101" s="92"/>
      <c r="E101" s="92"/>
      <c r="F101" s="92"/>
      <c r="G101" s="92"/>
      <c r="H101" s="92"/>
      <c r="I101" s="91"/>
      <c r="J101" s="93"/>
      <c r="K101" s="92"/>
      <c r="L101" s="35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91"/>
      <c r="AD101" s="91"/>
      <c r="AE101" s="91"/>
      <c r="AF101" s="91"/>
      <c r="AG101" s="91"/>
      <c r="AH101" s="95"/>
      <c r="AI101" s="158"/>
      <c r="AJ101" s="158"/>
      <c r="AN101" s="183"/>
      <c r="AU101" s="393"/>
    </row>
    <row r="102" spans="2:47" s="98" customFormat="1" ht="88.5" customHeight="1" thickTop="1" thickBot="1" x14ac:dyDescent="0.95">
      <c r="B102" s="94"/>
      <c r="C102" s="94"/>
      <c r="D102" s="92"/>
      <c r="E102" s="92"/>
      <c r="F102" s="92"/>
      <c r="G102" s="92"/>
      <c r="H102" s="92"/>
      <c r="I102" s="91"/>
      <c r="J102" s="93"/>
      <c r="K102" s="212" t="s">
        <v>18</v>
      </c>
      <c r="L102" s="351" t="s">
        <v>180</v>
      </c>
      <c r="M102" s="166">
        <f t="shared" ref="M102:W102" si="85">+IF(M105=0,0,SUMIFS($J$6:$J$94,$L$6:$L$94,$K$102))</f>
        <v>4</v>
      </c>
      <c r="N102" s="166">
        <f t="shared" si="85"/>
        <v>4</v>
      </c>
      <c r="O102" s="166">
        <f t="shared" si="85"/>
        <v>4</v>
      </c>
      <c r="P102" s="166">
        <f t="shared" si="85"/>
        <v>4</v>
      </c>
      <c r="Q102" s="166">
        <f t="shared" si="85"/>
        <v>4</v>
      </c>
      <c r="R102" s="166">
        <f t="shared" si="85"/>
        <v>4</v>
      </c>
      <c r="S102" s="166">
        <f t="shared" si="85"/>
        <v>4</v>
      </c>
      <c r="T102" s="166">
        <f t="shared" si="85"/>
        <v>4</v>
      </c>
      <c r="U102" s="166">
        <f t="shared" si="85"/>
        <v>4</v>
      </c>
      <c r="V102" s="166">
        <f t="shared" si="85"/>
        <v>0</v>
      </c>
      <c r="W102" s="166">
        <f t="shared" si="85"/>
        <v>0</v>
      </c>
      <c r="X102" s="2"/>
      <c r="Y102" s="223"/>
      <c r="Z102" s="2"/>
      <c r="AA102" s="1"/>
      <c r="AB102" s="1"/>
      <c r="AC102" s="91"/>
      <c r="AD102" s="91"/>
      <c r="AE102" s="91"/>
      <c r="AF102" s="91"/>
      <c r="AG102" s="91"/>
      <c r="AH102" s="95"/>
      <c r="AI102" s="158"/>
      <c r="AJ102" s="158"/>
      <c r="AN102" s="183"/>
      <c r="AU102" s="393"/>
    </row>
    <row r="103" spans="2:47" s="98" customFormat="1" ht="62.25" customHeight="1" thickTop="1" x14ac:dyDescent="0.9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50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1"/>
      <c r="Y103" s="352"/>
      <c r="Z103" s="1"/>
      <c r="AA103" s="1"/>
      <c r="AB103" s="1"/>
      <c r="AC103" s="91"/>
      <c r="AD103" s="91"/>
      <c r="AE103" s="91"/>
      <c r="AF103" s="91"/>
      <c r="AG103" s="91"/>
      <c r="AH103" s="95"/>
      <c r="AI103" s="158"/>
      <c r="AJ103" s="158"/>
      <c r="AN103" s="183"/>
      <c r="AU103" s="393"/>
    </row>
    <row r="104" spans="2:47" s="98" customFormat="1" ht="62.25" customHeight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212"/>
      <c r="L104" s="350"/>
      <c r="M104" s="1"/>
      <c r="N104" s="1"/>
      <c r="O104" s="1"/>
      <c r="P104" s="1"/>
      <c r="Q104" s="353"/>
      <c r="R104" s="353"/>
      <c r="S104" s="353"/>
      <c r="T104" s="353"/>
      <c r="U104" s="353"/>
      <c r="V104" s="353"/>
      <c r="W104" s="353"/>
      <c r="X104" s="1"/>
      <c r="Y104" s="353"/>
      <c r="Z104" s="1"/>
      <c r="AA104" s="1"/>
      <c r="AB104" s="1"/>
      <c r="AC104" s="91"/>
      <c r="AD104" s="91"/>
      <c r="AE104" s="91"/>
      <c r="AF104" s="91"/>
      <c r="AG104" s="91"/>
      <c r="AH104" s="95"/>
      <c r="AI104" s="158"/>
      <c r="AJ104" s="158"/>
      <c r="AN104" s="183"/>
      <c r="AU104" s="393"/>
    </row>
    <row r="105" spans="2:47" s="98" customFormat="1" ht="98.25" customHeight="1" thickTop="1" thickBot="1" x14ac:dyDescent="0.95">
      <c r="B105" s="94"/>
      <c r="C105" s="94"/>
      <c r="D105" s="92"/>
      <c r="E105" s="92"/>
      <c r="F105" s="92"/>
      <c r="G105" s="92"/>
      <c r="H105" s="92"/>
      <c r="I105" s="92"/>
      <c r="J105" s="93"/>
      <c r="K105" s="212"/>
      <c r="L105" s="351" t="s">
        <v>18</v>
      </c>
      <c r="M105" s="166">
        <f t="shared" ref="M105:W105" si="86">+SUMIF($L$6:$L$94,$L$105,M6:M94)</f>
        <v>728</v>
      </c>
      <c r="N105" s="166">
        <f t="shared" si="86"/>
        <v>738</v>
      </c>
      <c r="O105" s="166">
        <f t="shared" si="86"/>
        <v>746</v>
      </c>
      <c r="P105" s="166">
        <f t="shared" si="86"/>
        <v>743</v>
      </c>
      <c r="Q105" s="166">
        <f t="shared" si="86"/>
        <v>742</v>
      </c>
      <c r="R105" s="166">
        <f t="shared" si="86"/>
        <v>742</v>
      </c>
      <c r="S105" s="166">
        <f t="shared" si="86"/>
        <v>742</v>
      </c>
      <c r="T105" s="166">
        <f t="shared" si="86"/>
        <v>742</v>
      </c>
      <c r="U105" s="166">
        <f t="shared" si="86"/>
        <v>742</v>
      </c>
      <c r="V105" s="166">
        <f t="shared" si="86"/>
        <v>0</v>
      </c>
      <c r="W105" s="166">
        <f t="shared" si="86"/>
        <v>0</v>
      </c>
      <c r="X105" s="1"/>
      <c r="Y105" s="223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47" s="98" customFormat="1" ht="62.25" customHeight="1" thickTop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212"/>
      <c r="L106" s="350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1"/>
      <c r="Y106" s="354"/>
      <c r="Z106" s="1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47" s="98" customFormat="1" ht="62.25" customHeight="1" thickBot="1" x14ac:dyDescent="0.95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1"/>
      <c r="N107" s="1"/>
      <c r="O107" s="1"/>
      <c r="P107" s="1"/>
      <c r="Q107" s="353"/>
      <c r="R107" s="353"/>
      <c r="S107" s="353"/>
      <c r="T107" s="353"/>
      <c r="U107" s="353"/>
      <c r="V107" s="353"/>
      <c r="W107" s="353"/>
      <c r="X107" s="1"/>
      <c r="Y107" s="353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47" s="98" customFormat="1" ht="94.5" customHeight="1" thickTop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351" t="s">
        <v>13</v>
      </c>
      <c r="M108" s="166">
        <f>+M105+M102+M99</f>
        <v>745</v>
      </c>
      <c r="N108" s="166">
        <f t="shared" ref="N108:W108" si="87">+N105+N102+N99</f>
        <v>755</v>
      </c>
      <c r="O108" s="166">
        <f t="shared" si="87"/>
        <v>763</v>
      </c>
      <c r="P108" s="166">
        <f t="shared" si="87"/>
        <v>760</v>
      </c>
      <c r="Q108" s="166">
        <f t="shared" si="87"/>
        <v>759</v>
      </c>
      <c r="R108" s="166">
        <f t="shared" si="87"/>
        <v>759</v>
      </c>
      <c r="S108" s="166">
        <f t="shared" si="87"/>
        <v>759</v>
      </c>
      <c r="T108" s="166">
        <f t="shared" si="87"/>
        <v>759</v>
      </c>
      <c r="U108" s="166">
        <f t="shared" si="87"/>
        <v>759</v>
      </c>
      <c r="V108" s="166">
        <f t="shared" si="87"/>
        <v>0</v>
      </c>
      <c r="W108" s="166">
        <f t="shared" si="87"/>
        <v>0</v>
      </c>
      <c r="X108" s="1"/>
      <c r="Y108" s="223"/>
      <c r="Z108" s="1"/>
      <c r="AA108" s="1"/>
      <c r="AB108" s="1"/>
      <c r="AC108" s="91"/>
      <c r="AD108" s="91"/>
      <c r="AE108" s="91"/>
      <c r="AF108" s="91"/>
      <c r="AG108" s="91"/>
      <c r="AH108" s="95"/>
      <c r="AI108" s="155"/>
      <c r="AJ108" s="155"/>
      <c r="AN108" s="183"/>
      <c r="AU108" s="393"/>
    </row>
    <row r="109" spans="2:47" s="98" customFormat="1" ht="62.25" thickTop="1" x14ac:dyDescent="0.9">
      <c r="B109" s="94"/>
      <c r="C109" s="94"/>
      <c r="D109" s="92"/>
      <c r="E109" s="92"/>
      <c r="F109" s="92"/>
      <c r="G109" s="92"/>
      <c r="H109" s="92"/>
      <c r="I109" s="92"/>
      <c r="J109" s="93"/>
      <c r="K109" s="92"/>
      <c r="L109" s="35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47" x14ac:dyDescent="0.9">
      <c r="J110" s="91"/>
      <c r="K110" s="91"/>
      <c r="T110" s="544"/>
      <c r="U110" s="544"/>
      <c r="V110" s="544"/>
      <c r="AI110" s="158"/>
      <c r="AJ110" s="158"/>
    </row>
    <row r="111" spans="2:47" ht="105" customHeight="1" x14ac:dyDescent="0.9">
      <c r="B111" s="391"/>
      <c r="AI111" s="158"/>
      <c r="AJ111" s="158"/>
    </row>
    <row r="112" spans="2:47" s="98" customFormat="1" x14ac:dyDescent="0.9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5"/>
      <c r="AI112" s="158"/>
      <c r="AJ112" s="158"/>
      <c r="AN112" s="183"/>
      <c r="AU112" s="393"/>
    </row>
    <row r="113" spans="2:47" s="98" customFormat="1" x14ac:dyDescent="0.9">
      <c r="B113" s="94"/>
      <c r="C113" s="94"/>
      <c r="D113" s="92"/>
      <c r="E113" s="92"/>
      <c r="F113" s="92"/>
      <c r="G113" s="92"/>
      <c r="H113" s="92"/>
      <c r="I113" s="91"/>
      <c r="J113" s="93"/>
      <c r="K113" s="92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s="98" customFormat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92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5"/>
      <c r="AI114" s="158"/>
      <c r="AJ114" s="158"/>
      <c r="AN114" s="183"/>
      <c r="AU114" s="393"/>
    </row>
    <row r="115" spans="2:47" s="98" customFormat="1" ht="66" customHeight="1" x14ac:dyDescent="0.9">
      <c r="B115" s="94"/>
      <c r="C115" s="94"/>
      <c r="D115" s="92"/>
      <c r="E115" s="92"/>
      <c r="F115" s="92"/>
      <c r="G115" s="92"/>
      <c r="H115" s="92"/>
      <c r="I115" s="92"/>
      <c r="J115" s="93"/>
      <c r="K115" s="92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5"/>
      <c r="AI115" s="158"/>
      <c r="AJ115" s="158"/>
      <c r="AN115" s="183"/>
      <c r="AU115" s="393"/>
    </row>
    <row r="117" spans="2:47" s="92" customFormat="1" x14ac:dyDescent="0.7">
      <c r="B117" s="94"/>
      <c r="C117" s="94"/>
      <c r="D117" s="92">
        <v>2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5"/>
      <c r="AJ117" s="155"/>
      <c r="AK117" s="98"/>
      <c r="AL117" s="98"/>
      <c r="AM117" s="98"/>
      <c r="AN117" s="183"/>
      <c r="AO117" s="91"/>
      <c r="AP117" s="91"/>
      <c r="AU117" s="243"/>
    </row>
    <row r="118" spans="2:47" s="92" customFormat="1" x14ac:dyDescent="0.7">
      <c r="B118" s="94"/>
      <c r="C118" s="94"/>
      <c r="H118" s="92">
        <v>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5"/>
      <c r="AJ118" s="155"/>
      <c r="AK118" s="98"/>
      <c r="AL118" s="98"/>
      <c r="AM118" s="98"/>
      <c r="AN118" s="183"/>
      <c r="AO118" s="91"/>
      <c r="AP118" s="91"/>
      <c r="AU118" s="243"/>
    </row>
    <row r="119" spans="2:47" s="92" customFormat="1" x14ac:dyDescent="0.7">
      <c r="B119" s="94"/>
      <c r="C119" s="94"/>
      <c r="H119" s="92">
        <v>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5"/>
      <c r="AJ119" s="155"/>
      <c r="AK119" s="98"/>
      <c r="AL119" s="98"/>
      <c r="AM119" s="98"/>
      <c r="AN119" s="183"/>
      <c r="AO119" s="91"/>
      <c r="AP119" s="91"/>
      <c r="AU119" s="243"/>
    </row>
    <row r="120" spans="2:47" s="92" customFormat="1" x14ac:dyDescent="0.7">
      <c r="B120" s="94"/>
      <c r="C120" s="94"/>
      <c r="H120" s="92">
        <v>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5"/>
      <c r="AJ120" s="155"/>
      <c r="AK120" s="98"/>
      <c r="AL120" s="98"/>
      <c r="AM120" s="98"/>
      <c r="AN120" s="183"/>
      <c r="AO120" s="91"/>
      <c r="AP120" s="91"/>
      <c r="AU120" s="243"/>
    </row>
    <row r="121" spans="2:47" s="92" customFormat="1" x14ac:dyDescent="0.7">
      <c r="B121" s="94"/>
      <c r="C121" s="94"/>
      <c r="H121" s="92">
        <v>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6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7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8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11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12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13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14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17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18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19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89" spans="2:47" s="92" customFormat="1" x14ac:dyDescent="0.7">
      <c r="B189" s="94"/>
      <c r="C189" s="94"/>
      <c r="G189" s="92">
        <v>1</v>
      </c>
      <c r="J189" s="93"/>
      <c r="L189" s="99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5"/>
      <c r="AI189" s="155"/>
      <c r="AJ189" s="155"/>
      <c r="AK189" s="98"/>
      <c r="AL189" s="98"/>
      <c r="AM189" s="98"/>
      <c r="AN189" s="183"/>
      <c r="AO189" s="91"/>
      <c r="AP189" s="91"/>
      <c r="AU189" s="243"/>
    </row>
  </sheetData>
  <autoFilter ref="A5:CT81">
    <filterColumn colId="9" showButton="0"/>
  </autoFilter>
  <mergeCells count="63">
    <mergeCell ref="T110:V110"/>
    <mergeCell ref="G86:G89"/>
    <mergeCell ref="AA86:AA88"/>
    <mergeCell ref="G90:G93"/>
    <mergeCell ref="AA90:AA92"/>
    <mergeCell ref="AA95:AB95"/>
    <mergeCell ref="AA97:AB97"/>
    <mergeCell ref="G62:G65"/>
    <mergeCell ref="AA62:AA64"/>
    <mergeCell ref="G82:G85"/>
    <mergeCell ref="AA82:AA84"/>
    <mergeCell ref="AZ63:BI63"/>
    <mergeCell ref="G66:G69"/>
    <mergeCell ref="AA66:AA68"/>
    <mergeCell ref="AZ67:BJ67"/>
    <mergeCell ref="G70:G73"/>
    <mergeCell ref="AA70:AA72"/>
    <mergeCell ref="AZ71:BJ71"/>
    <mergeCell ref="G74:G77"/>
    <mergeCell ref="AA74:AA76"/>
    <mergeCell ref="AZ75:BJ75"/>
    <mergeCell ref="G78:G81"/>
    <mergeCell ref="AA78:AA80"/>
    <mergeCell ref="G50:G53"/>
    <mergeCell ref="AA50:AA52"/>
    <mergeCell ref="G54:G57"/>
    <mergeCell ref="AA54:AA56"/>
    <mergeCell ref="G58:G61"/>
    <mergeCell ref="AA58:AA60"/>
    <mergeCell ref="AZ35:BI35"/>
    <mergeCell ref="G42:G45"/>
    <mergeCell ref="AA42:AA44"/>
    <mergeCell ref="G46:G49"/>
    <mergeCell ref="AA46:AA48"/>
    <mergeCell ref="G38:G41"/>
    <mergeCell ref="AA38:AA40"/>
    <mergeCell ref="G30:G33"/>
    <mergeCell ref="AA30:AA32"/>
    <mergeCell ref="G34:G37"/>
    <mergeCell ref="AA34:AA36"/>
    <mergeCell ref="G10:G13"/>
    <mergeCell ref="AA10:AA12"/>
    <mergeCell ref="G18:G21"/>
    <mergeCell ref="AA18:AA20"/>
    <mergeCell ref="G22:G25"/>
    <mergeCell ref="AA22:AA24"/>
    <mergeCell ref="G26:G29"/>
    <mergeCell ref="AA26:AA28"/>
    <mergeCell ref="AZ11:BI11"/>
    <mergeCell ref="G14:G17"/>
    <mergeCell ref="AA14:AA16"/>
    <mergeCell ref="AZ15:BI15"/>
    <mergeCell ref="J5:K5"/>
    <mergeCell ref="G6:G9"/>
    <mergeCell ref="AA6:AA8"/>
    <mergeCell ref="AZ7:BI7"/>
    <mergeCell ref="AG1:AH1"/>
    <mergeCell ref="AG2:AH3"/>
    <mergeCell ref="H3:I3"/>
    <mergeCell ref="K3:L3"/>
    <mergeCell ref="B4:G4"/>
    <mergeCell ref="K4:L4"/>
    <mergeCell ref="AG4:AH4"/>
  </mergeCells>
  <conditionalFormatting sqref="I8">
    <cfRule type="cellIs" dxfId="1298" priority="84" operator="greaterThan">
      <formula>0</formula>
    </cfRule>
  </conditionalFormatting>
  <conditionalFormatting sqref="I12">
    <cfRule type="cellIs" dxfId="1297" priority="68" operator="greaterThan">
      <formula>0</formula>
    </cfRule>
  </conditionalFormatting>
  <conditionalFormatting sqref="I16">
    <cfRule type="cellIs" dxfId="1296" priority="126" operator="greaterThan">
      <formula>0</formula>
    </cfRule>
  </conditionalFormatting>
  <conditionalFormatting sqref="I20">
    <cfRule type="cellIs" dxfId="1295" priority="147" operator="greaterThan">
      <formula>0</formula>
    </cfRule>
  </conditionalFormatting>
  <conditionalFormatting sqref="I28">
    <cfRule type="cellIs" dxfId="1294" priority="156" operator="greaterThan">
      <formula>0</formula>
    </cfRule>
  </conditionalFormatting>
  <conditionalFormatting sqref="I32">
    <cfRule type="cellIs" dxfId="1293" priority="122" operator="greaterThan">
      <formula>0</formula>
    </cfRule>
  </conditionalFormatting>
  <conditionalFormatting sqref="I36">
    <cfRule type="cellIs" dxfId="1292" priority="104" operator="greaterThan">
      <formula>0</formula>
    </cfRule>
  </conditionalFormatting>
  <conditionalFormatting sqref="I40">
    <cfRule type="cellIs" dxfId="1291" priority="131" operator="greaterThan">
      <formula>0</formula>
    </cfRule>
  </conditionalFormatting>
  <conditionalFormatting sqref="I44">
    <cfRule type="cellIs" dxfId="1290" priority="162" operator="greaterThan">
      <formula>0</formula>
    </cfRule>
  </conditionalFormatting>
  <conditionalFormatting sqref="I52">
    <cfRule type="cellIs" dxfId="1289" priority="152" operator="greaterThan">
      <formula>0</formula>
    </cfRule>
  </conditionalFormatting>
  <conditionalFormatting sqref="I56">
    <cfRule type="cellIs" dxfId="1288" priority="73" operator="greaterThan">
      <formula>0</formula>
    </cfRule>
  </conditionalFormatting>
  <conditionalFormatting sqref="I60">
    <cfRule type="cellIs" dxfId="1287" priority="93" operator="greaterThan">
      <formula>0</formula>
    </cfRule>
  </conditionalFormatting>
  <conditionalFormatting sqref="I64">
    <cfRule type="cellIs" dxfId="1286" priority="86" operator="greaterThan">
      <formula>0</formula>
    </cfRule>
  </conditionalFormatting>
  <conditionalFormatting sqref="I68">
    <cfRule type="cellIs" dxfId="1285" priority="112" operator="greaterThan">
      <formula>0</formula>
    </cfRule>
  </conditionalFormatting>
  <conditionalFormatting sqref="I72">
    <cfRule type="cellIs" dxfId="1284" priority="78" operator="greaterThan">
      <formula>0</formula>
    </cfRule>
  </conditionalFormatting>
  <conditionalFormatting sqref="I80">
    <cfRule type="cellIs" dxfId="1283" priority="135" operator="greaterThan">
      <formula>0</formula>
    </cfRule>
  </conditionalFormatting>
  <conditionalFormatting sqref="I84">
    <cfRule type="cellIs" dxfId="1282" priority="145" operator="greaterThan">
      <formula>0</formula>
    </cfRule>
  </conditionalFormatting>
  <conditionalFormatting sqref="I92">
    <cfRule type="cellIs" dxfId="1281" priority="99" operator="greaterThan">
      <formula>0</formula>
    </cfRule>
  </conditionalFormatting>
  <conditionalFormatting sqref="J8">
    <cfRule type="cellIs" dxfId="1280" priority="63" operator="greaterThan">
      <formula>0</formula>
    </cfRule>
  </conditionalFormatting>
  <conditionalFormatting sqref="J12">
    <cfRule type="cellIs" dxfId="1279" priority="64" operator="greaterThan">
      <formula>0</formula>
    </cfRule>
  </conditionalFormatting>
  <conditionalFormatting sqref="J16">
    <cfRule type="cellIs" dxfId="1278" priority="125" operator="greaterThan">
      <formula>0</formula>
    </cfRule>
  </conditionalFormatting>
  <conditionalFormatting sqref="J20">
    <cfRule type="cellIs" dxfId="1277" priority="148" operator="greaterThan">
      <formula>0</formula>
    </cfRule>
  </conditionalFormatting>
  <conditionalFormatting sqref="J28">
    <cfRule type="cellIs" dxfId="1276" priority="118" operator="greaterThan">
      <formula>0</formula>
    </cfRule>
  </conditionalFormatting>
  <conditionalFormatting sqref="J32">
    <cfRule type="cellIs" dxfId="1275" priority="119" operator="greaterThan">
      <formula>0</formula>
    </cfRule>
  </conditionalFormatting>
  <conditionalFormatting sqref="J36">
    <cfRule type="cellIs" dxfId="1274" priority="101" operator="greaterThan">
      <formula>0</formula>
    </cfRule>
  </conditionalFormatting>
  <conditionalFormatting sqref="J40">
    <cfRule type="cellIs" dxfId="1273" priority="129" operator="greaterThan">
      <formula>0</formula>
    </cfRule>
  </conditionalFormatting>
  <conditionalFormatting sqref="J44">
    <cfRule type="cellIs" dxfId="1272" priority="160" operator="greaterThan">
      <formula>0</formula>
    </cfRule>
  </conditionalFormatting>
  <conditionalFormatting sqref="J52">
    <cfRule type="cellIs" dxfId="1271" priority="117" operator="greaterThan">
      <formula>0</formula>
    </cfRule>
  </conditionalFormatting>
  <conditionalFormatting sqref="J56">
    <cfRule type="cellIs" dxfId="1270" priority="71" operator="greaterThan">
      <formula>0</formula>
    </cfRule>
  </conditionalFormatting>
  <conditionalFormatting sqref="J60">
    <cfRule type="cellIs" dxfId="1269" priority="90" operator="greaterThan">
      <formula>0</formula>
    </cfRule>
  </conditionalFormatting>
  <conditionalFormatting sqref="J64">
    <cfRule type="cellIs" dxfId="1268" priority="85" operator="greaterThan">
      <formula>0</formula>
    </cfRule>
  </conditionalFormatting>
  <conditionalFormatting sqref="J68">
    <cfRule type="cellIs" dxfId="1267" priority="110" operator="greaterThan">
      <formula>0</formula>
    </cfRule>
  </conditionalFormatting>
  <conditionalFormatting sqref="J72">
    <cfRule type="cellIs" dxfId="1266" priority="76" operator="greaterThan">
      <formula>0</formula>
    </cfRule>
  </conditionalFormatting>
  <conditionalFormatting sqref="J80">
    <cfRule type="cellIs" dxfId="1265" priority="58" operator="greaterThan">
      <formula>0</formula>
    </cfRule>
  </conditionalFormatting>
  <conditionalFormatting sqref="J84">
    <cfRule type="cellIs" dxfId="1264" priority="142" operator="greaterThan">
      <formula>0</formula>
    </cfRule>
  </conditionalFormatting>
  <conditionalFormatting sqref="J92">
    <cfRule type="cellIs" dxfId="1263" priority="95" operator="greaterThan">
      <formula>0</formula>
    </cfRule>
  </conditionalFormatting>
  <conditionalFormatting sqref="Z50:Z72 Z6:Z21 X10:X94">
    <cfRule type="cellIs" dxfId="1262" priority="165" operator="lessThan">
      <formula>0</formula>
    </cfRule>
  </conditionalFormatting>
  <conditionalFormatting sqref="Z26:Z45">
    <cfRule type="cellIs" dxfId="1261" priority="66" operator="lessThan">
      <formula>0</formula>
    </cfRule>
  </conditionalFormatting>
  <conditionalFormatting sqref="Z7">
    <cfRule type="iconSet" priority="82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260" priority="81" operator="lessThan">
      <formula>0</formula>
    </cfRule>
  </conditionalFormatting>
  <conditionalFormatting sqref="Z11">
    <cfRule type="iconSet" priority="69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259" priority="65" operator="lessThan">
      <formula>0</formula>
    </cfRule>
  </conditionalFormatting>
  <conditionalFormatting sqref="Z15">
    <cfRule type="iconSet" priority="128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258" priority="124" operator="lessThan">
      <formula>0</formula>
    </cfRule>
  </conditionalFormatting>
  <conditionalFormatting sqref="Z19">
    <cfRule type="iconSet" priority="151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257" priority="149" operator="lessThan">
      <formula>0</formula>
    </cfRule>
  </conditionalFormatting>
  <conditionalFormatting sqref="Z27">
    <cfRule type="iconSet" priority="158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256" priority="157" operator="lessThan">
      <formula>0</formula>
    </cfRule>
  </conditionalFormatting>
  <conditionalFormatting sqref="Z31">
    <cfRule type="iconSet" priority="121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255" priority="120" operator="lessThan">
      <formula>0</formula>
    </cfRule>
  </conditionalFormatting>
  <conditionalFormatting sqref="Z35">
    <cfRule type="iconSet" priority="103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254" priority="102" operator="lessThan">
      <formula>0</formula>
    </cfRule>
  </conditionalFormatting>
  <conditionalFormatting sqref="Z39">
    <cfRule type="iconSet" priority="133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253" priority="130" operator="lessThan">
      <formula>0</formula>
    </cfRule>
  </conditionalFormatting>
  <conditionalFormatting sqref="Z43">
    <cfRule type="iconSet" priority="164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252" priority="161" operator="lessThan">
      <formula>0</formula>
    </cfRule>
  </conditionalFormatting>
  <conditionalFormatting sqref="Z51">
    <cfRule type="iconSet" priority="154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251" priority="153" operator="lessThan">
      <formula>0</formula>
    </cfRule>
  </conditionalFormatting>
  <conditionalFormatting sqref="Z55">
    <cfRule type="iconSet" priority="74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250" priority="72" operator="lessThan">
      <formula>0</formula>
    </cfRule>
  </conditionalFormatting>
  <conditionalFormatting sqref="Z59">
    <cfRule type="iconSet" priority="92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249" priority="91" operator="lessThan">
      <formula>0</formula>
    </cfRule>
  </conditionalFormatting>
  <conditionalFormatting sqref="Z63">
    <cfRule type="iconSet" priority="89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248" priority="87" operator="lessThan">
      <formula>0</formula>
    </cfRule>
  </conditionalFormatting>
  <conditionalFormatting sqref="Z67">
    <cfRule type="iconSet" priority="114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247" priority="111" operator="lessThan">
      <formula>0</formula>
    </cfRule>
  </conditionalFormatting>
  <conditionalFormatting sqref="Z71">
    <cfRule type="iconSet" priority="80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246" priority="77" operator="lessThan">
      <formula>0</formula>
    </cfRule>
  </conditionalFormatting>
  <conditionalFormatting sqref="Z78:Z85 Z90:Z94">
    <cfRule type="cellIs" dxfId="1245" priority="97" operator="lessThan">
      <formula>0</formula>
    </cfRule>
  </conditionalFormatting>
  <conditionalFormatting sqref="Z79">
    <cfRule type="iconSet" priority="137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244" priority="134" operator="lessThan">
      <formula>0</formula>
    </cfRule>
  </conditionalFormatting>
  <conditionalFormatting sqref="Z83">
    <cfRule type="iconSet" priority="144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243" priority="143" operator="lessThan">
      <formula>0</formula>
    </cfRule>
  </conditionalFormatting>
  <conditionalFormatting sqref="Z91">
    <cfRule type="iconSet" priority="98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1242" priority="96" operator="lessThan">
      <formula>0</formula>
    </cfRule>
  </conditionalFormatting>
  <conditionalFormatting sqref="AA17">
    <cfRule type="cellIs" dxfId="1241" priority="107" operator="lessThan">
      <formula>0</formula>
    </cfRule>
  </conditionalFormatting>
  <conditionalFormatting sqref="AA29">
    <cfRule type="cellIs" dxfId="1240" priority="116" operator="lessThan">
      <formula>0</formula>
    </cfRule>
  </conditionalFormatting>
  <conditionalFormatting sqref="AA45">
    <cfRule type="cellIs" dxfId="1239" priority="106" operator="lessThan">
      <formula>0</formula>
    </cfRule>
  </conditionalFormatting>
  <conditionalFormatting sqref="AA53">
    <cfRule type="cellIs" dxfId="1238" priority="115" operator="lessThan">
      <formula>0</formula>
    </cfRule>
  </conditionalFormatting>
  <conditionalFormatting sqref="AA61">
    <cfRule type="cellIs" dxfId="1237" priority="60" operator="lessThan">
      <formula>0</formula>
    </cfRule>
  </conditionalFormatting>
  <conditionalFormatting sqref="AG2:AH3">
    <cfRule type="cellIs" dxfId="1236" priority="166" operator="lessThan">
      <formula>0.85</formula>
    </cfRule>
  </conditionalFormatting>
  <conditionalFormatting sqref="AP26:AP45 AP50:AP73 AP90:AP1048576 AP78:AP85 AP1:AP21">
    <cfRule type="cellIs" dxfId="1235" priority="67" operator="notEqual">
      <formula>0</formula>
    </cfRule>
  </conditionalFormatting>
  <conditionalFormatting sqref="AT6:AT96">
    <cfRule type="cellIs" dxfId="1234" priority="59" operator="lessThan">
      <formula>0</formula>
    </cfRule>
  </conditionalFormatting>
  <conditionalFormatting sqref="AA65">
    <cfRule type="cellIs" dxfId="1233" priority="57" operator="lessThan">
      <formula>0</formula>
    </cfRule>
  </conditionalFormatting>
  <conditionalFormatting sqref="AA85">
    <cfRule type="cellIs" dxfId="1232" priority="56" operator="lessThan">
      <formula>0</formula>
    </cfRule>
  </conditionalFormatting>
  <conditionalFormatting sqref="I24">
    <cfRule type="cellIs" dxfId="1231" priority="49" operator="greaterThan">
      <formula>0</formula>
    </cfRule>
  </conditionalFormatting>
  <conditionalFormatting sqref="J24">
    <cfRule type="cellIs" dxfId="1230" priority="50" operator="greaterThan">
      <formula>0</formula>
    </cfRule>
  </conditionalFormatting>
  <conditionalFormatting sqref="Z22:Z25">
    <cfRule type="cellIs" dxfId="1229" priority="47" operator="lessThan">
      <formula>0</formula>
    </cfRule>
  </conditionalFormatting>
  <conditionalFormatting sqref="Z23">
    <cfRule type="iconSet" priority="53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228" priority="51" operator="lessThan">
      <formula>0</formula>
    </cfRule>
  </conditionalFormatting>
  <conditionalFormatting sqref="AP22:AP25">
    <cfRule type="cellIs" dxfId="1227" priority="48" operator="notEqual">
      <formula>0</formula>
    </cfRule>
  </conditionalFormatting>
  <conditionalFormatting sqref="I48">
    <cfRule type="cellIs" dxfId="1226" priority="40" operator="greaterThan">
      <formula>0</formula>
    </cfRule>
  </conditionalFormatting>
  <conditionalFormatting sqref="J48">
    <cfRule type="cellIs" dxfId="1225" priority="38" operator="greaterThan">
      <formula>0</formula>
    </cfRule>
  </conditionalFormatting>
  <conditionalFormatting sqref="Z46:Z49">
    <cfRule type="cellIs" dxfId="1224" priority="35" operator="lessThan">
      <formula>0</formula>
    </cfRule>
  </conditionalFormatting>
  <conditionalFormatting sqref="Z47">
    <cfRule type="iconSet" priority="42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223" priority="39" operator="lessThan">
      <formula>0</formula>
    </cfRule>
  </conditionalFormatting>
  <conditionalFormatting sqref="AA49">
    <cfRule type="cellIs" dxfId="1222" priority="37" operator="lessThan">
      <formula>0</formula>
    </cfRule>
  </conditionalFormatting>
  <conditionalFormatting sqref="AP46:AP49">
    <cfRule type="cellIs" dxfId="1221" priority="36" operator="notEqual">
      <formula>0</formula>
    </cfRule>
  </conditionalFormatting>
  <conditionalFormatting sqref="I88">
    <cfRule type="cellIs" dxfId="1220" priority="29" operator="greaterThan">
      <formula>0</formula>
    </cfRule>
  </conditionalFormatting>
  <conditionalFormatting sqref="J88">
    <cfRule type="cellIs" dxfId="1219" priority="25" operator="greaterThan">
      <formula>0</formula>
    </cfRule>
  </conditionalFormatting>
  <conditionalFormatting sqref="Z86:Z88">
    <cfRule type="cellIs" dxfId="1218" priority="27" operator="lessThan">
      <formula>0</formula>
    </cfRule>
  </conditionalFormatting>
  <conditionalFormatting sqref="Z87">
    <cfRule type="iconSet" priority="28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1217" priority="26" operator="lessThan">
      <formula>0</formula>
    </cfRule>
  </conditionalFormatting>
  <conditionalFormatting sqref="AP86:AP89">
    <cfRule type="cellIs" dxfId="1216" priority="24" operator="notEqual">
      <formula>0</formula>
    </cfRule>
  </conditionalFormatting>
  <conditionalFormatting sqref="Z89">
    <cfRule type="cellIs" dxfId="1215" priority="20" operator="lessThan">
      <formula>0</formula>
    </cfRule>
  </conditionalFormatting>
  <conditionalFormatting sqref="I76">
    <cfRule type="cellIs" dxfId="1214" priority="16" operator="greaterThan">
      <formula>0</formula>
    </cfRule>
  </conditionalFormatting>
  <conditionalFormatting sqref="J76">
    <cfRule type="cellIs" dxfId="1213" priority="14" operator="greaterThan">
      <formula>0</formula>
    </cfRule>
  </conditionalFormatting>
  <conditionalFormatting sqref="Z74:Z77">
    <cfRule type="cellIs" dxfId="1212" priority="19" operator="lessThan">
      <formula>0</formula>
    </cfRule>
  </conditionalFormatting>
  <conditionalFormatting sqref="Z75">
    <cfRule type="iconSet" priority="18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211" priority="15" operator="lessThan">
      <formula>0</formula>
    </cfRule>
  </conditionalFormatting>
  <conditionalFormatting sqref="AP74:AP77">
    <cfRule type="cellIs" dxfId="1210" priority="13" operator="notEqual">
      <formula>0</formula>
    </cfRule>
  </conditionalFormatting>
  <conditionalFormatting sqref="X6:X9">
    <cfRule type="cellIs" dxfId="1209" priority="7" operator="lessThan">
      <formula>0</formula>
    </cfRule>
  </conditionalFormatting>
  <conditionalFormatting sqref="X7">
    <cfRule type="iconSet" priority="9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208" priority="8" operator="lessThan">
      <formula>0</formula>
    </cfRule>
  </conditionalFormatting>
  <conditionalFormatting sqref="X11 X15 X19 X23 X27 X31 X35 X39 X43 X47 X51 X55 X59 X63 X67 X71 X75 X79 X83 X87 X91">
    <cfRule type="iconSet" priority="6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4 X88 X92">
    <cfRule type="cellIs" dxfId="1207" priority="5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3" id="{289901EE-E244-43BE-B4C8-7FD1D0A9941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70" id="{E1F284C7-B5F4-4974-B5EA-F0A9A3A82E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127" id="{3544EA2A-1EB0-442B-B8BA-F79B247E66E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50" id="{54263DFC-7832-4145-B415-12E0EE46BC8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59" id="{B58BCFEF-6BBD-4709-813F-0EC90241D47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123" id="{72A6758C-23B5-4D35-8F6D-33B18B98A33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105" id="{0A94C443-B2E4-4EBA-A71C-38D4E90F65C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132" id="{E6818D04-7682-4FFF-A94A-6A37C15C2D7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63" id="{D86C4E16-2115-492A-A449-5A974FA7B18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55" id="{32D68DD9-DDFA-4F7E-BB4C-23712AADEFC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75" id="{FBC6C4E7-9435-4087-9244-D595CECAB6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94" id="{1B50876F-B022-4E1E-B5EF-470E5FF37DF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88" id="{D3F8627B-3936-4E6F-9AFD-72598AB2417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113" id="{96394DE4-9C6F-4B2B-BA47-E513DD36C73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79" id="{B7917A72-4EC4-445F-A371-7F2D88ED151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136" id="{A5609CF3-3855-48F2-B8A4-DC8CA6C30D5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146" id="{11794BB1-5972-4367-B534-180FCF559A5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00" id="{AC291B67-ABD4-49A5-8440-43A1912D0CF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52" id="{69F586E5-FFFD-4E0E-A842-958241EC95C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41" id="{0C2BE381-5B3F-4764-974F-DDAEFFE06D7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30" id="{66D7C901-15F5-4137-844F-FC5E3D929C1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17" id="{1C41391E-5063-4F59-BD0A-3314DF3FBC0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89"/>
  <sheetViews>
    <sheetView zoomScale="18" zoomScaleNormal="18" zoomScaleSheetLayoutView="18" workbookViewId="0">
      <pane xSplit="12" ySplit="3" topLeftCell="AR4" activePane="bottomRight" state="frozen"/>
      <selection pane="topRight" activeCell="M1" sqref="M1"/>
      <selection pane="bottomLeft" activeCell="A4" sqref="A4"/>
      <selection pane="bottomRight" activeCell="AZ7" sqref="AZ7:BI7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0.71567701306628961</v>
      </c>
      <c r="AH2" s="535"/>
      <c r="AK2" s="183">
        <f>+SUBTOTAL(9,AK6:AK111)</f>
        <v>323542.5</v>
      </c>
      <c r="AL2" s="183">
        <f>+SUBTOTAL(9,AL6:AL111)</f>
        <v>231551.93000000002</v>
      </c>
      <c r="AW2" s="91">
        <v>0.59793648334624327</v>
      </c>
    </row>
    <row r="3" spans="2:64" ht="94.5" customHeight="1" x14ac:dyDescent="0.9">
      <c r="B3" s="363">
        <f>+AM4</f>
        <v>7.25</v>
      </c>
      <c r="C3" s="465"/>
      <c r="D3" s="465"/>
      <c r="E3" s="465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65"/>
      <c r="AD3" s="96"/>
      <c r="AE3" s="96"/>
      <c r="AF3" s="96"/>
      <c r="AG3" s="535"/>
      <c r="AH3" s="535"/>
      <c r="AK3" s="183"/>
      <c r="AL3" s="183"/>
      <c r="AT3" s="91">
        <v>8.75</v>
      </c>
    </row>
    <row r="4" spans="2:64" s="141" customFormat="1" ht="79.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+SUMIF($L$6:$L$94,AB3,$AB$6:$AB$94)</f>
        <v>5575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09-05-2026</v>
      </c>
      <c r="AH4" s="539"/>
      <c r="AI4" s="362">
        <f>+SUM(AI6:AI99)</f>
        <v>5392.375</v>
      </c>
      <c r="AJ4" s="362"/>
      <c r="AK4" s="98"/>
      <c r="AL4" s="98"/>
      <c r="AM4" s="363">
        <v>7.25</v>
      </c>
      <c r="AT4" s="396">
        <f>+SUBTOTAL(9,AT6:AT95)</f>
        <v>76.125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77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>
        <v>50</v>
      </c>
      <c r="P6" s="423">
        <v>50</v>
      </c>
      <c r="Q6" s="423">
        <v>50</v>
      </c>
      <c r="R6" s="423">
        <v>50</v>
      </c>
      <c r="S6" s="423">
        <v>100</v>
      </c>
      <c r="T6" s="423"/>
      <c r="U6" s="423"/>
      <c r="V6" s="423"/>
      <c r="W6" s="423"/>
      <c r="X6" s="135">
        <f>IF(AT7="","",SUM(M6:W6)-(-(AT7-SUM(M6:W6))/$AT$3)*SUM($M$2:$W$2))</f>
        <v>400</v>
      </c>
      <c r="Y6" s="438"/>
      <c r="Z6" s="400">
        <v>0</v>
      </c>
      <c r="AA6" s="540">
        <f>+X8</f>
        <v>0</v>
      </c>
      <c r="AB6" s="135">
        <f t="shared" ref="AB6:AB67" si="0">+SUM(L6:W6)</f>
        <v>400</v>
      </c>
      <c r="AC6" s="136">
        <f>+AD6+AB6</f>
        <v>3310</v>
      </c>
      <c r="AD6" s="136">
        <v>2910</v>
      </c>
      <c r="AE6" s="438"/>
      <c r="AF6" s="438"/>
      <c r="AG6" s="109"/>
      <c r="AH6" s="110"/>
      <c r="AI6" s="157"/>
      <c r="AJ6" s="161">
        <f t="shared" ref="AJ6:AJ81" si="1">TRUNC(AI6)+(AI6-TRUNC(AI6))*60/100</f>
        <v>0</v>
      </c>
      <c r="AK6" s="167">
        <f t="shared" ref="AK6:AK81" si="2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78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15</v>
      </c>
      <c r="U7" s="214"/>
      <c r="V7" s="214"/>
      <c r="W7" s="424"/>
      <c r="X7" s="123">
        <f>+IF(H8="s",0,IF(AB7=0,0,IF(COUNTA(M7:W7)=AN9+0.75,SUMIF($C:$C,B7,$AB:$AB)/AN9,SUMIF($C:$C,B7,$AB:$AB)/(COUNTA(M7:W7)))))</f>
        <v>60</v>
      </c>
      <c r="Y7" s="439"/>
      <c r="Z7" s="400"/>
      <c r="AA7" s="541"/>
      <c r="AB7" s="134">
        <f t="shared" si="0"/>
        <v>435</v>
      </c>
      <c r="AC7" s="137">
        <f>+AB7+AD7</f>
        <v>2555</v>
      </c>
      <c r="AD7" s="137">
        <v>2120</v>
      </c>
      <c r="AE7" s="439">
        <v>0</v>
      </c>
      <c r="AF7" s="439">
        <f>+AE7+Y7</f>
        <v>0</v>
      </c>
      <c r="AG7" s="140">
        <f>+AC6-AC7</f>
        <v>755</v>
      </c>
      <c r="AH7" s="131">
        <f>+IF(((AB8+(AB9/2))*60)=0,"",(J7*AB7)/((AB8+(AB9/2))*60))</f>
        <v>0.93130434782608706</v>
      </c>
      <c r="AI7" s="161">
        <f>+AB8+AB9/2</f>
        <v>333.5</v>
      </c>
      <c r="AJ7" s="161">
        <f t="shared" si="1"/>
        <v>333.3</v>
      </c>
      <c r="AK7" s="167">
        <f t="shared" si="2"/>
        <v>20010</v>
      </c>
      <c r="AL7" s="167">
        <f>+AB7*J7</f>
        <v>18635.400000000001</v>
      </c>
      <c r="AM7" s="230">
        <f>+AB7-(AI7*K7/K9)</f>
        <v>26.632653061224516</v>
      </c>
      <c r="AN7" s="339"/>
      <c r="AO7" s="340"/>
      <c r="AP7" s="167"/>
      <c r="AQ7" s="167"/>
      <c r="AR7" s="167"/>
      <c r="AS7" s="167"/>
      <c r="AT7" s="433">
        <f t="shared" ref="AT7" si="3">IF(AU7=0,"",AW7-(($AT$3*K7)+($AT$3*K7)*AU7)+AB6)</f>
        <v>-122.5</v>
      </c>
      <c r="AU7" s="393">
        <v>1.5</v>
      </c>
      <c r="AW7" s="356">
        <v>790</v>
      </c>
      <c r="AY7" s="356">
        <f>+AW7-AG7</f>
        <v>35</v>
      </c>
      <c r="AZ7" s="581" t="s">
        <v>482</v>
      </c>
      <c r="BA7" s="581"/>
      <c r="BB7" s="581"/>
      <c r="BC7" s="581"/>
      <c r="BD7" s="581"/>
      <c r="BE7" s="581"/>
      <c r="BF7" s="581"/>
      <c r="BG7" s="581"/>
      <c r="BH7" s="581"/>
      <c r="BI7" s="58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78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45</v>
      </c>
      <c r="N8" s="215">
        <v>45</v>
      </c>
      <c r="O8" s="215">
        <v>45</v>
      </c>
      <c r="P8" s="215">
        <v>45</v>
      </c>
      <c r="Q8" s="215">
        <v>45</v>
      </c>
      <c r="R8" s="215">
        <v>45</v>
      </c>
      <c r="S8" s="215">
        <v>45</v>
      </c>
      <c r="T8" s="215">
        <v>45</v>
      </c>
      <c r="U8" s="215"/>
      <c r="V8" s="426"/>
      <c r="W8" s="426"/>
      <c r="X8" s="160">
        <f>+IF(H8="l",IF(COUNTA(M7:W7)=AN9+0.75,AB7-K7*AN9,AB7-(K7*COUNTA(M7:W7))),IF(H8="s",0,IF(COUNTA(M7:W7)=AN9+0.75,SUMIF($C:$C,B7,$AB:$AB)-K7*AN9,SUMIF($C:$C,B7,$AB:$AB)-K7*COUNTA(M7:W7))))</f>
        <v>0</v>
      </c>
      <c r="Y8" s="440"/>
      <c r="Z8" s="400"/>
      <c r="AA8" s="541"/>
      <c r="AB8" s="443">
        <f>+SUM(M8:W8)-T8*0.75</f>
        <v>326.25</v>
      </c>
      <c r="AC8" s="341"/>
      <c r="AD8" s="341"/>
      <c r="AE8" s="440"/>
      <c r="AF8" s="440"/>
      <c r="AG8" s="115"/>
      <c r="AH8" s="116"/>
      <c r="AI8" s="157"/>
      <c r="AJ8" s="161">
        <f t="shared" si="1"/>
        <v>0</v>
      </c>
      <c r="AK8" s="167">
        <f t="shared" si="2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326.25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79" t="str">
        <f>+G6</f>
        <v>2917-496-712</v>
      </c>
      <c r="H9" s="454">
        <f>+AC6-H7</f>
        <v>-2690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/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>+SUM(M9:W9)-T9*0.75</f>
        <v>14.5</v>
      </c>
      <c r="AC9" s="139"/>
      <c r="AD9" s="139"/>
      <c r="AE9" s="441"/>
      <c r="AF9" s="441"/>
      <c r="AG9" s="119">
        <f>+IFERROR(AG7/(K7*$AT$3),"")</f>
        <v>1.4380952380952381</v>
      </c>
      <c r="AH9" s="162"/>
      <c r="AI9" s="161"/>
      <c r="AJ9" s="161">
        <f t="shared" si="1"/>
        <v>0</v>
      </c>
      <c r="AK9" s="167">
        <f t="shared" si="2"/>
        <v>0</v>
      </c>
      <c r="AL9" s="167"/>
      <c r="AM9" s="230"/>
      <c r="AN9" s="342">
        <f>+$AM$4</f>
        <v>7.25</v>
      </c>
      <c r="AO9" s="340">
        <f>+IF(AN9=7.75,SUM(M9:S9)+T9*0.75,IF(AN9=8,SUM(M9:T9),IF(AN9=7.25,SUM(M9:S9)+T9*0.25,IF(AN9=8.25,SUM(M9:T9)+U9*0.25,IF(AN9=8.75,SUM(M9:T9)+U9*0.75,0)))))</f>
        <v>14.5</v>
      </c>
      <c r="AP9" s="167">
        <f>+AO9-AB9</f>
        <v>0</v>
      </c>
      <c r="AQ9" s="167"/>
      <c r="AR9" s="167"/>
      <c r="AS9" s="167"/>
      <c r="AT9" s="435"/>
      <c r="AU9" s="393"/>
      <c r="AW9" s="356">
        <v>1.5047619047619047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77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/>
      <c r="P10" s="423"/>
      <c r="Q10" s="423"/>
      <c r="R10" s="423"/>
      <c r="S10" s="423"/>
      <c r="T10" s="423"/>
      <c r="U10" s="423"/>
      <c r="V10" s="423"/>
      <c r="W10" s="423"/>
      <c r="X10" s="135" t="str">
        <f t="shared" ref="X10" si="4">IF(AT11="","",SUM(M10:W10)-(-(AT11-SUM(M10:W10))/$AT$3)*SUM($M$2:$W$2))</f>
        <v/>
      </c>
      <c r="Y10" s="438"/>
      <c r="Z10" s="400">
        <v>-170.75</v>
      </c>
      <c r="AA10" s="540">
        <f>+X12</f>
        <v>-70</v>
      </c>
      <c r="AB10" s="135">
        <f t="shared" si="0"/>
        <v>0</v>
      </c>
      <c r="AC10" s="136">
        <f>+AD10+AB10</f>
        <v>1575</v>
      </c>
      <c r="AD10" s="136">
        <v>1575</v>
      </c>
      <c r="AE10" s="438"/>
      <c r="AF10" s="438"/>
      <c r="AG10" s="109"/>
      <c r="AH10" s="110"/>
      <c r="AI10" s="157"/>
      <c r="AJ10" s="161">
        <f t="shared" si="1"/>
        <v>0</v>
      </c>
      <c r="AK10" s="167">
        <f t="shared" si="2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439</v>
      </c>
      <c r="E11" s="111"/>
      <c r="F11" s="111" t="s">
        <v>35</v>
      </c>
      <c r="G11" s="578" t="str">
        <f>+G10</f>
        <v>7740-876-052</v>
      </c>
      <c r="H11" s="450">
        <v>7000</v>
      </c>
      <c r="I11" s="111" t="s">
        <v>33</v>
      </c>
      <c r="J11" s="113">
        <v>55.78</v>
      </c>
      <c r="K11" s="130">
        <v>40</v>
      </c>
      <c r="L11" s="101" t="s">
        <v>17</v>
      </c>
      <c r="M11" s="214">
        <v>30</v>
      </c>
      <c r="N11" s="214">
        <v>27</v>
      </c>
      <c r="O11" s="214">
        <v>33</v>
      </c>
      <c r="P11" s="214">
        <v>30</v>
      </c>
      <c r="Q11" s="214">
        <v>30</v>
      </c>
      <c r="R11" s="214">
        <v>30</v>
      </c>
      <c r="S11" s="214">
        <v>30</v>
      </c>
      <c r="T11" s="214">
        <v>10</v>
      </c>
      <c r="U11" s="214"/>
      <c r="V11" s="214"/>
      <c r="W11" s="424"/>
      <c r="X11" s="123">
        <f t="shared" ref="X11" si="5">+IF(H12="s",0,IF(AB11=0,0,IF(COUNTA(M11:W11)=AN13+0.75,SUMIF($C:$C,B11,$AB:$AB)/AN13,SUMIF($C:$C,B11,$AB:$AB)/(COUNTA(M11:W11)))))</f>
        <v>30.344827586206897</v>
      </c>
      <c r="Y11" s="439"/>
      <c r="Z11" s="400"/>
      <c r="AA11" s="541"/>
      <c r="AB11" s="134">
        <f t="shared" si="0"/>
        <v>220</v>
      </c>
      <c r="AC11" s="137">
        <f>+AB11+AD11</f>
        <v>477</v>
      </c>
      <c r="AD11" s="137">
        <v>257</v>
      </c>
      <c r="AE11" s="439">
        <v>0</v>
      </c>
      <c r="AF11" s="439">
        <f>+AE11+Y11</f>
        <v>0</v>
      </c>
      <c r="AG11" s="140">
        <f>+AC10-AC11</f>
        <v>1098</v>
      </c>
      <c r="AH11" s="131">
        <f>+IF(((AB12+(AB13/2))*60)=0,"",(J11*AB11)/((AB12+(AB13/2))*60))</f>
        <v>0.61907428427292222</v>
      </c>
      <c r="AI11" s="161">
        <f>+AB12+AB13/2</f>
        <v>330.375</v>
      </c>
      <c r="AJ11" s="161">
        <f t="shared" si="1"/>
        <v>330.22500000000002</v>
      </c>
      <c r="AK11" s="167">
        <f t="shared" si="2"/>
        <v>19822.5</v>
      </c>
      <c r="AL11" s="167">
        <f>+AB11*J11</f>
        <v>12271.6</v>
      </c>
      <c r="AM11" s="230">
        <f>+AB11-(AI11*K11/K13)</f>
        <v>-67.282608695652186</v>
      </c>
      <c r="AN11" s="339"/>
      <c r="AO11" s="340"/>
      <c r="AP11" s="167"/>
      <c r="AQ11" s="167"/>
      <c r="AR11" s="167"/>
      <c r="AS11" s="167"/>
      <c r="AT11" s="433"/>
      <c r="AU11" s="393">
        <v>1.5</v>
      </c>
      <c r="AW11" s="356">
        <v>1318</v>
      </c>
      <c r="AY11" s="356">
        <f>+AW11-AG11</f>
        <v>220</v>
      </c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78" t="str">
        <f>+G10</f>
        <v>7740-876-052</v>
      </c>
      <c r="H12" s="376" t="s">
        <v>400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46</v>
      </c>
      <c r="N12" s="215">
        <v>45</v>
      </c>
      <c r="O12" s="215">
        <v>45</v>
      </c>
      <c r="P12" s="215">
        <v>45</v>
      </c>
      <c r="Q12" s="215">
        <v>45</v>
      </c>
      <c r="R12" s="215">
        <v>45</v>
      </c>
      <c r="S12" s="215">
        <v>45</v>
      </c>
      <c r="T12" s="215">
        <v>45</v>
      </c>
      <c r="U12" s="215"/>
      <c r="V12" s="215"/>
      <c r="W12" s="426"/>
      <c r="X12" s="160">
        <f t="shared" ref="X12" si="6">+IF(H12="l",IF(COUNTA(M11:W11)=AN13+0.75,AB11-K11*AN13,AB11-(K11*COUNTA(M11:W11))),IF(H12="s",0,IF(COUNTA(M11:W11)=AN13+0.75,SUMIF($C:$C,B11,$AB:$AB)-K11*AN13,SUMIF($C:$C,B11,$AB:$AB)-K11*COUNTA(M11:W11))))</f>
        <v>-70</v>
      </c>
      <c r="Y12" s="440"/>
      <c r="Z12" s="400"/>
      <c r="AA12" s="541"/>
      <c r="AB12" s="443">
        <f t="shared" ref="AB12:AB13" si="7">+SUM(M12:W12)-T12*0.75</f>
        <v>327.25</v>
      </c>
      <c r="AC12" s="341"/>
      <c r="AD12" s="341"/>
      <c r="AE12" s="440"/>
      <c r="AF12" s="440"/>
      <c r="AG12" s="115"/>
      <c r="AH12" s="116"/>
      <c r="AI12" s="157"/>
      <c r="AJ12" s="161">
        <f t="shared" si="1"/>
        <v>0</v>
      </c>
      <c r="AK12" s="167">
        <f t="shared" si="2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327.25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79" t="str">
        <f>+G10</f>
        <v>7740-876-052</v>
      </c>
      <c r="H13" s="454">
        <f>+AC10-H11</f>
        <v>-5425</v>
      </c>
      <c r="I13" s="397"/>
      <c r="J13" s="165">
        <f>+IF(K13="","",IF(K11=0,"",(K11*J11)/(K13*60)))</f>
        <v>0.80840579710144922</v>
      </c>
      <c r="K13" s="429">
        <v>46</v>
      </c>
      <c r="L13" s="104" t="s">
        <v>19</v>
      </c>
      <c r="M13" s="427"/>
      <c r="N13" s="427">
        <v>1</v>
      </c>
      <c r="O13" s="427">
        <v>1</v>
      </c>
      <c r="P13" s="427">
        <v>1</v>
      </c>
      <c r="Q13" s="427">
        <v>1</v>
      </c>
      <c r="R13" s="427">
        <v>1</v>
      </c>
      <c r="S13" s="427">
        <v>1</v>
      </c>
      <c r="T13" s="427">
        <v>1</v>
      </c>
      <c r="U13" s="427"/>
      <c r="V13" s="427"/>
      <c r="W13" s="428"/>
      <c r="X13" s="173"/>
      <c r="Y13" s="441"/>
      <c r="Z13" s="401">
        <v>31.475494505494503</v>
      </c>
      <c r="AA13" s="168">
        <f>+IF(COUNTA(M11:W11)=$AM$4+0.25,$AM$4-(AB11/K11),COUNTA(M11:W11)-(AB11/K11))+Z13</f>
        <v>33.975494505494503</v>
      </c>
      <c r="AB13" s="444">
        <f t="shared" si="7"/>
        <v>6.25</v>
      </c>
      <c r="AC13" s="139"/>
      <c r="AD13" s="139"/>
      <c r="AE13" s="441"/>
      <c r="AF13" s="441"/>
      <c r="AG13" s="119">
        <f>+IFERROR(AG11/(K11*$AT$3),"")</f>
        <v>3.137142857142857</v>
      </c>
      <c r="AH13" s="162"/>
      <c r="AI13" s="161"/>
      <c r="AJ13" s="161">
        <f t="shared" si="1"/>
        <v>0</v>
      </c>
      <c r="AK13" s="167">
        <f t="shared" si="2"/>
        <v>0</v>
      </c>
      <c r="AL13" s="167"/>
      <c r="AM13" s="230"/>
      <c r="AN13" s="342">
        <f>+$AM$4</f>
        <v>7.25</v>
      </c>
      <c r="AO13" s="340">
        <f>+IF(AN13=7.75,SUM(M13:S13)+T13*0.75,IF(AN13=8,SUM(M13:T13),IF(AN13=7.25,SUM(M13:S13)+T13*0.25,IF(AN13=8.25,SUM(M13:T13)+U13*0.25,IF(AN13=8.75,SUM(M13:T13)+U13*0.75,0)))))</f>
        <v>6.25</v>
      </c>
      <c r="AP13" s="167">
        <f>+AO13-AB13</f>
        <v>0</v>
      </c>
      <c r="AQ13" s="167"/>
      <c r="AR13" s="167"/>
      <c r="AS13" s="167"/>
      <c r="AT13" s="435"/>
      <c r="AU13" s="393"/>
      <c r="AW13" s="356">
        <v>4.3036734693877552</v>
      </c>
      <c r="AY13" s="356"/>
    </row>
    <row r="14" spans="2:64" s="98" customFormat="1" ht="62.25" customHeight="1" thickTop="1" x14ac:dyDescent="0.9">
      <c r="B14" s="97">
        <f>+B15</f>
        <v>3</v>
      </c>
      <c r="C14" s="370"/>
      <c r="D14" s="106"/>
      <c r="E14" s="106"/>
      <c r="F14" s="106"/>
      <c r="G14" s="577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/>
      <c r="N14" s="423">
        <v>75</v>
      </c>
      <c r="O14" s="423">
        <v>75</v>
      </c>
      <c r="P14" s="423">
        <v>75</v>
      </c>
      <c r="Q14" s="423"/>
      <c r="R14" s="423">
        <v>75</v>
      </c>
      <c r="S14" s="423"/>
      <c r="T14" s="423"/>
      <c r="U14" s="423"/>
      <c r="V14" s="423"/>
      <c r="W14" s="423"/>
      <c r="X14" s="135">
        <f t="shared" ref="X14" si="8">IF(AT15="","",SUM(M14:W14)-(-(AT15-SUM(M14:W14))/$AT$3)*SUM($M$2:$W$2))</f>
        <v>300</v>
      </c>
      <c r="Y14" s="438"/>
      <c r="Z14" s="400">
        <v>0</v>
      </c>
      <c r="AA14" s="540">
        <f>+X16</f>
        <v>-44</v>
      </c>
      <c r="AB14" s="135">
        <f t="shared" si="0"/>
        <v>300</v>
      </c>
      <c r="AC14" s="136">
        <f>+AD14+AB14</f>
        <v>6789</v>
      </c>
      <c r="AD14" s="136">
        <v>6489</v>
      </c>
      <c r="AE14" s="438"/>
      <c r="AF14" s="438"/>
      <c r="AG14" s="109"/>
      <c r="AH14" s="110"/>
      <c r="AI14" s="157"/>
      <c r="AJ14" s="161">
        <f t="shared" si="1"/>
        <v>0</v>
      </c>
      <c r="AK14" s="167">
        <f t="shared" si="2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3</v>
      </c>
      <c r="C15" s="371">
        <v>3</v>
      </c>
      <c r="D15" s="372" t="s">
        <v>439</v>
      </c>
      <c r="E15" s="111"/>
      <c r="F15" s="111" t="s">
        <v>35</v>
      </c>
      <c r="G15" s="578" t="str">
        <f>+G14</f>
        <v>7740-876-052</v>
      </c>
      <c r="H15" s="450">
        <v>12000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42</v>
      </c>
      <c r="N15" s="214">
        <v>30</v>
      </c>
      <c r="O15" s="214">
        <v>64</v>
      </c>
      <c r="P15" s="214">
        <v>52</v>
      </c>
      <c r="Q15" s="214">
        <v>52</v>
      </c>
      <c r="R15" s="214">
        <v>52</v>
      </c>
      <c r="S15" s="214">
        <v>28</v>
      </c>
      <c r="T15" s="214">
        <v>13</v>
      </c>
      <c r="U15" s="214"/>
      <c r="V15" s="214"/>
      <c r="W15" s="424"/>
      <c r="X15" s="123">
        <f t="shared" ref="X15" si="9">+IF(H16="s",0,IF(AB15=0,0,IF(COUNTA(M15:W15)=AN17+0.75,SUMIF($C:$C,B15,$AB:$AB)/AN17,SUMIF($C:$C,B15,$AB:$AB)/(COUNTA(M15:W15)))))</f>
        <v>45.931034482758619</v>
      </c>
      <c r="Y15" s="439"/>
      <c r="Z15" s="400"/>
      <c r="AA15" s="541"/>
      <c r="AB15" s="134">
        <f t="shared" si="0"/>
        <v>333</v>
      </c>
      <c r="AC15" s="137">
        <f>+AB15+AD15</f>
        <v>5920</v>
      </c>
      <c r="AD15" s="137">
        <v>5587</v>
      </c>
      <c r="AE15" s="439"/>
      <c r="AF15" s="439">
        <f>+AE15+Y15</f>
        <v>0</v>
      </c>
      <c r="AG15" s="140">
        <f>+AC14-AC15</f>
        <v>869</v>
      </c>
      <c r="AH15" s="131">
        <f>+IF(((AB16+(AB17/2))*60)=0,"",(J15*AB15)/((AB16+(AB17/2))*60))</f>
        <v>0.80988620013080448</v>
      </c>
      <c r="AI15" s="161">
        <f>+AB16+AB17/2</f>
        <v>382.25</v>
      </c>
      <c r="AJ15" s="161">
        <f t="shared" si="1"/>
        <v>382.15</v>
      </c>
      <c r="AK15" s="167">
        <f t="shared" si="2"/>
        <v>22935</v>
      </c>
      <c r="AL15" s="167">
        <f>+AB15*J15</f>
        <v>18574.740000000002</v>
      </c>
      <c r="AM15" s="230">
        <f>+AB15-(AI15*K15/K17)</f>
        <v>-21.946428571428555</v>
      </c>
      <c r="AN15" s="339"/>
      <c r="AO15" s="340"/>
      <c r="AP15" s="167"/>
      <c r="AQ15" s="167"/>
      <c r="AR15" s="167"/>
      <c r="AS15" s="167"/>
      <c r="AT15" s="433">
        <f t="shared" ref="AT15" si="10">IF(AU15=0,"",AW15-(($AT$3*K15)+($AT$3*K15)*AU15)+AB14)</f>
        <v>19</v>
      </c>
      <c r="AU15" s="393">
        <v>1.6</v>
      </c>
      <c r="AW15" s="356">
        <v>902</v>
      </c>
      <c r="AY15" s="356">
        <f t="shared" ref="AY15" si="11">+AW15-AG15</f>
        <v>33</v>
      </c>
      <c r="AZ15" s="581"/>
      <c r="BA15" s="581"/>
      <c r="BB15" s="581"/>
      <c r="BC15" s="581"/>
      <c r="BD15" s="581"/>
      <c r="BE15" s="581"/>
      <c r="BF15" s="581"/>
      <c r="BG15" s="581"/>
      <c r="BH15" s="581"/>
      <c r="BI15" s="581"/>
    </row>
    <row r="16" spans="2:64" s="98" customFormat="1" ht="62.25" customHeight="1" x14ac:dyDescent="0.9">
      <c r="B16" s="125">
        <f>+B15</f>
        <v>3</v>
      </c>
      <c r="C16" s="373"/>
      <c r="D16" s="184"/>
      <c r="E16" s="111">
        <f>+B15</f>
        <v>3</v>
      </c>
      <c r="F16" s="374"/>
      <c r="G16" s="578" t="str">
        <f>+G14</f>
        <v>7740-876-052</v>
      </c>
      <c r="H16" s="376"/>
      <c r="I16" s="113">
        <f>+IFERROR(IF(K17=0,0,IF((LOOKUP(2,1/(M16:W16&lt;&gt;""),M16:W16)-K17)&lt;0,0,IF(K17=0,"",LOOKUP(2,1/(M16:W16&lt;&gt;""),M16:W16)-K17))),0)</f>
        <v>0</v>
      </c>
      <c r="J16" s="113">
        <v>2</v>
      </c>
      <c r="K16" s="114" t="s">
        <v>22</v>
      </c>
      <c r="L16" s="102" t="s">
        <v>18</v>
      </c>
      <c r="M16" s="215">
        <v>50</v>
      </c>
      <c r="N16" s="215">
        <v>52</v>
      </c>
      <c r="O16" s="215">
        <v>52</v>
      </c>
      <c r="P16" s="215">
        <v>52</v>
      </c>
      <c r="Q16" s="215">
        <v>52</v>
      </c>
      <c r="R16" s="215">
        <v>52</v>
      </c>
      <c r="S16" s="215">
        <v>52</v>
      </c>
      <c r="T16" s="215">
        <v>52</v>
      </c>
      <c r="U16" s="215"/>
      <c r="V16" s="426"/>
      <c r="W16" s="426"/>
      <c r="X16" s="160">
        <f t="shared" ref="X16" si="12">+IF(H16="l",IF(COUNTA(M15:W15)=AN17+0.75,AB15-K15*AN17,AB15-(K15*COUNTA(M15:W15))),IF(H16="s",0,IF(COUNTA(M15:W15)=AN17+0.75,SUMIF($C:$C,B15,$AB:$AB)-K15*AN17,SUMIF($C:$C,B15,$AB:$AB)-K15*COUNTA(M15:W15))))</f>
        <v>-44</v>
      </c>
      <c r="Y16" s="440"/>
      <c r="Z16" s="400"/>
      <c r="AA16" s="541"/>
      <c r="AB16" s="443">
        <f t="shared" ref="AB16:AB17" si="13">+SUM(M16:W16)-T16*0.75</f>
        <v>375</v>
      </c>
      <c r="AC16" s="341"/>
      <c r="AD16" s="341"/>
      <c r="AE16" s="440"/>
      <c r="AF16" s="440"/>
      <c r="AG16" s="115"/>
      <c r="AH16" s="116"/>
      <c r="AI16" s="157"/>
      <c r="AJ16" s="161">
        <f t="shared" si="1"/>
        <v>0</v>
      </c>
      <c r="AK16" s="167">
        <f t="shared" si="2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375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51" s="98" customFormat="1" ht="62.25" customHeight="1" thickBot="1" x14ac:dyDescent="0.95">
      <c r="B17" s="126">
        <f>+B15</f>
        <v>3</v>
      </c>
      <c r="C17" s="375"/>
      <c r="D17" s="174" t="s">
        <v>423</v>
      </c>
      <c r="E17" s="175">
        <f>+E16+100</f>
        <v>103</v>
      </c>
      <c r="F17" s="175"/>
      <c r="G17" s="579" t="str">
        <f>+G14</f>
        <v>7740-876-052</v>
      </c>
      <c r="H17" s="454">
        <f>+AC14-H15</f>
        <v>-5211</v>
      </c>
      <c r="I17" s="397"/>
      <c r="J17" s="165">
        <f>+IF(K17="","",IF(K15=0,"",(K15*J15)/(K17*60)))</f>
        <v>0.86326190476190479</v>
      </c>
      <c r="K17" s="118">
        <v>56</v>
      </c>
      <c r="L17" s="104" t="s">
        <v>19</v>
      </c>
      <c r="M17" s="427">
        <v>2</v>
      </c>
      <c r="N17" s="427">
        <v>2</v>
      </c>
      <c r="O17" s="427">
        <v>2</v>
      </c>
      <c r="P17" s="427">
        <v>2</v>
      </c>
      <c r="Q17" s="427">
        <v>2</v>
      </c>
      <c r="R17" s="427">
        <v>2</v>
      </c>
      <c r="S17" s="427">
        <v>2</v>
      </c>
      <c r="T17" s="427">
        <v>2</v>
      </c>
      <c r="U17" s="427"/>
      <c r="V17" s="428"/>
      <c r="W17" s="428"/>
      <c r="X17" s="173"/>
      <c r="Y17" s="441"/>
      <c r="Z17" s="401">
        <v>37.057412587412585</v>
      </c>
      <c r="AA17" s="401">
        <v>37.057412587412585</v>
      </c>
      <c r="AB17" s="444">
        <f t="shared" si="13"/>
        <v>14.5</v>
      </c>
      <c r="AC17" s="139"/>
      <c r="AD17" s="139"/>
      <c r="AE17" s="441"/>
      <c r="AF17" s="441"/>
      <c r="AG17" s="119">
        <f>+IFERROR(AG15/(K15*$AT$3),"")</f>
        <v>1.90989010989011</v>
      </c>
      <c r="AH17" s="162"/>
      <c r="AI17" s="161"/>
      <c r="AJ17" s="161">
        <f t="shared" si="1"/>
        <v>0</v>
      </c>
      <c r="AK17" s="167">
        <f t="shared" si="2"/>
        <v>0</v>
      </c>
      <c r="AL17" s="167"/>
      <c r="AM17" s="230"/>
      <c r="AN17" s="342">
        <f>+$AM$4</f>
        <v>7.25</v>
      </c>
      <c r="AO17" s="340">
        <f>+IF(AN17=7.75,SUM(M17:S17)+T17*0.75,IF(AN17=8,SUM(M17:T17),IF(AN17=7.25,SUM(M17:S17)+T17*0.25,IF(AN17=8.25,SUM(M17:T17)+U17*0.25,IF(AN17=8.75,SUM(M17:T17)+U17*0.75,0)))))</f>
        <v>14.5</v>
      </c>
      <c r="AP17" s="167">
        <f>+AO17-AB17</f>
        <v>0</v>
      </c>
      <c r="AQ17" s="167"/>
      <c r="AR17" s="167"/>
      <c r="AS17" s="167"/>
      <c r="AT17" s="435"/>
      <c r="AU17" s="393"/>
      <c r="AW17" s="356">
        <v>1.9824175824175825</v>
      </c>
      <c r="AY17" s="356"/>
    </row>
    <row r="18" spans="2:51" s="98" customFormat="1" ht="62.25" customHeight="1" thickTop="1" x14ac:dyDescent="0.9">
      <c r="B18" s="97">
        <f>+B19</f>
        <v>4</v>
      </c>
      <c r="C18" s="370"/>
      <c r="D18" s="106"/>
      <c r="E18" s="106"/>
      <c r="F18" s="106"/>
      <c r="G18" s="582" t="s">
        <v>431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135" t="str">
        <f t="shared" ref="X18" si="14">IF(AT19="","",SUM(M18:W18)-(-(AT19-SUM(M18:W18))/$AT$3)*SUM($M$2:$W$2))</f>
        <v/>
      </c>
      <c r="Y18" s="438"/>
      <c r="Z18" s="400">
        <v>-123</v>
      </c>
      <c r="AA18" s="540">
        <f>+X20</f>
        <v>0</v>
      </c>
      <c r="AB18" s="135">
        <f t="shared" si="0"/>
        <v>0</v>
      </c>
      <c r="AC18" s="136">
        <f>+AD18+AB18</f>
        <v>9585</v>
      </c>
      <c r="AD18" s="136">
        <v>9585</v>
      </c>
      <c r="AE18" s="438"/>
      <c r="AF18" s="438"/>
      <c r="AG18" s="109"/>
      <c r="AH18" s="110"/>
      <c r="AI18" s="157"/>
      <c r="AJ18" s="161">
        <f t="shared" si="1"/>
        <v>0</v>
      </c>
      <c r="AK18" s="167">
        <f t="shared" si="2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51" s="98" customFormat="1" ht="62.25" customHeight="1" x14ac:dyDescent="0.9">
      <c r="B19" s="132">
        <v>4</v>
      </c>
      <c r="C19" s="371">
        <f>+B19</f>
        <v>4</v>
      </c>
      <c r="D19" s="372" t="s">
        <v>430</v>
      </c>
      <c r="E19" s="111"/>
      <c r="F19" s="111" t="s">
        <v>35</v>
      </c>
      <c r="G19" s="582" t="str">
        <f>+G18</f>
        <v xml:space="preserve">2878-556-700 </v>
      </c>
      <c r="H19" s="450">
        <v>9585</v>
      </c>
      <c r="I19" s="111" t="s">
        <v>251</v>
      </c>
      <c r="J19" s="113">
        <v>36.65</v>
      </c>
      <c r="K19" s="130">
        <v>75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424"/>
      <c r="X19" s="123">
        <f t="shared" ref="X19" si="15">+IF(H20="s",0,IF(AB19=0,0,IF(COUNTA(M19:W19)=AN21+0.75,SUMIF($C:$C,B19,$AB:$AB)/AN21,SUMIF($C:$C,B19,$AB:$AB)/(COUNTA(M19:W19)))))</f>
        <v>0</v>
      </c>
      <c r="Y19" s="439"/>
      <c r="Z19" s="400"/>
      <c r="AA19" s="541"/>
      <c r="AB19" s="134">
        <f t="shared" si="0"/>
        <v>0</v>
      </c>
      <c r="AC19" s="137">
        <f>+AB19+AD19</f>
        <v>9549</v>
      </c>
      <c r="AD19" s="137">
        <v>9549</v>
      </c>
      <c r="AE19" s="439">
        <v>0</v>
      </c>
      <c r="AF19" s="439">
        <f>+AE19+Y19</f>
        <v>0</v>
      </c>
      <c r="AG19" s="140">
        <f>+AC18-AC19</f>
        <v>36</v>
      </c>
      <c r="AH19" s="131" t="str">
        <f>+IF(((AB20+(AB21/2))*60)=0,"",(J19*AB19)/((AB20+(AB21/2))*60))</f>
        <v/>
      </c>
      <c r="AI19" s="161">
        <f>+AB20+AB21/2</f>
        <v>0</v>
      </c>
      <c r="AJ19" s="161">
        <f t="shared" si="1"/>
        <v>0</v>
      </c>
      <c r="AK19" s="167">
        <f t="shared" si="2"/>
        <v>0</v>
      </c>
      <c r="AL19" s="167">
        <f>+AB19*J19</f>
        <v>0</v>
      </c>
      <c r="AM19" s="230">
        <f>+AB19-(AI19*K19/K21)</f>
        <v>0</v>
      </c>
      <c r="AN19" s="339"/>
      <c r="AO19" s="340"/>
      <c r="AP19" s="167"/>
      <c r="AQ19" s="167"/>
      <c r="AR19" s="167"/>
      <c r="AS19" s="167"/>
      <c r="AT19" s="433" t="str">
        <f t="shared" ref="AT19" si="16">IF(AU19=0,"",AW19-(($AT$3*K19)+($AT$3*K19)*AU19)+AB18)</f>
        <v/>
      </c>
      <c r="AU19" s="393"/>
      <c r="AW19" s="356">
        <v>36</v>
      </c>
      <c r="AY19" s="356">
        <f t="shared" ref="AY19" si="17">+AW19-AG19</f>
        <v>0</v>
      </c>
    </row>
    <row r="20" spans="2:51" s="98" customFormat="1" ht="62.25" customHeight="1" x14ac:dyDescent="0.9">
      <c r="B20" s="125">
        <f>+B19</f>
        <v>4</v>
      </c>
      <c r="C20" s="373"/>
      <c r="D20" s="184"/>
      <c r="E20" s="111">
        <f>+B19</f>
        <v>4</v>
      </c>
      <c r="F20" s="374"/>
      <c r="G20" s="582" t="str">
        <f>+G19</f>
        <v xml:space="preserve">2878-556-700 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25"/>
      <c r="N20" s="425"/>
      <c r="O20" s="425"/>
      <c r="P20" s="425"/>
      <c r="Q20" s="425"/>
      <c r="R20" s="425"/>
      <c r="S20" s="425"/>
      <c r="T20" s="425"/>
      <c r="U20" s="425"/>
      <c r="V20" s="426"/>
      <c r="W20" s="426"/>
      <c r="X20" s="160">
        <f t="shared" ref="X20" si="18">+IF(H20="l",IF(COUNTA(M19:W19)=AN21+0.75,AB19-K19*AN21,AB19-(K19*COUNTA(M19:W19))),IF(H20="s",0,IF(COUNTA(M19:W19)=AN21+0.75,SUMIF($C:$C,B19,$AB:$AB)-K19*AN21,SUMIF($C:$C,B19,$AB:$AB)-K19*COUNTA(M19:W19))))</f>
        <v>0</v>
      </c>
      <c r="Y20" s="440"/>
      <c r="Z20" s="400"/>
      <c r="AA20" s="541"/>
      <c r="AB20" s="443">
        <f t="shared" ref="AB20:AB21" si="19">+SUM(M20:W20)-T20*0.75</f>
        <v>0</v>
      </c>
      <c r="AC20" s="341"/>
      <c r="AD20" s="341"/>
      <c r="AE20" s="440"/>
      <c r="AF20" s="440"/>
      <c r="AG20" s="115"/>
      <c r="AH20" s="116"/>
      <c r="AI20" s="157"/>
      <c r="AJ20" s="161">
        <f t="shared" si="1"/>
        <v>0</v>
      </c>
      <c r="AK20" s="167">
        <f t="shared" si="2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51" s="98" customFormat="1" ht="62.25" customHeight="1" thickBot="1" x14ac:dyDescent="0.95">
      <c r="B21" s="126">
        <f>+B19</f>
        <v>4</v>
      </c>
      <c r="C21" s="375"/>
      <c r="D21" s="174" t="s">
        <v>445</v>
      </c>
      <c r="E21" s="175">
        <f>+E20+100</f>
        <v>104</v>
      </c>
      <c r="F21" s="175"/>
      <c r="G21" s="582" t="str">
        <f>+G20</f>
        <v xml:space="preserve">2878-556-700 </v>
      </c>
      <c r="H21" s="454">
        <f>+AC18-H19</f>
        <v>0</v>
      </c>
      <c r="I21" s="397"/>
      <c r="J21" s="165">
        <f>+IF(K21="","",IF(K19=0,"",(K19*J19)/(K21*60)))</f>
        <v>0.91625000000000001</v>
      </c>
      <c r="K21" s="118">
        <v>50</v>
      </c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8"/>
      <c r="W21" s="428"/>
      <c r="X21" s="173"/>
      <c r="Y21" s="441"/>
      <c r="Z21" s="401">
        <v>29.116666666666667</v>
      </c>
      <c r="AA21" s="169">
        <v>29.116666666666667</v>
      </c>
      <c r="AB21" s="444">
        <f t="shared" si="19"/>
        <v>0</v>
      </c>
      <c r="AC21" s="139"/>
      <c r="AD21" s="139"/>
      <c r="AE21" s="441"/>
      <c r="AF21" s="441"/>
      <c r="AG21" s="119">
        <f>+IFERROR(AG19/(K19*$AT$3),"")</f>
        <v>5.4857142857142854E-2</v>
      </c>
      <c r="AH21" s="162"/>
      <c r="AI21" s="161"/>
      <c r="AJ21" s="161">
        <f t="shared" si="1"/>
        <v>0</v>
      </c>
      <c r="AK21" s="167">
        <f t="shared" si="2"/>
        <v>0</v>
      </c>
      <c r="AL21" s="167"/>
      <c r="AM21" s="230"/>
      <c r="AN21" s="342">
        <f>+$AM$4</f>
        <v>7.25</v>
      </c>
      <c r="AO21" s="340">
        <f>+IF(AN21=7.75,SUM(N21:S21)+T21*0.75,IF(AN21=8,SUM(N21:T21),IF(AN21=7.25,SUM(N21:S21)+T21*0.25,IF(AN21=8.25,SUM(N21:T21)+U21*0.25,IF(AN21=8.75,SUM(N21:T21)+U21*0.75,0)))))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5.4857142857142854E-2</v>
      </c>
      <c r="AY21" s="356"/>
    </row>
    <row r="22" spans="2:5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77" t="s">
        <v>472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50</v>
      </c>
      <c r="N22" s="423">
        <v>50</v>
      </c>
      <c r="O22" s="423">
        <v>50</v>
      </c>
      <c r="P22" s="423">
        <v>51</v>
      </c>
      <c r="Q22" s="423">
        <v>50</v>
      </c>
      <c r="R22" s="423"/>
      <c r="S22" s="423"/>
      <c r="T22" s="423"/>
      <c r="U22" s="423"/>
      <c r="V22" s="423"/>
      <c r="W22" s="423"/>
      <c r="X22" s="135">
        <f t="shared" ref="X22" si="20">IF(AT23="","",SUM(M22:W22)-(-(AT23-SUM(M22:W22))/$AT$3)*SUM($M$2:$W$2))</f>
        <v>251</v>
      </c>
      <c r="Y22" s="438"/>
      <c r="Z22" s="400">
        <v>0</v>
      </c>
      <c r="AA22" s="540">
        <f>+X24</f>
        <v>-500.75</v>
      </c>
      <c r="AB22" s="135">
        <f t="shared" si="0"/>
        <v>251</v>
      </c>
      <c r="AC22" s="136">
        <f>+AD22+AB22</f>
        <v>901</v>
      </c>
      <c r="AD22" s="136">
        <v>650</v>
      </c>
      <c r="AE22" s="438"/>
      <c r="AF22" s="438"/>
      <c r="AG22" s="109"/>
      <c r="AH22" s="110"/>
      <c r="AI22" s="157"/>
      <c r="AJ22" s="161">
        <f t="shared" si="1"/>
        <v>0</v>
      </c>
      <c r="AK22" s="167">
        <f t="shared" si="2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51" s="98" customFormat="1" ht="62.25" customHeight="1" x14ac:dyDescent="0.9">
      <c r="B23" s="132">
        <v>4</v>
      </c>
      <c r="C23" s="371">
        <f>+B23</f>
        <v>4</v>
      </c>
      <c r="D23" s="372" t="s">
        <v>473</v>
      </c>
      <c r="E23" s="111"/>
      <c r="F23" s="111" t="s">
        <v>35</v>
      </c>
      <c r="G23" s="578" t="s">
        <v>472</v>
      </c>
      <c r="H23" s="450">
        <v>8333</v>
      </c>
      <c r="I23" s="111" t="s">
        <v>251</v>
      </c>
      <c r="J23" s="113"/>
      <c r="K23" s="130">
        <v>75</v>
      </c>
      <c r="L23" s="101" t="s">
        <v>17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20</v>
      </c>
      <c r="S23" s="214">
        <v>15</v>
      </c>
      <c r="T23" s="214">
        <v>8</v>
      </c>
      <c r="U23" s="214"/>
      <c r="V23" s="214"/>
      <c r="W23" s="424"/>
      <c r="X23" s="123">
        <f t="shared" ref="X23" si="21">+IF(H24="s",0,IF(AB23=0,0,IF(COUNTA(M23:W23)=AN25+0.75,SUMIF($C:$C,B23,$AB:$AB)/AN25,SUMIF($C:$C,B23,$AB:$AB)/(COUNTA(M23:W23)))))</f>
        <v>5.931034482758621</v>
      </c>
      <c r="Y23" s="439"/>
      <c r="Z23" s="400"/>
      <c r="AA23" s="541"/>
      <c r="AB23" s="134">
        <f t="shared" si="0"/>
        <v>43</v>
      </c>
      <c r="AC23" s="137">
        <f>+AB23+AD23</f>
        <v>43</v>
      </c>
      <c r="AD23" s="137">
        <v>0</v>
      </c>
      <c r="AE23" s="439">
        <v>0</v>
      </c>
      <c r="AF23" s="439">
        <f>+AE23+Y23</f>
        <v>0</v>
      </c>
      <c r="AG23" s="140">
        <f>+AC22-AC23</f>
        <v>858</v>
      </c>
      <c r="AH23" s="131">
        <f>+IF(((AB24+(AB25/2))*60)=0,"",(J23*AB23)/((AB24+(AB25/2))*60))</f>
        <v>0</v>
      </c>
      <c r="AI23" s="161">
        <f>+AB24+AB25/2</f>
        <v>303.625</v>
      </c>
      <c r="AJ23" s="161">
        <f t="shared" si="1"/>
        <v>303.375</v>
      </c>
      <c r="AK23" s="167">
        <f t="shared" si="2"/>
        <v>18217.5</v>
      </c>
      <c r="AL23" s="167">
        <f>+AB23*J23</f>
        <v>0</v>
      </c>
      <c r="AM23" s="230" t="e">
        <f>+AB23-(AI23*K23/K25)</f>
        <v>#DIV/0!</v>
      </c>
      <c r="AN23" s="339"/>
      <c r="AO23" s="340"/>
      <c r="AP23" s="167"/>
      <c r="AQ23" s="167"/>
      <c r="AR23" s="167"/>
      <c r="AS23" s="167"/>
      <c r="AT23" s="433">
        <f>-250+AB22</f>
        <v>1</v>
      </c>
      <c r="AU23" s="393">
        <v>1.5</v>
      </c>
      <c r="AW23" s="356">
        <v>650</v>
      </c>
      <c r="AY23" s="356">
        <f t="shared" ref="AY23" si="22">+AW23-AG23</f>
        <v>-208</v>
      </c>
    </row>
    <row r="24" spans="2:5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78" t="s">
        <v>472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45</v>
      </c>
      <c r="N24" s="425">
        <v>45</v>
      </c>
      <c r="O24" s="425">
        <v>40</v>
      </c>
      <c r="P24" s="425">
        <v>40</v>
      </c>
      <c r="Q24" s="425">
        <v>40</v>
      </c>
      <c r="R24" s="425">
        <v>40</v>
      </c>
      <c r="S24" s="425">
        <v>40</v>
      </c>
      <c r="T24" s="425">
        <v>40</v>
      </c>
      <c r="U24" s="425"/>
      <c r="V24" s="426"/>
      <c r="W24" s="426"/>
      <c r="X24" s="160">
        <f t="shared" ref="X24" si="23">+IF(H24="l",IF(COUNTA(M23:W23)=AN25+0.75,AB23-K23*AN25,AB23-(K23*COUNTA(M23:W23))),IF(H24="s",0,IF(COUNTA(M23:W23)=AN25+0.75,SUMIF($C:$C,B23,$AB:$AB)-K23*AN25,SUMIF($C:$C,B23,$AB:$AB)-K23*COUNTA(M23:W23))))</f>
        <v>-500.75</v>
      </c>
      <c r="Y24" s="440"/>
      <c r="Z24" s="400"/>
      <c r="AA24" s="541"/>
      <c r="AB24" s="443">
        <f t="shared" ref="AB24:AB25" si="24">+SUM(M24:W24)-T24*0.75</f>
        <v>300</v>
      </c>
      <c r="AC24" s="341"/>
      <c r="AD24" s="341"/>
      <c r="AE24" s="440"/>
      <c r="AF24" s="440"/>
      <c r="AG24" s="115"/>
      <c r="AH24" s="116"/>
      <c r="AI24" s="157"/>
      <c r="AJ24" s="161">
        <f t="shared" si="1"/>
        <v>0</v>
      </c>
      <c r="AK24" s="167">
        <f t="shared" si="2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300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5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79" t="s">
        <v>472</v>
      </c>
      <c r="H25" s="454">
        <f>+AC22-H23</f>
        <v>-7432</v>
      </c>
      <c r="I25" s="397"/>
      <c r="J25" s="165" t="str">
        <f>+IF(K25="","",IF(K23=0,"",(K23*J23)/(K25*60)))</f>
        <v/>
      </c>
      <c r="K25" s="118"/>
      <c r="L25" s="104" t="s">
        <v>19</v>
      </c>
      <c r="M25" s="427">
        <v>1</v>
      </c>
      <c r="N25" s="427">
        <v>1</v>
      </c>
      <c r="O25" s="427">
        <v>1</v>
      </c>
      <c r="P25" s="427">
        <v>1</v>
      </c>
      <c r="Q25" s="427">
        <v>1</v>
      </c>
      <c r="R25" s="427">
        <v>1</v>
      </c>
      <c r="S25" s="427">
        <v>1</v>
      </c>
      <c r="T25" s="427">
        <v>1</v>
      </c>
      <c r="U25" s="427"/>
      <c r="V25" s="428"/>
      <c r="W25" s="428"/>
      <c r="X25" s="173"/>
      <c r="Y25" s="441"/>
      <c r="Z25" s="401">
        <v>6.41</v>
      </c>
      <c r="AA25" s="168">
        <f>+IF(COUNTA(M23:W23)=$AM$4+0.25,$AM$4-(AB23/K23),COUNTA(M23:W23)-(AB23/K23))+Z25</f>
        <v>13.836666666666666</v>
      </c>
      <c r="AB25" s="444">
        <f t="shared" si="24"/>
        <v>7.25</v>
      </c>
      <c r="AC25" s="139"/>
      <c r="AD25" s="139"/>
      <c r="AE25" s="441"/>
      <c r="AF25" s="441"/>
      <c r="AG25" s="119">
        <f>+IFERROR(AG23/(K23*$AT$3),"")</f>
        <v>1.3074285714285714</v>
      </c>
      <c r="AH25" s="162"/>
      <c r="AI25" s="161"/>
      <c r="AJ25" s="161">
        <f t="shared" si="1"/>
        <v>0</v>
      </c>
      <c r="AK25" s="167">
        <f t="shared" si="2"/>
        <v>0</v>
      </c>
      <c r="AL25" s="167"/>
      <c r="AM25" s="230"/>
      <c r="AN25" s="342">
        <f>+$AM$4</f>
        <v>7.25</v>
      </c>
      <c r="AO25" s="340">
        <f>+IF(AN25=7.75,SUM(N25:S25)+T25*0.75,IF(AN25=8,SUM(N25:T25),IF(AN25=7.25,SUM(N25:S25)+T25*0.25,IF(AN25=8.25,SUM(N25:T25)+U25*0.25,IF(AN25=8.75,SUM(N25:T25)+U25*0.75,0)))))</f>
        <v>6.25</v>
      </c>
      <c r="AP25" s="167">
        <f>+AO25-AB25</f>
        <v>-1</v>
      </c>
      <c r="AQ25" s="167"/>
      <c r="AR25" s="167"/>
      <c r="AS25" s="167"/>
      <c r="AT25" s="435"/>
      <c r="AU25" s="393"/>
      <c r="AW25" s="356" t="s">
        <v>429</v>
      </c>
      <c r="AY25" s="356"/>
    </row>
    <row r="26" spans="2:5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77" t="s">
        <v>433</v>
      </c>
      <c r="H26" s="106"/>
      <c r="I26" s="111"/>
      <c r="J26" s="107" t="s">
        <v>20</v>
      </c>
      <c r="K26" s="108" t="s">
        <v>23</v>
      </c>
      <c r="L26" s="100" t="s">
        <v>21</v>
      </c>
      <c r="M26" s="423">
        <v>150</v>
      </c>
      <c r="N26" s="423">
        <v>75</v>
      </c>
      <c r="O26" s="423">
        <v>150</v>
      </c>
      <c r="P26" s="423"/>
      <c r="Q26" s="423"/>
      <c r="R26" s="423"/>
      <c r="S26" s="423"/>
      <c r="T26" s="423"/>
      <c r="U26" s="423"/>
      <c r="V26" s="423"/>
      <c r="W26" s="423"/>
      <c r="X26" s="135">
        <f t="shared" ref="X26" si="25">IF(AT27="","",SUM(M26:W26)-(-(AT27-SUM(M26:W26))/$AT$3)*SUM($M$2:$W$2))</f>
        <v>375</v>
      </c>
      <c r="Y26" s="438"/>
      <c r="Z26" s="400">
        <v>59.5</v>
      </c>
      <c r="AA26" s="540">
        <f>+X28</f>
        <v>51.5</v>
      </c>
      <c r="AB26" s="135">
        <f t="shared" si="0"/>
        <v>375</v>
      </c>
      <c r="AC26" s="136">
        <f>+AD26+AB26</f>
        <v>11679</v>
      </c>
      <c r="AD26" s="136">
        <v>11304</v>
      </c>
      <c r="AE26" s="438"/>
      <c r="AF26" s="438"/>
      <c r="AG26" s="109"/>
      <c r="AH26" s="110"/>
      <c r="AI26" s="157"/>
      <c r="AJ26" s="161">
        <f t="shared" si="1"/>
        <v>0</v>
      </c>
      <c r="AK26" s="167">
        <f t="shared" si="2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51" s="98" customFormat="1" ht="62.25" customHeight="1" x14ac:dyDescent="0.9">
      <c r="B27" s="132">
        <v>5</v>
      </c>
      <c r="C27" s="371">
        <f>+B27</f>
        <v>5</v>
      </c>
      <c r="D27" s="372" t="s">
        <v>432</v>
      </c>
      <c r="E27" s="111"/>
      <c r="F27" s="111" t="s">
        <v>35</v>
      </c>
      <c r="G27" s="578" t="str">
        <f>+G26</f>
        <v>2843-709-800</v>
      </c>
      <c r="H27" s="450">
        <v>11700</v>
      </c>
      <c r="I27" s="111" t="s">
        <v>251</v>
      </c>
      <c r="J27" s="113">
        <v>50</v>
      </c>
      <c r="K27" s="130">
        <v>58</v>
      </c>
      <c r="L27" s="101" t="s">
        <v>17</v>
      </c>
      <c r="M27" s="214">
        <v>65</v>
      </c>
      <c r="N27" s="214">
        <v>65</v>
      </c>
      <c r="O27" s="214">
        <v>65</v>
      </c>
      <c r="P27" s="214">
        <v>65</v>
      </c>
      <c r="Q27" s="214">
        <v>65</v>
      </c>
      <c r="R27" s="214">
        <v>65</v>
      </c>
      <c r="S27" s="214">
        <v>65</v>
      </c>
      <c r="T27" s="214">
        <v>17</v>
      </c>
      <c r="U27" s="214"/>
      <c r="V27" s="214"/>
      <c r="W27" s="424"/>
      <c r="X27" s="123">
        <f t="shared" ref="X27" si="26">+IF(H28="s",0,IF(AB27=0,0,IF(COUNTA(M27:W27)=AN29+0.75,SUMIF($C:$C,B27,$AB:$AB)/AN29,SUMIF($C:$C,B27,$AB:$AB)/(COUNTA(M27:W27)))))</f>
        <v>65.103448275862064</v>
      </c>
      <c r="Y27" s="439"/>
      <c r="Z27" s="400"/>
      <c r="AA27" s="541"/>
      <c r="AB27" s="134">
        <f t="shared" si="0"/>
        <v>472</v>
      </c>
      <c r="AC27" s="137">
        <f>+AB27+AD27</f>
        <v>10322</v>
      </c>
      <c r="AD27" s="137">
        <v>9850</v>
      </c>
      <c r="AE27" s="439">
        <v>0</v>
      </c>
      <c r="AF27" s="439">
        <f>+AE27+Y27</f>
        <v>0</v>
      </c>
      <c r="AG27" s="140">
        <f>+AC26-AC27</f>
        <v>1357</v>
      </c>
      <c r="AH27" s="131">
        <f>+IF(((AB28+(AB29/2))*60)=0,"",(J27*AB27)/((AB28+(AB29/2))*60))</f>
        <v>1.014072403050811</v>
      </c>
      <c r="AI27" s="161">
        <f>+AB28+AB29/2</f>
        <v>387.875</v>
      </c>
      <c r="AJ27" s="161">
        <f t="shared" si="1"/>
        <v>387.52499999999998</v>
      </c>
      <c r="AK27" s="167">
        <f t="shared" si="2"/>
        <v>23272.5</v>
      </c>
      <c r="AL27" s="167">
        <f>+AB27*J27</f>
        <v>23600</v>
      </c>
      <c r="AM27" s="230">
        <f>+AB27-(AI27*K27/K29)</f>
        <v>55.393518518518533</v>
      </c>
      <c r="AN27" s="339"/>
      <c r="AO27" s="340"/>
      <c r="AP27" s="167"/>
      <c r="AQ27" s="167"/>
      <c r="AR27" s="167"/>
      <c r="AS27" s="167"/>
      <c r="AT27" s="433">
        <f>-375+AB26</f>
        <v>0</v>
      </c>
      <c r="AU27" s="393">
        <v>2.4</v>
      </c>
      <c r="AW27" s="356">
        <v>1454</v>
      </c>
      <c r="AY27" s="356">
        <f t="shared" ref="AY27" si="27">+AW27-AG27</f>
        <v>97</v>
      </c>
    </row>
    <row r="28" spans="2:5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78" t="str">
        <f>+G26</f>
        <v>2843-709-800</v>
      </c>
      <c r="H28" s="376" t="s">
        <v>182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53</v>
      </c>
      <c r="N28" s="425">
        <v>53</v>
      </c>
      <c r="O28" s="425">
        <v>53</v>
      </c>
      <c r="P28" s="425">
        <v>53</v>
      </c>
      <c r="Q28" s="425">
        <v>53</v>
      </c>
      <c r="R28" s="425">
        <v>53</v>
      </c>
      <c r="S28" s="425">
        <v>53</v>
      </c>
      <c r="T28" s="425">
        <v>53</v>
      </c>
      <c r="U28" s="425"/>
      <c r="V28" s="426"/>
      <c r="W28" s="426"/>
      <c r="X28" s="160">
        <f t="shared" ref="X28" si="28">+IF(H28="l",IF(COUNTA(M27:W27)=AN29+0.75,AB27-K27*AN29,AB27-(K27*COUNTA(M27:W27))),IF(H28="s",0,IF(COUNTA(M27:W27)=AN29+0.75,SUMIF($C:$C,B27,$AB:$AB)-K27*AN29,SUMIF($C:$C,B27,$AB:$AB)-K27*COUNTA(M27:W27))))</f>
        <v>51.5</v>
      </c>
      <c r="Y28" s="440"/>
      <c r="Z28" s="400"/>
      <c r="AA28" s="541"/>
      <c r="AB28" s="443">
        <f t="shared" ref="AB28:AB29" si="29">+SUM(M28:W28)-T28*0.75</f>
        <v>384.25</v>
      </c>
      <c r="AC28" s="341"/>
      <c r="AD28" s="341"/>
      <c r="AE28" s="440"/>
      <c r="AF28" s="440"/>
      <c r="AG28" s="115"/>
      <c r="AH28" s="116"/>
      <c r="AI28" s="157"/>
      <c r="AJ28" s="161">
        <f t="shared" si="1"/>
        <v>0</v>
      </c>
      <c r="AK28" s="167">
        <f t="shared" si="2"/>
        <v>0</v>
      </c>
      <c r="AL28" s="167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384.25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5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79" t="str">
        <f>+G26</f>
        <v>2843-709-800</v>
      </c>
      <c r="H29" s="454">
        <f>+AC26-H27</f>
        <v>-21</v>
      </c>
      <c r="I29" s="397" t="s">
        <v>182</v>
      </c>
      <c r="J29" s="165">
        <f>+IF(K29="","",IF(K27=0,"",(K27*J27)/(K29*60)))</f>
        <v>0.89506172839506171</v>
      </c>
      <c r="K29" s="118">
        <v>54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/>
      <c r="V29" s="428"/>
      <c r="W29" s="428"/>
      <c r="X29" s="173"/>
      <c r="Y29" s="441"/>
      <c r="Z29" s="401">
        <v>36.370689655172413</v>
      </c>
      <c r="AA29" s="401">
        <v>36.370689655172413</v>
      </c>
      <c r="AB29" s="444">
        <f t="shared" si="29"/>
        <v>7.25</v>
      </c>
      <c r="AC29" s="139"/>
      <c r="AD29" s="139"/>
      <c r="AE29" s="441"/>
      <c r="AF29" s="441"/>
      <c r="AG29" s="119">
        <f>+IFERROR(AG27/(K27*$AT$3),"")</f>
        <v>2.6738916256157634</v>
      </c>
      <c r="AH29" s="162"/>
      <c r="AI29" s="161"/>
      <c r="AJ29" s="161">
        <f t="shared" si="1"/>
        <v>0</v>
      </c>
      <c r="AK29" s="167">
        <f t="shared" si="2"/>
        <v>0</v>
      </c>
      <c r="AL29" s="167"/>
      <c r="AM29" s="230"/>
      <c r="AN29" s="342">
        <f>+$AM$4</f>
        <v>7.25</v>
      </c>
      <c r="AO29" s="340">
        <f>+IF(AN29=7.75,SUM(M29:S29)+T29*0.75,IF(AN29=8,SUM(M29:T29),IF(AN29=7.25,SUM(M29:S29)+T29*0.25,IF(AN29=8.25,SUM(M29:T29)+U29*0.25,IF(AN29=8.75,SUM(M29:T29)+U29*0.75,0)))))</f>
        <v>7.25</v>
      </c>
      <c r="AP29" s="167">
        <f>+AO29-AB29</f>
        <v>0</v>
      </c>
      <c r="AQ29" s="167"/>
      <c r="AR29" s="167"/>
      <c r="AS29" s="167"/>
      <c r="AT29" s="435"/>
      <c r="AU29" s="393"/>
      <c r="AW29" s="356">
        <v>2.8650246305418721</v>
      </c>
      <c r="AY29" s="356"/>
    </row>
    <row r="30" spans="2:51" s="98" customFormat="1" ht="62.25" customHeight="1" thickTop="1" x14ac:dyDescent="0.9">
      <c r="B30" s="97">
        <f>+B31</f>
        <v>6</v>
      </c>
      <c r="C30" s="370"/>
      <c r="D30" s="106"/>
      <c r="E30" s="106"/>
      <c r="F30" s="106"/>
      <c r="G30" s="577" t="s">
        <v>444</v>
      </c>
      <c r="H30" s="106"/>
      <c r="I30" s="111"/>
      <c r="J30" s="107" t="s">
        <v>20</v>
      </c>
      <c r="K30" s="108">
        <v>0</v>
      </c>
      <c r="L30" s="100" t="s">
        <v>21</v>
      </c>
      <c r="M30" s="423">
        <v>50</v>
      </c>
      <c r="N30" s="423">
        <v>50</v>
      </c>
      <c r="O30" s="423">
        <v>50</v>
      </c>
      <c r="P30" s="423">
        <v>50</v>
      </c>
      <c r="Q30" s="423">
        <v>50</v>
      </c>
      <c r="R30" s="423">
        <v>50</v>
      </c>
      <c r="S30" s="423">
        <v>50</v>
      </c>
      <c r="T30" s="423"/>
      <c r="U30" s="423"/>
      <c r="V30" s="423"/>
      <c r="W30" s="423"/>
      <c r="X30" s="135">
        <f t="shared" ref="X30" si="30">IF(AT31="","",SUM(M30:W30)-(-(AT31-SUM(M30:W30))/$AT$3)*SUM($M$2:$W$2))</f>
        <v>350</v>
      </c>
      <c r="Y30" s="438"/>
      <c r="Z30" s="400">
        <v>-71.75</v>
      </c>
      <c r="AA30" s="540">
        <f>+X32</f>
        <v>16.25</v>
      </c>
      <c r="AB30" s="135">
        <f t="shared" si="0"/>
        <v>350</v>
      </c>
      <c r="AC30" s="136">
        <f>+AD30+AB30</f>
        <v>5701</v>
      </c>
      <c r="AD30" s="136">
        <v>5351</v>
      </c>
      <c r="AE30" s="438"/>
      <c r="AF30" s="438"/>
      <c r="AG30" s="109"/>
      <c r="AH30" s="110"/>
      <c r="AI30" s="157"/>
      <c r="AJ30" s="161"/>
      <c r="AK30" s="167"/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51" s="98" customFormat="1" ht="62.25" customHeight="1" x14ac:dyDescent="0.9">
      <c r="B31" s="132">
        <v>6</v>
      </c>
      <c r="C31" s="371">
        <f>+B31</f>
        <v>6</v>
      </c>
      <c r="D31" s="372" t="s">
        <v>443</v>
      </c>
      <c r="E31" s="111"/>
      <c r="F31" s="111" t="s">
        <v>35</v>
      </c>
      <c r="G31" s="578" t="str">
        <f t="shared" ref="G31:G33" si="31">+G30</f>
        <v>2917-496-712</v>
      </c>
      <c r="H31" s="450">
        <v>7000</v>
      </c>
      <c r="I31" s="111" t="s">
        <v>33</v>
      </c>
      <c r="J31" s="113"/>
      <c r="K31" s="130">
        <v>55</v>
      </c>
      <c r="L31" s="101" t="s">
        <v>17</v>
      </c>
      <c r="M31" s="214">
        <v>40</v>
      </c>
      <c r="N31" s="214">
        <v>60</v>
      </c>
      <c r="O31" s="214">
        <v>60</v>
      </c>
      <c r="P31" s="214">
        <v>60</v>
      </c>
      <c r="Q31" s="214">
        <v>60</v>
      </c>
      <c r="R31" s="214">
        <v>60</v>
      </c>
      <c r="S31" s="214">
        <v>60</v>
      </c>
      <c r="T31" s="214">
        <v>15</v>
      </c>
      <c r="U31" s="214"/>
      <c r="V31" s="424"/>
      <c r="W31" s="424"/>
      <c r="X31" s="123">
        <f t="shared" ref="X31" si="32">+IF(H32="s",0,IF(AB31=0,0,IF(COUNTA(M31:W31)=AN33+0.75,SUMIF($C:$C,B31,$AB:$AB)/AN33,SUMIF($C:$C,B31,$AB:$AB)/(COUNTA(M31:W31)))))</f>
        <v>57.241379310344826</v>
      </c>
      <c r="Y31" s="439"/>
      <c r="Z31" s="400"/>
      <c r="AA31" s="541"/>
      <c r="AB31" s="134">
        <f t="shared" si="0"/>
        <v>415</v>
      </c>
      <c r="AC31" s="137">
        <f>+AB31+AD31</f>
        <v>4176</v>
      </c>
      <c r="AD31" s="137">
        <v>3761</v>
      </c>
      <c r="AE31" s="439"/>
      <c r="AF31" s="439">
        <f>+AE31+Y31</f>
        <v>0</v>
      </c>
      <c r="AG31" s="140">
        <f>+AC30-AC31</f>
        <v>1525</v>
      </c>
      <c r="AH31" s="131" t="str">
        <f>+IF(((AB32+(AB33/2))*60)=0,"",(J31*AB31)/((AB32+(AB33/2))*60))</f>
        <v/>
      </c>
      <c r="AI31" s="161"/>
      <c r="AJ31" s="161"/>
      <c r="AK31" s="167"/>
      <c r="AL31" s="167"/>
      <c r="AM31" s="230"/>
      <c r="AN31" s="339"/>
      <c r="AO31" s="340"/>
      <c r="AP31" s="167"/>
      <c r="AQ31" s="167"/>
      <c r="AR31" s="167"/>
      <c r="AS31" s="167"/>
      <c r="AT31" s="433">
        <f>-350+AB30</f>
        <v>0</v>
      </c>
      <c r="AU31" s="393">
        <v>1.5</v>
      </c>
      <c r="AW31" s="356">
        <v>1590</v>
      </c>
      <c r="AY31" s="356">
        <f t="shared" ref="AY31" si="33">+AW31-AG31</f>
        <v>65</v>
      </c>
    </row>
    <row r="32" spans="2:51" s="98" customFormat="1" ht="62.25" customHeight="1" x14ac:dyDescent="0.9">
      <c r="B32" s="125">
        <f>B31</f>
        <v>6</v>
      </c>
      <c r="C32" s="373"/>
      <c r="D32" s="184"/>
      <c r="E32" s="111">
        <f>+B31</f>
        <v>6</v>
      </c>
      <c r="F32" s="374"/>
      <c r="G32" s="578" t="str">
        <f t="shared" si="31"/>
        <v>2917-496-712</v>
      </c>
      <c r="H32" s="376" t="s">
        <v>400</v>
      </c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215"/>
      <c r="N32" s="215"/>
      <c r="O32" s="215"/>
      <c r="P32" s="215"/>
      <c r="Q32" s="215"/>
      <c r="R32" s="215"/>
      <c r="S32" s="215"/>
      <c r="T32" s="215"/>
      <c r="U32" s="215"/>
      <c r="V32" s="426"/>
      <c r="W32" s="426"/>
      <c r="X32" s="160">
        <f t="shared" ref="X32" si="34">+IF(H32="l",IF(COUNTA(M31:W31)=AN33+0.75,AB31-K31*AN33,AB31-(K31*COUNTA(M31:W31))),IF(H32="s",0,IF(COUNTA(M31:W31)=AN33+0.75,SUMIF($C:$C,B31,$AB:$AB)-K31*AN33,SUMIF($C:$C,B31,$AB:$AB)-K31*COUNTA(M31:W31))))</f>
        <v>16.25</v>
      </c>
      <c r="Y32" s="440"/>
      <c r="Z32" s="400"/>
      <c r="AA32" s="541"/>
      <c r="AB32" s="443">
        <f t="shared" ref="AB32:AB33" si="35">+SUM(M32:W32)-T32*0.75</f>
        <v>0</v>
      </c>
      <c r="AC32" s="341"/>
      <c r="AD32" s="341"/>
      <c r="AE32" s="440"/>
      <c r="AF32" s="440"/>
      <c r="AG32" s="115"/>
      <c r="AH32" s="116"/>
      <c r="AI32" s="157"/>
      <c r="AJ32" s="161"/>
      <c r="AK32" s="167"/>
      <c r="AL32" s="167"/>
      <c r="AM32" s="230"/>
      <c r="AN32" s="339"/>
      <c r="AO32" s="340"/>
      <c r="AP32" s="167"/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6</v>
      </c>
      <c r="C33" s="375"/>
      <c r="D33" s="174" t="s">
        <v>93</v>
      </c>
      <c r="E33" s="175">
        <f>+E32+100</f>
        <v>106</v>
      </c>
      <c r="F33" s="175"/>
      <c r="G33" s="579" t="str">
        <f t="shared" si="31"/>
        <v>2917-496-712</v>
      </c>
      <c r="H33" s="454">
        <f>+AC30-H31</f>
        <v>-1299</v>
      </c>
      <c r="I33" s="397"/>
      <c r="J33" s="165" t="str">
        <f>+IF(K33="","",IF(K31=0,"",(K31*J31)/(K33*60)))</f>
        <v/>
      </c>
      <c r="K33" s="118"/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>
        <v>68.029090909090911</v>
      </c>
      <c r="AA33" s="168">
        <f>+IF(COUNTA(M31:W31)=$AM$4+0.25,$AM$4-(AB31/K31),COUNTA(M31:W31)-(AB31/K31))+Z33</f>
        <v>68.483636363636364</v>
      </c>
      <c r="AB33" s="444">
        <f t="shared" si="35"/>
        <v>0</v>
      </c>
      <c r="AC33" s="139"/>
      <c r="AD33" s="139"/>
      <c r="AE33" s="441"/>
      <c r="AF33" s="441"/>
      <c r="AG33" s="119">
        <f>+IFERROR(AG31/(K31*$AT$3),"")</f>
        <v>3.168831168831169</v>
      </c>
      <c r="AH33" s="162"/>
      <c r="AI33" s="161"/>
      <c r="AJ33" s="161"/>
      <c r="AK33" s="167"/>
      <c r="AL33" s="167"/>
      <c r="AM33" s="230"/>
      <c r="AN33" s="342">
        <f>+$AM$4</f>
        <v>7.25</v>
      </c>
      <c r="AO33" s="340"/>
      <c r="AP33" s="167"/>
      <c r="AQ33" s="167"/>
      <c r="AR33" s="167"/>
      <c r="AS33" s="167"/>
      <c r="AT33" s="435"/>
      <c r="AU33" s="393"/>
      <c r="AW33" s="356">
        <v>3.3038961038961041</v>
      </c>
      <c r="AY33" s="356"/>
    </row>
    <row r="34" spans="2:61" s="98" customFormat="1" ht="62.25" customHeight="1" thickTop="1" x14ac:dyDescent="0.9">
      <c r="B34" s="97">
        <f>+B35</f>
        <v>7</v>
      </c>
      <c r="C34" s="370"/>
      <c r="D34" s="106"/>
      <c r="E34" s="106"/>
      <c r="F34" s="106"/>
      <c r="G34" s="577" t="s">
        <v>444</v>
      </c>
      <c r="H34" s="106"/>
      <c r="I34" s="106"/>
      <c r="J34" s="107" t="s">
        <v>20</v>
      </c>
      <c r="K34" s="108" t="s">
        <v>23</v>
      </c>
      <c r="L34" s="100" t="s">
        <v>21</v>
      </c>
      <c r="M34" s="423">
        <v>50</v>
      </c>
      <c r="N34" s="423">
        <v>50</v>
      </c>
      <c r="O34" s="423">
        <v>50</v>
      </c>
      <c r="P34" s="423">
        <v>50</v>
      </c>
      <c r="Q34" s="423">
        <v>50</v>
      </c>
      <c r="R34" s="423">
        <v>50</v>
      </c>
      <c r="S34" s="423"/>
      <c r="T34" s="423"/>
      <c r="U34" s="423"/>
      <c r="V34" s="423"/>
      <c r="W34" s="423"/>
      <c r="X34" s="135">
        <f t="shared" ref="X34" si="36">IF(AT35="","",SUM(M34:W34)-(-(AT35-SUM(M34:W34))/$AT$3)*SUM($M$2:$W$2))</f>
        <v>300</v>
      </c>
      <c r="Y34" s="438"/>
      <c r="Z34" s="400">
        <v>-92</v>
      </c>
      <c r="AA34" s="540">
        <f>+X36</f>
        <v>-10</v>
      </c>
      <c r="AB34" s="135">
        <f t="shared" si="0"/>
        <v>300</v>
      </c>
      <c r="AC34" s="136">
        <f>+AD34+AB34</f>
        <v>4156</v>
      </c>
      <c r="AD34" s="136">
        <v>3856</v>
      </c>
      <c r="AE34" s="438"/>
      <c r="AF34" s="438"/>
      <c r="AG34" s="109"/>
      <c r="AH34" s="110"/>
      <c r="AI34" s="157"/>
      <c r="AJ34" s="161">
        <f t="shared" si="1"/>
        <v>0</v>
      </c>
      <c r="AK34" s="167">
        <f t="shared" si="2"/>
        <v>0</v>
      </c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1.35">
      <c r="B35" s="132">
        <v>7</v>
      </c>
      <c r="C35" s="371">
        <f>+B35</f>
        <v>7</v>
      </c>
      <c r="D35" s="372" t="s">
        <v>443</v>
      </c>
      <c r="E35" s="111"/>
      <c r="F35" s="111" t="s">
        <v>35</v>
      </c>
      <c r="G35" s="578" t="str">
        <f>+G34</f>
        <v>2917-496-712</v>
      </c>
      <c r="H35" s="450">
        <v>7000</v>
      </c>
      <c r="I35" s="111" t="s">
        <v>33</v>
      </c>
      <c r="J35" s="113">
        <v>42.84</v>
      </c>
      <c r="K35" s="130">
        <v>60</v>
      </c>
      <c r="L35" s="101" t="s">
        <v>17</v>
      </c>
      <c r="M35" s="214">
        <v>50</v>
      </c>
      <c r="N35" s="214">
        <v>60</v>
      </c>
      <c r="O35" s="214">
        <v>60</v>
      </c>
      <c r="P35" s="214">
        <v>60</v>
      </c>
      <c r="Q35" s="214">
        <v>60</v>
      </c>
      <c r="R35" s="214">
        <v>60</v>
      </c>
      <c r="S35" s="214">
        <v>60</v>
      </c>
      <c r="T35" s="214">
        <v>15</v>
      </c>
      <c r="U35" s="214"/>
      <c r="V35" s="424"/>
      <c r="W35" s="424"/>
      <c r="X35" s="123">
        <f t="shared" ref="X35" si="37">+IF(H36="s",0,IF(AB35=0,0,IF(COUNTA(M35:W35)=AN37+0.75,SUMIF($C:$C,B35,$AB:$AB)/AN37,SUMIF($C:$C,B35,$AB:$AB)/(COUNTA(M35:W35)))))</f>
        <v>58.620689655172413</v>
      </c>
      <c r="Y35" s="439"/>
      <c r="Z35" s="400"/>
      <c r="AA35" s="541"/>
      <c r="AB35" s="134">
        <f t="shared" si="0"/>
        <v>425</v>
      </c>
      <c r="AC35" s="137">
        <f>+AB35+AD35</f>
        <v>3375</v>
      </c>
      <c r="AD35" s="137">
        <v>2950</v>
      </c>
      <c r="AE35" s="439">
        <v>0</v>
      </c>
      <c r="AF35" s="439">
        <f>+AE35+Y35</f>
        <v>0</v>
      </c>
      <c r="AG35" s="140">
        <f>+AC34-AC35</f>
        <v>781</v>
      </c>
      <c r="AH35" s="131">
        <f>+IF(((AB36+(AB37/2))*60)=0,"",(J35*AB35)/((AB36+(AB37/2))*60))</f>
        <v>0.86299324564521862</v>
      </c>
      <c r="AI35" s="161">
        <f>+AB36+AB37/2</f>
        <v>351.625</v>
      </c>
      <c r="AJ35" s="161">
        <f t="shared" si="1"/>
        <v>351.375</v>
      </c>
      <c r="AK35" s="167">
        <f t="shared" si="2"/>
        <v>21097.5</v>
      </c>
      <c r="AL35" s="167">
        <f>+AB35*J35</f>
        <v>18207</v>
      </c>
      <c r="AM35" s="230">
        <f>+AB35-(AI35*K35/K37)</f>
        <v>-5.5612244897959044</v>
      </c>
      <c r="AN35" s="339"/>
      <c r="AO35" s="340"/>
      <c r="AP35" s="167"/>
      <c r="AQ35" s="167"/>
      <c r="AR35" s="167"/>
      <c r="AS35" s="167"/>
      <c r="AT35" s="433">
        <f t="shared" ref="AT35" si="38">IF(AU35=0,"",AW35-(($AT$3*K35)+($AT$3*K35)*AU35)+AB34)</f>
        <v>-106.5</v>
      </c>
      <c r="AU35" s="393">
        <v>1.5</v>
      </c>
      <c r="AW35" s="356">
        <v>906</v>
      </c>
      <c r="AY35" s="356">
        <f t="shared" ref="AY35" si="39">+AW35-AG35</f>
        <v>125</v>
      </c>
      <c r="AZ35" s="581" t="s">
        <v>482</v>
      </c>
      <c r="BA35" s="581"/>
      <c r="BB35" s="581"/>
      <c r="BC35" s="581"/>
      <c r="BD35" s="581"/>
      <c r="BE35" s="581"/>
      <c r="BF35" s="581"/>
      <c r="BG35" s="581"/>
      <c r="BH35" s="581"/>
      <c r="BI35" s="581"/>
    </row>
    <row r="36" spans="2:61" s="98" customFormat="1" ht="62.25" customHeight="1" x14ac:dyDescent="0.9">
      <c r="B36" s="125">
        <f>B35</f>
        <v>7</v>
      </c>
      <c r="C36" s="373"/>
      <c r="D36" s="184"/>
      <c r="E36" s="111">
        <f>+B35</f>
        <v>7</v>
      </c>
      <c r="F36" s="374"/>
      <c r="G36" s="578" t="str">
        <f>+G34</f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/>
      <c r="K36" s="114" t="s">
        <v>22</v>
      </c>
      <c r="L36" s="102" t="s">
        <v>18</v>
      </c>
      <c r="M36" s="425">
        <v>48</v>
      </c>
      <c r="N36" s="425">
        <v>48</v>
      </c>
      <c r="O36" s="425">
        <v>48</v>
      </c>
      <c r="P36" s="425">
        <v>48</v>
      </c>
      <c r="Q36" s="425">
        <v>48</v>
      </c>
      <c r="R36" s="425">
        <v>48</v>
      </c>
      <c r="S36" s="425">
        <v>48</v>
      </c>
      <c r="T36" s="425">
        <v>48</v>
      </c>
      <c r="U36" s="425"/>
      <c r="V36" s="426"/>
      <c r="W36" s="426"/>
      <c r="X36" s="160">
        <f t="shared" ref="X36" si="40">+IF(H36="l",IF(COUNTA(M35:W35)=AN37+0.75,AB35-K35*AN37,AB35-(K35*COUNTA(M35:W35))),IF(H36="s",0,IF(COUNTA(M35:W35)=AN37+0.75,SUMIF($C:$C,B35,$AB:$AB)-K35*AN37,SUMIF($C:$C,B35,$AB:$AB)-K35*COUNTA(M35:W35))))</f>
        <v>-10</v>
      </c>
      <c r="Y36" s="440"/>
      <c r="Z36" s="400"/>
      <c r="AA36" s="541"/>
      <c r="AB36" s="443">
        <f t="shared" ref="AB36:AB37" si="41">+SUM(M36:W36)-T36*0.75</f>
        <v>348</v>
      </c>
      <c r="AC36" s="341"/>
      <c r="AD36" s="341"/>
      <c r="AE36" s="440"/>
      <c r="AF36" s="440"/>
      <c r="AG36" s="115"/>
      <c r="AH36" s="116"/>
      <c r="AI36" s="157"/>
      <c r="AJ36" s="161">
        <f t="shared" si="1"/>
        <v>0</v>
      </c>
      <c r="AK36" s="167">
        <f t="shared" si="2"/>
        <v>0</v>
      </c>
      <c r="AL36" s="167"/>
      <c r="AM36" s="167"/>
      <c r="AN36" s="339"/>
      <c r="AO36" s="340">
        <f>+IF(AN37=7.75,SUM(M36:S36)+T36*0.75,IF(AN37=8,SUM(M36:T36),IF(AN37=7.25,SUM(M36:S36)+T36*0.25,IF(AN37=8.25,SUM(M36:T36)+U36*0.25,IF(AN37=8.75,SUM(M36:T36)+U36*0.75,0)))))</f>
        <v>348</v>
      </c>
      <c r="AP36" s="167">
        <f>+AO36-AB36</f>
        <v>0</v>
      </c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9">
        <f>B35</f>
        <v>7</v>
      </c>
      <c r="C37" s="375"/>
      <c r="D37" s="174" t="s">
        <v>93</v>
      </c>
      <c r="E37" s="175">
        <f>+E36+100</f>
        <v>107</v>
      </c>
      <c r="F37" s="175"/>
      <c r="G37" s="579" t="str">
        <f>+G34</f>
        <v>2917-496-712</v>
      </c>
      <c r="H37" s="454">
        <f>+AC34-H35</f>
        <v>-2844</v>
      </c>
      <c r="I37" s="397"/>
      <c r="J37" s="165">
        <v>0.91625000000000001</v>
      </c>
      <c r="K37" s="118">
        <v>49</v>
      </c>
      <c r="L37" s="104" t="s">
        <v>19</v>
      </c>
      <c r="M37" s="427">
        <v>1</v>
      </c>
      <c r="N37" s="427">
        <v>1</v>
      </c>
      <c r="O37" s="427">
        <v>1</v>
      </c>
      <c r="P37" s="427">
        <v>1</v>
      </c>
      <c r="Q37" s="427">
        <v>1</v>
      </c>
      <c r="R37" s="427">
        <v>1</v>
      </c>
      <c r="S37" s="427">
        <v>1</v>
      </c>
      <c r="T37" s="427">
        <v>1</v>
      </c>
      <c r="U37" s="427"/>
      <c r="V37" s="428"/>
      <c r="W37" s="428"/>
      <c r="X37" s="173"/>
      <c r="Y37" s="441"/>
      <c r="Z37" s="401">
        <v>27.43</v>
      </c>
      <c r="AA37" s="168">
        <f>+IF(COUNTA(M35:W35)=$AM$4+0.25,$AM$4-(AB35/K35),COUNTA(M35:W35)-(AB35/K35))+Z37</f>
        <v>28.346666666666668</v>
      </c>
      <c r="AB37" s="444">
        <f t="shared" si="41"/>
        <v>7.25</v>
      </c>
      <c r="AC37" s="139"/>
      <c r="AD37" s="139"/>
      <c r="AE37" s="441"/>
      <c r="AF37" s="441"/>
      <c r="AG37" s="119">
        <f>+IFERROR(AG35/(K35*$AT$3),"")</f>
        <v>1.4876190476190476</v>
      </c>
      <c r="AH37" s="162"/>
      <c r="AI37" s="161"/>
      <c r="AJ37" s="161">
        <f t="shared" si="1"/>
        <v>0</v>
      </c>
      <c r="AK37" s="167">
        <f t="shared" si="2"/>
        <v>0</v>
      </c>
      <c r="AL37" s="167"/>
      <c r="AM37" s="230"/>
      <c r="AN37" s="342">
        <f>+$AM$4</f>
        <v>7.25</v>
      </c>
      <c r="AO37" s="340">
        <f>+IF(AN37=7.75,SUM(M37:S37)+T37*0.75,IF(AN37=8,SUM(M37:T37),IF(AN37=7.25,SUM(M37:S37)+T37*0.25,IF(AN37=8.25,SUM(M37:T37)+U37*0.25,IF(AN37=8.75,SUM(M37:T37)+U37*0.75,0)))))</f>
        <v>7.25</v>
      </c>
      <c r="AP37" s="167">
        <f>+AO37-AB37</f>
        <v>0</v>
      </c>
      <c r="AQ37" s="167"/>
      <c r="AR37" s="167"/>
      <c r="AS37" s="167"/>
      <c r="AT37" s="435"/>
      <c r="AU37" s="393"/>
      <c r="AW37" s="356">
        <v>1.7257142857142858</v>
      </c>
      <c r="AY37" s="356"/>
    </row>
    <row r="38" spans="2:61" s="98" customFormat="1" ht="62.25" customHeight="1" thickTop="1" x14ac:dyDescent="0.9">
      <c r="B38" s="97">
        <f>+B39</f>
        <v>8</v>
      </c>
      <c r="C38" s="370"/>
      <c r="D38" s="106"/>
      <c r="E38" s="106"/>
      <c r="F38" s="106"/>
      <c r="G38" s="582" t="s">
        <v>442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>
        <v>50</v>
      </c>
      <c r="P38" s="423"/>
      <c r="Q38" s="423"/>
      <c r="R38" s="423">
        <v>50</v>
      </c>
      <c r="S38" s="423"/>
      <c r="T38" s="423"/>
      <c r="U38" s="423"/>
      <c r="V38" s="423"/>
      <c r="W38" s="423"/>
      <c r="X38" s="135">
        <f t="shared" ref="X38" si="42">IF(AT39="","",SUM(M38:W38)-(-(AT39-SUM(M38:W38))/$AT$3)*SUM($M$2:$W$2))</f>
        <v>200</v>
      </c>
      <c r="Y38" s="438"/>
      <c r="Z38" s="400">
        <v>0.5</v>
      </c>
      <c r="AA38" s="540">
        <f>+X40</f>
        <v>0.5</v>
      </c>
      <c r="AB38" s="135">
        <f t="shared" si="0"/>
        <v>200</v>
      </c>
      <c r="AC38" s="136">
        <f>+AD38+AB38</f>
        <v>6635</v>
      </c>
      <c r="AD38" s="136">
        <v>6435</v>
      </c>
      <c r="AE38" s="438"/>
      <c r="AF38" s="438"/>
      <c r="AG38" s="109"/>
      <c r="AH38" s="110"/>
      <c r="AI38" s="157"/>
      <c r="AJ38" s="161">
        <f t="shared" si="1"/>
        <v>0</v>
      </c>
      <c r="AK38" s="167">
        <f t="shared" si="2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0.9">
      <c r="B39" s="132">
        <v>8</v>
      </c>
      <c r="C39" s="371">
        <f>+B39</f>
        <v>8</v>
      </c>
      <c r="D39" s="372" t="s">
        <v>441</v>
      </c>
      <c r="E39" s="111"/>
      <c r="F39" s="111" t="s">
        <v>35</v>
      </c>
      <c r="G39" s="582" t="str">
        <f>+G38</f>
        <v>7741-793-052</v>
      </c>
      <c r="H39" s="450">
        <v>11500</v>
      </c>
      <c r="I39" s="111" t="s">
        <v>33</v>
      </c>
      <c r="J39" s="113">
        <v>55.14</v>
      </c>
      <c r="K39" s="130">
        <v>46</v>
      </c>
      <c r="L39" s="101" t="s">
        <v>17</v>
      </c>
      <c r="M39" s="214">
        <v>46</v>
      </c>
      <c r="N39" s="214">
        <v>46</v>
      </c>
      <c r="O39" s="214">
        <v>46</v>
      </c>
      <c r="P39" s="214">
        <v>46</v>
      </c>
      <c r="Q39" s="214">
        <v>46</v>
      </c>
      <c r="R39" s="214">
        <v>46</v>
      </c>
      <c r="S39" s="214">
        <v>46</v>
      </c>
      <c r="T39" s="214">
        <v>12</v>
      </c>
      <c r="U39" s="214"/>
      <c r="V39" s="424"/>
      <c r="W39" s="424"/>
      <c r="X39" s="123">
        <f t="shared" ref="X39" si="43">+IF(H40="s",0,IF(AB39=0,0,IF(COUNTA(M39:W39)=AN41+0.75,SUMIF($C:$C,B39,$AB:$AB)/AN41,SUMIF($C:$C,B39,$AB:$AB)/(COUNTA(M39:W39)))))</f>
        <v>46.068965517241381</v>
      </c>
      <c r="Y39" s="439"/>
      <c r="Z39" s="400"/>
      <c r="AA39" s="541"/>
      <c r="AB39" s="134">
        <f t="shared" si="0"/>
        <v>334</v>
      </c>
      <c r="AC39" s="137">
        <f>+AB39+AD39</f>
        <v>5664</v>
      </c>
      <c r="AD39" s="137">
        <v>5330</v>
      </c>
      <c r="AE39" s="439">
        <v>0</v>
      </c>
      <c r="AF39" s="439">
        <f>+AE39+Y39</f>
        <v>0</v>
      </c>
      <c r="AG39" s="140">
        <f>+AC38-AC39</f>
        <v>971</v>
      </c>
      <c r="AH39" s="131">
        <f>+IF(((AB40+(AB41/2))*60)=0,"",(J39*AB39)/((AB40+(AB41/2))*60))</f>
        <v>0.86402814919071069</v>
      </c>
      <c r="AI39" s="161">
        <f>+AB40+AB41/2</f>
        <v>355.25</v>
      </c>
      <c r="AJ39" s="161">
        <f t="shared" si="1"/>
        <v>355.15</v>
      </c>
      <c r="AK39" s="167">
        <f t="shared" si="2"/>
        <v>21315</v>
      </c>
      <c r="AL39" s="167">
        <f>+AB39*J39</f>
        <v>18416.759999999998</v>
      </c>
      <c r="AM39" s="230">
        <f>+AB39-(AI39*K39/K41)</f>
        <v>0.5</v>
      </c>
      <c r="AN39" s="339"/>
      <c r="AO39" s="340"/>
      <c r="AP39" s="167"/>
      <c r="AQ39" s="167"/>
      <c r="AR39" s="167"/>
      <c r="AS39" s="167"/>
      <c r="AT39" s="433">
        <f t="shared" ref="AT39" si="44">IF(AU39=0,"",AW39-(($AT$3*K39)+($AT$3*K39)*AU39)+AB38)</f>
        <v>97.5</v>
      </c>
      <c r="AU39" s="393">
        <v>2</v>
      </c>
      <c r="AW39" s="356">
        <v>1105</v>
      </c>
      <c r="AY39" s="356">
        <f t="shared" ref="AY39" si="45">+AW39-AG39</f>
        <v>134</v>
      </c>
    </row>
    <row r="40" spans="2:61" s="98" customFormat="1" ht="62.25" customHeight="1" x14ac:dyDescent="0.9">
      <c r="B40" s="125">
        <f>+B39</f>
        <v>8</v>
      </c>
      <c r="C40" s="373"/>
      <c r="D40" s="184"/>
      <c r="E40" s="111">
        <f>+B39</f>
        <v>8</v>
      </c>
      <c r="F40" s="374"/>
      <c r="G40" s="582" t="str">
        <f>+G39</f>
        <v>7741-793-052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49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/>
      <c r="V40" s="426"/>
      <c r="W40" s="426"/>
      <c r="X40" s="160">
        <f t="shared" ref="X40" si="46">+IF(H40="l",IF(COUNTA(M39:W39)=AN41+0.75,AB39-K39*AN41,AB39-(K39*COUNTA(M39:W39))),IF(H40="s",0,IF(COUNTA(M39:W39)=AN41+0.75,SUMIF($C:$C,B39,$AB:$AB)-K39*AN41,SUMIF($C:$C,B39,$AB:$AB)-K39*COUNTA(M39:W39))))</f>
        <v>0.5</v>
      </c>
      <c r="Y40" s="440"/>
      <c r="Z40" s="400"/>
      <c r="AA40" s="541"/>
      <c r="AB40" s="443">
        <f t="shared" ref="AB40:AB41" si="47">+SUM(M40:W40)-T40*0.75</f>
        <v>355.25</v>
      </c>
      <c r="AC40" s="341"/>
      <c r="AD40" s="341"/>
      <c r="AE40" s="440"/>
      <c r="AF40" s="440"/>
      <c r="AG40" s="115"/>
      <c r="AH40" s="116"/>
      <c r="AI40" s="157"/>
      <c r="AJ40" s="161">
        <f t="shared" si="1"/>
        <v>0</v>
      </c>
      <c r="AK40" s="167">
        <f t="shared" si="2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355.25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6">
        <f>+B39</f>
        <v>8</v>
      </c>
      <c r="C41" s="375"/>
      <c r="D41" s="174" t="s">
        <v>373</v>
      </c>
      <c r="E41" s="175">
        <f>+E40+100</f>
        <v>108</v>
      </c>
      <c r="F41" s="175"/>
      <c r="G41" s="582" t="str">
        <f>+G40</f>
        <v>7741-793-052</v>
      </c>
      <c r="H41" s="454">
        <f>+AC38-H39</f>
        <v>-4865</v>
      </c>
      <c r="I41" s="397"/>
      <c r="J41" s="165">
        <f>+IF(K41="","",IF(K39=0,"",(K39*J39)/(K41*60)))</f>
        <v>0.86273469387755108</v>
      </c>
      <c r="K41" s="118">
        <v>49</v>
      </c>
      <c r="L41" s="104" t="s">
        <v>19</v>
      </c>
      <c r="M41" s="427"/>
      <c r="N41" s="427"/>
      <c r="O41" s="427"/>
      <c r="P41" s="427"/>
      <c r="Q41" s="427"/>
      <c r="R41" s="427"/>
      <c r="S41" s="427"/>
      <c r="T41" s="427"/>
      <c r="U41" s="427"/>
      <c r="V41" s="428"/>
      <c r="W41" s="428"/>
      <c r="X41" s="173"/>
      <c r="Y41" s="441"/>
      <c r="Z41" s="401">
        <v>24.299090909090911</v>
      </c>
      <c r="AA41" s="169">
        <v>24.299090909090911</v>
      </c>
      <c r="AB41" s="444">
        <f t="shared" si="47"/>
        <v>0</v>
      </c>
      <c r="AC41" s="139"/>
      <c r="AD41" s="139"/>
      <c r="AE41" s="441"/>
      <c r="AF41" s="441"/>
      <c r="AG41" s="119">
        <f>+IFERROR(AG39/(K39*$AT$3),"")</f>
        <v>2.4124223602484474</v>
      </c>
      <c r="AH41" s="162"/>
      <c r="AI41" s="161"/>
      <c r="AJ41" s="161">
        <f t="shared" si="1"/>
        <v>0</v>
      </c>
      <c r="AK41" s="167">
        <f t="shared" si="2"/>
        <v>0</v>
      </c>
      <c r="AL41" s="167"/>
      <c r="AM41" s="230"/>
      <c r="AN41" s="342">
        <f>+$AM$4</f>
        <v>7.25</v>
      </c>
      <c r="AO41" s="340">
        <f>+IF(AN41=7.75,SUM(M41:S41)+T41*0.75,IF(AN41=8,SUM(M41:T41),IF(AN41=7.25,SUM(M41:S41)+T41*0.25,IF(AN41=8.25,SUM(M41:T41)+U41*0.25,IF(AN41=8.75,SUM(M41:T41)+U41*0.75,0)))))</f>
        <v>0</v>
      </c>
      <c r="AP41" s="167">
        <f>+AO41-AB41</f>
        <v>0</v>
      </c>
      <c r="AQ41" s="167"/>
      <c r="AR41" s="167"/>
      <c r="AS41" s="167"/>
      <c r="AT41" s="435"/>
      <c r="AU41" s="393"/>
      <c r="AW41" s="356">
        <v>2.7453416149068324</v>
      </c>
      <c r="AY41" s="356"/>
    </row>
    <row r="42" spans="2:61" s="98" customFormat="1" ht="62.25" customHeight="1" thickTop="1" x14ac:dyDescent="0.9">
      <c r="B42" s="97">
        <f>+B43</f>
        <v>11</v>
      </c>
      <c r="C42" s="370"/>
      <c r="D42" s="106"/>
      <c r="E42" s="106"/>
      <c r="F42" s="106"/>
      <c r="G42" s="577" t="s">
        <v>428</v>
      </c>
      <c r="H42" s="106"/>
      <c r="I42" s="106"/>
      <c r="J42" s="107" t="s">
        <v>20</v>
      </c>
      <c r="K42" s="108" t="s">
        <v>23</v>
      </c>
      <c r="L42" s="100" t="s">
        <v>21</v>
      </c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135" t="str">
        <f t="shared" ref="X42" si="48">IF(AT43="","",SUM(M42:W42)-(-(AT43-SUM(M42:W42))/$AT$3)*SUM($M$2:$W$2))</f>
        <v/>
      </c>
      <c r="Y42" s="438"/>
      <c r="Z42" s="400">
        <v>-342.25</v>
      </c>
      <c r="AA42" s="540">
        <f>+X44</f>
        <v>0</v>
      </c>
      <c r="AB42" s="135">
        <f t="shared" si="0"/>
        <v>0</v>
      </c>
      <c r="AC42" s="136">
        <f>+AD42+AB42</f>
        <v>10477</v>
      </c>
      <c r="AD42" s="136">
        <v>10477</v>
      </c>
      <c r="AE42" s="438"/>
      <c r="AF42" s="438"/>
      <c r="AG42" s="109"/>
      <c r="AH42" s="110"/>
      <c r="AI42" s="157"/>
      <c r="AJ42" s="161">
        <f t="shared" si="1"/>
        <v>0</v>
      </c>
      <c r="AK42" s="167">
        <f t="shared" si="2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11</v>
      </c>
      <c r="C43" s="371">
        <v>11</v>
      </c>
      <c r="D43" s="372" t="s">
        <v>427</v>
      </c>
      <c r="E43" s="111"/>
      <c r="F43" s="111" t="s">
        <v>426</v>
      </c>
      <c r="G43" s="578" t="str">
        <f>+G42</f>
        <v>NUDIE-301580</v>
      </c>
      <c r="H43" s="450">
        <v>10450</v>
      </c>
      <c r="I43" s="111" t="s">
        <v>425</v>
      </c>
      <c r="J43" s="113">
        <v>44.17</v>
      </c>
      <c r="K43" s="130">
        <v>65</v>
      </c>
      <c r="L43" s="101" t="s">
        <v>17</v>
      </c>
      <c r="M43" s="214">
        <v>16</v>
      </c>
      <c r="N43" s="214">
        <v>20</v>
      </c>
      <c r="O43" s="214">
        <v>16</v>
      </c>
      <c r="P43" s="214"/>
      <c r="Q43" s="214"/>
      <c r="R43" s="214"/>
      <c r="S43" s="214"/>
      <c r="T43" s="214"/>
      <c r="U43" s="214"/>
      <c r="V43" s="214"/>
      <c r="W43" s="424"/>
      <c r="X43" s="123">
        <f t="shared" ref="X43" si="49">+IF(H44="s",0,IF(AB43=0,0,IF(COUNTA(M43:W43)=AN45+0.75,SUMIF($C:$C,B43,$AB:$AB)/AN45,SUMIF($C:$C,B43,$AB:$AB)/(COUNTA(M43:W43)))))</f>
        <v>0</v>
      </c>
      <c r="Y43" s="439"/>
      <c r="Z43" s="400"/>
      <c r="AA43" s="541"/>
      <c r="AB43" s="134">
        <f t="shared" si="0"/>
        <v>52</v>
      </c>
      <c r="AC43" s="137">
        <f>+AB43+AD43</f>
        <v>10458</v>
      </c>
      <c r="AD43" s="137">
        <v>10406</v>
      </c>
      <c r="AE43" s="439">
        <v>0</v>
      </c>
      <c r="AF43" s="439">
        <f>+AE43+Y43</f>
        <v>0</v>
      </c>
      <c r="AG43" s="140">
        <f>+AC42-AC43</f>
        <v>19</v>
      </c>
      <c r="AH43" s="131">
        <f>+IF(((AB44+(AB45/2))*60)=0,"",(J43*AB43)/((AB44+(AB45/2))*60))</f>
        <v>0.38280666666666668</v>
      </c>
      <c r="AI43" s="161">
        <f>+AB44+AB45/2</f>
        <v>100</v>
      </c>
      <c r="AJ43" s="161">
        <f t="shared" si="1"/>
        <v>100</v>
      </c>
      <c r="AK43" s="167">
        <f t="shared" si="2"/>
        <v>6000</v>
      </c>
      <c r="AL43" s="167">
        <f>+AB43*J43</f>
        <v>2296.84</v>
      </c>
      <c r="AM43" s="230">
        <f>+AB43-(AI43*K43/K45)</f>
        <v>-68.370370370370367</v>
      </c>
      <c r="AN43" s="339"/>
      <c r="AO43" s="340"/>
      <c r="AP43" s="167"/>
      <c r="AQ43" s="167"/>
      <c r="AR43" s="167"/>
      <c r="AS43" s="167"/>
      <c r="AT43" s="433" t="str">
        <f t="shared" ref="AT43" si="50">IF(AU43=0,"",AW43-(($AT$3*K43)+($AT$3*K43)*AU43)+AB42)</f>
        <v/>
      </c>
      <c r="AU43" s="393"/>
      <c r="AW43" s="356">
        <v>71</v>
      </c>
      <c r="AY43" s="356">
        <f t="shared" ref="AY43" si="51">+AW43-AG43</f>
        <v>52</v>
      </c>
    </row>
    <row r="44" spans="2:61" s="98" customFormat="1" ht="62.25" customHeight="1" x14ac:dyDescent="0.9">
      <c r="B44" s="125">
        <f>+B43</f>
        <v>11</v>
      </c>
      <c r="C44" s="373"/>
      <c r="D44" s="184"/>
      <c r="E44" s="111">
        <f>+B43</f>
        <v>11</v>
      </c>
      <c r="F44" s="374"/>
      <c r="G44" s="578" t="str">
        <f>+G43</f>
        <v>NUDIE-301580</v>
      </c>
      <c r="H44" s="376" t="s">
        <v>465</v>
      </c>
      <c r="I44" s="113">
        <f>+IFERROR(IF(K45=0,0,IF((LOOKUP(2,1/(M44:W44&lt;&gt;""),M44:W44)-K45)&lt;0,0,IF(K45=0,"",LOOKUP(2,1/(M44:W44&lt;&gt;""),M44:W44)-K45))),0)</f>
        <v>0</v>
      </c>
      <c r="J44" s="113">
        <v>1</v>
      </c>
      <c r="K44" s="114" t="s">
        <v>22</v>
      </c>
      <c r="L44" s="102" t="s">
        <v>18</v>
      </c>
      <c r="M44" s="425">
        <v>35</v>
      </c>
      <c r="N44" s="425">
        <v>35</v>
      </c>
      <c r="O44" s="425">
        <v>30</v>
      </c>
      <c r="P44" s="425"/>
      <c r="Q44" s="425"/>
      <c r="R44" s="425"/>
      <c r="S44" s="425"/>
      <c r="T44" s="425"/>
      <c r="U44" s="425"/>
      <c r="V44" s="425"/>
      <c r="W44" s="426"/>
      <c r="X44" s="160">
        <f t="shared" ref="X44" si="52">+IF(H44="l",IF(COUNTA(M43:W43)=AN45+0.75,AB43-K43*AN45,AB43-(K43*COUNTA(M43:W43))),IF(H44="s",0,IF(COUNTA(M43:W43)=AN45+0.75,SUMIF($C:$C,B43,$AB:$AB)-K43*AN45,SUMIF($C:$C,B43,$AB:$AB)-K43*COUNTA(M43:W43))))</f>
        <v>0</v>
      </c>
      <c r="Y44" s="440"/>
      <c r="Z44" s="400"/>
      <c r="AA44" s="541"/>
      <c r="AB44" s="443">
        <f t="shared" ref="AB44:AB45" si="53">+SUM(M44:W44)-T44*0.75</f>
        <v>100</v>
      </c>
      <c r="AC44" s="341"/>
      <c r="AD44" s="341"/>
      <c r="AE44" s="440"/>
      <c r="AF44" s="440"/>
      <c r="AG44" s="115"/>
      <c r="AH44" s="116"/>
      <c r="AI44" s="157"/>
      <c r="AJ44" s="161">
        <f t="shared" si="1"/>
        <v>0</v>
      </c>
      <c r="AK44" s="167">
        <f t="shared" si="2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100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11</v>
      </c>
      <c r="C45" s="375"/>
      <c r="D45" s="174" t="s">
        <v>403</v>
      </c>
      <c r="E45" s="175">
        <f>+E44+100</f>
        <v>111</v>
      </c>
      <c r="F45" s="175"/>
      <c r="G45" s="579" t="str">
        <f>+G44</f>
        <v>NUDIE-301580</v>
      </c>
      <c r="H45" s="454">
        <f>+AC42-H43</f>
        <v>27</v>
      </c>
      <c r="I45" s="397"/>
      <c r="J45" s="165">
        <f>+IF(K45="","",IF(K43=0,"",(K43*J43)/(K45*60)))</f>
        <v>0.8861265432098766</v>
      </c>
      <c r="K45" s="118">
        <v>54</v>
      </c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8"/>
      <c r="X45" s="173"/>
      <c r="Y45" s="441"/>
      <c r="Z45" s="401">
        <v>46.941105769230759</v>
      </c>
      <c r="AA45" s="401">
        <v>46.941105769230759</v>
      </c>
      <c r="AB45" s="444">
        <f t="shared" si="53"/>
        <v>0</v>
      </c>
      <c r="AC45" s="139"/>
      <c r="AD45" s="139"/>
      <c r="AE45" s="441"/>
      <c r="AF45" s="441"/>
      <c r="AG45" s="119">
        <f>+IFERROR(AG43/(K43*$AT$3),"")</f>
        <v>3.340659340659341E-2</v>
      </c>
      <c r="AH45" s="162"/>
      <c r="AI45" s="161"/>
      <c r="AJ45" s="161">
        <f t="shared" si="1"/>
        <v>0</v>
      </c>
      <c r="AK45" s="167">
        <f t="shared" si="2"/>
        <v>0</v>
      </c>
      <c r="AL45" s="167"/>
      <c r="AM45" s="230"/>
      <c r="AN45" s="342">
        <f>+$AM$4</f>
        <v>7.25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0.12483516483516484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82" t="s">
        <v>474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50</v>
      </c>
      <c r="N46" s="423">
        <v>50</v>
      </c>
      <c r="O46" s="423">
        <v>50</v>
      </c>
      <c r="P46" s="423">
        <v>51</v>
      </c>
      <c r="Q46" s="423"/>
      <c r="R46" s="423"/>
      <c r="S46" s="423"/>
      <c r="T46" s="423"/>
      <c r="U46" s="423"/>
      <c r="V46" s="423"/>
      <c r="W46" s="423"/>
      <c r="X46" s="135">
        <f t="shared" ref="X46" si="54">IF(AT47="","",SUM(M46:W46)-(-(AT47-SUM(M46:W46))/$AT$3)*SUM($M$2:$W$2))</f>
        <v>201</v>
      </c>
      <c r="Y46" s="438"/>
      <c r="Z46" s="400">
        <v>0</v>
      </c>
      <c r="AA46" s="540">
        <f>+X48</f>
        <v>-471.25</v>
      </c>
      <c r="AB46" s="135">
        <f t="shared" si="0"/>
        <v>201</v>
      </c>
      <c r="AC46" s="136">
        <f>+AD46+AB46</f>
        <v>451</v>
      </c>
      <c r="AD46" s="136">
        <v>250</v>
      </c>
      <c r="AE46" s="438"/>
      <c r="AF46" s="438"/>
      <c r="AG46" s="109"/>
      <c r="AH46" s="110"/>
      <c r="AI46" s="157"/>
      <c r="AJ46" s="161">
        <f t="shared" si="1"/>
        <v>0</v>
      </c>
      <c r="AK46" s="167">
        <f t="shared" si="2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475</v>
      </c>
      <c r="E47" s="111"/>
      <c r="F47" s="111" t="s">
        <v>447</v>
      </c>
      <c r="G47" s="582" t="s">
        <v>474</v>
      </c>
      <c r="H47" s="450">
        <v>3360</v>
      </c>
      <c r="I47" s="111" t="s">
        <v>476</v>
      </c>
      <c r="J47" s="113">
        <v>38.65</v>
      </c>
      <c r="K47" s="130">
        <v>65</v>
      </c>
      <c r="L47" s="101" t="s">
        <v>17</v>
      </c>
      <c r="M47" s="214">
        <v>0</v>
      </c>
      <c r="N47" s="214">
        <v>0</v>
      </c>
      <c r="O47" s="214">
        <v>0</v>
      </c>
      <c r="P47" s="214">
        <v>0</v>
      </c>
      <c r="Q47" s="214">
        <v>0</v>
      </c>
      <c r="R47" s="214">
        <v>0</v>
      </c>
      <c r="S47" s="214">
        <v>0</v>
      </c>
      <c r="T47" s="214">
        <v>0</v>
      </c>
      <c r="U47" s="214"/>
      <c r="V47" s="214"/>
      <c r="W47" s="424"/>
      <c r="X47" s="123">
        <f t="shared" ref="X47" si="55">+IF(H48="s",0,IF(AB47=0,0,IF(COUNTA(M47:W47)=AN49+0.75,SUMIF($C:$C,B47,$AB:$AB)/AN49,SUMIF($C:$C,B47,$AB:$AB)/(COUNTA(M47:W47)))))</f>
        <v>0</v>
      </c>
      <c r="Y47" s="439"/>
      <c r="Z47" s="400"/>
      <c r="AA47" s="541"/>
      <c r="AB47" s="134">
        <f t="shared" si="0"/>
        <v>0</v>
      </c>
      <c r="AC47" s="137">
        <f>+AB47+AD47</f>
        <v>0</v>
      </c>
      <c r="AD47" s="137">
        <v>0</v>
      </c>
      <c r="AE47" s="439">
        <v>0</v>
      </c>
      <c r="AF47" s="439">
        <f>+AE47+Y47</f>
        <v>0</v>
      </c>
      <c r="AG47" s="140">
        <f>+AC46-AC47</f>
        <v>451</v>
      </c>
      <c r="AH47" s="131">
        <f>+IF(((AB48+(AB49/2))*60)=0,"",(J47*AB47)/((AB48+(AB49/2))*60))</f>
        <v>0</v>
      </c>
      <c r="AI47" s="161">
        <f>+AB48+AB49/2</f>
        <v>256</v>
      </c>
      <c r="AJ47" s="161">
        <f t="shared" si="1"/>
        <v>256</v>
      </c>
      <c r="AK47" s="167">
        <f t="shared" si="2"/>
        <v>15360</v>
      </c>
      <c r="AL47" s="167">
        <f>+AB47*J47</f>
        <v>0</v>
      </c>
      <c r="AM47" s="230">
        <f>+AB47-(AI47*K47/K49)</f>
        <v>-346.66666666666669</v>
      </c>
      <c r="AN47" s="339"/>
      <c r="AO47" s="340"/>
      <c r="AP47" s="167"/>
      <c r="AQ47" s="167"/>
      <c r="AR47" s="167"/>
      <c r="AS47" s="167"/>
      <c r="AT47" s="433">
        <f>-201+AB46</f>
        <v>0</v>
      </c>
      <c r="AU47" s="393">
        <v>1.5</v>
      </c>
      <c r="AW47" s="356">
        <v>250</v>
      </c>
      <c r="AY47" s="356">
        <f t="shared" ref="AY47" si="56">+AW47-AG47</f>
        <v>-201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82" t="s">
        <v>474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15</v>
      </c>
      <c r="N48" s="425">
        <v>15</v>
      </c>
      <c r="O48" s="425">
        <v>20</v>
      </c>
      <c r="P48" s="425">
        <v>50</v>
      </c>
      <c r="Q48" s="425">
        <v>48</v>
      </c>
      <c r="R48" s="425">
        <v>48</v>
      </c>
      <c r="S48" s="425">
        <v>48</v>
      </c>
      <c r="T48" s="425">
        <v>48</v>
      </c>
      <c r="U48" s="425"/>
      <c r="V48" s="425"/>
      <c r="W48" s="426"/>
      <c r="X48" s="160">
        <f t="shared" ref="X48" si="57">+IF(H48="l",IF(COUNTA(M47:W47)=AN49+0.75,AB47-K47*AN49,AB47-(K47*COUNTA(M47:W47))),IF(H48="s",0,IF(COUNTA(M47:W47)=AN49+0.75,SUMIF($C:$C,B47,$AB:$AB)-K47*AN49,SUMIF($C:$C,B47,$AB:$AB)-K47*COUNTA(M47:W47))))</f>
        <v>-471.25</v>
      </c>
      <c r="Y48" s="440"/>
      <c r="Z48" s="400"/>
      <c r="AA48" s="541"/>
      <c r="AB48" s="443">
        <f t="shared" ref="AB48:AB49" si="58">+SUM(M48:W48)-T48*0.75</f>
        <v>256</v>
      </c>
      <c r="AC48" s="341"/>
      <c r="AD48" s="341"/>
      <c r="AE48" s="440"/>
      <c r="AF48" s="440"/>
      <c r="AG48" s="115"/>
      <c r="AH48" s="116"/>
      <c r="AI48" s="157"/>
      <c r="AJ48" s="161">
        <f t="shared" si="1"/>
        <v>0</v>
      </c>
      <c r="AK48" s="167">
        <f t="shared" si="2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256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6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82" t="s">
        <v>474</v>
      </c>
      <c r="H49" s="454">
        <f>+AC46-H47</f>
        <v>-2909</v>
      </c>
      <c r="I49" s="397"/>
      <c r="J49" s="165">
        <f>+IF(K49="","",IF(K47=0,"",(K47*J47)/(K49*60)))</f>
        <v>0.87230902777777775</v>
      </c>
      <c r="K49" s="118">
        <v>48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58"/>
        <v>0</v>
      </c>
      <c r="AC49" s="139"/>
      <c r="AD49" s="139"/>
      <c r="AE49" s="441"/>
      <c r="AF49" s="441"/>
      <c r="AG49" s="119">
        <f>+IFERROR(AG47/(K47*$AT$3),"")</f>
        <v>0.79296703296703297</v>
      </c>
      <c r="AH49" s="162"/>
      <c r="AI49" s="161"/>
      <c r="AJ49" s="161">
        <f t="shared" si="1"/>
        <v>0</v>
      </c>
      <c r="AK49" s="167">
        <f t="shared" si="2"/>
        <v>0</v>
      </c>
      <c r="AL49" s="167"/>
      <c r="AM49" s="230"/>
      <c r="AN49" s="342">
        <f>+$AM$4</f>
        <v>7.25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0.43956043956043955</v>
      </c>
      <c r="AY49" s="356"/>
    </row>
    <row r="50" spans="2:61" s="98" customFormat="1" ht="62.25" customHeight="1" thickTop="1" x14ac:dyDescent="0.9">
      <c r="B50" s="97">
        <f>+B51</f>
        <v>12</v>
      </c>
      <c r="C50" s="370"/>
      <c r="D50" s="106"/>
      <c r="E50" s="106"/>
      <c r="F50" s="106"/>
      <c r="G50" s="577" t="s">
        <v>433</v>
      </c>
      <c r="H50" s="106"/>
      <c r="I50" s="111"/>
      <c r="J50" s="107" t="s">
        <v>20</v>
      </c>
      <c r="K50" s="108" t="s">
        <v>23</v>
      </c>
      <c r="L50" s="100" t="s">
        <v>21</v>
      </c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135" t="str">
        <f t="shared" ref="X50" si="59">IF(AT51="","",SUM(M50:W50)-(-(AT51-SUM(M50:W50))/$AT$3)*SUM($M$2:$W$2))</f>
        <v/>
      </c>
      <c r="Y50" s="438"/>
      <c r="Z50" s="400">
        <v>0.5</v>
      </c>
      <c r="AA50" s="540">
        <f>+X52</f>
        <v>0.5</v>
      </c>
      <c r="AB50" s="135">
        <f t="shared" si="0"/>
        <v>0</v>
      </c>
      <c r="AC50" s="136">
        <f>+AD50+AB50</f>
        <v>10426</v>
      </c>
      <c r="AD50" s="136">
        <v>10426</v>
      </c>
      <c r="AE50" s="438"/>
      <c r="AF50" s="438"/>
      <c r="AG50" s="109"/>
      <c r="AH50" s="110"/>
      <c r="AI50" s="157"/>
      <c r="AJ50" s="161">
        <f t="shared" si="1"/>
        <v>0</v>
      </c>
      <c r="AK50" s="167">
        <f t="shared" si="2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61" s="98" customFormat="1" ht="62.25" customHeight="1" x14ac:dyDescent="0.9">
      <c r="B51" s="132">
        <v>12</v>
      </c>
      <c r="C51" s="371">
        <f>+B51</f>
        <v>12</v>
      </c>
      <c r="D51" s="372" t="s">
        <v>432</v>
      </c>
      <c r="E51" s="111"/>
      <c r="F51" s="111" t="s">
        <v>35</v>
      </c>
      <c r="G51" s="578" t="str">
        <f>+G50</f>
        <v>2843-709-800</v>
      </c>
      <c r="H51" s="450">
        <v>11080</v>
      </c>
      <c r="I51" s="111" t="s">
        <v>251</v>
      </c>
      <c r="J51" s="113">
        <v>50</v>
      </c>
      <c r="K51" s="130">
        <v>58</v>
      </c>
      <c r="L51" s="101" t="s">
        <v>17</v>
      </c>
      <c r="M51" s="214">
        <v>58</v>
      </c>
      <c r="N51" s="214">
        <v>58</v>
      </c>
      <c r="O51" s="214">
        <v>58</v>
      </c>
      <c r="P51" s="214">
        <v>58</v>
      </c>
      <c r="Q51" s="214">
        <v>58</v>
      </c>
      <c r="R51" s="214">
        <v>58</v>
      </c>
      <c r="S51" s="214">
        <v>58</v>
      </c>
      <c r="T51" s="214">
        <v>15</v>
      </c>
      <c r="U51" s="214"/>
      <c r="V51" s="214"/>
      <c r="W51" s="424"/>
      <c r="X51" s="123">
        <f t="shared" ref="X51" si="60">+IF(H52="s",0,IF(AB51=0,0,IF(COUNTA(M51:W51)=AN53+0.75,SUMIF($C:$C,B51,$AB:$AB)/AN53,SUMIF($C:$C,B51,$AB:$AB)/(COUNTA(M51:W51)))))</f>
        <v>58.068965517241381</v>
      </c>
      <c r="Y51" s="439"/>
      <c r="Z51" s="400"/>
      <c r="AA51" s="541"/>
      <c r="AB51" s="134">
        <f t="shared" si="0"/>
        <v>421</v>
      </c>
      <c r="AC51" s="137">
        <f>+AB51+AD51</f>
        <v>9241</v>
      </c>
      <c r="AD51" s="137">
        <v>8820</v>
      </c>
      <c r="AE51" s="439">
        <v>0</v>
      </c>
      <c r="AF51" s="439">
        <f>+AE51+Y51</f>
        <v>0</v>
      </c>
      <c r="AG51" s="140">
        <f>+AC50-AC51</f>
        <v>1185</v>
      </c>
      <c r="AH51" s="131">
        <f>+IF(((AB52+(AB53/2))*60)=0,"",(J51*AB51)/((AB52+(AB53/2))*60))</f>
        <v>0.97759201207477064</v>
      </c>
      <c r="AI51" s="161">
        <f>+AB52+AB53/2</f>
        <v>358.875</v>
      </c>
      <c r="AJ51" s="161">
        <f t="shared" si="1"/>
        <v>358.52499999999998</v>
      </c>
      <c r="AK51" s="167">
        <f t="shared" si="2"/>
        <v>21532.5</v>
      </c>
      <c r="AL51" s="167">
        <f>+AB51*J51</f>
        <v>21050</v>
      </c>
      <c r="AM51" s="230">
        <f>+AB51-(AI51*K51/K53)</f>
        <v>35.541666666666686</v>
      </c>
      <c r="AN51" s="339"/>
      <c r="AO51" s="340"/>
      <c r="AP51" s="167"/>
      <c r="AQ51" s="167"/>
      <c r="AR51" s="167"/>
      <c r="AS51" s="167"/>
      <c r="AT51" s="433"/>
      <c r="AU51" s="393">
        <v>2.5</v>
      </c>
      <c r="AW51" s="356">
        <v>1606</v>
      </c>
      <c r="AY51" s="356">
        <f t="shared" ref="AY51" si="61">+AW51-AG51</f>
        <v>421</v>
      </c>
    </row>
    <row r="52" spans="2:61" s="98" customFormat="1" ht="62.25" customHeight="1" x14ac:dyDescent="0.9">
      <c r="B52" s="125">
        <f>B51</f>
        <v>12</v>
      </c>
      <c r="C52" s="373"/>
      <c r="D52" s="184"/>
      <c r="E52" s="111">
        <f>+B51</f>
        <v>12</v>
      </c>
      <c r="F52" s="377"/>
      <c r="G52" s="578" t="str">
        <f>+G50</f>
        <v>2843-709-800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49</v>
      </c>
      <c r="N52" s="425">
        <v>49</v>
      </c>
      <c r="O52" s="425">
        <v>49</v>
      </c>
      <c r="P52" s="425">
        <v>49</v>
      </c>
      <c r="Q52" s="425">
        <v>49</v>
      </c>
      <c r="R52" s="425">
        <v>49</v>
      </c>
      <c r="S52" s="425">
        <v>49</v>
      </c>
      <c r="T52" s="425">
        <v>49</v>
      </c>
      <c r="U52" s="425"/>
      <c r="V52" s="426"/>
      <c r="W52" s="426"/>
      <c r="X52" s="160">
        <f t="shared" ref="X52" si="62">+IF(H52="l",IF(COUNTA(M51:W51)=AN53+0.75,AB51-K51*AN53,AB51-(K51*COUNTA(M51:W51))),IF(H52="s",0,IF(COUNTA(M51:W51)=AN53+0.75,SUMIF($C:$C,B51,$AB:$AB)-K51*AN53,SUMIF($C:$C,B51,$AB:$AB)-K51*COUNTA(M51:W51))))</f>
        <v>0.5</v>
      </c>
      <c r="Y52" s="440"/>
      <c r="Z52" s="400"/>
      <c r="AA52" s="541"/>
      <c r="AB52" s="443">
        <f t="shared" ref="AB52:AB53" si="63">+SUM(M52:W52)-T52*0.75</f>
        <v>355.25</v>
      </c>
      <c r="AC52" s="341"/>
      <c r="AD52" s="341"/>
      <c r="AE52" s="440"/>
      <c r="AF52" s="440"/>
      <c r="AG52" s="115"/>
      <c r="AH52" s="116"/>
      <c r="AI52" s="157"/>
      <c r="AJ52" s="161">
        <f t="shared" si="1"/>
        <v>0</v>
      </c>
      <c r="AK52" s="167">
        <f t="shared" si="2"/>
        <v>0</v>
      </c>
      <c r="AL52" s="167"/>
      <c r="AM52" s="230"/>
      <c r="AN52" s="339"/>
      <c r="AO52" s="340">
        <f>+IF(AN53=7.75,SUM(M52:S52)+T52*0.75,IF(AN53=8,SUM(M52:T52),IF(AN53=7.25,SUM(M52:S52)+T52*0.25,IF(AN53=8.25,SUM(M52:T52)+U52*0.25,IF(AN53=8.75,SUM(M52:T52)+U52*0.75,0)))))</f>
        <v>355.25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61" s="98" customFormat="1" ht="62.25" customHeight="1" thickBot="1" x14ac:dyDescent="0.95">
      <c r="B53" s="126">
        <f>B51</f>
        <v>12</v>
      </c>
      <c r="C53" s="375"/>
      <c r="D53" s="174" t="s">
        <v>366</v>
      </c>
      <c r="E53" s="175">
        <f>+E52+100</f>
        <v>112</v>
      </c>
      <c r="F53" s="175"/>
      <c r="G53" s="579" t="str">
        <f>+G50</f>
        <v>2843-709-800</v>
      </c>
      <c r="H53" s="454">
        <f>+AC50-H51</f>
        <v>-654</v>
      </c>
      <c r="I53" s="397" t="s">
        <v>182</v>
      </c>
      <c r="J53" s="165">
        <f>+IF(K53="","",IF(K51=0,"",(K51*J51)/(K53*60)))</f>
        <v>0.89506172839506171</v>
      </c>
      <c r="K53" s="118">
        <v>54</v>
      </c>
      <c r="L53" s="104" t="s">
        <v>19</v>
      </c>
      <c r="M53" s="427">
        <v>1</v>
      </c>
      <c r="N53" s="427">
        <v>1</v>
      </c>
      <c r="O53" s="427">
        <v>1</v>
      </c>
      <c r="P53" s="427">
        <v>1</v>
      </c>
      <c r="Q53" s="427">
        <v>1</v>
      </c>
      <c r="R53" s="427">
        <v>1</v>
      </c>
      <c r="S53" s="427">
        <v>1</v>
      </c>
      <c r="T53" s="427">
        <v>1</v>
      </c>
      <c r="U53" s="427"/>
      <c r="V53" s="428"/>
      <c r="W53" s="428"/>
      <c r="X53" s="173"/>
      <c r="Y53" s="441"/>
      <c r="Z53" s="401">
        <v>20.200641379310341</v>
      </c>
      <c r="AA53" s="401">
        <v>20.200641379310341</v>
      </c>
      <c r="AB53" s="444">
        <f t="shared" si="63"/>
        <v>7.25</v>
      </c>
      <c r="AC53" s="139"/>
      <c r="AD53" s="139"/>
      <c r="AE53" s="441"/>
      <c r="AF53" s="441"/>
      <c r="AG53" s="119">
        <f>+IFERROR(AG51/(K51*$AT$3),"")</f>
        <v>2.3349753694581281</v>
      </c>
      <c r="AH53" s="162"/>
      <c r="AI53" s="161"/>
      <c r="AJ53" s="161">
        <f t="shared" si="1"/>
        <v>0</v>
      </c>
      <c r="AK53" s="167">
        <f t="shared" si="2"/>
        <v>0</v>
      </c>
      <c r="AL53" s="167"/>
      <c r="AM53" s="230"/>
      <c r="AN53" s="342">
        <f>+$AM$4</f>
        <v>7.25</v>
      </c>
      <c r="AO53" s="340">
        <f>+IF(AN53=7.75,SUM(M53:S53)+T53*0.75,IF(AN53=8,SUM(M53:T53),IF(AN53=7.25,SUM(M53:S53)+T53*0.25,IF(AN53=8.25,SUM(M53:T53)+U53*0.25,IF(AN53=8.75,SUM(M53:T53)+U53*0.75,0)))))</f>
        <v>7.25</v>
      </c>
      <c r="AP53" s="167">
        <f>+AO53-AB53</f>
        <v>0</v>
      </c>
      <c r="AQ53" s="167"/>
      <c r="AR53" s="167"/>
      <c r="AS53" s="167"/>
      <c r="AT53" s="435"/>
      <c r="AU53" s="393"/>
      <c r="AW53" s="356">
        <v>3.1645320197044335</v>
      </c>
      <c r="AY53" s="356"/>
    </row>
    <row r="54" spans="2:61" s="98" customFormat="1" ht="62.25" customHeight="1" thickTop="1" x14ac:dyDescent="0.9">
      <c r="B54" s="97">
        <f>+B55</f>
        <v>13</v>
      </c>
      <c r="C54" s="370"/>
      <c r="D54" s="106"/>
      <c r="E54" s="106"/>
      <c r="F54" s="106"/>
      <c r="G54" s="577" t="s">
        <v>442</v>
      </c>
      <c r="H54" s="106"/>
      <c r="I54" s="106"/>
      <c r="J54" s="107" t="s">
        <v>20</v>
      </c>
      <c r="K54" s="108" t="s">
        <v>23</v>
      </c>
      <c r="L54" s="100" t="s">
        <v>21</v>
      </c>
      <c r="M54" s="423">
        <v>50</v>
      </c>
      <c r="N54" s="423">
        <v>100</v>
      </c>
      <c r="O54" s="423">
        <v>50</v>
      </c>
      <c r="P54" s="423"/>
      <c r="Q54" s="423"/>
      <c r="R54" s="423"/>
      <c r="S54" s="423"/>
      <c r="T54" s="423"/>
      <c r="U54" s="423"/>
      <c r="V54" s="423"/>
      <c r="W54" s="423"/>
      <c r="X54" s="135" t="str">
        <f t="shared" ref="X54" si="64">IF(AT55="","",SUM(M54:W54)-(-(AT55-SUM(M54:W54))/$AT$3)*SUM($M$2:$W$2))</f>
        <v/>
      </c>
      <c r="Y54" s="438"/>
      <c r="Z54" s="400">
        <v>-109.75</v>
      </c>
      <c r="AA54" s="540">
        <f>+X56</f>
        <v>-65.75</v>
      </c>
      <c r="AB54" s="135">
        <f t="shared" si="0"/>
        <v>200</v>
      </c>
      <c r="AC54" s="136">
        <f>+AD54+AB54</f>
        <v>1900</v>
      </c>
      <c r="AD54" s="136">
        <v>1700</v>
      </c>
      <c r="AE54" s="438"/>
      <c r="AF54" s="438"/>
      <c r="AG54" s="109"/>
      <c r="AH54" s="110"/>
      <c r="AI54" s="157"/>
      <c r="AJ54" s="161">
        <f t="shared" si="1"/>
        <v>0</v>
      </c>
      <c r="AK54" s="167">
        <f t="shared" si="2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61" s="98" customFormat="1" ht="62.25" customHeight="1" x14ac:dyDescent="0.9">
      <c r="B55" s="132">
        <v>13</v>
      </c>
      <c r="C55" s="371">
        <f>+B55</f>
        <v>13</v>
      </c>
      <c r="D55" s="372" t="s">
        <v>441</v>
      </c>
      <c r="E55" s="111"/>
      <c r="F55" s="111" t="s">
        <v>35</v>
      </c>
      <c r="G55" s="578" t="str">
        <f>+G54</f>
        <v>7741-793-052</v>
      </c>
      <c r="H55" s="450">
        <v>8500</v>
      </c>
      <c r="I55" s="111" t="s">
        <v>33</v>
      </c>
      <c r="J55" s="113">
        <v>55.14</v>
      </c>
      <c r="K55" s="130">
        <v>43</v>
      </c>
      <c r="L55" s="101" t="s">
        <v>17</v>
      </c>
      <c r="M55" s="214">
        <v>26</v>
      </c>
      <c r="N55" s="214">
        <v>30</v>
      </c>
      <c r="O55" s="214">
        <v>35</v>
      </c>
      <c r="P55" s="214">
        <v>35</v>
      </c>
      <c r="Q55" s="214">
        <v>35</v>
      </c>
      <c r="R55" s="214">
        <v>35</v>
      </c>
      <c r="S55" s="214">
        <v>35</v>
      </c>
      <c r="T55" s="214">
        <v>15</v>
      </c>
      <c r="U55" s="214"/>
      <c r="V55" s="214"/>
      <c r="W55" s="424"/>
      <c r="X55" s="123">
        <f t="shared" ref="X55" si="65">+IF(H56="s",0,IF(AB55=0,0,IF(COUNTA(M55:W55)=AN57+0.75,SUMIF($C:$C,B55,$AB:$AB)/AN57,SUMIF($C:$C,B55,$AB:$AB)/(COUNTA(M55:W55)))))</f>
        <v>33.931034482758619</v>
      </c>
      <c r="Y55" s="439"/>
      <c r="Z55" s="400"/>
      <c r="AA55" s="541"/>
      <c r="AB55" s="134">
        <f t="shared" si="0"/>
        <v>246</v>
      </c>
      <c r="AC55" s="137">
        <f>+AB55+AD55</f>
        <v>551</v>
      </c>
      <c r="AD55" s="137">
        <v>305</v>
      </c>
      <c r="AE55" s="439"/>
      <c r="AF55" s="439">
        <f>+AE55+Y55</f>
        <v>0</v>
      </c>
      <c r="AG55" s="140">
        <f>+AC54-AC55</f>
        <v>1349</v>
      </c>
      <c r="AH55" s="131">
        <f>+IF(((AB56+(AB57/2))*60)=0,"",(J55*AB55)/((AB56+(AB57/2))*60))</f>
        <v>0.67059399332591774</v>
      </c>
      <c r="AI55" s="161">
        <f>+AB56+AB57/2</f>
        <v>337.125</v>
      </c>
      <c r="AJ55" s="161">
        <f t="shared" si="1"/>
        <v>337.07499999999999</v>
      </c>
      <c r="AK55" s="167">
        <f t="shared" si="2"/>
        <v>20227.5</v>
      </c>
      <c r="AL55" s="167">
        <f>+AB55*J55</f>
        <v>13564.44</v>
      </c>
      <c r="AM55" s="230">
        <f>+AB55-(AI55*K55/K57)</f>
        <v>-69.138586956521749</v>
      </c>
      <c r="AN55" s="339"/>
      <c r="AO55" s="340"/>
      <c r="AP55" s="167"/>
      <c r="AQ55" s="167"/>
      <c r="AR55" s="167"/>
      <c r="AS55" s="167"/>
      <c r="AT55" s="433"/>
      <c r="AU55" s="393">
        <v>2</v>
      </c>
      <c r="AW55" s="356">
        <v>1395</v>
      </c>
      <c r="AY55" s="356">
        <f t="shared" ref="AY55" si="66">+AW55-AG55</f>
        <v>46</v>
      </c>
    </row>
    <row r="56" spans="2:61" s="98" customFormat="1" ht="62.25" customHeight="1" x14ac:dyDescent="0.9">
      <c r="B56" s="125">
        <f>+B55</f>
        <v>13</v>
      </c>
      <c r="C56" s="373"/>
      <c r="D56" s="184"/>
      <c r="E56" s="111">
        <f>+B55</f>
        <v>13</v>
      </c>
      <c r="F56" s="374"/>
      <c r="G56" s="578" t="str">
        <f>+G55</f>
        <v>7741-793-052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46</v>
      </c>
      <c r="N56" s="425">
        <v>46</v>
      </c>
      <c r="O56" s="425">
        <v>46</v>
      </c>
      <c r="P56" s="425">
        <v>46</v>
      </c>
      <c r="Q56" s="425">
        <v>46</v>
      </c>
      <c r="R56" s="425">
        <v>46</v>
      </c>
      <c r="S56" s="425">
        <v>46</v>
      </c>
      <c r="T56" s="425">
        <v>46</v>
      </c>
      <c r="U56" s="425"/>
      <c r="V56" s="425"/>
      <c r="W56" s="426"/>
      <c r="X56" s="160">
        <f t="shared" ref="X56" si="67">+IF(H56="l",IF(COUNTA(M55:W55)=AN57+0.75,AB55-K55*AN57,AB55-(K55*COUNTA(M55:W55))),IF(H56="s",0,IF(COUNTA(M55:W55)=AN57+0.75,SUMIF($C:$C,B55,$AB:$AB)-K55*AN57,SUMIF($C:$C,B55,$AB:$AB)-K55*COUNTA(M55:W55))))</f>
        <v>-65.75</v>
      </c>
      <c r="Y56" s="440"/>
      <c r="Z56" s="400"/>
      <c r="AA56" s="541"/>
      <c r="AB56" s="443">
        <f t="shared" ref="AB56:AB57" si="68">+SUM(M56:W56)-T56*0.75</f>
        <v>333.5</v>
      </c>
      <c r="AC56" s="341"/>
      <c r="AD56" s="341"/>
      <c r="AE56" s="440"/>
      <c r="AF56" s="440"/>
      <c r="AG56" s="115"/>
      <c r="AH56" s="116"/>
      <c r="AI56" s="157"/>
      <c r="AJ56" s="161">
        <f t="shared" si="1"/>
        <v>0</v>
      </c>
      <c r="AK56" s="167">
        <f t="shared" si="2"/>
        <v>0</v>
      </c>
      <c r="AL56" s="167"/>
      <c r="AM56" s="167"/>
      <c r="AN56" s="339"/>
      <c r="AO56" s="340">
        <f>+IF(AN57=7.75,SUM(M56:S56)+T56*0.75,IF(AN57=8,SUM(M56:T56),IF(AN57=7.25,SUM(M56:S56)+T56*0.25,IF(AN57=8.25,SUM(M56:T56)+U56*0.25,IF(AN57=8.75,SUM(M56:T56)+U56*0.75,0)))))</f>
        <v>333.5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61" s="98" customFormat="1" ht="62.25" customHeight="1" thickBot="1" x14ac:dyDescent="0.95">
      <c r="B57" s="126">
        <f>+B55</f>
        <v>13</v>
      </c>
      <c r="C57" s="375"/>
      <c r="D57" s="174" t="s">
        <v>468</v>
      </c>
      <c r="E57" s="175">
        <f>+E56+100</f>
        <v>113</v>
      </c>
      <c r="F57" s="175"/>
      <c r="G57" s="579" t="str">
        <f>+G56</f>
        <v>7741-793-052</v>
      </c>
      <c r="H57" s="454">
        <f>+AC54-H55</f>
        <v>-6600</v>
      </c>
      <c r="I57" s="397"/>
      <c r="J57" s="165">
        <f>+IF(K57="","",IF(K55=0,"",(K55*J55)/(K57*60)))</f>
        <v>0.85906521739130437</v>
      </c>
      <c r="K57" s="429">
        <v>46</v>
      </c>
      <c r="L57" s="104" t="s">
        <v>19</v>
      </c>
      <c r="M57" s="427">
        <v>1</v>
      </c>
      <c r="N57" s="427">
        <v>1</v>
      </c>
      <c r="O57" s="427">
        <v>1</v>
      </c>
      <c r="P57" s="427">
        <v>1</v>
      </c>
      <c r="Q57" s="427">
        <v>1</v>
      </c>
      <c r="R57" s="427">
        <v>1</v>
      </c>
      <c r="S57" s="427">
        <v>1</v>
      </c>
      <c r="T57" s="427">
        <v>1</v>
      </c>
      <c r="U57" s="427"/>
      <c r="V57" s="427"/>
      <c r="W57" s="428"/>
      <c r="X57" s="173"/>
      <c r="Y57" s="441"/>
      <c r="Z57" s="448">
        <v>28.806877755308392</v>
      </c>
      <c r="AA57" s="168">
        <f>+IF(COUNTA(M55:W55)=$AM$4+0.25,$AM$4-(AB55/K55),COUNTA(M55:W55)-(AB55/K55))+Z57</f>
        <v>31.085947522750253</v>
      </c>
      <c r="AB57" s="444">
        <f t="shared" si="68"/>
        <v>7.25</v>
      </c>
      <c r="AC57" s="139"/>
      <c r="AD57" s="139"/>
      <c r="AE57" s="441"/>
      <c r="AF57" s="441"/>
      <c r="AG57" s="119">
        <f>+IFERROR(AG55/(K55*$AT$3),"")</f>
        <v>3.5853820598006645</v>
      </c>
      <c r="AH57" s="162"/>
      <c r="AI57" s="161"/>
      <c r="AJ57" s="161">
        <f t="shared" si="1"/>
        <v>0</v>
      </c>
      <c r="AK57" s="167">
        <f t="shared" si="2"/>
        <v>0</v>
      </c>
      <c r="AL57" s="167"/>
      <c r="AM57" s="230"/>
      <c r="AN57" s="342">
        <f>+$AM$4</f>
        <v>7.25</v>
      </c>
      <c r="AO57" s="340">
        <f>+IF(AN57=7.75,SUM(M57:S57)+T57*0.75,IF(AN57=8,SUM(M57:T57),IF(AN57=7.25,SUM(M57:S57)+T57*0.25,IF(AN57=8.25,SUM(M57:T57)+U57*0.25,IF(AN57=8.75,SUM(M57:T57)+U57*0.75,0)))))</f>
        <v>7.25</v>
      </c>
      <c r="AP57" s="167">
        <f>+AO57-AB57</f>
        <v>0</v>
      </c>
      <c r="AQ57" s="167"/>
      <c r="AR57" s="167"/>
      <c r="AS57" s="167"/>
      <c r="AT57" s="435"/>
      <c r="AU57" s="393"/>
      <c r="AW57" s="356">
        <v>3.7076411960132889</v>
      </c>
      <c r="AY57" s="356"/>
    </row>
    <row r="58" spans="2:61" s="98" customFormat="1" ht="58.5" customHeight="1" thickTop="1" x14ac:dyDescent="0.9">
      <c r="B58" s="127">
        <f>+B59</f>
        <v>14</v>
      </c>
      <c r="C58" s="370"/>
      <c r="D58" s="106"/>
      <c r="E58" s="106"/>
      <c r="F58" s="106"/>
      <c r="G58" s="577" t="s">
        <v>456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120</v>
      </c>
      <c r="N58" s="423">
        <v>124</v>
      </c>
      <c r="O58" s="423">
        <v>120</v>
      </c>
      <c r="P58" s="423">
        <v>180</v>
      </c>
      <c r="Q58" s="423">
        <v>180</v>
      </c>
      <c r="R58" s="423"/>
      <c r="S58" s="423"/>
      <c r="T58" s="423"/>
      <c r="U58" s="423"/>
      <c r="V58" s="423"/>
      <c r="W58" s="423"/>
      <c r="X58" s="135">
        <f t="shared" ref="X58" si="69">IF(AT59="","",SUM(M58:W58)-(-(AT59-SUM(M58:W58))/$AT$3)*SUM($M$2:$W$2))</f>
        <v>724</v>
      </c>
      <c r="Y58" s="438"/>
      <c r="Z58" s="400">
        <v>42</v>
      </c>
      <c r="AA58" s="540">
        <f>+X60</f>
        <v>37</v>
      </c>
      <c r="AB58" s="135">
        <f t="shared" si="0"/>
        <v>724</v>
      </c>
      <c r="AC58" s="136">
        <f>+AD58+AB58</f>
        <v>5942</v>
      </c>
      <c r="AD58" s="136">
        <v>5218</v>
      </c>
      <c r="AE58" s="438"/>
      <c r="AF58" s="438"/>
      <c r="AG58" s="109"/>
      <c r="AH58" s="110"/>
      <c r="AI58" s="157"/>
      <c r="AJ58" s="161">
        <f t="shared" si="1"/>
        <v>0</v>
      </c>
      <c r="AK58" s="167">
        <f t="shared" si="2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61" s="98" customFormat="1" ht="58.5" customHeight="1" x14ac:dyDescent="0.9">
      <c r="B59" s="133">
        <v>14</v>
      </c>
      <c r="C59" s="371">
        <f>+B59</f>
        <v>14</v>
      </c>
      <c r="D59" s="372" t="s">
        <v>461</v>
      </c>
      <c r="E59" s="111"/>
      <c r="F59" s="111" t="s">
        <v>447</v>
      </c>
      <c r="G59" s="578" t="str">
        <f t="shared" ref="G59:G61" si="70">+G58</f>
        <v>DOT KEYHOLE</v>
      </c>
      <c r="H59" s="450">
        <v>6262</v>
      </c>
      <c r="I59" s="111" t="s">
        <v>252</v>
      </c>
      <c r="J59" s="113">
        <v>36.090000000000003</v>
      </c>
      <c r="K59" s="130">
        <v>80</v>
      </c>
      <c r="L59" s="101" t="s">
        <v>17</v>
      </c>
      <c r="M59" s="214">
        <v>85</v>
      </c>
      <c r="N59" s="214">
        <v>85</v>
      </c>
      <c r="O59" s="214">
        <v>85</v>
      </c>
      <c r="P59" s="214">
        <v>85</v>
      </c>
      <c r="Q59" s="214">
        <v>85</v>
      </c>
      <c r="R59" s="214">
        <v>85</v>
      </c>
      <c r="S59" s="214">
        <v>85</v>
      </c>
      <c r="T59" s="214">
        <v>22</v>
      </c>
      <c r="U59" s="214"/>
      <c r="V59" s="214"/>
      <c r="W59" s="214"/>
      <c r="X59" s="123">
        <f t="shared" ref="X59" si="71">+IF(H60="s",0,IF(AB59=0,0,IF(COUNTA(M59:W59)=AN61+0.75,SUMIF($C:$C,B59,$AB:$AB)/AN61,SUMIF($C:$C,B59,$AB:$AB)/(COUNTA(M59:W59)))))</f>
        <v>85.103448275862064</v>
      </c>
      <c r="Y59" s="439"/>
      <c r="Z59" s="400"/>
      <c r="AA59" s="541"/>
      <c r="AB59" s="134">
        <f t="shared" si="0"/>
        <v>617</v>
      </c>
      <c r="AC59" s="137">
        <f>+AB59+AD59</f>
        <v>4481</v>
      </c>
      <c r="AD59" s="137">
        <v>3864</v>
      </c>
      <c r="AE59" s="439"/>
      <c r="AF59" s="439">
        <f>+AE59+Y59</f>
        <v>0</v>
      </c>
      <c r="AG59" s="140">
        <f>+AC58-AC59</f>
        <v>1461</v>
      </c>
      <c r="AH59" s="131">
        <f>+IF(((AB60+(AB61/2))*60)=0,"",(J59*AB59)/((AB60+(AB61/2))*60))</f>
        <v>0.86033149811648812</v>
      </c>
      <c r="AI59" s="161">
        <f>+AB60+AB61/2</f>
        <v>431.375</v>
      </c>
      <c r="AJ59" s="161">
        <f t="shared" si="1"/>
        <v>431.22500000000002</v>
      </c>
      <c r="AK59" s="167">
        <f t="shared" si="2"/>
        <v>25882.5</v>
      </c>
      <c r="AL59" s="167">
        <f>+AB59*J59</f>
        <v>22267.530000000002</v>
      </c>
      <c r="AM59" s="230">
        <f>+AB59-(AI59*K59/K61)</f>
        <v>0.75</v>
      </c>
      <c r="AN59" s="339"/>
      <c r="AO59" s="340"/>
      <c r="AP59" s="167"/>
      <c r="AQ59" s="167"/>
      <c r="AR59" s="167"/>
      <c r="AS59" s="167"/>
      <c r="AT59" s="433">
        <f t="shared" ref="AT59" si="72">IF(AU59=0,"",AW59-(($AT$3*K59)+($AT$3*K59)*AU59)+AB58)</f>
        <v>48</v>
      </c>
      <c r="AU59" s="393">
        <v>1.9</v>
      </c>
      <c r="AW59" s="356">
        <v>1354</v>
      </c>
      <c r="AY59" s="356">
        <f t="shared" ref="AY59" si="73">+AW59-AG59</f>
        <v>-107</v>
      </c>
    </row>
    <row r="60" spans="2:61" s="98" customFormat="1" ht="58.5" customHeight="1" x14ac:dyDescent="0.9">
      <c r="B60" s="125">
        <f>+B59</f>
        <v>14</v>
      </c>
      <c r="C60" s="373"/>
      <c r="D60" s="184"/>
      <c r="E60" s="111">
        <f>+B59</f>
        <v>14</v>
      </c>
      <c r="F60" s="374"/>
      <c r="G60" s="578" t="str">
        <f t="shared" si="70"/>
        <v>DOT KEYHOLE</v>
      </c>
      <c r="H60" s="376"/>
      <c r="I60" s="113">
        <f>+IFERROR(IF(K61=0,0,IF((LOOKUP(2,1/(M60:W60&lt;&gt;""),M60:W60)-K61)&lt;0,0,IF(K61=0,"",LOOKUP(2,1/(M60:W60&lt;&gt;""),M60:W60)-K61))),0)</f>
        <v>3</v>
      </c>
      <c r="J60" s="113"/>
      <c r="K60" s="114" t="s">
        <v>22</v>
      </c>
      <c r="L60" s="102" t="s">
        <v>18</v>
      </c>
      <c r="M60" s="425">
        <v>59</v>
      </c>
      <c r="N60" s="425">
        <v>59</v>
      </c>
      <c r="O60" s="425">
        <v>59</v>
      </c>
      <c r="P60" s="425">
        <v>59</v>
      </c>
      <c r="Q60" s="425">
        <v>59</v>
      </c>
      <c r="R60" s="425">
        <v>59</v>
      </c>
      <c r="S60" s="425">
        <v>59</v>
      </c>
      <c r="T60" s="425">
        <v>59</v>
      </c>
      <c r="U60" s="425"/>
      <c r="V60" s="425"/>
      <c r="W60" s="425"/>
      <c r="X60" s="160">
        <f t="shared" ref="X60" si="74">+IF(H60="l",IF(COUNTA(M59:W59)=AN61+0.75,AB59-K59*AN61,AB59-(K59*COUNTA(M59:W59))),IF(H60="s",0,IF(COUNTA(M59:W59)=AN61+0.75,SUMIF($C:$C,B59,$AB:$AB)-K59*AN61,SUMIF($C:$C,B59,$AB:$AB)-K59*COUNTA(M59:W59))))</f>
        <v>37</v>
      </c>
      <c r="Y60" s="440"/>
      <c r="Z60" s="400"/>
      <c r="AA60" s="541"/>
      <c r="AB60" s="443">
        <f t="shared" ref="AB60:AB61" si="75">+SUM(M60:W60)-T60*0.75</f>
        <v>427.75</v>
      </c>
      <c r="AC60" s="341"/>
      <c r="AD60" s="341"/>
      <c r="AE60" s="440"/>
      <c r="AF60" s="440"/>
      <c r="AG60" s="115"/>
      <c r="AH60" s="116"/>
      <c r="AI60" s="157"/>
      <c r="AJ60" s="161">
        <f t="shared" si="1"/>
        <v>0</v>
      </c>
      <c r="AK60" s="167">
        <f t="shared" si="2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427.75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61" s="98" customFormat="1" ht="58.5" customHeight="1" thickBot="1" x14ac:dyDescent="0.95">
      <c r="B61" s="126">
        <f>+B59</f>
        <v>14</v>
      </c>
      <c r="C61" s="375"/>
      <c r="D61" s="174" t="s">
        <v>112</v>
      </c>
      <c r="E61" s="175">
        <f>+E60+100</f>
        <v>114</v>
      </c>
      <c r="F61" s="175"/>
      <c r="G61" s="579" t="str">
        <f t="shared" si="70"/>
        <v>DOT KEYHOLE</v>
      </c>
      <c r="H61" s="454">
        <f>+AC58-H59</f>
        <v>-320</v>
      </c>
      <c r="I61" s="397"/>
      <c r="J61" s="165">
        <f>+IF(K61="","",IF(K59=0,"",(K59*J59)/(K61*60)))</f>
        <v>0.85928571428571432</v>
      </c>
      <c r="K61" s="118">
        <v>56</v>
      </c>
      <c r="L61" s="104" t="s">
        <v>19</v>
      </c>
      <c r="M61" s="427">
        <v>1</v>
      </c>
      <c r="N61" s="427">
        <v>1</v>
      </c>
      <c r="O61" s="427">
        <v>1</v>
      </c>
      <c r="P61" s="427">
        <v>1</v>
      </c>
      <c r="Q61" s="427">
        <v>1</v>
      </c>
      <c r="R61" s="427">
        <v>1</v>
      </c>
      <c r="S61" s="427">
        <v>1</v>
      </c>
      <c r="T61" s="427">
        <v>1</v>
      </c>
      <c r="U61" s="427"/>
      <c r="V61" s="427"/>
      <c r="W61" s="427"/>
      <c r="X61" s="173"/>
      <c r="Y61" s="441"/>
      <c r="Z61" s="401">
        <v>41.23</v>
      </c>
      <c r="AA61" s="401">
        <v>41.23</v>
      </c>
      <c r="AB61" s="444">
        <f t="shared" si="75"/>
        <v>7.25</v>
      </c>
      <c r="AC61" s="139"/>
      <c r="AD61" s="139"/>
      <c r="AE61" s="441"/>
      <c r="AF61" s="441"/>
      <c r="AG61" s="119">
        <f>+IFERROR(AG59/(K59*$AT$3),"")</f>
        <v>2.0871428571428572</v>
      </c>
      <c r="AH61" s="162"/>
      <c r="AI61" s="161"/>
      <c r="AJ61" s="161">
        <f t="shared" si="1"/>
        <v>0</v>
      </c>
      <c r="AK61" s="167">
        <f t="shared" si="2"/>
        <v>0</v>
      </c>
      <c r="AL61" s="167"/>
      <c r="AM61" s="230"/>
      <c r="AN61" s="342">
        <f>+$AM$4</f>
        <v>7.25</v>
      </c>
      <c r="AO61" s="340">
        <f>+IF(AN61=7.75,SUM(M61:S61)+T61*0.75,IF(AN61=8,SUM(M61:T61),IF(AN61=7.25,SUM(M61:S61)+T61*0.25,IF(AN61=8.25,SUM(M61:T61)+U61*0.25,IF(AN61=8.75,SUM(M61:T61)+U61*0.75,0)))))</f>
        <v>7.25</v>
      </c>
      <c r="AP61" s="167">
        <f>+AO61-AB61</f>
        <v>0</v>
      </c>
      <c r="AQ61" s="167"/>
      <c r="AR61" s="167"/>
      <c r="AS61" s="167"/>
      <c r="AT61" s="435"/>
      <c r="AU61" s="393"/>
      <c r="AW61" s="356">
        <v>1.9342857142857144</v>
      </c>
      <c r="AY61" s="356"/>
    </row>
    <row r="62" spans="2:61" s="98" customFormat="1" ht="62.25" customHeight="1" thickTop="1" x14ac:dyDescent="0.9">
      <c r="B62" s="97">
        <f>+B63</f>
        <v>15</v>
      </c>
      <c r="C62" s="370"/>
      <c r="D62" s="106"/>
      <c r="E62" s="106"/>
      <c r="F62" s="106"/>
      <c r="G62" s="577" t="s">
        <v>440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75</v>
      </c>
      <c r="N62" s="423">
        <v>75</v>
      </c>
      <c r="O62" s="423">
        <v>75</v>
      </c>
      <c r="P62" s="423"/>
      <c r="Q62" s="423"/>
      <c r="R62" s="423"/>
      <c r="S62" s="423"/>
      <c r="T62" s="423"/>
      <c r="U62" s="423"/>
      <c r="V62" s="423"/>
      <c r="W62" s="423"/>
      <c r="X62" s="135">
        <f t="shared" ref="X62" si="76">IF(AT63="","",SUM(M62:W62)-(-(AT63-SUM(M62:W62))/$AT$3)*SUM($M$2:$W$2))</f>
        <v>225</v>
      </c>
      <c r="Y62" s="438"/>
      <c r="Z62" s="400">
        <v>0</v>
      </c>
      <c r="AA62" s="540">
        <f>+X64</f>
        <v>0</v>
      </c>
      <c r="AB62" s="135">
        <f t="shared" si="0"/>
        <v>225</v>
      </c>
      <c r="AC62" s="136">
        <f>+AD62+AB62</f>
        <v>3301</v>
      </c>
      <c r="AD62" s="136">
        <v>3076</v>
      </c>
      <c r="AE62" s="438"/>
      <c r="AF62" s="438"/>
      <c r="AG62" s="109"/>
      <c r="AH62" s="110"/>
      <c r="AI62" s="157"/>
      <c r="AJ62" s="161">
        <f t="shared" si="1"/>
        <v>0</v>
      </c>
      <c r="AK62" s="167">
        <f t="shared" si="2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61" s="98" customFormat="1" ht="62.25" customHeight="1" x14ac:dyDescent="1.35">
      <c r="B63" s="132">
        <v>15</v>
      </c>
      <c r="C63" s="371">
        <f>+B63</f>
        <v>15</v>
      </c>
      <c r="D63" s="372" t="s">
        <v>439</v>
      </c>
      <c r="E63" s="111"/>
      <c r="F63" s="111" t="s">
        <v>35</v>
      </c>
      <c r="G63" s="578" t="str">
        <f>+G62</f>
        <v>7740-876-052</v>
      </c>
      <c r="H63" s="450">
        <v>7700</v>
      </c>
      <c r="I63" s="111" t="s">
        <v>33</v>
      </c>
      <c r="J63" s="113">
        <v>55.78</v>
      </c>
      <c r="K63" s="130">
        <v>52</v>
      </c>
      <c r="L63" s="101" t="s">
        <v>17</v>
      </c>
      <c r="M63" s="214">
        <v>52</v>
      </c>
      <c r="N63" s="214">
        <v>52</v>
      </c>
      <c r="O63" s="214">
        <v>52</v>
      </c>
      <c r="P63" s="214">
        <v>52</v>
      </c>
      <c r="Q63" s="214">
        <v>52</v>
      </c>
      <c r="R63" s="214">
        <v>52</v>
      </c>
      <c r="S63" s="214">
        <v>52</v>
      </c>
      <c r="T63" s="214">
        <v>13</v>
      </c>
      <c r="U63" s="214"/>
      <c r="V63" s="424"/>
      <c r="W63" s="424"/>
      <c r="X63" s="123">
        <f t="shared" ref="X63" si="77">+IF(H64="s",0,IF(AB63=0,0,IF(COUNTA(M63:W63)=AN65+0.75,SUMIF($C:$C,B63,$AB:$AB)/AN65,SUMIF($C:$C,B63,$AB:$AB)/(COUNTA(M63:W63)))))</f>
        <v>52</v>
      </c>
      <c r="Y63" s="439"/>
      <c r="Z63" s="400"/>
      <c r="AA63" s="541"/>
      <c r="AB63" s="134">
        <f t="shared" si="0"/>
        <v>377</v>
      </c>
      <c r="AC63" s="137">
        <f>+AB63+AD63</f>
        <v>2264</v>
      </c>
      <c r="AD63" s="137">
        <v>1887</v>
      </c>
      <c r="AE63" s="439">
        <v>0</v>
      </c>
      <c r="AF63" s="439">
        <f>+AE63+Y63</f>
        <v>0</v>
      </c>
      <c r="AG63" s="140">
        <f>+AC62-AC63</f>
        <v>1037</v>
      </c>
      <c r="AH63" s="131">
        <f>+IF(((AB64+(AB65/2))*60)=0,"",(J63*AB63)/((AB64+(AB65/2))*60))</f>
        <v>0.92232719298245625</v>
      </c>
      <c r="AI63" s="161">
        <f>+AB64+AB65/2</f>
        <v>380</v>
      </c>
      <c r="AJ63" s="161">
        <f t="shared" si="1"/>
        <v>380</v>
      </c>
      <c r="AK63" s="167">
        <f t="shared" si="2"/>
        <v>22800</v>
      </c>
      <c r="AL63" s="167">
        <f>+AB63*J63</f>
        <v>21029.06</v>
      </c>
      <c r="AM63" s="230">
        <f>+AB63-(AI63*K63/K65)</f>
        <v>24.142857142857167</v>
      </c>
      <c r="AN63" s="339"/>
      <c r="AO63" s="340"/>
      <c r="AP63" s="167"/>
      <c r="AQ63" s="167"/>
      <c r="AR63" s="167"/>
      <c r="AS63" s="167"/>
      <c r="AT63" s="433">
        <f t="shared" ref="AT63" si="78">IF(AU63=0,"",AW63-(($AT$3*K63)+($AT$3*K63)*AU63)+AB62)</f>
        <v>49</v>
      </c>
      <c r="AU63" s="393">
        <v>2</v>
      </c>
      <c r="AW63" s="356">
        <v>1189</v>
      </c>
      <c r="AY63" s="356">
        <f t="shared" ref="AY63" si="79">+AW63-AG63</f>
        <v>152</v>
      </c>
      <c r="AZ63" s="581"/>
      <c r="BA63" s="581"/>
      <c r="BB63" s="581"/>
      <c r="BC63" s="581"/>
      <c r="BD63" s="581"/>
      <c r="BE63" s="581"/>
      <c r="BF63" s="581"/>
      <c r="BG63" s="581"/>
      <c r="BH63" s="581"/>
      <c r="BI63" s="581"/>
    </row>
    <row r="64" spans="2:61" s="98" customFormat="1" ht="62.25" customHeight="1" x14ac:dyDescent="0.9">
      <c r="B64" s="125">
        <f>+B63</f>
        <v>15</v>
      </c>
      <c r="C64" s="373"/>
      <c r="D64" s="184"/>
      <c r="E64" s="111">
        <f>+B63</f>
        <v>15</v>
      </c>
      <c r="F64" s="377"/>
      <c r="G64" s="578" t="str">
        <f>+G63</f>
        <v>7740-876-052</v>
      </c>
      <c r="H64" s="376" t="s">
        <v>399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>
        <v>52</v>
      </c>
      <c r="N64" s="425">
        <v>52</v>
      </c>
      <c r="O64" s="425">
        <v>52</v>
      </c>
      <c r="P64" s="425">
        <v>51</v>
      </c>
      <c r="Q64" s="425">
        <v>51</v>
      </c>
      <c r="R64" s="425">
        <v>51</v>
      </c>
      <c r="S64" s="425">
        <v>51</v>
      </c>
      <c r="T64" s="425">
        <v>51</v>
      </c>
      <c r="U64" s="425"/>
      <c r="V64" s="426"/>
      <c r="W64" s="426"/>
      <c r="X64" s="160">
        <f t="shared" ref="X64" si="80">+IF(H64="l",IF(COUNTA(M63:W63)=AN65+0.75,AB63-K63*AN65,AB63-(K63*COUNTA(M63:W63))),IF(H64="s",0,IF(COUNTA(M63:W63)=AN65+0.75,SUMIF($C:$C,B63,$AB:$AB)-K63*AN65,SUMIF($C:$C,B63,$AB:$AB)-K63*COUNTA(M63:W63))))</f>
        <v>0</v>
      </c>
      <c r="Y64" s="440"/>
      <c r="Z64" s="400"/>
      <c r="AA64" s="541"/>
      <c r="AB64" s="443">
        <f t="shared" ref="AB64:AB65" si="81">+SUM(M64:W64)-T64*0.75</f>
        <v>372.75</v>
      </c>
      <c r="AC64" s="341"/>
      <c r="AD64" s="341"/>
      <c r="AE64" s="440"/>
      <c r="AF64" s="440"/>
      <c r="AG64" s="115"/>
      <c r="AH64" s="116"/>
      <c r="AI64" s="157"/>
      <c r="AJ64" s="161">
        <f t="shared" si="1"/>
        <v>0</v>
      </c>
      <c r="AK64" s="167">
        <f t="shared" si="2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372.75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62.25" customHeight="1" thickBot="1" x14ac:dyDescent="0.95">
      <c r="B65" s="126">
        <f>+B63</f>
        <v>15</v>
      </c>
      <c r="C65" s="375"/>
      <c r="D65" s="174" t="s">
        <v>93</v>
      </c>
      <c r="E65" s="175">
        <f>+E64+100</f>
        <v>115</v>
      </c>
      <c r="F65" s="175"/>
      <c r="G65" s="579" t="str">
        <f>+G64</f>
        <v>7740-876-052</v>
      </c>
      <c r="H65" s="454">
        <f>+AC62-H63</f>
        <v>-4399</v>
      </c>
      <c r="I65" s="397"/>
      <c r="J65" s="165">
        <f>+IF(K65="","",IF(K63=0,"",(K63*J63)/(K65*60)))</f>
        <v>0.86326190476190479</v>
      </c>
      <c r="K65" s="118">
        <v>56</v>
      </c>
      <c r="L65" s="104" t="s">
        <v>19</v>
      </c>
      <c r="M65" s="427">
        <v>2</v>
      </c>
      <c r="N65" s="427">
        <v>2</v>
      </c>
      <c r="O65" s="427">
        <v>2</v>
      </c>
      <c r="P65" s="427">
        <v>2</v>
      </c>
      <c r="Q65" s="427">
        <v>2</v>
      </c>
      <c r="R65" s="427">
        <v>2</v>
      </c>
      <c r="S65" s="427">
        <v>2</v>
      </c>
      <c r="T65" s="427">
        <v>2</v>
      </c>
      <c r="U65" s="427"/>
      <c r="V65" s="428"/>
      <c r="W65" s="428"/>
      <c r="X65" s="173"/>
      <c r="Y65" s="441"/>
      <c r="Z65" s="401">
        <v>11.961538461538462</v>
      </c>
      <c r="AA65" s="448">
        <v>11.961538461538462</v>
      </c>
      <c r="AB65" s="444">
        <f t="shared" si="81"/>
        <v>14.5</v>
      </c>
      <c r="AC65" s="139"/>
      <c r="AD65" s="139"/>
      <c r="AE65" s="441"/>
      <c r="AF65" s="441"/>
      <c r="AG65" s="119">
        <f>+IFERROR(AG63/(K63*$AT$3),"")</f>
        <v>2.279120879120879</v>
      </c>
      <c r="AH65" s="162"/>
      <c r="AI65" s="161"/>
      <c r="AJ65" s="161">
        <f t="shared" si="1"/>
        <v>0</v>
      </c>
      <c r="AK65" s="167">
        <f t="shared" si="2"/>
        <v>0</v>
      </c>
      <c r="AL65" s="167"/>
      <c r="AM65" s="230"/>
      <c r="AN65" s="342">
        <f>+$AM$4</f>
        <v>7.25</v>
      </c>
      <c r="AO65" s="340">
        <f>+IF(AN65=7.75,SUM(M65:S65)+T65*0.75,IF(AN65=8,SUM(M65:T65),IF(AN65=7.25,SUM(M65:S65)+T65*0.25,IF(AN65=8.25,SUM(M65:T65)+U65*0.25,IF(AN65=8.75,SUM(M65:T65)+U65*0.75,0)))))</f>
        <v>14.5</v>
      </c>
      <c r="AP65" s="167">
        <f>+AO65-AB65</f>
        <v>0</v>
      </c>
      <c r="AQ65" s="167"/>
      <c r="AR65" s="167"/>
      <c r="AS65" s="167"/>
      <c r="AT65" s="435"/>
      <c r="AU65" s="393"/>
      <c r="AW65" s="356">
        <v>2.6131868131868132</v>
      </c>
      <c r="AY65" s="356"/>
    </row>
    <row r="66" spans="2:62" s="98" customFormat="1" ht="62.25" customHeight="1" thickTop="1" x14ac:dyDescent="0.9">
      <c r="B66" s="127">
        <f>+B67</f>
        <v>16</v>
      </c>
      <c r="C66" s="370"/>
      <c r="D66" s="106"/>
      <c r="E66" s="106"/>
      <c r="F66" s="106"/>
      <c r="G66" s="577" t="s">
        <v>450</v>
      </c>
      <c r="H66" s="106"/>
      <c r="I66" s="106"/>
      <c r="J66" s="107" t="s">
        <v>20</v>
      </c>
      <c r="K66" s="108" t="s">
        <v>23</v>
      </c>
      <c r="L66" s="100" t="s">
        <v>21</v>
      </c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135" t="str">
        <f t="shared" ref="X66" si="82">IF(AT67="","",SUM(M66:W66)-(-(AT67-SUM(M66:W66))/$AT$3)*SUM($M$2:$W$2))</f>
        <v/>
      </c>
      <c r="Y66" s="438"/>
      <c r="Z66" s="400">
        <v>0</v>
      </c>
      <c r="AA66" s="540">
        <f>+X68</f>
        <v>0</v>
      </c>
      <c r="AB66" s="135">
        <f t="shared" si="0"/>
        <v>0</v>
      </c>
      <c r="AC66" s="136">
        <f>+AD66+AB66</f>
        <v>3528</v>
      </c>
      <c r="AD66" s="136">
        <v>3528</v>
      </c>
      <c r="AE66" s="438"/>
      <c r="AF66" s="438"/>
      <c r="AG66" s="109"/>
      <c r="AH66" s="110"/>
      <c r="AI66" s="157"/>
      <c r="AJ66" s="161">
        <f t="shared" si="1"/>
        <v>0</v>
      </c>
      <c r="AK66" s="167">
        <f t="shared" si="2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0.9">
      <c r="B67" s="133">
        <v>16</v>
      </c>
      <c r="C67" s="371">
        <f>+B67</f>
        <v>16</v>
      </c>
      <c r="D67" s="372" t="s">
        <v>449</v>
      </c>
      <c r="E67" s="111"/>
      <c r="F67" s="111" t="s">
        <v>422</v>
      </c>
      <c r="G67" s="578" t="str">
        <f>+G66</f>
        <v>PIANO-PURPLE</v>
      </c>
      <c r="H67" s="450">
        <v>3528</v>
      </c>
      <c r="I67" s="111" t="s">
        <v>451</v>
      </c>
      <c r="J67" s="113">
        <v>33.86</v>
      </c>
      <c r="K67" s="130">
        <v>75</v>
      </c>
      <c r="L67" s="101" t="s">
        <v>17</v>
      </c>
      <c r="M67" s="214"/>
      <c r="N67" s="214"/>
      <c r="O67" s="214"/>
      <c r="P67" s="214"/>
      <c r="Q67" s="214"/>
      <c r="R67" s="214"/>
      <c r="S67" s="214"/>
      <c r="T67" s="214"/>
      <c r="U67" s="214"/>
      <c r="V67" s="424"/>
      <c r="W67" s="424"/>
      <c r="X67" s="123">
        <f t="shared" ref="X67" si="83">+IF(H68="s",0,IF(AB67=0,0,IF(COUNTA(M67:W67)=AN69+0.75,SUMIF($C:$C,B67,$AB:$AB)/AN69,SUMIF($C:$C,B67,$AB:$AB)/(COUNTA(M67:W67)))))</f>
        <v>0</v>
      </c>
      <c r="Y67" s="439"/>
      <c r="Z67" s="400"/>
      <c r="AA67" s="541"/>
      <c r="AB67" s="134">
        <f t="shared" si="0"/>
        <v>0</v>
      </c>
      <c r="AC67" s="137">
        <f>+AB67+AD67</f>
        <v>3523</v>
      </c>
      <c r="AD67" s="137">
        <v>3523</v>
      </c>
      <c r="AE67" s="439"/>
      <c r="AF67" s="439">
        <f>+AE67+Y67</f>
        <v>0</v>
      </c>
      <c r="AG67" s="140">
        <f>+AC66-AC67</f>
        <v>5</v>
      </c>
      <c r="AH67" s="131" t="str">
        <f>+IF(((AB68+(AB69/2))*60)=0,"",(J67*AB67)/((AB68+(AB69/2))*60))</f>
        <v/>
      </c>
      <c r="AI67" s="161">
        <f>+AB68+AB69/2</f>
        <v>0</v>
      </c>
      <c r="AJ67" s="161">
        <f t="shared" si="1"/>
        <v>0</v>
      </c>
      <c r="AK67" s="167">
        <f t="shared" si="2"/>
        <v>0</v>
      </c>
      <c r="AL67" s="167">
        <f>+AB67*J67</f>
        <v>0</v>
      </c>
      <c r="AM67" s="230">
        <f>+AB67-(AI67*K67/K69)</f>
        <v>0</v>
      </c>
      <c r="AN67" s="339"/>
      <c r="AO67" s="340"/>
      <c r="AP67" s="167"/>
      <c r="AQ67" s="167"/>
      <c r="AR67" s="167"/>
      <c r="AS67" s="167"/>
      <c r="AT67" s="433" t="str">
        <f t="shared" ref="AT67" si="84">IF(AU67=0,"",AW67-(($AT$3*K67)+($AT$3*K67)*AU67)+AB66)</f>
        <v/>
      </c>
      <c r="AU67" s="393"/>
      <c r="AW67" s="356">
        <v>5</v>
      </c>
      <c r="AY67" s="356">
        <f t="shared" ref="AY67" si="85">+AW67-AG67</f>
        <v>0</v>
      </c>
      <c r="AZ67" s="580"/>
      <c r="BA67" s="580"/>
      <c r="BB67" s="580"/>
      <c r="BC67" s="580"/>
      <c r="BD67" s="580"/>
      <c r="BE67" s="580"/>
      <c r="BF67" s="580"/>
      <c r="BG67" s="580"/>
      <c r="BH67" s="580"/>
      <c r="BI67" s="580"/>
      <c r="BJ67" s="580"/>
    </row>
    <row r="68" spans="2:62" s="98" customFormat="1" ht="62.25" customHeight="1" x14ac:dyDescent="0.9">
      <c r="B68" s="125">
        <f>+B67</f>
        <v>16</v>
      </c>
      <c r="C68" s="373"/>
      <c r="D68" s="184"/>
      <c r="E68" s="111">
        <f>+B67</f>
        <v>16</v>
      </c>
      <c r="F68" s="374"/>
      <c r="G68" s="578" t="str">
        <f>+G66</f>
        <v>PIANO-PURPLE</v>
      </c>
      <c r="H68" s="376" t="s">
        <v>400</v>
      </c>
      <c r="I68" s="113">
        <f>+IFERROR(IF(K69=0,0,IF((LOOKUP(2,1/(M68:W68&lt;&gt;""),M68:W68)-K69)&lt;0,0,IF(K69=0,"",LOOKUP(2,1/(M68:W68&lt;&gt;""),M68:W68)-K69))),0)</f>
        <v>0</v>
      </c>
      <c r="J68" s="113">
        <v>1</v>
      </c>
      <c r="K68" s="114" t="s">
        <v>22</v>
      </c>
      <c r="L68" s="102" t="s">
        <v>18</v>
      </c>
      <c r="M68" s="425"/>
      <c r="N68" s="425"/>
      <c r="O68" s="425"/>
      <c r="P68" s="425"/>
      <c r="Q68" s="425"/>
      <c r="R68" s="425"/>
      <c r="S68" s="425"/>
      <c r="T68" s="425"/>
      <c r="U68" s="425"/>
      <c r="V68" s="426"/>
      <c r="W68" s="426"/>
      <c r="X68" s="160">
        <f t="shared" ref="X68" si="86">+IF(H68="l",IF(COUNTA(M67:W67)=AN69+0.75,AB67-K67*AN69,AB67-(K67*COUNTA(M67:W67))),IF(H68="s",0,IF(COUNTA(M67:W67)=AN69+0.75,SUMIF($C:$C,B67,$AB:$AB)-K67*AN69,SUMIF($C:$C,B67,$AB:$AB)-K67*COUNTA(M67:W67))))</f>
        <v>0</v>
      </c>
      <c r="Y68" s="440"/>
      <c r="Z68" s="400"/>
      <c r="AA68" s="541"/>
      <c r="AB68" s="443">
        <f t="shared" ref="AB68:AB69" si="87">+SUM(M68:W68)-T68*0.75</f>
        <v>0</v>
      </c>
      <c r="AC68" s="341"/>
      <c r="AD68" s="341"/>
      <c r="AE68" s="440"/>
      <c r="AF68" s="440"/>
      <c r="AG68" s="115"/>
      <c r="AH68" s="116"/>
      <c r="AI68" s="157"/>
      <c r="AJ68" s="161">
        <f t="shared" si="1"/>
        <v>0</v>
      </c>
      <c r="AK68" s="167">
        <f t="shared" si="2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0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343">
        <f>+B67</f>
        <v>16</v>
      </c>
      <c r="C69" s="375"/>
      <c r="D69" s="378" t="s">
        <v>152</v>
      </c>
      <c r="E69" s="175">
        <f>+E68+100</f>
        <v>116</v>
      </c>
      <c r="F69" s="175"/>
      <c r="G69" s="579" t="str">
        <f>+G66</f>
        <v>PIANO-PURPLE</v>
      </c>
      <c r="H69" s="454">
        <f>+AC66-H67</f>
        <v>0</v>
      </c>
      <c r="I69" s="397"/>
      <c r="J69" s="165">
        <f>+IF(K69="","",IF(K67=0,"",(K67*J67)/(K69*60)))</f>
        <v>0.81394230769230769</v>
      </c>
      <c r="K69" s="118">
        <v>52</v>
      </c>
      <c r="L69" s="104" t="s">
        <v>19</v>
      </c>
      <c r="M69" s="427"/>
      <c r="N69" s="427"/>
      <c r="O69" s="427"/>
      <c r="P69" s="427"/>
      <c r="Q69" s="427"/>
      <c r="R69" s="427"/>
      <c r="S69" s="427"/>
      <c r="T69" s="427"/>
      <c r="U69" s="427"/>
      <c r="V69" s="428"/>
      <c r="W69" s="428"/>
      <c r="X69" s="173"/>
      <c r="Y69" s="441"/>
      <c r="Z69" s="401">
        <v>26.999523809523808</v>
      </c>
      <c r="AA69" s="168">
        <f>+IF(COUNTA(M67:W67)=$AM$4+0.25,$AM$4-(AB67/K67),COUNTA(M67:W67)-(AB67/K67))+Z69</f>
        <v>26.999523809523808</v>
      </c>
      <c r="AB69" s="444">
        <f t="shared" si="87"/>
        <v>0</v>
      </c>
      <c r="AC69" s="139"/>
      <c r="AD69" s="139"/>
      <c r="AE69" s="441"/>
      <c r="AF69" s="441"/>
      <c r="AG69" s="119">
        <f>+IFERROR(AG67/(K67*$AT$3),"")</f>
        <v>7.619047619047619E-3</v>
      </c>
      <c r="AH69" s="162"/>
      <c r="AI69" s="161"/>
      <c r="AJ69" s="161">
        <f t="shared" si="1"/>
        <v>0</v>
      </c>
      <c r="AK69" s="167">
        <f t="shared" si="2"/>
        <v>0</v>
      </c>
      <c r="AL69" s="167"/>
      <c r="AM69" s="230"/>
      <c r="AN69" s="342">
        <f>+$AM$4</f>
        <v>7.25</v>
      </c>
      <c r="AO69" s="340">
        <f>+IF(AN69=7.75,SUM(M69:S69)+T69*0.75,IF(AN69=8,SUM(M69:T69),IF(AN69=7.25,SUM(M69:S69)+T69*0.25,IF(AN69=8.25,SUM(M69:T69)+U69*0.25,IF(AN69=8.75,SUM(M69:T69)+U69*0.75,0)))))</f>
        <v>0</v>
      </c>
      <c r="AP69" s="167">
        <f>+AO69-AB69</f>
        <v>0</v>
      </c>
      <c r="AQ69" s="167"/>
      <c r="AR69" s="167"/>
      <c r="AS69" s="167"/>
      <c r="AT69" s="435"/>
      <c r="AU69" s="393"/>
      <c r="AW69" s="356">
        <v>7.619047619047619E-3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77" t="s">
        <v>463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ref="X70" si="88">IF(AT71="","",SUM(M70:W70)-(-(AT71-SUM(M70:W70))/$AT$3)*SUM($M$2:$W$2))</f>
        <v/>
      </c>
      <c r="Y70" s="438"/>
      <c r="Z70" s="400">
        <v>-200.75</v>
      </c>
      <c r="AA70" s="540">
        <f>+X72</f>
        <v>-399.75</v>
      </c>
      <c r="AB70" s="135">
        <f t="shared" ref="AB70:AB91" si="89">+SUM(L70:W70)</f>
        <v>0</v>
      </c>
      <c r="AC70" s="136">
        <f>+AD70+AB70</f>
        <v>2169</v>
      </c>
      <c r="AD70" s="136">
        <v>2169</v>
      </c>
      <c r="AE70" s="438"/>
      <c r="AF70" s="438"/>
      <c r="AG70" s="109"/>
      <c r="AH70" s="110"/>
      <c r="AI70" s="157"/>
      <c r="AJ70" s="161">
        <f t="shared" si="1"/>
        <v>0</v>
      </c>
      <c r="AK70" s="167">
        <f t="shared" si="2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462</v>
      </c>
      <c r="E71" s="111"/>
      <c r="F71" s="111" t="s">
        <v>422</v>
      </c>
      <c r="G71" s="578" t="str">
        <f>+G70</f>
        <v>PIANO-Turquaz</v>
      </c>
      <c r="H71" s="450">
        <v>2155</v>
      </c>
      <c r="I71" s="111" t="s">
        <v>451</v>
      </c>
      <c r="J71" s="113">
        <v>33.86</v>
      </c>
      <c r="K71" s="130">
        <v>75</v>
      </c>
      <c r="L71" s="101" t="s">
        <v>17</v>
      </c>
      <c r="M71" s="214">
        <v>36</v>
      </c>
      <c r="N71" s="214">
        <v>35</v>
      </c>
      <c r="O71" s="214">
        <v>18</v>
      </c>
      <c r="P71" s="214">
        <v>10</v>
      </c>
      <c r="Q71" s="214">
        <v>12</v>
      </c>
      <c r="R71" s="214">
        <v>11</v>
      </c>
      <c r="S71" s="214">
        <v>11</v>
      </c>
      <c r="T71" s="214">
        <v>11</v>
      </c>
      <c r="U71" s="214"/>
      <c r="V71" s="424"/>
      <c r="W71" s="424"/>
      <c r="X71" s="123">
        <f t="shared" ref="X71" si="90">+IF(H72="s",0,IF(AB71=0,0,IF(COUNTA(M71:W71)=AN73+0.75,SUMIF($C:$C,B71,$AB:$AB)/AN73,SUMIF($C:$C,B71,$AB:$AB)/(COUNTA(M71:W71)))))</f>
        <v>19.862068965517242</v>
      </c>
      <c r="Y71" s="439"/>
      <c r="Z71" s="400"/>
      <c r="AA71" s="541"/>
      <c r="AB71" s="134">
        <f t="shared" si="89"/>
        <v>144</v>
      </c>
      <c r="AC71" s="137">
        <f>+AB71+AD71</f>
        <v>1922</v>
      </c>
      <c r="AD71" s="137">
        <v>1778</v>
      </c>
      <c r="AE71" s="439"/>
      <c r="AF71" s="439">
        <f>+AE71+Y71</f>
        <v>0</v>
      </c>
      <c r="AG71" s="140">
        <f>+AC70-AC71</f>
        <v>247</v>
      </c>
      <c r="AH71" s="131">
        <f>+IF(((AB72+(AB73/2))*60)=0,"",(J71*AB71)/((AB72+(AB73/2))*60))</f>
        <v>0.98501818181818179</v>
      </c>
      <c r="AI71" s="161">
        <f>+AB72+AB73/2</f>
        <v>82.5</v>
      </c>
      <c r="AJ71" s="161">
        <f t="shared" si="1"/>
        <v>82.3</v>
      </c>
      <c r="AK71" s="167">
        <f t="shared" si="2"/>
        <v>4950</v>
      </c>
      <c r="AL71" s="167">
        <f>+AB71*J71</f>
        <v>4875.84</v>
      </c>
      <c r="AM71" s="230">
        <f>+AB71-(AI71*K71/K73)</f>
        <v>20.25</v>
      </c>
      <c r="AN71" s="339"/>
      <c r="AO71" s="340"/>
      <c r="AP71" s="167"/>
      <c r="AQ71" s="167"/>
      <c r="AR71" s="167"/>
      <c r="AS71" s="167"/>
      <c r="AT71" s="433" t="str">
        <f t="shared" ref="AT71" si="91">IF(AU71=0,"",AW71-(($AT$3*K71)+($AT$3*K71)*AU71)+AB70)</f>
        <v/>
      </c>
      <c r="AU71" s="393"/>
      <c r="AW71" s="356">
        <v>391</v>
      </c>
      <c r="AY71" s="356">
        <f t="shared" ref="AY71" si="92">+AW71-AG71</f>
        <v>144</v>
      </c>
      <c r="AZ71" s="580"/>
      <c r="BA71" s="580"/>
      <c r="BB71" s="580"/>
      <c r="BC71" s="580"/>
      <c r="BD71" s="580"/>
      <c r="BE71" s="580"/>
      <c r="BF71" s="580"/>
      <c r="BG71" s="580"/>
      <c r="BH71" s="580"/>
      <c r="BI71" s="580"/>
      <c r="BJ71" s="580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78" t="str">
        <f>+G70</f>
        <v>PIANO-Turquaz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>
        <v>20</v>
      </c>
      <c r="N72" s="425">
        <v>10</v>
      </c>
      <c r="O72" s="425">
        <v>10</v>
      </c>
      <c r="P72" s="425">
        <v>10</v>
      </c>
      <c r="Q72" s="425">
        <v>10</v>
      </c>
      <c r="R72" s="425">
        <v>10</v>
      </c>
      <c r="S72" s="425">
        <v>10</v>
      </c>
      <c r="T72" s="425">
        <v>10</v>
      </c>
      <c r="U72" s="425"/>
      <c r="V72" s="426"/>
      <c r="W72" s="426"/>
      <c r="X72" s="160">
        <f t="shared" ref="X72" si="93">+IF(H72="l",IF(COUNTA(M71:W71)=AN73+0.75,AB71-K71*AN73,AB71-(K71*COUNTA(M71:W71))),IF(H72="s",0,IF(COUNTA(M71:W71)=AN73+0.75,SUMIF($C:$C,B71,$AB:$AB)-K71*AN73,SUMIF($C:$C,B71,$AB:$AB)-K71*COUNTA(M71:W71))))</f>
        <v>-399.75</v>
      </c>
      <c r="Y72" s="440"/>
      <c r="Z72" s="400"/>
      <c r="AA72" s="541"/>
      <c r="AB72" s="443">
        <f t="shared" ref="AB72:AB73" si="94">+SUM(M72:W72)-T72*0.75</f>
        <v>82.5</v>
      </c>
      <c r="AC72" s="341"/>
      <c r="AD72" s="341"/>
      <c r="AE72" s="440"/>
      <c r="AF72" s="440"/>
      <c r="AG72" s="115"/>
      <c r="AH72" s="116"/>
      <c r="AI72" s="157"/>
      <c r="AJ72" s="161">
        <f t="shared" si="1"/>
        <v>0</v>
      </c>
      <c r="AK72" s="167">
        <f t="shared" si="2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82.5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79" t="str">
        <f>+G70</f>
        <v>PIANO-Turquaz</v>
      </c>
      <c r="H73" s="454">
        <f>+AC70-H71</f>
        <v>14</v>
      </c>
      <c r="I73" s="397"/>
      <c r="J73" s="165">
        <f>+IF(K73="","",IF(K71=0,"",(K71*J71)/(K73*60)))</f>
        <v>0.84650000000000003</v>
      </c>
      <c r="K73" s="118">
        <v>50</v>
      </c>
      <c r="L73" s="104" t="s">
        <v>19</v>
      </c>
      <c r="M73" s="427"/>
      <c r="N73" s="427"/>
      <c r="O73" s="427"/>
      <c r="P73" s="427"/>
      <c r="Q73" s="427"/>
      <c r="R73" s="427"/>
      <c r="S73" s="427"/>
      <c r="T73" s="427"/>
      <c r="U73" s="427"/>
      <c r="V73" s="428"/>
      <c r="W73" s="428"/>
      <c r="X73" s="173"/>
      <c r="Y73" s="441"/>
      <c r="Z73" s="169">
        <v>24.69</v>
      </c>
      <c r="AA73" s="169">
        <v>24.69</v>
      </c>
      <c r="AB73" s="444">
        <f t="shared" si="94"/>
        <v>0</v>
      </c>
      <c r="AC73" s="139"/>
      <c r="AD73" s="139"/>
      <c r="AE73" s="441"/>
      <c r="AF73" s="441"/>
      <c r="AG73" s="119">
        <f>+IFERROR(AG71/(K71*$AT$3),"")</f>
        <v>0.37638095238095237</v>
      </c>
      <c r="AH73" s="162"/>
      <c r="AI73" s="161"/>
      <c r="AJ73" s="161">
        <f t="shared" si="1"/>
        <v>0</v>
      </c>
      <c r="AK73" s="167">
        <f t="shared" si="2"/>
        <v>0</v>
      </c>
      <c r="AL73" s="167"/>
      <c r="AM73" s="230"/>
      <c r="AN73" s="342">
        <f>+$AM$4</f>
        <v>7.25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0</v>
      </c>
      <c r="AQ73" s="167"/>
      <c r="AR73" s="167"/>
      <c r="AS73" s="167"/>
      <c r="AT73" s="435"/>
      <c r="AU73" s="393"/>
      <c r="AW73" s="356">
        <v>0.59580952380952379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77" t="s">
        <v>472</v>
      </c>
      <c r="H74" s="106"/>
      <c r="I74" s="106"/>
      <c r="J74" s="107" t="s">
        <v>20</v>
      </c>
      <c r="K74" s="108" t="s">
        <v>23</v>
      </c>
      <c r="L74" s="100" t="s">
        <v>21</v>
      </c>
      <c r="M74" s="423">
        <v>100</v>
      </c>
      <c r="N74" s="423">
        <v>51</v>
      </c>
      <c r="O74" s="423">
        <v>100</v>
      </c>
      <c r="P74" s="423"/>
      <c r="Q74" s="423"/>
      <c r="R74" s="423"/>
      <c r="S74" s="423"/>
      <c r="T74" s="423"/>
      <c r="U74" s="423"/>
      <c r="V74" s="423"/>
      <c r="W74" s="423"/>
      <c r="X74" s="135">
        <f t="shared" ref="X74" si="95">IF(AT75="","",SUM(M74:W74)-(-(AT75-SUM(M74:W74))/$AT$3)*SUM($M$2:$W$2))</f>
        <v>251</v>
      </c>
      <c r="Y74" s="438"/>
      <c r="Z74" s="400">
        <v>0</v>
      </c>
      <c r="AA74" s="540">
        <f>+X76</f>
        <v>0</v>
      </c>
      <c r="AB74" s="135">
        <f t="shared" si="89"/>
        <v>251</v>
      </c>
      <c r="AC74" s="136">
        <f>+AD74+AB74</f>
        <v>1051</v>
      </c>
      <c r="AD74" s="136">
        <v>800</v>
      </c>
      <c r="AE74" s="438"/>
      <c r="AF74" s="438"/>
      <c r="AG74" s="109"/>
      <c r="AH74" s="110"/>
      <c r="AI74" s="157"/>
      <c r="AJ74" s="161">
        <f t="shared" si="1"/>
        <v>0</v>
      </c>
      <c r="AK74" s="167">
        <f t="shared" si="2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473</v>
      </c>
      <c r="E75" s="111"/>
      <c r="F75" s="111" t="s">
        <v>35</v>
      </c>
      <c r="G75" s="578" t="str">
        <f>+G74</f>
        <v>7674-739-401</v>
      </c>
      <c r="H75" s="450">
        <v>8333</v>
      </c>
      <c r="I75" s="111" t="s">
        <v>251</v>
      </c>
      <c r="J75" s="113"/>
      <c r="K75" s="130"/>
      <c r="L75" s="101" t="s">
        <v>17</v>
      </c>
      <c r="M75" s="214">
        <v>0</v>
      </c>
      <c r="N75" s="214">
        <v>0</v>
      </c>
      <c r="O75" s="214">
        <v>0</v>
      </c>
      <c r="P75" s="214">
        <v>0</v>
      </c>
      <c r="Q75" s="214">
        <v>0</v>
      </c>
      <c r="R75" s="214">
        <v>0</v>
      </c>
      <c r="S75" s="214">
        <v>0</v>
      </c>
      <c r="T75" s="214">
        <v>0</v>
      </c>
      <c r="U75" s="214"/>
      <c r="V75" s="424"/>
      <c r="W75" s="424"/>
      <c r="X75" s="123">
        <f t="shared" ref="X75" si="96">+IF(H76="s",0,IF(AB75=0,0,IF(COUNTA(M75:W75)=AN77+0.75,SUMIF($C:$C,B75,$AB:$AB)/AN77,SUMIF($C:$C,B75,$AB:$AB)/(COUNTA(M75:W75)))))</f>
        <v>0</v>
      </c>
      <c r="Y75" s="439"/>
      <c r="Z75" s="400"/>
      <c r="AA75" s="541"/>
      <c r="AB75" s="134">
        <f t="shared" si="89"/>
        <v>0</v>
      </c>
      <c r="AC75" s="137">
        <f>+AB75+AD75</f>
        <v>0</v>
      </c>
      <c r="AD75" s="137">
        <v>0</v>
      </c>
      <c r="AE75" s="439"/>
      <c r="AF75" s="439">
        <f>+AE75+Y75</f>
        <v>0</v>
      </c>
      <c r="AG75" s="140">
        <f>+AC74-AC75</f>
        <v>1051</v>
      </c>
      <c r="AH75" s="131">
        <f>+IF(((AB76+(AB77/2))*60)=0,"",(J75*AB75)/((AB76+(AB77/2))*60))</f>
        <v>0</v>
      </c>
      <c r="AI75" s="161">
        <f>+AB76+AB77/2</f>
        <v>243.75</v>
      </c>
      <c r="AJ75" s="161">
        <f t="shared" si="1"/>
        <v>243.45</v>
      </c>
      <c r="AK75" s="167">
        <f t="shared" si="2"/>
        <v>14625</v>
      </c>
      <c r="AL75" s="167">
        <f>+AB75*J75</f>
        <v>0</v>
      </c>
      <c r="AM75" s="230" t="e">
        <f>+AB75-(AI75*K75/K77)</f>
        <v>#DIV/0!</v>
      </c>
      <c r="AN75" s="339"/>
      <c r="AO75" s="340"/>
      <c r="AP75" s="167"/>
      <c r="AQ75" s="167"/>
      <c r="AR75" s="167"/>
      <c r="AS75" s="167"/>
      <c r="AT75" s="433">
        <f>-200+AB74</f>
        <v>51</v>
      </c>
      <c r="AU75" s="393">
        <v>1.5</v>
      </c>
      <c r="AW75" s="356">
        <v>800</v>
      </c>
      <c r="AY75" s="356">
        <f t="shared" ref="AY75" si="97">+AW75-AG75</f>
        <v>-251</v>
      </c>
      <c r="AZ75" s="580"/>
      <c r="BA75" s="580"/>
      <c r="BB75" s="580"/>
      <c r="BC75" s="580"/>
      <c r="BD75" s="580"/>
      <c r="BE75" s="580"/>
      <c r="BF75" s="580"/>
      <c r="BG75" s="580"/>
      <c r="BH75" s="580"/>
      <c r="BI75" s="580"/>
      <c r="BJ75" s="580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78" t="str">
        <f>+G74</f>
        <v>7674-739-401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>
        <v>25</v>
      </c>
      <c r="N76" s="425">
        <v>35</v>
      </c>
      <c r="O76" s="425">
        <v>35</v>
      </c>
      <c r="P76" s="425">
        <v>35</v>
      </c>
      <c r="Q76" s="425">
        <v>35</v>
      </c>
      <c r="R76" s="425">
        <v>35</v>
      </c>
      <c r="S76" s="425">
        <v>35</v>
      </c>
      <c r="T76" s="425">
        <v>35</v>
      </c>
      <c r="U76" s="425"/>
      <c r="V76" s="426"/>
      <c r="W76" s="426"/>
      <c r="X76" s="160">
        <f t="shared" ref="X76" si="98">+IF(H76="l",IF(COUNTA(M75:W75)=AN77+0.75,AB75-K75*AN77,AB75-(K75*COUNTA(M75:W75))),IF(H76="s",0,IF(COUNTA(M75:W75)=AN77+0.75,SUMIF($C:$C,B75,$AB:$AB)-K75*AN77,SUMIF($C:$C,B75,$AB:$AB)-K75*COUNTA(M75:W75))))</f>
        <v>0</v>
      </c>
      <c r="Y76" s="440"/>
      <c r="Z76" s="400"/>
      <c r="AA76" s="541"/>
      <c r="AB76" s="443">
        <f t="shared" ref="AB76:AB77" si="99">+SUM(M76:W76)-T76*0.75</f>
        <v>243.75</v>
      </c>
      <c r="AC76" s="341"/>
      <c r="AD76" s="341"/>
      <c r="AE76" s="440"/>
      <c r="AF76" s="440"/>
      <c r="AG76" s="115"/>
      <c r="AH76" s="116"/>
      <c r="AI76" s="157"/>
      <c r="AJ76" s="161">
        <f t="shared" si="1"/>
        <v>0</v>
      </c>
      <c r="AK76" s="167">
        <f t="shared" si="2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243.75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79" t="str">
        <f>+G74</f>
        <v>7674-739-401</v>
      </c>
      <c r="H77" s="454">
        <f>+AC74-H75</f>
        <v>-7282</v>
      </c>
      <c r="I77" s="397"/>
      <c r="J77" s="165" t="str">
        <f>+IF(K77="","",IF(K75=0,"",(K75*J75)/(K77*60)))</f>
        <v/>
      </c>
      <c r="K77" s="118"/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401" t="e">
        <v>#DIV/0!</v>
      </c>
      <c r="AA77" s="168" t="e">
        <f>+IF(COUNTA(M75:W75)=$AM$4+0.25,$AM$4-(AB75/K75),COUNTA(M75:W75)-(AB75/K75))+Z77</f>
        <v>#DIV/0!</v>
      </c>
      <c r="AB77" s="444">
        <f t="shared" si="99"/>
        <v>0</v>
      </c>
      <c r="AC77" s="139"/>
      <c r="AD77" s="139"/>
      <c r="AE77" s="441"/>
      <c r="AF77" s="441"/>
      <c r="AG77" s="119" t="str">
        <f>+IFERROR(AG75/(K75*$AT$3),"")</f>
        <v/>
      </c>
      <c r="AH77" s="162"/>
      <c r="AI77" s="161"/>
      <c r="AJ77" s="161">
        <f t="shared" si="1"/>
        <v>0</v>
      </c>
      <c r="AK77" s="167">
        <f t="shared" si="2"/>
        <v>0</v>
      </c>
      <c r="AL77" s="167"/>
      <c r="AM77" s="230"/>
      <c r="AN77" s="342">
        <f>+$AM$4</f>
        <v>7.25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 t="s">
        <v>429</v>
      </c>
      <c r="AY77" s="356"/>
    </row>
    <row r="78" spans="2:62" s="98" customFormat="1" ht="62.25" customHeight="1" thickTop="1" x14ac:dyDescent="0.9">
      <c r="B78" s="97">
        <f>+B79</f>
        <v>17</v>
      </c>
      <c r="C78" s="370"/>
      <c r="D78" s="106"/>
      <c r="E78" s="106"/>
      <c r="F78" s="106"/>
      <c r="G78" s="577" t="s">
        <v>436</v>
      </c>
      <c r="H78" s="106"/>
      <c r="I78" s="111"/>
      <c r="J78" s="107" t="s">
        <v>20</v>
      </c>
      <c r="K78" s="108" t="s">
        <v>23</v>
      </c>
      <c r="L78" s="100" t="s">
        <v>21</v>
      </c>
      <c r="M78" s="423">
        <v>60</v>
      </c>
      <c r="N78" s="423">
        <v>120</v>
      </c>
      <c r="O78" s="423">
        <v>61</v>
      </c>
      <c r="P78" s="423">
        <v>60</v>
      </c>
      <c r="Q78" s="423"/>
      <c r="R78" s="423">
        <v>60</v>
      </c>
      <c r="S78" s="423"/>
      <c r="T78" s="423"/>
      <c r="U78" s="423"/>
      <c r="V78" s="423"/>
      <c r="W78" s="423"/>
      <c r="X78" s="135">
        <f t="shared" ref="X78" si="100">IF(AT79="","",SUM(M78:W78)-(-(AT79-SUM(M78:W78))/$AT$3)*SUM($M$2:$W$2))</f>
        <v>361</v>
      </c>
      <c r="Y78" s="438"/>
      <c r="Z78" s="400">
        <v>0.75</v>
      </c>
      <c r="AA78" s="540">
        <f>+X80</f>
        <v>-0.25</v>
      </c>
      <c r="AB78" s="135">
        <f t="shared" si="89"/>
        <v>361</v>
      </c>
      <c r="AC78" s="136">
        <f>+AD78+AB78</f>
        <v>7562</v>
      </c>
      <c r="AD78" s="136">
        <v>7201</v>
      </c>
      <c r="AE78" s="438"/>
      <c r="AF78" s="438"/>
      <c r="AG78" s="109"/>
      <c r="AH78" s="110"/>
      <c r="AI78" s="157"/>
      <c r="AJ78" s="161">
        <f t="shared" si="1"/>
        <v>0</v>
      </c>
      <c r="AK78" s="167">
        <f t="shared" si="2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2">
        <v>17</v>
      </c>
      <c r="C79" s="371">
        <f>+B79</f>
        <v>17</v>
      </c>
      <c r="D79" s="372" t="s">
        <v>435</v>
      </c>
      <c r="E79" s="111"/>
      <c r="F79" s="111" t="s">
        <v>35</v>
      </c>
      <c r="G79" s="578" t="str">
        <f>+G78</f>
        <v>2628-510-630</v>
      </c>
      <c r="H79" s="450">
        <v>10010</v>
      </c>
      <c r="I79" s="111" t="s">
        <v>33</v>
      </c>
      <c r="J79" s="113">
        <v>44.34</v>
      </c>
      <c r="K79" s="130">
        <v>53</v>
      </c>
      <c r="L79" s="101" t="s">
        <v>17</v>
      </c>
      <c r="M79" s="214">
        <v>53</v>
      </c>
      <c r="N79" s="214">
        <v>40</v>
      </c>
      <c r="O79" s="214">
        <v>60</v>
      </c>
      <c r="P79" s="214">
        <v>59</v>
      </c>
      <c r="Q79" s="214">
        <v>53</v>
      </c>
      <c r="R79" s="214">
        <v>53</v>
      </c>
      <c r="S79" s="214">
        <v>53</v>
      </c>
      <c r="T79" s="214">
        <v>13</v>
      </c>
      <c r="U79" s="214"/>
      <c r="V79" s="214"/>
      <c r="W79" s="424"/>
      <c r="X79" s="123">
        <f t="shared" ref="X79" si="101">+IF(H80="s",0,IF(AB79=0,0,IF(COUNTA(M79:W79)=AN81+0.75,SUMIF($C:$C,B79,$AB:$AB)/AN81,SUMIF($C:$C,B79,$AB:$AB)/(COUNTA(M79:W79)))))</f>
        <v>52.96551724137931</v>
      </c>
      <c r="Y79" s="439"/>
      <c r="Z79" s="400"/>
      <c r="AA79" s="541"/>
      <c r="AB79" s="134">
        <f t="shared" si="89"/>
        <v>384</v>
      </c>
      <c r="AC79" s="137">
        <f>+AB79+AD79</f>
        <v>6805</v>
      </c>
      <c r="AD79" s="137">
        <v>6421</v>
      </c>
      <c r="AE79" s="439">
        <v>0</v>
      </c>
      <c r="AF79" s="439">
        <f>+AE79+Y79</f>
        <v>0</v>
      </c>
      <c r="AG79" s="140">
        <f>+AC78-AC79</f>
        <v>757</v>
      </c>
      <c r="AH79" s="131">
        <f>+IF(((AB80+(AB81/2))*60)=0,"",(J79*AB79)/((AB80+(AB81/2))*60))</f>
        <v>0.84175305895439378</v>
      </c>
      <c r="AI79" s="161">
        <f>+AB80+AB81/2</f>
        <v>337.125</v>
      </c>
      <c r="AJ79" s="161">
        <f t="shared" si="1"/>
        <v>337.07499999999999</v>
      </c>
      <c r="AK79" s="167">
        <f t="shared" si="2"/>
        <v>20227.5</v>
      </c>
      <c r="AL79" s="167">
        <f>+AB79*J79</f>
        <v>17026.560000000001</v>
      </c>
      <c r="AM79" s="230">
        <f>+AB79-(AI79*K79/K81)</f>
        <v>-4.4266304347826235</v>
      </c>
      <c r="AN79" s="339"/>
      <c r="AO79" s="340"/>
      <c r="AP79" s="167"/>
      <c r="AQ79" s="167"/>
      <c r="AR79" s="167"/>
      <c r="AS79" s="167"/>
      <c r="AT79" s="433">
        <f>-361+AB78</f>
        <v>0</v>
      </c>
      <c r="AU79" s="393">
        <v>1.5</v>
      </c>
      <c r="AW79" s="356">
        <v>780</v>
      </c>
      <c r="AY79" s="356">
        <f t="shared" ref="AY79" si="102">+AW79-AG79</f>
        <v>23</v>
      </c>
    </row>
    <row r="80" spans="2:62" s="98" customFormat="1" ht="62.25" customHeight="1" x14ac:dyDescent="0.9">
      <c r="B80" s="125">
        <f>+B79</f>
        <v>17</v>
      </c>
      <c r="C80" s="373"/>
      <c r="D80" s="184"/>
      <c r="E80" s="111">
        <f>+B79</f>
        <v>17</v>
      </c>
      <c r="F80" s="374"/>
      <c r="G80" s="578" t="str">
        <f>+G78</f>
        <v>2628-510-630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46</v>
      </c>
      <c r="N80" s="425">
        <v>46</v>
      </c>
      <c r="O80" s="425">
        <v>46</v>
      </c>
      <c r="P80" s="425">
        <v>46</v>
      </c>
      <c r="Q80" s="425">
        <v>46</v>
      </c>
      <c r="R80" s="425">
        <v>46</v>
      </c>
      <c r="S80" s="425">
        <v>46</v>
      </c>
      <c r="T80" s="425">
        <v>46</v>
      </c>
      <c r="U80" s="425"/>
      <c r="V80" s="426"/>
      <c r="W80" s="426"/>
      <c r="X80" s="160">
        <f t="shared" ref="X80" si="103">+IF(H80="l",IF(COUNTA(M79:W79)=AN81+0.75,AB79-K79*AN81,AB79-(K79*COUNTA(M79:W79))),IF(H80="s",0,IF(COUNTA(M79:W79)=AN81+0.75,SUMIF($C:$C,B79,$AB:$AB)-K79*AN81,SUMIF($C:$C,B79,$AB:$AB)-K79*COUNTA(M79:W79))))</f>
        <v>-0.25</v>
      </c>
      <c r="Y80" s="440"/>
      <c r="Z80" s="400"/>
      <c r="AA80" s="541"/>
      <c r="AB80" s="443">
        <f t="shared" ref="AB80:AB81" si="104">+SUM(M80:W80)-T80*0.75</f>
        <v>333.5</v>
      </c>
      <c r="AC80" s="341"/>
      <c r="AD80" s="341"/>
      <c r="AE80" s="440"/>
      <c r="AF80" s="440"/>
      <c r="AG80" s="115"/>
      <c r="AH80" s="116"/>
      <c r="AI80" s="157"/>
      <c r="AJ80" s="161">
        <f t="shared" si="1"/>
        <v>0</v>
      </c>
      <c r="AK80" s="167">
        <f t="shared" si="2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333.5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126">
        <f>+B79</f>
        <v>17</v>
      </c>
      <c r="C81" s="375"/>
      <c r="D81" s="174" t="s">
        <v>379</v>
      </c>
      <c r="E81" s="175">
        <f>+E80+100</f>
        <v>117</v>
      </c>
      <c r="F81" s="175"/>
      <c r="G81" s="579" t="str">
        <f>+G78</f>
        <v>2628-510-630</v>
      </c>
      <c r="H81" s="454">
        <f>+AC78-H79</f>
        <v>-2448</v>
      </c>
      <c r="I81" s="397"/>
      <c r="J81" s="165">
        <f>+IF(K81="","",IF(K79=0,"",(K79*J79)/(K81*60)))</f>
        <v>0.85145652173913045</v>
      </c>
      <c r="K81" s="118">
        <v>46</v>
      </c>
      <c r="L81" s="104" t="s">
        <v>19</v>
      </c>
      <c r="M81" s="427">
        <v>1</v>
      </c>
      <c r="N81" s="427">
        <v>1</v>
      </c>
      <c r="O81" s="427">
        <v>1</v>
      </c>
      <c r="P81" s="427">
        <v>1</v>
      </c>
      <c r="Q81" s="427">
        <v>1</v>
      </c>
      <c r="R81" s="427">
        <v>1</v>
      </c>
      <c r="S81" s="427">
        <v>1</v>
      </c>
      <c r="T81" s="427">
        <v>1</v>
      </c>
      <c r="U81" s="427"/>
      <c r="V81" s="428"/>
      <c r="W81" s="428"/>
      <c r="X81" s="173"/>
      <c r="Y81" s="441"/>
      <c r="Z81" s="401">
        <v>41.323268679526997</v>
      </c>
      <c r="AA81" s="169">
        <v>41.323268679526997</v>
      </c>
      <c r="AB81" s="444">
        <f t="shared" si="104"/>
        <v>7.25</v>
      </c>
      <c r="AC81" s="139"/>
      <c r="AD81" s="139"/>
      <c r="AE81" s="441"/>
      <c r="AF81" s="441"/>
      <c r="AG81" s="119">
        <f>+IFERROR(AG79/(K79*$AT$3),"")</f>
        <v>1.6323450134770889</v>
      </c>
      <c r="AH81" s="162"/>
      <c r="AI81" s="161"/>
      <c r="AJ81" s="161">
        <f t="shared" si="1"/>
        <v>0</v>
      </c>
      <c r="AK81" s="167">
        <f t="shared" si="2"/>
        <v>0</v>
      </c>
      <c r="AL81" s="167"/>
      <c r="AM81" s="230"/>
      <c r="AN81" s="342">
        <f>+$AM$4</f>
        <v>7.25</v>
      </c>
      <c r="AO81" s="340">
        <f>+IF(AN81=7.75,SUM(M81:S81)+T81*0.75,IF(AN81=8,SUM(M81:T81),IF(AN81=7.25,SUM(M81:S81)+T81*0.25,IF(AN81=8.25,SUM(M81:T81)+U81*0.25,IF(AN81=8.75,SUM(M81:T81)+U81*0.75,0)))))</f>
        <v>7.25</v>
      </c>
      <c r="AP81" s="167">
        <f>+AO81-AB81</f>
        <v>0</v>
      </c>
      <c r="AQ81" s="167"/>
      <c r="AR81" s="167"/>
      <c r="AS81" s="167"/>
      <c r="AT81" s="435"/>
      <c r="AU81" s="393"/>
      <c r="AW81" s="356">
        <v>1.6819407008086253</v>
      </c>
      <c r="AY81" s="356"/>
    </row>
    <row r="82" spans="2:51" s="98" customFormat="1" ht="62.25" customHeight="1" thickTop="1" x14ac:dyDescent="0.9">
      <c r="B82" s="127">
        <f>+B83</f>
        <v>18</v>
      </c>
      <c r="C82" s="370"/>
      <c r="D82" s="106"/>
      <c r="E82" s="106"/>
      <c r="F82" s="106"/>
      <c r="G82" s="577" t="s">
        <v>436</v>
      </c>
      <c r="H82" s="106"/>
      <c r="I82" s="106"/>
      <c r="J82" s="107" t="s">
        <v>20</v>
      </c>
      <c r="K82" s="108" t="s">
        <v>23</v>
      </c>
      <c r="L82" s="100" t="s">
        <v>21</v>
      </c>
      <c r="M82" s="423">
        <v>120</v>
      </c>
      <c r="N82" s="423">
        <v>180</v>
      </c>
      <c r="O82" s="423">
        <v>120</v>
      </c>
      <c r="P82" s="423"/>
      <c r="Q82" s="423"/>
      <c r="R82" s="423"/>
      <c r="S82" s="423"/>
      <c r="T82" s="423"/>
      <c r="U82" s="423"/>
      <c r="V82" s="423"/>
      <c r="W82" s="423"/>
      <c r="X82" s="135">
        <f t="shared" ref="X82" si="105">IF(AT83="","",SUM(M82:W82)-(-(AT83-SUM(M82:W82))/$AT$3)*SUM($M$2:$W$2))</f>
        <v>420</v>
      </c>
      <c r="Y82" s="438"/>
      <c r="Z82" s="400">
        <v>15.75</v>
      </c>
      <c r="AA82" s="540">
        <f>+X84</f>
        <v>-29.25</v>
      </c>
      <c r="AB82" s="135">
        <f t="shared" si="89"/>
        <v>420</v>
      </c>
      <c r="AC82" s="136">
        <f>+AD82+AB82</f>
        <v>8605</v>
      </c>
      <c r="AD82" s="136">
        <v>8185</v>
      </c>
      <c r="AE82" s="438"/>
      <c r="AF82" s="438"/>
      <c r="AG82" s="109"/>
      <c r="AH82" s="110"/>
      <c r="AI82" s="157"/>
      <c r="AJ82" s="161">
        <f t="shared" ref="AJ82:AJ93" si="106">TRUNC(AI82)+(AI82-TRUNC(AI82))*60/100</f>
        <v>0</v>
      </c>
      <c r="AK82" s="167">
        <f t="shared" ref="AK82:AK93" si="107">+AI82*60</f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3">
        <v>18</v>
      </c>
      <c r="C83" s="371">
        <f>+B83</f>
        <v>18</v>
      </c>
      <c r="D83" s="372" t="s">
        <v>435</v>
      </c>
      <c r="E83" s="111"/>
      <c r="F83" s="111" t="s">
        <v>35</v>
      </c>
      <c r="G83" s="578" t="str">
        <f t="shared" ref="G83:G93" si="108">+G82</f>
        <v>2628-510-630</v>
      </c>
      <c r="H83" s="450">
        <v>10800</v>
      </c>
      <c r="I83" s="111" t="s">
        <v>33</v>
      </c>
      <c r="J83" s="113">
        <v>44.34</v>
      </c>
      <c r="K83" s="130">
        <v>53</v>
      </c>
      <c r="L83" s="101" t="s">
        <v>17</v>
      </c>
      <c r="M83" s="424">
        <v>25</v>
      </c>
      <c r="N83" s="424">
        <v>53</v>
      </c>
      <c r="O83" s="424">
        <v>53</v>
      </c>
      <c r="P83" s="424">
        <v>53</v>
      </c>
      <c r="Q83" s="424">
        <v>53</v>
      </c>
      <c r="R83" s="424">
        <v>53</v>
      </c>
      <c r="S83" s="424">
        <v>53</v>
      </c>
      <c r="T83" s="424">
        <v>12</v>
      </c>
      <c r="U83" s="424"/>
      <c r="V83" s="424"/>
      <c r="W83" s="424"/>
      <c r="X83" s="123">
        <f t="shared" ref="X83" si="109">+IF(H84="s",0,IF(AB83=0,0,IF(COUNTA(M83:W83)=AN85+0.75,SUMIF($C:$C,B83,$AB:$AB)/AN85,SUMIF($C:$C,B83,$AB:$AB)/(COUNTA(M83:W83)))))</f>
        <v>48.96551724137931</v>
      </c>
      <c r="Y83" s="439"/>
      <c r="Z83" s="400"/>
      <c r="AA83" s="541"/>
      <c r="AB83" s="134">
        <f t="shared" si="89"/>
        <v>355</v>
      </c>
      <c r="AC83" s="137">
        <f>+AB83+AD83</f>
        <v>7761</v>
      </c>
      <c r="AD83" s="137">
        <v>7406</v>
      </c>
      <c r="AE83" s="439">
        <v>0</v>
      </c>
      <c r="AF83" s="439">
        <f>+AE83+Y83</f>
        <v>0</v>
      </c>
      <c r="AG83" s="140">
        <f>+AC82-AC83</f>
        <v>844</v>
      </c>
      <c r="AH83" s="131">
        <f>+IF(((AB84+(AB85/2))*60)=0,"",(J83*AB83)/((AB84+(AB85/2))*60))</f>
        <v>0.7781831664812755</v>
      </c>
      <c r="AI83" s="161">
        <f>+AB84+AB85/2</f>
        <v>337.125</v>
      </c>
      <c r="AJ83" s="161">
        <f t="shared" si="106"/>
        <v>337.07499999999999</v>
      </c>
      <c r="AK83" s="167">
        <f t="shared" si="107"/>
        <v>20227.5</v>
      </c>
      <c r="AL83" s="167">
        <f>+AB83*J83</f>
        <v>15740.7</v>
      </c>
      <c r="AM83" s="230">
        <f>+AB83-(AI83*K83/K85)</f>
        <v>-33.426630434782624</v>
      </c>
      <c r="AN83" s="339"/>
      <c r="AO83" s="340"/>
      <c r="AP83" s="167"/>
      <c r="AQ83" s="167"/>
      <c r="AR83" s="167"/>
      <c r="AS83" s="167"/>
      <c r="AT83" s="433">
        <f t="shared" ref="AT83" si="110">IF(AU83=0,"",AW83-(($AT$3*K83)+($AT$3*K83)*AU83)+AB82)</f>
        <v>39.625</v>
      </c>
      <c r="AU83" s="393">
        <v>1.5</v>
      </c>
      <c r="AW83" s="356">
        <v>779</v>
      </c>
      <c r="AY83" s="356">
        <f t="shared" ref="AY83" si="111">+AW83-AG83</f>
        <v>-65</v>
      </c>
    </row>
    <row r="84" spans="2:51" s="98" customFormat="1" ht="62.25" customHeight="1" x14ac:dyDescent="0.9">
      <c r="B84" s="125">
        <f>+B83</f>
        <v>18</v>
      </c>
      <c r="C84" s="373"/>
      <c r="D84" s="184"/>
      <c r="E84" s="111">
        <f>+B83</f>
        <v>18</v>
      </c>
      <c r="F84" s="374"/>
      <c r="G84" s="578" t="str">
        <f t="shared" si="108"/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25">
        <v>46</v>
      </c>
      <c r="N84" s="425">
        <v>46</v>
      </c>
      <c r="O84" s="425">
        <v>46</v>
      </c>
      <c r="P84" s="425">
        <v>46</v>
      </c>
      <c r="Q84" s="425">
        <v>46</v>
      </c>
      <c r="R84" s="425">
        <v>46</v>
      </c>
      <c r="S84" s="425">
        <v>46</v>
      </c>
      <c r="T84" s="425">
        <v>46</v>
      </c>
      <c r="U84" s="425"/>
      <c r="V84" s="425"/>
      <c r="W84" s="425"/>
      <c r="X84" s="160">
        <f t="shared" ref="X84" si="112">+IF(H84="l",IF(COUNTA(M83:W83)=AN85+0.75,AB83-K83*AN85,AB83-(K83*COUNTA(M83:W83))),IF(H84="s",0,IF(COUNTA(M83:W83)=AN85+0.75,SUMIF($C:$C,B83,$AB:$AB)-K83*AN85,SUMIF($C:$C,B83,$AB:$AB)-K83*COUNTA(M83:W83))))</f>
        <v>-29.25</v>
      </c>
      <c r="Y84" s="440"/>
      <c r="Z84" s="400"/>
      <c r="AA84" s="541"/>
      <c r="AB84" s="443">
        <f t="shared" ref="AB84:AB85" si="113">+SUM(M84:W84)-T84*0.75</f>
        <v>333.5</v>
      </c>
      <c r="AC84" s="138"/>
      <c r="AD84" s="138"/>
      <c r="AE84" s="442"/>
      <c r="AF84" s="440"/>
      <c r="AG84" s="115"/>
      <c r="AH84" s="116"/>
      <c r="AI84" s="157"/>
      <c r="AJ84" s="161">
        <f t="shared" si="106"/>
        <v>0</v>
      </c>
      <c r="AK84" s="167">
        <f t="shared" si="107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333.5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343">
        <f>+B83</f>
        <v>18</v>
      </c>
      <c r="C85" s="375"/>
      <c r="D85" s="378" t="s">
        <v>406</v>
      </c>
      <c r="E85" s="175">
        <f>+E84+100</f>
        <v>118</v>
      </c>
      <c r="F85" s="175"/>
      <c r="G85" s="579" t="str">
        <f t="shared" si="108"/>
        <v>2628-510-630</v>
      </c>
      <c r="H85" s="454">
        <f>+AC82-H83</f>
        <v>-2195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8">
        <v>1</v>
      </c>
      <c r="N85" s="428">
        <v>1</v>
      </c>
      <c r="O85" s="428">
        <v>1</v>
      </c>
      <c r="P85" s="428">
        <v>1</v>
      </c>
      <c r="Q85" s="428">
        <v>1</v>
      </c>
      <c r="R85" s="428">
        <v>1</v>
      </c>
      <c r="S85" s="428">
        <v>1</v>
      </c>
      <c r="T85" s="428">
        <v>1</v>
      </c>
      <c r="U85" s="428"/>
      <c r="V85" s="428"/>
      <c r="W85" s="428"/>
      <c r="X85" s="173"/>
      <c r="Y85" s="441"/>
      <c r="Z85" s="401">
        <v>40.950645170328073</v>
      </c>
      <c r="AA85" s="401">
        <v>40.950645170328073</v>
      </c>
      <c r="AB85" s="444">
        <f t="shared" si="113"/>
        <v>7.25</v>
      </c>
      <c r="AC85" s="139"/>
      <c r="AD85" s="139"/>
      <c r="AE85" s="441"/>
      <c r="AF85" s="441"/>
      <c r="AG85" s="119">
        <f>+IFERROR(AG83/(K83*$AT$3),"")</f>
        <v>1.819946091644205</v>
      </c>
      <c r="AH85" s="162"/>
      <c r="AI85" s="161"/>
      <c r="AJ85" s="161">
        <f t="shared" si="106"/>
        <v>0</v>
      </c>
      <c r="AK85" s="167">
        <f t="shared" si="107"/>
        <v>0</v>
      </c>
      <c r="AL85" s="167"/>
      <c r="AM85" s="230"/>
      <c r="AN85" s="342">
        <f>+$AM$4</f>
        <v>7.25</v>
      </c>
      <c r="AO85" s="340">
        <f>+IF(AN85=7.75,SUM(M85:S85)+T85*0.75,IF(AN85=8,SUM(M85:T85),IF(AN85=7.25,SUM(M85:S85)+T85*0.25,IF(AN85=8.25,SUM(M85:T85)+U85*0.25,IF(AN85=8.75,SUM(M85:T85)+U85*0.75,0)))))</f>
        <v>7.25</v>
      </c>
      <c r="AP85" s="167">
        <f>+AO85-AB85</f>
        <v>0</v>
      </c>
      <c r="AQ85" s="167"/>
      <c r="AR85" s="167"/>
      <c r="AS85" s="167"/>
      <c r="AT85" s="435"/>
      <c r="AU85" s="393"/>
      <c r="AW85" s="356">
        <v>1.6797843665768195</v>
      </c>
      <c r="AY85" s="356"/>
    </row>
    <row r="86" spans="2:51" s="98" customFormat="1" ht="62.25" customHeight="1" thickTop="1" x14ac:dyDescent="0.9">
      <c r="B86" s="127">
        <f>+B87</f>
        <v>20</v>
      </c>
      <c r="C86" s="370"/>
      <c r="D86" s="106"/>
      <c r="E86" s="106"/>
      <c r="F86" s="106"/>
      <c r="G86" s="577" t="s">
        <v>477</v>
      </c>
      <c r="H86" s="106"/>
      <c r="I86" s="106"/>
      <c r="J86" s="107" t="s">
        <v>20</v>
      </c>
      <c r="K86" s="108" t="s">
        <v>23</v>
      </c>
      <c r="L86" s="100" t="s">
        <v>21</v>
      </c>
      <c r="M86" s="423"/>
      <c r="N86" s="423"/>
      <c r="O86" s="423">
        <v>60</v>
      </c>
      <c r="P86" s="423">
        <v>60</v>
      </c>
      <c r="Q86" s="423">
        <v>60</v>
      </c>
      <c r="R86" s="423">
        <v>60</v>
      </c>
      <c r="S86" s="423"/>
      <c r="T86" s="423"/>
      <c r="U86" s="423"/>
      <c r="V86" s="423"/>
      <c r="W86" s="423"/>
      <c r="X86" s="135">
        <f t="shared" ref="X86" si="114">IF(AT87="","",SUM(M86:W86)-(-(AT87-SUM(M86:W86))/$AT$3)*SUM($M$2:$W$2))</f>
        <v>240</v>
      </c>
      <c r="Y86" s="438"/>
      <c r="Z86" s="400">
        <v>0</v>
      </c>
      <c r="AA86" s="540">
        <f>+X88</f>
        <v>-51</v>
      </c>
      <c r="AB86" s="135">
        <f t="shared" si="89"/>
        <v>240</v>
      </c>
      <c r="AC86" s="136">
        <f>+AD86+AB86</f>
        <v>1551</v>
      </c>
      <c r="AD86" s="136">
        <v>1311</v>
      </c>
      <c r="AE86" s="438"/>
      <c r="AF86" s="438"/>
      <c r="AG86" s="109"/>
      <c r="AH86" s="110"/>
      <c r="AI86" s="157"/>
      <c r="AJ86" s="161">
        <f t="shared" si="106"/>
        <v>0</v>
      </c>
      <c r="AK86" s="167">
        <f t="shared" si="107"/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20</v>
      </c>
      <c r="C87" s="371">
        <f>+B87</f>
        <v>20</v>
      </c>
      <c r="D87" s="372" t="s">
        <v>478</v>
      </c>
      <c r="E87" s="111"/>
      <c r="F87" s="111" t="s">
        <v>422</v>
      </c>
      <c r="G87" s="578" t="str">
        <f t="shared" si="108"/>
        <v>ADA-Turquaz</v>
      </c>
      <c r="H87" s="450">
        <v>2145</v>
      </c>
      <c r="I87" s="111" t="s">
        <v>252</v>
      </c>
      <c r="J87" s="113">
        <v>13.23</v>
      </c>
      <c r="K87" s="130">
        <v>40</v>
      </c>
      <c r="L87" s="101" t="s">
        <v>17</v>
      </c>
      <c r="M87" s="214"/>
      <c r="N87" s="214"/>
      <c r="O87" s="214"/>
      <c r="P87" s="214"/>
      <c r="Q87" s="214">
        <v>28</v>
      </c>
      <c r="R87" s="214">
        <v>40</v>
      </c>
      <c r="S87" s="214">
        <v>30</v>
      </c>
      <c r="T87" s="214">
        <v>11</v>
      </c>
      <c r="U87" s="214"/>
      <c r="V87" s="214"/>
      <c r="W87" s="214"/>
      <c r="X87" s="123">
        <f t="shared" ref="X87" si="115">+IF(H88="s",0,IF(AB87=0,0,IF(COUNTA(M87:W87)=AN89+0.75,SUMIF($C:$C,B87,$AB:$AB)/AN89,SUMIF($C:$C,B87,$AB:$AB)/(COUNTA(M87:W87)))))</f>
        <v>75.5</v>
      </c>
      <c r="Y87" s="439"/>
      <c r="Z87" s="400"/>
      <c r="AA87" s="541"/>
      <c r="AB87" s="134">
        <f t="shared" si="89"/>
        <v>109</v>
      </c>
      <c r="AC87" s="137">
        <f>+AB87+AD87</f>
        <v>109</v>
      </c>
      <c r="AD87" s="137">
        <v>0</v>
      </c>
      <c r="AE87" s="439">
        <v>0</v>
      </c>
      <c r="AF87" s="439">
        <f>+AE87+Y87</f>
        <v>0</v>
      </c>
      <c r="AG87" s="140">
        <f>+AC86-AC87</f>
        <v>1442</v>
      </c>
      <c r="AH87" s="131">
        <f>+IF(((AB88+(AB89/2))*60)=0,"",(J87*AB87)/((AB88+(AB89/2))*60))</f>
        <v>0.82877586206896547</v>
      </c>
      <c r="AI87" s="161">
        <f>+AB88+AB89/2</f>
        <v>29</v>
      </c>
      <c r="AJ87" s="161">
        <f t="shared" si="106"/>
        <v>29</v>
      </c>
      <c r="AK87" s="167">
        <f t="shared" si="107"/>
        <v>1740</v>
      </c>
      <c r="AL87" s="167">
        <f>+AB87*J87</f>
        <v>1442.07</v>
      </c>
      <c r="AM87" s="230">
        <f>+AB87-(AI87*K87/K89)</f>
        <v>3.5454545454545467</v>
      </c>
      <c r="AN87" s="339"/>
      <c r="AO87" s="340"/>
      <c r="AP87" s="167"/>
      <c r="AQ87" s="167"/>
      <c r="AR87" s="167"/>
      <c r="AS87" s="167"/>
      <c r="AT87" s="433">
        <f>-240+AB86</f>
        <v>0</v>
      </c>
      <c r="AU87" s="393">
        <v>1.5</v>
      </c>
      <c r="AW87" s="356">
        <v>1311</v>
      </c>
      <c r="AY87" s="356">
        <f t="shared" ref="AY87" si="116">+AW87-AG87</f>
        <v>-131</v>
      </c>
    </row>
    <row r="88" spans="2:51" s="98" customFormat="1" ht="62.25" customHeight="1" x14ac:dyDescent="0.9">
      <c r="B88" s="125">
        <f>+B87</f>
        <v>20</v>
      </c>
      <c r="C88" s="373"/>
      <c r="D88" s="184"/>
      <c r="E88" s="111">
        <f>+B87</f>
        <v>20</v>
      </c>
      <c r="F88" s="374"/>
      <c r="G88" s="578" t="str">
        <f t="shared" si="108"/>
        <v>ADA-Turquaz</v>
      </c>
      <c r="H88" s="376" t="s">
        <v>400</v>
      </c>
      <c r="I88" s="113">
        <f>+IFERROR(IF(K89=0,0,IF((LOOKUP(2,1/(M88:W88&lt;&gt;""),M88:W88)-K89)&lt;0,0,IF(K89=0,"",LOOKUP(2,1/(M88:W88&lt;&gt;""),M88:W88)-K89))),0)</f>
        <v>1</v>
      </c>
      <c r="J88" s="113"/>
      <c r="K88" s="114" t="s">
        <v>22</v>
      </c>
      <c r="L88" s="102" t="s">
        <v>18</v>
      </c>
      <c r="M88" s="451"/>
      <c r="N88" s="451"/>
      <c r="O88" s="451"/>
      <c r="P88" s="451"/>
      <c r="Q88" s="451">
        <v>2</v>
      </c>
      <c r="R88" s="451">
        <v>12</v>
      </c>
      <c r="S88" s="451">
        <v>12</v>
      </c>
      <c r="T88" s="451">
        <v>12</v>
      </c>
      <c r="U88" s="451"/>
      <c r="V88" s="451"/>
      <c r="W88" s="451"/>
      <c r="X88" s="160">
        <f t="shared" ref="X88" si="117">+IF(H88="l",IF(COUNTA(M87:W87)=AN89+0.75,AB87-K87*AN89,AB87-(K87*COUNTA(M87:W87))),IF(H88="s",0,IF(COUNTA(M87:W87)=AN89+0.75,SUMIF($C:$C,B87,$AB:$AB)-K87*AN89,SUMIF($C:$C,B87,$AB:$AB)-K87*COUNTA(M87:W87))))</f>
        <v>-51</v>
      </c>
      <c r="Y88" s="440"/>
      <c r="Z88" s="400"/>
      <c r="AA88" s="541"/>
      <c r="AB88" s="443">
        <f t="shared" ref="AB88:AB89" si="118">+SUM(M88:W88)-T88*0.75</f>
        <v>29</v>
      </c>
      <c r="AC88" s="138"/>
      <c r="AD88" s="138"/>
      <c r="AE88" s="442"/>
      <c r="AF88" s="440"/>
      <c r="AG88" s="115"/>
      <c r="AH88" s="116"/>
      <c r="AI88" s="157"/>
      <c r="AJ88" s="161">
        <f t="shared" si="106"/>
        <v>0</v>
      </c>
      <c r="AK88" s="167">
        <f t="shared" si="107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29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20</v>
      </c>
      <c r="C89" s="375"/>
      <c r="D89" s="378" t="s">
        <v>78</v>
      </c>
      <c r="E89" s="175">
        <f>+E88+100</f>
        <v>120</v>
      </c>
      <c r="F89" s="175"/>
      <c r="G89" s="579" t="str">
        <f t="shared" si="108"/>
        <v>ADA-Turquaz</v>
      </c>
      <c r="H89" s="454">
        <f>+AC86-H87</f>
        <v>-594</v>
      </c>
      <c r="I89" s="397"/>
      <c r="J89" s="165">
        <f>+IF(K89="","",IF(K87=0,"",(K87*J87)/(K89*60)))</f>
        <v>0.80181818181818187</v>
      </c>
      <c r="K89" s="118">
        <v>11</v>
      </c>
      <c r="L89" s="104" t="s">
        <v>19</v>
      </c>
      <c r="M89" s="428"/>
      <c r="N89" s="428"/>
      <c r="O89" s="428"/>
      <c r="P89" s="428"/>
      <c r="Q89" s="428"/>
      <c r="R89" s="428"/>
      <c r="S89" s="428"/>
      <c r="T89" s="428"/>
      <c r="U89" s="428"/>
      <c r="V89" s="428"/>
      <c r="W89" s="428"/>
      <c r="X89" s="173"/>
      <c r="Y89" s="441"/>
      <c r="Z89" s="401">
        <v>19.29</v>
      </c>
      <c r="AA89" s="169">
        <v>19.29</v>
      </c>
      <c r="AB89" s="444">
        <f t="shared" si="118"/>
        <v>0</v>
      </c>
      <c r="AC89" s="139"/>
      <c r="AD89" s="139"/>
      <c r="AE89" s="441"/>
      <c r="AF89" s="441"/>
      <c r="AG89" s="119">
        <f>+IFERROR(AG87/(K87*$AT$3),"")</f>
        <v>4.12</v>
      </c>
      <c r="AH89" s="162"/>
      <c r="AI89" s="161"/>
      <c r="AJ89" s="161">
        <f t="shared" si="106"/>
        <v>0</v>
      </c>
      <c r="AK89" s="167">
        <f t="shared" si="107"/>
        <v>0</v>
      </c>
      <c r="AL89" s="167"/>
      <c r="AM89" s="230"/>
      <c r="AN89" s="342">
        <f>+$AM$4</f>
        <v>7.25</v>
      </c>
      <c r="AO89" s="340">
        <f>+IF(AN89=7.75,SUM(M89:S89)+T89*0.75,IF(AN89=8,SUM(M89:T89),IF(AN89=7.25,SUM(M89:S89)+T89*0.25,IF(AN89=8.25,SUM(M89:T89)+U89*0.25,IF(AN89=8.75,SUM(M89:T89)+U89*0.75,0)))))</f>
        <v>0</v>
      </c>
      <c r="AP89" s="167">
        <f>+AO89-AB89</f>
        <v>0</v>
      </c>
      <c r="AQ89" s="167"/>
      <c r="AR89" s="167"/>
      <c r="AS89" s="167"/>
      <c r="AT89" s="435"/>
      <c r="AU89" s="393"/>
      <c r="AW89" s="356">
        <v>3.7457142857142856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77" t="s">
        <v>459</v>
      </c>
      <c r="H90" s="106"/>
      <c r="I90" s="106"/>
      <c r="J90" s="107" t="s">
        <v>20</v>
      </c>
      <c r="K90" s="108" t="s">
        <v>23</v>
      </c>
      <c r="L90" s="100" t="s">
        <v>21</v>
      </c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135" t="str">
        <f t="shared" ref="X90" si="119">IF(AT91="","",SUM(M90:W90)-(-(AT91-SUM(M90:W90))/$AT$3)*SUM($M$2:$W$2))</f>
        <v/>
      </c>
      <c r="Y90" s="438"/>
      <c r="Z90" s="400">
        <v>0</v>
      </c>
      <c r="AA90" s="540">
        <f>+X92</f>
        <v>-7</v>
      </c>
      <c r="AB90" s="135">
        <f t="shared" si="89"/>
        <v>0</v>
      </c>
      <c r="AC90" s="136">
        <f>+AD90+AB90</f>
        <v>2869</v>
      </c>
      <c r="AD90" s="136">
        <v>2869</v>
      </c>
      <c r="AE90" s="438"/>
      <c r="AF90" s="438"/>
      <c r="AG90" s="109"/>
      <c r="AH90" s="110"/>
      <c r="AI90" s="157"/>
      <c r="AJ90" s="161">
        <f t="shared" si="106"/>
        <v>0</v>
      </c>
      <c r="AK90" s="167">
        <f t="shared" si="107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460</v>
      </c>
      <c r="E91" s="111"/>
      <c r="F91" s="111" t="s">
        <v>422</v>
      </c>
      <c r="G91" s="578" t="str">
        <f t="shared" si="108"/>
        <v>ADA-PURPLE</v>
      </c>
      <c r="H91" s="450">
        <v>2869</v>
      </c>
      <c r="I91" s="111" t="s">
        <v>252</v>
      </c>
      <c r="J91" s="113">
        <v>13.23</v>
      </c>
      <c r="K91" s="130">
        <v>40</v>
      </c>
      <c r="L91" s="101" t="s">
        <v>17</v>
      </c>
      <c r="M91" s="214">
        <v>40</v>
      </c>
      <c r="N91" s="214">
        <v>40</v>
      </c>
      <c r="O91" s="214">
        <v>40</v>
      </c>
      <c r="P91" s="214">
        <v>40</v>
      </c>
      <c r="Q91" s="214">
        <v>33</v>
      </c>
      <c r="R91" s="214"/>
      <c r="S91" s="214"/>
      <c r="T91" s="214"/>
      <c r="U91" s="214"/>
      <c r="V91" s="214"/>
      <c r="W91" s="214"/>
      <c r="X91" s="123">
        <f t="shared" ref="X91" si="120">+IF(H92="s",0,IF(AB91=0,0,IF(COUNTA(M91:W91)=AN93+0.75,SUMIF($C:$C,B91,$AB:$AB)/AN93,SUMIF($C:$C,B91,$AB:$AB)/(COUNTA(M91:W91)))))</f>
        <v>60.4</v>
      </c>
      <c r="Y91" s="439"/>
      <c r="Z91" s="400"/>
      <c r="AA91" s="541"/>
      <c r="AB91" s="134">
        <f t="shared" si="89"/>
        <v>193</v>
      </c>
      <c r="AC91" s="137">
        <f>+AB91+AD91</f>
        <v>2862</v>
      </c>
      <c r="AD91" s="137">
        <v>2669</v>
      </c>
      <c r="AE91" s="439">
        <v>0</v>
      </c>
      <c r="AF91" s="439">
        <f>+AE91+Y91</f>
        <v>0</v>
      </c>
      <c r="AG91" s="140">
        <f>+AC90-AC91</f>
        <v>7</v>
      </c>
      <c r="AH91" s="131">
        <f>+IF(((AB92+(AB93/2))*60)=0,"",(J91*AB91)/((AB92+(AB93/2))*60))</f>
        <v>0.77375454545454536</v>
      </c>
      <c r="AI91" s="161">
        <f>+AB92+AB93/2</f>
        <v>55</v>
      </c>
      <c r="AJ91" s="161">
        <f t="shared" si="106"/>
        <v>55</v>
      </c>
      <c r="AK91" s="167">
        <f t="shared" si="107"/>
        <v>3300</v>
      </c>
      <c r="AL91" s="167">
        <f>+AB91*J91</f>
        <v>2553.39</v>
      </c>
      <c r="AM91" s="230">
        <f>+AB91-(AI91*K91/K93)</f>
        <v>-7</v>
      </c>
      <c r="AN91" s="339"/>
      <c r="AO91" s="340"/>
      <c r="AP91" s="167"/>
      <c r="AQ91" s="167"/>
      <c r="AR91" s="167"/>
      <c r="AS91" s="167"/>
      <c r="AT91" s="433" t="str">
        <f t="shared" ref="AT91" si="121">IF(AU91=0,"",AW91-(($AT$3*K91)+($AT$3*K91)*AU91)+AB90)</f>
        <v/>
      </c>
      <c r="AU91" s="393"/>
      <c r="AW91" s="356">
        <v>200</v>
      </c>
      <c r="AY91" s="356">
        <f t="shared" ref="AY91" si="122">+AW91-AG91</f>
        <v>193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78" t="str">
        <f t="shared" si="108"/>
        <v>ADA-PURPLE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>
        <v>11</v>
      </c>
      <c r="N92" s="451">
        <v>11</v>
      </c>
      <c r="O92" s="451">
        <v>11</v>
      </c>
      <c r="P92" s="451">
        <v>12</v>
      </c>
      <c r="Q92" s="451">
        <v>10</v>
      </c>
      <c r="R92" s="451"/>
      <c r="S92" s="451"/>
      <c r="T92" s="451"/>
      <c r="U92" s="451"/>
      <c r="V92" s="451"/>
      <c r="W92" s="451"/>
      <c r="X92" s="160">
        <f t="shared" ref="X92" si="123">+IF(H92="l",IF(COUNTA(M91:W91)=AN93+0.75,AB91-K91*AN93,AB91-(K91*COUNTA(M91:W91))),IF(H92="s",0,IF(COUNTA(M91:W91)=AN93+0.75,SUMIF($C:$C,B91,$AB:$AB)-K91*AN93,SUMIF($C:$C,B91,$AB:$AB)-K91*COUNTA(M91:W91))))</f>
        <v>-7</v>
      </c>
      <c r="Y92" s="440"/>
      <c r="Z92" s="400"/>
      <c r="AA92" s="541"/>
      <c r="AB92" s="443">
        <f t="shared" ref="AB92:AB93" si="124">+SUM(M92:W92)-T92*0.75</f>
        <v>55</v>
      </c>
      <c r="AC92" s="138"/>
      <c r="AD92" s="138"/>
      <c r="AE92" s="442"/>
      <c r="AF92" s="440"/>
      <c r="AG92" s="115"/>
      <c r="AH92" s="116"/>
      <c r="AI92" s="157"/>
      <c r="AJ92" s="161">
        <f t="shared" si="106"/>
        <v>0</v>
      </c>
      <c r="AK92" s="167">
        <f t="shared" si="107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55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79" t="str">
        <f t="shared" si="108"/>
        <v>ADA-PURPLE</v>
      </c>
      <c r="H93" s="454">
        <f>+AC90-H91</f>
        <v>0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124"/>
        <v>0</v>
      </c>
      <c r="AC93" s="139"/>
      <c r="AD93" s="139"/>
      <c r="AE93" s="441"/>
      <c r="AF93" s="441"/>
      <c r="AG93" s="119">
        <f>+IFERROR(AG91/(K91*$AT$3),"")</f>
        <v>0.02</v>
      </c>
      <c r="AH93" s="162"/>
      <c r="AI93" s="161"/>
      <c r="AJ93" s="161">
        <f t="shared" si="106"/>
        <v>0</v>
      </c>
      <c r="AK93" s="167">
        <f t="shared" si="107"/>
        <v>0</v>
      </c>
      <c r="AL93" s="167"/>
      <c r="AM93" s="230"/>
      <c r="AN93" s="342">
        <f>+$AM$4</f>
        <v>7.25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0.5714285714285714</v>
      </c>
      <c r="AY93" s="356"/>
    </row>
    <row r="94" spans="2:51" s="384" customFormat="1" ht="91.5" customHeight="1" thickTop="1" thickBot="1" x14ac:dyDescent="0.95">
      <c r="B94" s="379"/>
      <c r="C94" s="379"/>
      <c r="D94" s="380"/>
      <c r="E94" s="380"/>
      <c r="F94" s="380"/>
      <c r="G94" s="380"/>
      <c r="H94" s="380"/>
      <c r="I94" s="380"/>
      <c r="J94" s="380"/>
      <c r="K94" s="380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0"/>
      <c r="Y94" s="381"/>
      <c r="Z94" s="380"/>
      <c r="AA94" s="380"/>
      <c r="AB94" s="380"/>
      <c r="AC94" s="380"/>
      <c r="AD94" s="380"/>
      <c r="AE94" s="380"/>
      <c r="AF94" s="380"/>
      <c r="AG94" s="380"/>
      <c r="AH94" s="382"/>
      <c r="AI94" s="383"/>
      <c r="AJ94" s="383"/>
      <c r="AN94" s="385"/>
      <c r="AO94" s="386"/>
      <c r="AU94" s="394"/>
    </row>
    <row r="95" spans="2:51" s="384" customFormat="1" ht="91.5" customHeight="1" thickTop="1" thickBot="1" x14ac:dyDescent="0.95">
      <c r="B95" s="379"/>
      <c r="C95" s="379"/>
      <c r="D95" s="380"/>
      <c r="E95" s="380"/>
      <c r="F95" s="380"/>
      <c r="G95" s="380"/>
      <c r="H95" s="380"/>
      <c r="I95" s="380"/>
      <c r="J95" s="380"/>
      <c r="K95" s="380"/>
      <c r="L95" s="346" t="s">
        <v>21</v>
      </c>
      <c r="M95" s="166">
        <f t="shared" ref="M95:W95" si="125">+SUMIF($L$6:$L$94,$L$95,M6:M94)</f>
        <v>975</v>
      </c>
      <c r="N95" s="166">
        <f t="shared" si="125"/>
        <v>1100</v>
      </c>
      <c r="O95" s="166">
        <f t="shared" si="125"/>
        <v>1111</v>
      </c>
      <c r="P95" s="166">
        <f t="shared" si="125"/>
        <v>627</v>
      </c>
      <c r="Q95" s="166">
        <f t="shared" si="125"/>
        <v>440</v>
      </c>
      <c r="R95" s="166">
        <f t="shared" si="125"/>
        <v>395</v>
      </c>
      <c r="S95" s="166">
        <f t="shared" si="125"/>
        <v>150</v>
      </c>
      <c r="T95" s="166">
        <f t="shared" si="125"/>
        <v>0</v>
      </c>
      <c r="U95" s="166">
        <f t="shared" si="125"/>
        <v>0</v>
      </c>
      <c r="V95" s="166">
        <f t="shared" si="125"/>
        <v>0</v>
      </c>
      <c r="W95" s="166">
        <f t="shared" si="125"/>
        <v>0</v>
      </c>
      <c r="X95" s="332"/>
      <c r="Y95" s="223"/>
      <c r="Z95" s="332"/>
      <c r="AA95" s="575">
        <f>+SUM(M95:W95)</f>
        <v>4798</v>
      </c>
      <c r="AB95" s="576"/>
      <c r="AC95" s="380"/>
      <c r="AD95" s="380"/>
      <c r="AE95" s="380"/>
      <c r="AF95" s="380"/>
      <c r="AG95" s="380"/>
      <c r="AH95" s="382"/>
      <c r="AI95" s="383"/>
      <c r="AJ95" s="383"/>
      <c r="AN95" s="385"/>
      <c r="AU95" s="394"/>
    </row>
    <row r="96" spans="2:51" s="384" customFormat="1" ht="91.5" customHeight="1" thickTop="1" thickBot="1" x14ac:dyDescent="0.95">
      <c r="B96" s="379"/>
      <c r="C96" s="379"/>
      <c r="D96" s="380"/>
      <c r="E96" s="380"/>
      <c r="F96" s="380"/>
      <c r="G96" s="380"/>
      <c r="H96" s="380"/>
      <c r="I96" s="380"/>
      <c r="J96" s="380"/>
      <c r="K96" s="380"/>
      <c r="L96" s="347"/>
      <c r="M96" s="344"/>
      <c r="N96" s="344"/>
      <c r="O96" s="344"/>
      <c r="P96" s="344"/>
      <c r="Q96" s="344"/>
      <c r="R96" s="344"/>
      <c r="S96" s="344"/>
      <c r="T96" s="344"/>
      <c r="U96" s="344"/>
      <c r="V96" s="344"/>
      <c r="W96" s="344"/>
      <c r="X96" s="332"/>
      <c r="Y96" s="344"/>
      <c r="Z96" s="332"/>
      <c r="AA96" s="332"/>
      <c r="AB96" s="332"/>
      <c r="AC96" s="380"/>
      <c r="AD96" s="380"/>
      <c r="AE96" s="380"/>
      <c r="AF96" s="380"/>
      <c r="AG96" s="380"/>
      <c r="AH96" s="382"/>
      <c r="AI96" s="383"/>
      <c r="AJ96" s="383"/>
      <c r="AN96" s="385"/>
      <c r="AU96" s="394"/>
    </row>
    <row r="97" spans="2:47" s="384" customFormat="1" ht="91.5" customHeight="1" thickTop="1" thickBot="1" x14ac:dyDescent="0.95">
      <c r="B97" s="379"/>
      <c r="C97" s="379"/>
      <c r="D97" s="380"/>
      <c r="E97" s="380"/>
      <c r="F97" s="380"/>
      <c r="G97" s="380"/>
      <c r="H97" s="380"/>
      <c r="I97" s="380"/>
      <c r="J97" s="380"/>
      <c r="K97" s="380"/>
      <c r="L97" s="346" t="s">
        <v>17</v>
      </c>
      <c r="M97" s="166">
        <f t="shared" ref="M97:W97" si="126">+SUMIF($L$6:$L$94,$L$97,M6:M94)</f>
        <v>724</v>
      </c>
      <c r="N97" s="166">
        <f t="shared" si="126"/>
        <v>761</v>
      </c>
      <c r="O97" s="166">
        <f t="shared" si="126"/>
        <v>805</v>
      </c>
      <c r="P97" s="166">
        <f t="shared" si="126"/>
        <v>765</v>
      </c>
      <c r="Q97" s="166">
        <f t="shared" si="126"/>
        <v>782</v>
      </c>
      <c r="R97" s="166">
        <f t="shared" si="126"/>
        <v>780</v>
      </c>
      <c r="S97" s="166">
        <f t="shared" si="126"/>
        <v>741</v>
      </c>
      <c r="T97" s="166">
        <f t="shared" si="126"/>
        <v>217</v>
      </c>
      <c r="U97" s="166">
        <f t="shared" si="126"/>
        <v>0</v>
      </c>
      <c r="V97" s="166">
        <f t="shared" si="126"/>
        <v>0</v>
      </c>
      <c r="W97" s="166">
        <f t="shared" si="126"/>
        <v>0</v>
      </c>
      <c r="X97" s="332"/>
      <c r="Y97" s="223"/>
      <c r="Z97" s="332"/>
      <c r="AA97" s="575">
        <f>+SUM(M97:W97)</f>
        <v>5575</v>
      </c>
      <c r="AB97" s="576"/>
      <c r="AC97" s="380"/>
      <c r="AD97" s="380"/>
      <c r="AE97" s="380"/>
      <c r="AF97" s="380"/>
      <c r="AG97" s="380"/>
      <c r="AH97" s="382"/>
      <c r="AI97" s="383"/>
      <c r="AJ97" s="383"/>
      <c r="AN97" s="385"/>
      <c r="AU97" s="394"/>
    </row>
    <row r="98" spans="2:47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47"/>
      <c r="M98" s="344"/>
      <c r="N98" s="344"/>
      <c r="O98" s="344"/>
      <c r="P98" s="344"/>
      <c r="Q98" s="344"/>
      <c r="R98" s="344"/>
      <c r="S98" s="344"/>
      <c r="T98" s="344"/>
      <c r="U98" s="344"/>
      <c r="V98" s="344"/>
      <c r="W98" s="344"/>
      <c r="X98" s="332"/>
      <c r="Y98" s="344"/>
      <c r="Z98" s="332"/>
      <c r="AA98" s="332"/>
      <c r="AB98" s="332"/>
      <c r="AC98" s="380"/>
      <c r="AD98" s="380"/>
      <c r="AE98" s="380"/>
      <c r="AF98" s="380"/>
      <c r="AG98" s="380"/>
      <c r="AH98" s="382"/>
      <c r="AI98" s="383"/>
      <c r="AJ98" s="383"/>
      <c r="AN98" s="385"/>
      <c r="AU98" s="394"/>
    </row>
    <row r="99" spans="2:47" s="384" customFormat="1" ht="91.5" customHeight="1" thickTop="1" thickBot="1" x14ac:dyDescent="0.95">
      <c r="B99" s="379"/>
      <c r="C99" s="379"/>
      <c r="D99" s="387"/>
      <c r="E99" s="387"/>
      <c r="F99" s="387"/>
      <c r="G99" s="387"/>
      <c r="H99" s="387"/>
      <c r="I99" s="387"/>
      <c r="J99" s="388"/>
      <c r="K99" s="387"/>
      <c r="L99" s="346" t="s">
        <v>19</v>
      </c>
      <c r="M99" s="166">
        <f t="shared" ref="M99:W99" si="127">+SUMIF($L$6:$L$94,$L$99,M6:M94)</f>
        <v>14</v>
      </c>
      <c r="N99" s="166">
        <f t="shared" si="127"/>
        <v>15</v>
      </c>
      <c r="O99" s="166">
        <f t="shared" si="127"/>
        <v>15</v>
      </c>
      <c r="P99" s="166">
        <f t="shared" si="127"/>
        <v>15</v>
      </c>
      <c r="Q99" s="166">
        <f t="shared" si="127"/>
        <v>15</v>
      </c>
      <c r="R99" s="166">
        <f t="shared" si="127"/>
        <v>15</v>
      </c>
      <c r="S99" s="166">
        <f t="shared" si="127"/>
        <v>15</v>
      </c>
      <c r="T99" s="166">
        <f t="shared" si="127"/>
        <v>15</v>
      </c>
      <c r="U99" s="166">
        <f t="shared" si="127"/>
        <v>0</v>
      </c>
      <c r="V99" s="166">
        <f t="shared" si="127"/>
        <v>0</v>
      </c>
      <c r="W99" s="166">
        <f t="shared" si="127"/>
        <v>0</v>
      </c>
      <c r="X99" s="348"/>
      <c r="Y99" s="223"/>
      <c r="Z99" s="348"/>
      <c r="AA99" s="332"/>
      <c r="AB99" s="332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47" s="384" customFormat="1" ht="62.25" customHeight="1" thickTop="1" x14ac:dyDescent="0.9">
      <c r="B100" s="379"/>
      <c r="C100" s="379"/>
      <c r="D100" s="387"/>
      <c r="E100" s="387"/>
      <c r="F100" s="387"/>
      <c r="G100" s="387"/>
      <c r="H100" s="387"/>
      <c r="I100" s="389"/>
      <c r="J100" s="388"/>
      <c r="K100" s="387"/>
      <c r="L100" s="347"/>
      <c r="M100" s="349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32"/>
      <c r="Y100" s="345"/>
      <c r="Z100" s="332"/>
      <c r="AA100" s="332"/>
      <c r="AB100" s="332"/>
      <c r="AC100" s="380"/>
      <c r="AD100" s="380"/>
      <c r="AE100" s="380"/>
      <c r="AF100" s="380"/>
      <c r="AG100" s="390"/>
      <c r="AH100" s="382"/>
      <c r="AI100" s="383"/>
      <c r="AJ100" s="383"/>
      <c r="AN100" s="385"/>
      <c r="AU100" s="394"/>
    </row>
    <row r="101" spans="2:47" s="98" customFormat="1" ht="62.25" customHeight="1" thickBot="1" x14ac:dyDescent="0.95">
      <c r="B101" s="94"/>
      <c r="C101" s="94"/>
      <c r="D101" s="92"/>
      <c r="E101" s="92"/>
      <c r="F101" s="92"/>
      <c r="G101" s="92"/>
      <c r="H101" s="92"/>
      <c r="I101" s="91"/>
      <c r="J101" s="93"/>
      <c r="K101" s="92"/>
      <c r="L101" s="35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91"/>
      <c r="AD101" s="91"/>
      <c r="AE101" s="91"/>
      <c r="AF101" s="91"/>
      <c r="AG101" s="91"/>
      <c r="AH101" s="95"/>
      <c r="AI101" s="158"/>
      <c r="AJ101" s="158"/>
      <c r="AN101" s="183"/>
      <c r="AU101" s="393"/>
    </row>
    <row r="102" spans="2:47" s="98" customFormat="1" ht="88.5" customHeight="1" thickTop="1" thickBot="1" x14ac:dyDescent="0.95">
      <c r="B102" s="94"/>
      <c r="C102" s="94"/>
      <c r="D102" s="92"/>
      <c r="E102" s="92"/>
      <c r="F102" s="92"/>
      <c r="G102" s="92"/>
      <c r="H102" s="92"/>
      <c r="I102" s="91"/>
      <c r="J102" s="93"/>
      <c r="K102" s="212" t="s">
        <v>18</v>
      </c>
      <c r="L102" s="351" t="s">
        <v>180</v>
      </c>
      <c r="M102" s="166">
        <f t="shared" ref="M102:W102" si="128">+IF(M105=0,0,SUMIFS($J$6:$J$94,$L$6:$L$94,$K$102))</f>
        <v>4</v>
      </c>
      <c r="N102" s="166">
        <f t="shared" si="128"/>
        <v>4</v>
      </c>
      <c r="O102" s="166">
        <f t="shared" si="128"/>
        <v>4</v>
      </c>
      <c r="P102" s="166">
        <f t="shared" si="128"/>
        <v>4</v>
      </c>
      <c r="Q102" s="166">
        <f t="shared" si="128"/>
        <v>4</v>
      </c>
      <c r="R102" s="166">
        <f t="shared" si="128"/>
        <v>4</v>
      </c>
      <c r="S102" s="166">
        <f t="shared" si="128"/>
        <v>4</v>
      </c>
      <c r="T102" s="166">
        <f t="shared" si="128"/>
        <v>4</v>
      </c>
      <c r="U102" s="166">
        <f t="shared" si="128"/>
        <v>0</v>
      </c>
      <c r="V102" s="166">
        <f t="shared" si="128"/>
        <v>0</v>
      </c>
      <c r="W102" s="166">
        <f t="shared" si="128"/>
        <v>0</v>
      </c>
      <c r="X102" s="2"/>
      <c r="Y102" s="223"/>
      <c r="Z102" s="2"/>
      <c r="AA102" s="1"/>
      <c r="AB102" s="1"/>
      <c r="AC102" s="91"/>
      <c r="AD102" s="91"/>
      <c r="AE102" s="91"/>
      <c r="AF102" s="91"/>
      <c r="AG102" s="91"/>
      <c r="AH102" s="95"/>
      <c r="AI102" s="158"/>
      <c r="AJ102" s="158"/>
      <c r="AN102" s="183"/>
      <c r="AU102" s="393"/>
    </row>
    <row r="103" spans="2:47" s="98" customFormat="1" ht="62.25" customHeight="1" thickTop="1" x14ac:dyDescent="0.9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50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1"/>
      <c r="Y103" s="352"/>
      <c r="Z103" s="1"/>
      <c r="AA103" s="1"/>
      <c r="AB103" s="1"/>
      <c r="AC103" s="91"/>
      <c r="AD103" s="91"/>
      <c r="AE103" s="91"/>
      <c r="AF103" s="91"/>
      <c r="AG103" s="91"/>
      <c r="AH103" s="95"/>
      <c r="AI103" s="158"/>
      <c r="AJ103" s="158"/>
      <c r="AN103" s="183"/>
      <c r="AU103" s="393"/>
    </row>
    <row r="104" spans="2:47" s="98" customFormat="1" ht="62.25" customHeight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212"/>
      <c r="L104" s="350"/>
      <c r="M104" s="1"/>
      <c r="N104" s="1"/>
      <c r="O104" s="1"/>
      <c r="P104" s="1"/>
      <c r="Q104" s="353"/>
      <c r="R104" s="353"/>
      <c r="S104" s="353"/>
      <c r="T104" s="353"/>
      <c r="U104" s="353"/>
      <c r="V104" s="353"/>
      <c r="W104" s="353"/>
      <c r="X104" s="1"/>
      <c r="Y104" s="353"/>
      <c r="Z104" s="1"/>
      <c r="AA104" s="1"/>
      <c r="AB104" s="1"/>
      <c r="AC104" s="91"/>
      <c r="AD104" s="91"/>
      <c r="AE104" s="91"/>
      <c r="AF104" s="91"/>
      <c r="AG104" s="91"/>
      <c r="AH104" s="95"/>
      <c r="AI104" s="158"/>
      <c r="AJ104" s="158"/>
      <c r="AN104" s="183"/>
      <c r="AU104" s="393"/>
    </row>
    <row r="105" spans="2:47" s="98" customFormat="1" ht="98.25" customHeight="1" thickTop="1" thickBot="1" x14ac:dyDescent="0.95">
      <c r="B105" s="94"/>
      <c r="C105" s="94"/>
      <c r="D105" s="92"/>
      <c r="E105" s="92"/>
      <c r="F105" s="92"/>
      <c r="G105" s="92"/>
      <c r="H105" s="92"/>
      <c r="I105" s="92"/>
      <c r="J105" s="93"/>
      <c r="K105" s="212"/>
      <c r="L105" s="351" t="s">
        <v>18</v>
      </c>
      <c r="M105" s="166">
        <f t="shared" ref="M105:W105" si="129">+SUMIF($L$6:$L$94,$L$105,M6:M94)</f>
        <v>740</v>
      </c>
      <c r="N105" s="166">
        <f t="shared" si="129"/>
        <v>741</v>
      </c>
      <c r="O105" s="166">
        <f t="shared" si="129"/>
        <v>736</v>
      </c>
      <c r="P105" s="166">
        <f t="shared" si="129"/>
        <v>736</v>
      </c>
      <c r="Q105" s="166">
        <f t="shared" si="129"/>
        <v>734</v>
      </c>
      <c r="R105" s="166">
        <f t="shared" si="129"/>
        <v>734</v>
      </c>
      <c r="S105" s="166">
        <f t="shared" si="129"/>
        <v>734</v>
      </c>
      <c r="T105" s="166">
        <f t="shared" si="129"/>
        <v>734</v>
      </c>
      <c r="U105" s="166">
        <f t="shared" si="129"/>
        <v>0</v>
      </c>
      <c r="V105" s="166">
        <f t="shared" si="129"/>
        <v>0</v>
      </c>
      <c r="W105" s="166">
        <f t="shared" si="129"/>
        <v>0</v>
      </c>
      <c r="X105" s="1"/>
      <c r="Y105" s="223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47" s="98" customFormat="1" ht="62.25" customHeight="1" thickTop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212"/>
      <c r="L106" s="350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1"/>
      <c r="Y106" s="354"/>
      <c r="Z106" s="1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47" s="98" customFormat="1" ht="62.25" customHeight="1" thickBot="1" x14ac:dyDescent="0.95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1"/>
      <c r="N107" s="1"/>
      <c r="O107" s="1"/>
      <c r="P107" s="1"/>
      <c r="Q107" s="353"/>
      <c r="R107" s="353"/>
      <c r="S107" s="353"/>
      <c r="T107" s="353"/>
      <c r="U107" s="353"/>
      <c r="V107" s="353"/>
      <c r="W107" s="353"/>
      <c r="X107" s="1"/>
      <c r="Y107" s="353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47" s="98" customFormat="1" ht="94.5" customHeight="1" thickTop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351" t="s">
        <v>13</v>
      </c>
      <c r="M108" s="166">
        <f>+M105+M102+M99</f>
        <v>758</v>
      </c>
      <c r="N108" s="166">
        <f t="shared" ref="N108:W108" si="130">+N105+N102+N99</f>
        <v>760</v>
      </c>
      <c r="O108" s="166">
        <f t="shared" si="130"/>
        <v>755</v>
      </c>
      <c r="P108" s="166">
        <f t="shared" si="130"/>
        <v>755</v>
      </c>
      <c r="Q108" s="166">
        <f t="shared" si="130"/>
        <v>753</v>
      </c>
      <c r="R108" s="166">
        <f t="shared" si="130"/>
        <v>753</v>
      </c>
      <c r="S108" s="166">
        <f t="shared" si="130"/>
        <v>753</v>
      </c>
      <c r="T108" s="166">
        <f t="shared" si="130"/>
        <v>753</v>
      </c>
      <c r="U108" s="166">
        <f t="shared" si="130"/>
        <v>0</v>
      </c>
      <c r="V108" s="166">
        <f t="shared" si="130"/>
        <v>0</v>
      </c>
      <c r="W108" s="166">
        <f t="shared" si="130"/>
        <v>0</v>
      </c>
      <c r="X108" s="1"/>
      <c r="Y108" s="223"/>
      <c r="Z108" s="1"/>
      <c r="AA108" s="1"/>
      <c r="AB108" s="1"/>
      <c r="AC108" s="91"/>
      <c r="AD108" s="91"/>
      <c r="AE108" s="91"/>
      <c r="AF108" s="91"/>
      <c r="AG108" s="91"/>
      <c r="AH108" s="95"/>
      <c r="AI108" s="155"/>
      <c r="AJ108" s="155"/>
      <c r="AN108" s="183"/>
      <c r="AU108" s="393"/>
    </row>
    <row r="109" spans="2:47" s="98" customFormat="1" ht="62.25" thickTop="1" x14ac:dyDescent="0.9">
      <c r="B109" s="94"/>
      <c r="C109" s="94"/>
      <c r="D109" s="92"/>
      <c r="E109" s="92"/>
      <c r="F109" s="92"/>
      <c r="G109" s="92"/>
      <c r="H109" s="92"/>
      <c r="I109" s="92"/>
      <c r="J109" s="93"/>
      <c r="K109" s="92"/>
      <c r="L109" s="35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47" x14ac:dyDescent="0.9">
      <c r="J110" s="91"/>
      <c r="K110" s="91"/>
      <c r="T110" s="544"/>
      <c r="U110" s="544"/>
      <c r="V110" s="544"/>
      <c r="AI110" s="158"/>
      <c r="AJ110" s="158"/>
    </row>
    <row r="111" spans="2:47" ht="105" customHeight="1" x14ac:dyDescent="0.9">
      <c r="B111" s="391"/>
      <c r="AI111" s="158"/>
      <c r="AJ111" s="158"/>
    </row>
    <row r="112" spans="2:47" s="98" customFormat="1" x14ac:dyDescent="0.9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5"/>
      <c r="AI112" s="158"/>
      <c r="AJ112" s="158"/>
      <c r="AN112" s="183"/>
      <c r="AU112" s="393"/>
    </row>
    <row r="113" spans="2:47" s="98" customFormat="1" x14ac:dyDescent="0.9">
      <c r="B113" s="94"/>
      <c r="C113" s="94"/>
      <c r="D113" s="92"/>
      <c r="E113" s="92"/>
      <c r="F113" s="92"/>
      <c r="G113" s="92"/>
      <c r="H113" s="92"/>
      <c r="I113" s="91"/>
      <c r="J113" s="93"/>
      <c r="K113" s="92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s="98" customFormat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92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5"/>
      <c r="AI114" s="158"/>
      <c r="AJ114" s="158"/>
      <c r="AN114" s="183"/>
      <c r="AU114" s="393"/>
    </row>
    <row r="115" spans="2:47" s="98" customFormat="1" ht="66" customHeight="1" x14ac:dyDescent="0.9">
      <c r="B115" s="94"/>
      <c r="C115" s="94"/>
      <c r="D115" s="92"/>
      <c r="E115" s="92"/>
      <c r="F115" s="92"/>
      <c r="G115" s="92"/>
      <c r="H115" s="92"/>
      <c r="I115" s="92"/>
      <c r="J115" s="93"/>
      <c r="K115" s="92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5"/>
      <c r="AI115" s="158"/>
      <c r="AJ115" s="158"/>
      <c r="AN115" s="183"/>
      <c r="AU115" s="393"/>
    </row>
    <row r="117" spans="2:47" s="92" customFormat="1" x14ac:dyDescent="0.7">
      <c r="B117" s="94"/>
      <c r="C117" s="94"/>
      <c r="D117" s="92">
        <v>2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5"/>
      <c r="AJ117" s="155"/>
      <c r="AK117" s="98"/>
      <c r="AL117" s="98"/>
      <c r="AM117" s="98"/>
      <c r="AN117" s="183"/>
      <c r="AO117" s="91"/>
      <c r="AP117" s="91"/>
      <c r="AU117" s="243"/>
    </row>
    <row r="118" spans="2:47" s="92" customFormat="1" x14ac:dyDescent="0.7">
      <c r="B118" s="94"/>
      <c r="C118" s="94"/>
      <c r="H118" s="92">
        <v>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5"/>
      <c r="AJ118" s="155"/>
      <c r="AK118" s="98"/>
      <c r="AL118" s="98"/>
      <c r="AM118" s="98"/>
      <c r="AN118" s="183"/>
      <c r="AO118" s="91"/>
      <c r="AP118" s="91"/>
      <c r="AU118" s="243"/>
    </row>
    <row r="119" spans="2:47" s="92" customFormat="1" x14ac:dyDescent="0.7">
      <c r="B119" s="94"/>
      <c r="C119" s="94"/>
      <c r="H119" s="92">
        <v>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5"/>
      <c r="AJ119" s="155"/>
      <c r="AK119" s="98"/>
      <c r="AL119" s="98"/>
      <c r="AM119" s="98"/>
      <c r="AN119" s="183"/>
      <c r="AO119" s="91"/>
      <c r="AP119" s="91"/>
      <c r="AU119" s="243"/>
    </row>
    <row r="120" spans="2:47" s="92" customFormat="1" x14ac:dyDescent="0.7">
      <c r="B120" s="94"/>
      <c r="C120" s="94"/>
      <c r="H120" s="92">
        <v>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5"/>
      <c r="AJ120" s="155"/>
      <c r="AK120" s="98"/>
      <c r="AL120" s="98"/>
      <c r="AM120" s="98"/>
      <c r="AN120" s="183"/>
      <c r="AO120" s="91"/>
      <c r="AP120" s="91"/>
      <c r="AU120" s="243"/>
    </row>
    <row r="121" spans="2:47" s="92" customFormat="1" x14ac:dyDescent="0.7">
      <c r="B121" s="94"/>
      <c r="C121" s="94"/>
      <c r="H121" s="92">
        <v>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6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7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8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11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12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13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14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17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18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19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89" spans="2:47" s="92" customFormat="1" x14ac:dyDescent="0.7">
      <c r="B189" s="94"/>
      <c r="C189" s="94"/>
      <c r="G189" s="92">
        <v>1</v>
      </c>
      <c r="J189" s="93"/>
      <c r="L189" s="99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5"/>
      <c r="AI189" s="155"/>
      <c r="AJ189" s="155"/>
      <c r="AK189" s="98"/>
      <c r="AL189" s="98"/>
      <c r="AM189" s="98"/>
      <c r="AN189" s="183"/>
      <c r="AO189" s="91"/>
      <c r="AP189" s="91"/>
      <c r="AU189" s="243"/>
    </row>
  </sheetData>
  <autoFilter ref="A5:CT81">
    <filterColumn colId="9" showButton="0"/>
  </autoFilter>
  <mergeCells count="63">
    <mergeCell ref="AZ7:BI7"/>
    <mergeCell ref="G10:G13"/>
    <mergeCell ref="AA10:AA12"/>
    <mergeCell ref="AZ11:BI11"/>
    <mergeCell ref="AG1:AH1"/>
    <mergeCell ref="AG2:AH3"/>
    <mergeCell ref="H3:I3"/>
    <mergeCell ref="K3:L3"/>
    <mergeCell ref="B4:G4"/>
    <mergeCell ref="K4:L4"/>
    <mergeCell ref="AG4:AH4"/>
    <mergeCell ref="G22:G25"/>
    <mergeCell ref="AA22:AA24"/>
    <mergeCell ref="J5:K5"/>
    <mergeCell ref="G6:G9"/>
    <mergeCell ref="AA6:AA8"/>
    <mergeCell ref="G14:G17"/>
    <mergeCell ref="AA14:AA16"/>
    <mergeCell ref="AZ15:BI15"/>
    <mergeCell ref="G18:G21"/>
    <mergeCell ref="AA18:AA20"/>
    <mergeCell ref="G46:G49"/>
    <mergeCell ref="AA46:AA48"/>
    <mergeCell ref="G26:G29"/>
    <mergeCell ref="AA26:AA28"/>
    <mergeCell ref="G30:G33"/>
    <mergeCell ref="AA30:AA32"/>
    <mergeCell ref="G34:G37"/>
    <mergeCell ref="AA34:AA36"/>
    <mergeCell ref="AZ35:BI35"/>
    <mergeCell ref="G38:G41"/>
    <mergeCell ref="AA38:AA40"/>
    <mergeCell ref="G42:G45"/>
    <mergeCell ref="AA42:AA44"/>
    <mergeCell ref="G50:G53"/>
    <mergeCell ref="AA50:AA52"/>
    <mergeCell ref="G54:G57"/>
    <mergeCell ref="AA54:AA56"/>
    <mergeCell ref="G58:G61"/>
    <mergeCell ref="AA58:AA60"/>
    <mergeCell ref="G62:G65"/>
    <mergeCell ref="AA62:AA64"/>
    <mergeCell ref="AZ63:BI63"/>
    <mergeCell ref="G66:G69"/>
    <mergeCell ref="AA66:AA68"/>
    <mergeCell ref="AZ67:BJ67"/>
    <mergeCell ref="G70:G73"/>
    <mergeCell ref="AA70:AA72"/>
    <mergeCell ref="AZ71:BJ71"/>
    <mergeCell ref="G74:G77"/>
    <mergeCell ref="AA74:AA76"/>
    <mergeCell ref="AZ75:BJ75"/>
    <mergeCell ref="G78:G81"/>
    <mergeCell ref="AA78:AA80"/>
    <mergeCell ref="G82:G85"/>
    <mergeCell ref="AA82:AA84"/>
    <mergeCell ref="G86:G89"/>
    <mergeCell ref="AA86:AA88"/>
    <mergeCell ref="G90:G93"/>
    <mergeCell ref="AA90:AA92"/>
    <mergeCell ref="AA95:AB95"/>
    <mergeCell ref="AA97:AB97"/>
    <mergeCell ref="T110:V110"/>
  </mergeCells>
  <conditionalFormatting sqref="I8">
    <cfRule type="cellIs" dxfId="1206" priority="67" operator="greaterThan">
      <formula>0</formula>
    </cfRule>
  </conditionalFormatting>
  <conditionalFormatting sqref="I12">
    <cfRule type="cellIs" dxfId="1205" priority="51" operator="greaterThan">
      <formula>0</formula>
    </cfRule>
  </conditionalFormatting>
  <conditionalFormatting sqref="I16">
    <cfRule type="cellIs" dxfId="1204" priority="107" operator="greaterThan">
      <formula>0</formula>
    </cfRule>
  </conditionalFormatting>
  <conditionalFormatting sqref="I20">
    <cfRule type="cellIs" dxfId="1203" priority="124" operator="greaterThan">
      <formula>0</formula>
    </cfRule>
  </conditionalFormatting>
  <conditionalFormatting sqref="I28">
    <cfRule type="cellIs" dxfId="1202" priority="133" operator="greaterThan">
      <formula>0</formula>
    </cfRule>
  </conditionalFormatting>
  <conditionalFormatting sqref="I32">
    <cfRule type="cellIs" dxfId="1201" priority="103" operator="greaterThan">
      <formula>0</formula>
    </cfRule>
  </conditionalFormatting>
  <conditionalFormatting sqref="I36">
    <cfRule type="cellIs" dxfId="1200" priority="87" operator="greaterThan">
      <formula>0</formula>
    </cfRule>
  </conditionalFormatting>
  <conditionalFormatting sqref="I40">
    <cfRule type="cellIs" dxfId="1199" priority="112" operator="greaterThan">
      <formula>0</formula>
    </cfRule>
  </conditionalFormatting>
  <conditionalFormatting sqref="I44">
    <cfRule type="cellIs" dxfId="1198" priority="139" operator="greaterThan">
      <formula>0</formula>
    </cfRule>
  </conditionalFormatting>
  <conditionalFormatting sqref="I52">
    <cfRule type="cellIs" dxfId="1197" priority="129" operator="greaterThan">
      <formula>0</formula>
    </cfRule>
  </conditionalFormatting>
  <conditionalFormatting sqref="I56">
    <cfRule type="cellIs" dxfId="1196" priority="56" operator="greaterThan">
      <formula>0</formula>
    </cfRule>
  </conditionalFormatting>
  <conditionalFormatting sqref="I60">
    <cfRule type="cellIs" dxfId="1195" priority="76" operator="greaterThan">
      <formula>0</formula>
    </cfRule>
  </conditionalFormatting>
  <conditionalFormatting sqref="I64">
    <cfRule type="cellIs" dxfId="1194" priority="69" operator="greaterThan">
      <formula>0</formula>
    </cfRule>
  </conditionalFormatting>
  <conditionalFormatting sqref="I68">
    <cfRule type="cellIs" dxfId="1193" priority="93" operator="greaterThan">
      <formula>0</formula>
    </cfRule>
  </conditionalFormatting>
  <conditionalFormatting sqref="I72">
    <cfRule type="cellIs" dxfId="1192" priority="61" operator="greaterThan">
      <formula>0</formula>
    </cfRule>
  </conditionalFormatting>
  <conditionalFormatting sqref="I80">
    <cfRule type="cellIs" dxfId="1191" priority="116" operator="greaterThan">
      <formula>0</formula>
    </cfRule>
  </conditionalFormatting>
  <conditionalFormatting sqref="I84">
    <cfRule type="cellIs" dxfId="1190" priority="122" operator="greaterThan">
      <formula>0</formula>
    </cfRule>
  </conditionalFormatting>
  <conditionalFormatting sqref="I92">
    <cfRule type="cellIs" dxfId="1189" priority="82" operator="greaterThan">
      <formula>0</formula>
    </cfRule>
  </conditionalFormatting>
  <conditionalFormatting sqref="J8">
    <cfRule type="cellIs" dxfId="1188" priority="46" operator="greaterThan">
      <formula>0</formula>
    </cfRule>
  </conditionalFormatting>
  <conditionalFormatting sqref="J12">
    <cfRule type="cellIs" dxfId="1187" priority="47" operator="greaterThan">
      <formula>0</formula>
    </cfRule>
  </conditionalFormatting>
  <conditionalFormatting sqref="J16">
    <cfRule type="cellIs" dxfId="1186" priority="106" operator="greaterThan">
      <formula>0</formula>
    </cfRule>
  </conditionalFormatting>
  <conditionalFormatting sqref="J20">
    <cfRule type="cellIs" dxfId="1185" priority="125" operator="greaterThan">
      <formula>0</formula>
    </cfRule>
  </conditionalFormatting>
  <conditionalFormatting sqref="J28">
    <cfRule type="cellIs" dxfId="1184" priority="99" operator="greaterThan">
      <formula>0</formula>
    </cfRule>
  </conditionalFormatting>
  <conditionalFormatting sqref="J32">
    <cfRule type="cellIs" dxfId="1183" priority="100" operator="greaterThan">
      <formula>0</formula>
    </cfRule>
  </conditionalFormatting>
  <conditionalFormatting sqref="J36">
    <cfRule type="cellIs" dxfId="1182" priority="84" operator="greaterThan">
      <formula>0</formula>
    </cfRule>
  </conditionalFormatting>
  <conditionalFormatting sqref="J40">
    <cfRule type="cellIs" dxfId="1181" priority="110" operator="greaterThan">
      <formula>0</formula>
    </cfRule>
  </conditionalFormatting>
  <conditionalFormatting sqref="J44">
    <cfRule type="cellIs" dxfId="1180" priority="137" operator="greaterThan">
      <formula>0</formula>
    </cfRule>
  </conditionalFormatting>
  <conditionalFormatting sqref="J52">
    <cfRule type="cellIs" dxfId="1179" priority="98" operator="greaterThan">
      <formula>0</formula>
    </cfRule>
  </conditionalFormatting>
  <conditionalFormatting sqref="J56">
    <cfRule type="cellIs" dxfId="1178" priority="54" operator="greaterThan">
      <formula>0</formula>
    </cfRule>
  </conditionalFormatting>
  <conditionalFormatting sqref="J60">
    <cfRule type="cellIs" dxfId="1177" priority="73" operator="greaterThan">
      <formula>0</formula>
    </cfRule>
  </conditionalFormatting>
  <conditionalFormatting sqref="J64">
    <cfRule type="cellIs" dxfId="1176" priority="68" operator="greaterThan">
      <formula>0</formula>
    </cfRule>
  </conditionalFormatting>
  <conditionalFormatting sqref="J68">
    <cfRule type="cellIs" dxfId="1175" priority="91" operator="greaterThan">
      <formula>0</formula>
    </cfRule>
  </conditionalFormatting>
  <conditionalFormatting sqref="J72">
    <cfRule type="cellIs" dxfId="1174" priority="59" operator="greaterThan">
      <formula>0</formula>
    </cfRule>
  </conditionalFormatting>
  <conditionalFormatting sqref="J80">
    <cfRule type="cellIs" dxfId="1173" priority="43" operator="greaterThan">
      <formula>0</formula>
    </cfRule>
  </conditionalFormatting>
  <conditionalFormatting sqref="J84">
    <cfRule type="cellIs" dxfId="1172" priority="119" operator="greaterThan">
      <formula>0</formula>
    </cfRule>
  </conditionalFormatting>
  <conditionalFormatting sqref="J92">
    <cfRule type="cellIs" dxfId="1171" priority="78" operator="greaterThan">
      <formula>0</formula>
    </cfRule>
  </conditionalFormatting>
  <conditionalFormatting sqref="Z50:Z72 Z6:Z21 X94">
    <cfRule type="cellIs" dxfId="1170" priority="142" operator="lessThan">
      <formula>0</formula>
    </cfRule>
  </conditionalFormatting>
  <conditionalFormatting sqref="Z26:Z45">
    <cfRule type="cellIs" dxfId="1169" priority="49" operator="lessThan">
      <formula>0</formula>
    </cfRule>
  </conditionalFormatting>
  <conditionalFormatting sqref="Z7">
    <cfRule type="iconSet" priority="65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168" priority="64" operator="lessThan">
      <formula>0</formula>
    </cfRule>
  </conditionalFormatting>
  <conditionalFormatting sqref="Z11">
    <cfRule type="iconSet" priority="52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167" priority="48" operator="lessThan">
      <formula>0</formula>
    </cfRule>
  </conditionalFormatting>
  <conditionalFormatting sqref="Z15">
    <cfRule type="iconSet" priority="109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166" priority="105" operator="lessThan">
      <formula>0</formula>
    </cfRule>
  </conditionalFormatting>
  <conditionalFormatting sqref="Z19">
    <cfRule type="iconSet" priority="128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165" priority="126" operator="lessThan">
      <formula>0</formula>
    </cfRule>
  </conditionalFormatting>
  <conditionalFormatting sqref="Z27">
    <cfRule type="iconSet" priority="135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164" priority="134" operator="lessThan">
      <formula>0</formula>
    </cfRule>
  </conditionalFormatting>
  <conditionalFormatting sqref="Z31">
    <cfRule type="iconSet" priority="102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163" priority="101" operator="lessThan">
      <formula>0</formula>
    </cfRule>
  </conditionalFormatting>
  <conditionalFormatting sqref="Z35">
    <cfRule type="iconSet" priority="86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162" priority="85" operator="lessThan">
      <formula>0</formula>
    </cfRule>
  </conditionalFormatting>
  <conditionalFormatting sqref="Z39">
    <cfRule type="iconSet" priority="114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161" priority="111" operator="lessThan">
      <formula>0</formula>
    </cfRule>
  </conditionalFormatting>
  <conditionalFormatting sqref="Z43">
    <cfRule type="iconSet" priority="141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160" priority="138" operator="lessThan">
      <formula>0</formula>
    </cfRule>
  </conditionalFormatting>
  <conditionalFormatting sqref="Z51">
    <cfRule type="iconSet" priority="131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159" priority="130" operator="lessThan">
      <formula>0</formula>
    </cfRule>
  </conditionalFormatting>
  <conditionalFormatting sqref="Z55">
    <cfRule type="iconSet" priority="57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158" priority="55" operator="lessThan">
      <formula>0</formula>
    </cfRule>
  </conditionalFormatting>
  <conditionalFormatting sqref="Z59">
    <cfRule type="iconSet" priority="75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157" priority="74" operator="lessThan">
      <formula>0</formula>
    </cfRule>
  </conditionalFormatting>
  <conditionalFormatting sqref="Z63">
    <cfRule type="iconSet" priority="72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156" priority="70" operator="lessThan">
      <formula>0</formula>
    </cfRule>
  </conditionalFormatting>
  <conditionalFormatting sqref="Z67">
    <cfRule type="iconSet" priority="95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155" priority="92" operator="lessThan">
      <formula>0</formula>
    </cfRule>
  </conditionalFormatting>
  <conditionalFormatting sqref="Z71">
    <cfRule type="iconSet" priority="63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154" priority="60" operator="lessThan">
      <formula>0</formula>
    </cfRule>
  </conditionalFormatting>
  <conditionalFormatting sqref="Z78:Z85 Z90:Z94">
    <cfRule type="cellIs" dxfId="1153" priority="80" operator="lessThan">
      <formula>0</formula>
    </cfRule>
  </conditionalFormatting>
  <conditionalFormatting sqref="Z79">
    <cfRule type="iconSet" priority="118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152" priority="115" operator="lessThan">
      <formula>0</formula>
    </cfRule>
  </conditionalFormatting>
  <conditionalFormatting sqref="Z83">
    <cfRule type="iconSet" priority="121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151" priority="120" operator="lessThan">
      <formula>0</formula>
    </cfRule>
  </conditionalFormatting>
  <conditionalFormatting sqref="Z91">
    <cfRule type="iconSet" priority="81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1150" priority="79" operator="lessThan">
      <formula>0</formula>
    </cfRule>
  </conditionalFormatting>
  <conditionalFormatting sqref="AA17">
    <cfRule type="cellIs" dxfId="1149" priority="90" operator="lessThan">
      <formula>0</formula>
    </cfRule>
  </conditionalFormatting>
  <conditionalFormatting sqref="AA29">
    <cfRule type="cellIs" dxfId="1148" priority="97" operator="lessThan">
      <formula>0</formula>
    </cfRule>
  </conditionalFormatting>
  <conditionalFormatting sqref="AA45">
    <cfRule type="cellIs" dxfId="1147" priority="89" operator="lessThan">
      <formula>0</formula>
    </cfRule>
  </conditionalFormatting>
  <conditionalFormatting sqref="AA53">
    <cfRule type="cellIs" dxfId="1146" priority="96" operator="lessThan">
      <formula>0</formula>
    </cfRule>
  </conditionalFormatting>
  <conditionalFormatting sqref="AA61">
    <cfRule type="cellIs" dxfId="1145" priority="45" operator="lessThan">
      <formula>0</formula>
    </cfRule>
  </conditionalFormatting>
  <conditionalFormatting sqref="AG2:AH3">
    <cfRule type="cellIs" dxfId="1144" priority="143" operator="lessThan">
      <formula>0.85</formula>
    </cfRule>
  </conditionalFormatting>
  <conditionalFormatting sqref="AP26:AP45 AP50:AP73 AP90:AP1048576 AP78:AP85 AP1:AP21">
    <cfRule type="cellIs" dxfId="1143" priority="50" operator="notEqual">
      <formula>0</formula>
    </cfRule>
  </conditionalFormatting>
  <conditionalFormatting sqref="AT6:AT9 AT94:AT96">
    <cfRule type="cellIs" dxfId="1142" priority="44" operator="lessThan">
      <formula>0</formula>
    </cfRule>
  </conditionalFormatting>
  <conditionalFormatting sqref="AA65">
    <cfRule type="cellIs" dxfId="1141" priority="42" operator="lessThan">
      <formula>0</formula>
    </cfRule>
  </conditionalFormatting>
  <conditionalFormatting sqref="AA85">
    <cfRule type="cellIs" dxfId="1140" priority="41" operator="lessThan">
      <formula>0</formula>
    </cfRule>
  </conditionalFormatting>
  <conditionalFormatting sqref="I24">
    <cfRule type="cellIs" dxfId="1139" priority="36" operator="greaterThan">
      <formula>0</formula>
    </cfRule>
  </conditionalFormatting>
  <conditionalFormatting sqref="J24">
    <cfRule type="cellIs" dxfId="1138" priority="37" operator="greaterThan">
      <formula>0</formula>
    </cfRule>
  </conditionalFormatting>
  <conditionalFormatting sqref="Z22:Z24">
    <cfRule type="cellIs" dxfId="1137" priority="34" operator="lessThan">
      <formula>0</formula>
    </cfRule>
  </conditionalFormatting>
  <conditionalFormatting sqref="Z23">
    <cfRule type="iconSet" priority="40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136" priority="38" operator="lessThan">
      <formula>0</formula>
    </cfRule>
  </conditionalFormatting>
  <conditionalFormatting sqref="AP22:AP25">
    <cfRule type="cellIs" dxfId="1135" priority="35" operator="notEqual">
      <formula>0</formula>
    </cfRule>
  </conditionalFormatting>
  <conditionalFormatting sqref="I48">
    <cfRule type="cellIs" dxfId="1134" priority="31" operator="greaterThan">
      <formula>0</formula>
    </cfRule>
  </conditionalFormatting>
  <conditionalFormatting sqref="J48">
    <cfRule type="cellIs" dxfId="1133" priority="29" operator="greaterThan">
      <formula>0</formula>
    </cfRule>
  </conditionalFormatting>
  <conditionalFormatting sqref="Z46:Z49">
    <cfRule type="cellIs" dxfId="1132" priority="26" operator="lessThan">
      <formula>0</formula>
    </cfRule>
  </conditionalFormatting>
  <conditionalFormatting sqref="Z47">
    <cfRule type="iconSet" priority="33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131" priority="30" operator="lessThan">
      <formula>0</formula>
    </cfRule>
  </conditionalFormatting>
  <conditionalFormatting sqref="AA49">
    <cfRule type="cellIs" dxfId="1130" priority="28" operator="lessThan">
      <formula>0</formula>
    </cfRule>
  </conditionalFormatting>
  <conditionalFormatting sqref="AP46:AP49">
    <cfRule type="cellIs" dxfId="1129" priority="27" operator="notEqual">
      <formula>0</formula>
    </cfRule>
  </conditionalFormatting>
  <conditionalFormatting sqref="I88">
    <cfRule type="cellIs" dxfId="1128" priority="24" operator="greaterThan">
      <formula>0</formula>
    </cfRule>
  </conditionalFormatting>
  <conditionalFormatting sqref="J88">
    <cfRule type="cellIs" dxfId="1127" priority="20" operator="greaterThan">
      <formula>0</formula>
    </cfRule>
  </conditionalFormatting>
  <conditionalFormatting sqref="Z86:Z88">
    <cfRule type="cellIs" dxfId="1126" priority="22" operator="lessThan">
      <formula>0</formula>
    </cfRule>
  </conditionalFormatting>
  <conditionalFormatting sqref="Z87">
    <cfRule type="iconSet" priority="23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1125" priority="21" operator="lessThan">
      <formula>0</formula>
    </cfRule>
  </conditionalFormatting>
  <conditionalFormatting sqref="AP86:AP89">
    <cfRule type="cellIs" dxfId="1124" priority="19" operator="notEqual">
      <formula>0</formula>
    </cfRule>
  </conditionalFormatting>
  <conditionalFormatting sqref="Z89">
    <cfRule type="cellIs" dxfId="1123" priority="18" operator="lessThan">
      <formula>0</formula>
    </cfRule>
  </conditionalFormatting>
  <conditionalFormatting sqref="I76">
    <cfRule type="cellIs" dxfId="1122" priority="14" operator="greaterThan">
      <formula>0</formula>
    </cfRule>
  </conditionalFormatting>
  <conditionalFormatting sqref="J76">
    <cfRule type="cellIs" dxfId="1121" priority="12" operator="greaterThan">
      <formula>0</formula>
    </cfRule>
  </conditionalFormatting>
  <conditionalFormatting sqref="Z74:Z77">
    <cfRule type="cellIs" dxfId="1120" priority="17" operator="lessThan">
      <formula>0</formula>
    </cfRule>
  </conditionalFormatting>
  <conditionalFormatting sqref="Z75">
    <cfRule type="iconSet" priority="16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119" priority="13" operator="lessThan">
      <formula>0</formula>
    </cfRule>
  </conditionalFormatting>
  <conditionalFormatting sqref="AP74:AP77">
    <cfRule type="cellIs" dxfId="1118" priority="11" operator="notEqual">
      <formula>0</formula>
    </cfRule>
  </conditionalFormatting>
  <conditionalFormatting sqref="X6:X9">
    <cfRule type="cellIs" dxfId="1117" priority="8" operator="lessThan">
      <formula>0</formula>
    </cfRule>
  </conditionalFormatting>
  <conditionalFormatting sqref="X7">
    <cfRule type="iconSet" priority="10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116" priority="9" operator="lessThan">
      <formula>0</formula>
    </cfRule>
  </conditionalFormatting>
  <conditionalFormatting sqref="Z25">
    <cfRule type="cellIs" dxfId="1115" priority="5" operator="lessThan">
      <formula>0</formula>
    </cfRule>
  </conditionalFormatting>
  <conditionalFormatting sqref="X10:X93">
    <cfRule type="cellIs" dxfId="1114" priority="2" operator="lessThan">
      <formula>0</formula>
    </cfRule>
  </conditionalFormatting>
  <conditionalFormatting sqref="X11 X15 X19 X23 X27 X31 X35 X39 X43 X47 X51 X55 X59 X63 X67 X71 X75 X79 X83 X87 X91">
    <cfRule type="iconSet" priority="4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4 X88 X92">
    <cfRule type="cellIs" dxfId="1113" priority="3" operator="lessThan">
      <formula>0</formula>
    </cfRule>
  </conditionalFormatting>
  <conditionalFormatting sqref="AT10:AT93">
    <cfRule type="cellIs" dxfId="1112" priority="1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6" id="{50079BFF-EF49-4886-828A-E45BC1EAE59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53" id="{8416A65E-E4C3-4C4F-B02E-424E7A61A55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108" id="{0DA83355-E83B-4589-A023-FCBF6F4247D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27" id="{21C2B8DA-9F40-40DB-9E63-DF74CB66A61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36" id="{CA91717A-B3E0-4CE4-8F1A-17F908FCAE3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104" id="{2F874F86-E8BC-4151-AD0D-C3155D4A828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88" id="{72CA867F-CF2B-44B9-BD8D-A3F29DC5A15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113" id="{45CFF531-22C6-4C42-BFAA-98D9A181644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40" id="{90CF4312-BE64-4E36-A3E5-4E7F3AA6C1D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32" id="{897966C5-0D81-4D3F-8CF2-8FE2C71A723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58" id="{8A97402E-5DDC-4EE0-ADD5-884F0790AEB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77" id="{BDA9DE38-4C9A-4A0C-B7D7-9F73BEF57A1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71" id="{19EC9F81-3D10-4369-9FF4-51E23115B25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94" id="{8CA6D3E4-DD57-40D7-9EDD-9936C8A53F2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62" id="{6733DE0C-E2CE-438A-BEFA-5941E1862DD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117" id="{7E6ABFB3-29D0-456C-A736-CA277CA6BC8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123" id="{E18159FF-F76D-4DBA-8D6E-DD84177FE2E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83" id="{EC7BBCF6-CB41-4930-A43B-2535F33BC20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39" id="{D587BE40-3862-443B-98DD-E8A72247175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32" id="{E32118E5-40BD-4A9D-B65F-A38FD4032D1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25" id="{C81440AE-1F5F-4923-9BAF-8FADF219590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15" id="{4062ACC2-4645-4B70-AE9F-F1A683E5702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93"/>
  <sheetViews>
    <sheetView zoomScale="18" zoomScaleNormal="18" zoomScaleSheetLayoutView="18"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AZ35" sqref="AZ35:BI35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0.76205667840555291</v>
      </c>
      <c r="AH2" s="535"/>
      <c r="AK2" s="183">
        <f>+SUBTOTAL(9,AK6:AK115)</f>
        <v>391860</v>
      </c>
      <c r="AL2" s="183">
        <f>+SUBTOTAL(9,AL6:AL115)</f>
        <v>298619.52999999997</v>
      </c>
      <c r="AW2" s="91">
        <v>0.59793648334624327</v>
      </c>
    </row>
    <row r="3" spans="2:64" ht="94.5" customHeight="1" x14ac:dyDescent="0.9">
      <c r="B3" s="363">
        <f>+AM4</f>
        <v>8.75</v>
      </c>
      <c r="C3" s="466"/>
      <c r="D3" s="466"/>
      <c r="E3" s="466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66"/>
      <c r="AD3" s="96"/>
      <c r="AE3" s="96"/>
      <c r="AF3" s="96"/>
      <c r="AG3" s="535"/>
      <c r="AH3" s="535"/>
      <c r="AK3" s="183"/>
      <c r="AL3" s="183"/>
      <c r="AT3" s="91">
        <v>8.75</v>
      </c>
    </row>
    <row r="4" spans="2:64" s="141" customFormat="1" ht="79.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+SUMIF($L$6:$L$98,AB3,$AB$6:$AB$98)</f>
        <v>7165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11-05-2026</v>
      </c>
      <c r="AH4" s="539"/>
      <c r="AI4" s="362">
        <f>+SUM(AI6:AI103)</f>
        <v>6531</v>
      </c>
      <c r="AJ4" s="362"/>
      <c r="AK4" s="98"/>
      <c r="AL4" s="98"/>
      <c r="AM4" s="363">
        <v>8.75</v>
      </c>
      <c r="AT4" s="396">
        <f>+SUBTOTAL(9,AT6:AT99)</f>
        <v>-80.1875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77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/>
      <c r="P6" s="423">
        <v>50</v>
      </c>
      <c r="Q6" s="423">
        <v>50</v>
      </c>
      <c r="R6" s="423">
        <v>50</v>
      </c>
      <c r="S6" s="423">
        <v>100</v>
      </c>
      <c r="T6" s="423">
        <v>50</v>
      </c>
      <c r="U6" s="423">
        <v>50</v>
      </c>
      <c r="V6" s="423"/>
      <c r="W6" s="423"/>
      <c r="X6" s="135">
        <f t="shared" ref="X6:X70" si="0">IF(AT7="","",SUM(M6:W6)-(-(AT7-SUM(M6:W6))/$AT$3)*SUM($M$2:$W$2))</f>
        <v>450</v>
      </c>
      <c r="Y6" s="438"/>
      <c r="Z6" s="400">
        <v>0</v>
      </c>
      <c r="AA6" s="540">
        <f>+X8</f>
        <v>0</v>
      </c>
      <c r="AB6" s="135">
        <f t="shared" ref="AB6:AB71" si="1">+SUM(L6:W6)</f>
        <v>450</v>
      </c>
      <c r="AC6" s="136">
        <f>+AD6+AB6</f>
        <v>3760</v>
      </c>
      <c r="AD6" s="136">
        <v>3310</v>
      </c>
      <c r="AE6" s="438"/>
      <c r="AF6" s="438"/>
      <c r="AG6" s="109"/>
      <c r="AH6" s="110"/>
      <c r="AI6" s="157"/>
      <c r="AJ6" s="161">
        <f t="shared" ref="AJ6:AJ85" si="2">TRUNC(AI6)+(AI6-TRUNC(AI6))*60/100</f>
        <v>0</v>
      </c>
      <c r="AK6" s="167">
        <f t="shared" ref="AK6:AK85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78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424"/>
      <c r="X7" s="123">
        <f>+IF(H8="s",0,IF(AB7=0,0,IF(COUNTA(M7:W7)=AN9+0.25,SUMIF($C:$C,B7,$AB:$AB)/AN9,SUMIF($C:$C,B7,$AB:$AB)/(COUNTA(M7:W7)))))</f>
        <v>60</v>
      </c>
      <c r="Y7" s="439"/>
      <c r="Z7" s="400"/>
      <c r="AA7" s="541"/>
      <c r="AB7" s="134">
        <f t="shared" si="1"/>
        <v>525</v>
      </c>
      <c r="AC7" s="137">
        <f>+AB7+AD7</f>
        <v>3080</v>
      </c>
      <c r="AD7" s="137">
        <v>2555</v>
      </c>
      <c r="AE7" s="439">
        <v>0</v>
      </c>
      <c r="AF7" s="439">
        <f>+AE7+Y7</f>
        <v>0</v>
      </c>
      <c r="AG7" s="140">
        <f>+AC6-AC7</f>
        <v>680</v>
      </c>
      <c r="AH7" s="131">
        <f>+IF(((AB8+(AB9/2))*60)=0,"",(J7*AB7)/((AB8+(AB9/2))*60))</f>
        <v>0.89249999999999996</v>
      </c>
      <c r="AI7" s="161">
        <f>+AB8+AB9/2</f>
        <v>420</v>
      </c>
      <c r="AJ7" s="161">
        <f t="shared" si="2"/>
        <v>420</v>
      </c>
      <c r="AK7" s="167">
        <f t="shared" si="3"/>
        <v>25200</v>
      </c>
      <c r="AL7" s="167">
        <f>+AB7*J7</f>
        <v>22491</v>
      </c>
      <c r="AM7" s="230">
        <f>+AB7-(AI7*K7/K9)</f>
        <v>10.714285714285666</v>
      </c>
      <c r="AN7" s="339"/>
      <c r="AO7" s="340"/>
      <c r="AP7" s="167"/>
      <c r="AQ7" s="167"/>
      <c r="AR7" s="167"/>
      <c r="AS7" s="167"/>
      <c r="AT7" s="433">
        <f t="shared" ref="AT7" si="4">IF(AU7=0,"",AW7-(($AT$3*K7)+($AT$3*K7)*AU7)+AB6)</f>
        <v>-107.5</v>
      </c>
      <c r="AU7" s="393">
        <v>1.5</v>
      </c>
      <c r="AW7" s="356">
        <v>755</v>
      </c>
      <c r="AY7" s="356">
        <f>+AW7-AG7</f>
        <v>75</v>
      </c>
      <c r="AZ7" s="581" t="s">
        <v>482</v>
      </c>
      <c r="BA7" s="581"/>
      <c r="BB7" s="581"/>
      <c r="BC7" s="581"/>
      <c r="BD7" s="581"/>
      <c r="BE7" s="581"/>
      <c r="BF7" s="581"/>
      <c r="BG7" s="581"/>
      <c r="BH7" s="581"/>
      <c r="BI7" s="58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78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47</v>
      </c>
      <c r="N8" s="215">
        <v>47</v>
      </c>
      <c r="O8" s="215">
        <v>47</v>
      </c>
      <c r="P8" s="215">
        <v>47</v>
      </c>
      <c r="Q8" s="215">
        <v>47</v>
      </c>
      <c r="R8" s="215">
        <v>47</v>
      </c>
      <c r="S8" s="215">
        <v>47</v>
      </c>
      <c r="T8" s="215">
        <v>47</v>
      </c>
      <c r="U8" s="215">
        <v>47</v>
      </c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541"/>
      <c r="AB8" s="443">
        <f t="shared" ref="AB8:AB9" si="5">+SUM(M8:W8)-U8*0.25</f>
        <v>411.25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411.25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79" t="str">
        <f>+G6</f>
        <v>2917-496-712</v>
      </c>
      <c r="H9" s="454">
        <f>+AC6-H7</f>
        <v>-2240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si="5"/>
        <v>17.5</v>
      </c>
      <c r="AC9" s="139"/>
      <c r="AD9" s="139"/>
      <c r="AE9" s="441"/>
      <c r="AF9" s="441"/>
      <c r="AG9" s="119">
        <f>+IFERROR(AG7/(K7*$AT$3),"")</f>
        <v>1.2952380952380953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17.5</v>
      </c>
      <c r="AP9" s="167">
        <f>+AO9-AB9</f>
        <v>0</v>
      </c>
      <c r="AQ9" s="167"/>
      <c r="AR9" s="167"/>
      <c r="AS9" s="167"/>
      <c r="AT9" s="435"/>
      <c r="AU9" s="393"/>
      <c r="AW9" s="356">
        <v>1.4380952380952381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77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>
        <v>75</v>
      </c>
      <c r="P10" s="423"/>
      <c r="Q10" s="423"/>
      <c r="R10" s="423"/>
      <c r="S10" s="423"/>
      <c r="T10" s="423"/>
      <c r="U10" s="423"/>
      <c r="V10" s="423"/>
      <c r="W10" s="423"/>
      <c r="X10" s="135">
        <f t="shared" si="0"/>
        <v>75</v>
      </c>
      <c r="Y10" s="438"/>
      <c r="Z10" s="400">
        <v>-70</v>
      </c>
      <c r="AA10" s="540">
        <f>+X12</f>
        <v>-173</v>
      </c>
      <c r="AB10" s="135">
        <f t="shared" si="1"/>
        <v>75</v>
      </c>
      <c r="AC10" s="136">
        <f>+AD10+AB10</f>
        <v>1650</v>
      </c>
      <c r="AD10" s="136">
        <v>1575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439</v>
      </c>
      <c r="E11" s="111"/>
      <c r="F11" s="111" t="s">
        <v>35</v>
      </c>
      <c r="G11" s="578" t="str">
        <f>+G10</f>
        <v>7740-876-052</v>
      </c>
      <c r="H11" s="450">
        <v>7000</v>
      </c>
      <c r="I11" s="111" t="s">
        <v>33</v>
      </c>
      <c r="J11" s="113">
        <v>55.78</v>
      </c>
      <c r="K11" s="130">
        <v>52</v>
      </c>
      <c r="L11" s="101" t="s">
        <v>17</v>
      </c>
      <c r="M11" s="214">
        <v>35</v>
      </c>
      <c r="N11" s="214">
        <v>36</v>
      </c>
      <c r="O11" s="214">
        <v>30</v>
      </c>
      <c r="P11" s="214">
        <v>30</v>
      </c>
      <c r="Q11" s="214">
        <v>30</v>
      </c>
      <c r="R11" s="214">
        <v>34</v>
      </c>
      <c r="S11" s="214">
        <v>30</v>
      </c>
      <c r="T11" s="214">
        <v>31</v>
      </c>
      <c r="U11" s="214">
        <v>26</v>
      </c>
      <c r="V11" s="214"/>
      <c r="W11" s="424"/>
      <c r="X11" s="123">
        <f>+IF(H12="s",0,IF(AB11=0,0,IF(COUNTA(M11:W11)=AN13+0.25,SUMIF($C:$C,B11,$AB:$AB)/AN13,SUMIF($C:$C,B11,$AB:$AB)/(COUNTA(M11:W11)))))</f>
        <v>32.228571428571428</v>
      </c>
      <c r="Y11" s="439"/>
      <c r="Z11" s="400"/>
      <c r="AA11" s="541"/>
      <c r="AB11" s="134">
        <f t="shared" si="1"/>
        <v>282</v>
      </c>
      <c r="AC11" s="137">
        <f>+AB11+AD11</f>
        <v>759</v>
      </c>
      <c r="AD11" s="137">
        <v>477</v>
      </c>
      <c r="AE11" s="439">
        <v>0</v>
      </c>
      <c r="AF11" s="439">
        <f>+AE11+Y11</f>
        <v>0</v>
      </c>
      <c r="AG11" s="140">
        <f>+AC10-AC11</f>
        <v>891</v>
      </c>
      <c r="AH11" s="131">
        <f>+IF(((AB12+(AB13/2))*60)=0,"",(J11*AB11)/((AB12+(AB13/2))*60))</f>
        <v>0.6052894660894661</v>
      </c>
      <c r="AI11" s="161">
        <f>+AB12+AB13/2</f>
        <v>433.125</v>
      </c>
      <c r="AJ11" s="161">
        <f t="shared" si="2"/>
        <v>433.07499999999999</v>
      </c>
      <c r="AK11" s="167">
        <f t="shared" si="3"/>
        <v>25987.5</v>
      </c>
      <c r="AL11" s="167">
        <f>+AB11*J11</f>
        <v>15729.960000000001</v>
      </c>
      <c r="AM11" s="230">
        <f>+AB11-(AI11*K11/K13)</f>
        <v>-120.1875</v>
      </c>
      <c r="AN11" s="339"/>
      <c r="AO11" s="340"/>
      <c r="AP11" s="167"/>
      <c r="AQ11" s="167"/>
      <c r="AR11" s="167"/>
      <c r="AS11" s="167"/>
      <c r="AT11" s="433">
        <f>-75+AB10</f>
        <v>0</v>
      </c>
      <c r="AU11" s="393">
        <v>1.5</v>
      </c>
      <c r="AW11" s="356">
        <v>1098</v>
      </c>
      <c r="AY11" s="356">
        <f>+AW11-AG11</f>
        <v>207</v>
      </c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78" t="str">
        <f>+G10</f>
        <v>7740-876-052</v>
      </c>
      <c r="H12" s="376" t="s">
        <v>400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49</v>
      </c>
      <c r="N12" s="215">
        <v>49</v>
      </c>
      <c r="O12" s="215">
        <v>49</v>
      </c>
      <c r="P12" s="215">
        <v>49</v>
      </c>
      <c r="Q12" s="215">
        <v>49</v>
      </c>
      <c r="R12" s="215">
        <v>49</v>
      </c>
      <c r="S12" s="215">
        <v>49</v>
      </c>
      <c r="T12" s="215">
        <v>49</v>
      </c>
      <c r="U12" s="215">
        <v>49</v>
      </c>
      <c r="V12" s="215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-173</v>
      </c>
      <c r="Y12" s="440"/>
      <c r="Z12" s="400"/>
      <c r="AA12" s="541"/>
      <c r="AB12" s="443">
        <f t="shared" ref="AB12:AB77" si="6">+SUM(M12:W12)-U12*0.25</f>
        <v>428.75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428.75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79" t="str">
        <f>+G10</f>
        <v>7740-876-052</v>
      </c>
      <c r="H13" s="454">
        <f>+AC10-H11</f>
        <v>-5350</v>
      </c>
      <c r="I13" s="397"/>
      <c r="J13" s="165">
        <f>+IF(K13="","",IF(K11=0,"",(K11*J11)/(K13*60)))</f>
        <v>0.86326190476190479</v>
      </c>
      <c r="K13" s="118">
        <v>56</v>
      </c>
      <c r="L13" s="104" t="s">
        <v>19</v>
      </c>
      <c r="M13" s="427">
        <v>1</v>
      </c>
      <c r="N13" s="427">
        <v>1</v>
      </c>
      <c r="O13" s="427">
        <v>1</v>
      </c>
      <c r="P13" s="427">
        <v>1</v>
      </c>
      <c r="Q13" s="427">
        <v>1</v>
      </c>
      <c r="R13" s="427">
        <v>1</v>
      </c>
      <c r="S13" s="427">
        <v>1</v>
      </c>
      <c r="T13" s="427">
        <v>1</v>
      </c>
      <c r="U13" s="427">
        <v>1</v>
      </c>
      <c r="V13" s="427"/>
      <c r="W13" s="428"/>
      <c r="X13" s="173"/>
      <c r="Y13" s="441"/>
      <c r="Z13" s="401">
        <v>33.975494505494503</v>
      </c>
      <c r="AA13" s="168">
        <f>+IF(COUNTA(M11:W11)=$AM$4+0.25,$AM$4-(AB11/K11),COUNTA(M11:W11)-(AB11/K11))+Z13</f>
        <v>37.302417582417576</v>
      </c>
      <c r="AB13" s="444">
        <f t="shared" si="6"/>
        <v>8.75</v>
      </c>
      <c r="AC13" s="139"/>
      <c r="AD13" s="139"/>
      <c r="AE13" s="441"/>
      <c r="AF13" s="441"/>
      <c r="AG13" s="119">
        <f>+IFERROR(AG11/(K11*$AT$3),"")</f>
        <v>1.9582417582417582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8.75</v>
      </c>
      <c r="AP13" s="167">
        <f>+AO13-AB13</f>
        <v>0</v>
      </c>
      <c r="AQ13" s="167"/>
      <c r="AR13" s="167"/>
      <c r="AS13" s="167"/>
      <c r="AT13" s="435"/>
      <c r="AU13" s="393"/>
      <c r="AW13" s="356">
        <v>3.137142857142857</v>
      </c>
      <c r="AY13" s="356"/>
    </row>
    <row r="14" spans="2:64" s="98" customFormat="1" ht="62.25" customHeight="1" thickTop="1" x14ac:dyDescent="0.9">
      <c r="B14" s="97">
        <f>+B15</f>
        <v>3</v>
      </c>
      <c r="C14" s="370"/>
      <c r="D14" s="106"/>
      <c r="E14" s="106"/>
      <c r="F14" s="106"/>
      <c r="G14" s="577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>
        <v>150</v>
      </c>
      <c r="N14" s="423">
        <v>75</v>
      </c>
      <c r="O14" s="423">
        <v>75</v>
      </c>
      <c r="P14" s="423"/>
      <c r="Q14" s="423"/>
      <c r="R14" s="423"/>
      <c r="S14" s="423">
        <v>75</v>
      </c>
      <c r="T14" s="423"/>
      <c r="U14" s="423"/>
      <c r="V14" s="423"/>
      <c r="W14" s="423"/>
      <c r="X14" s="135">
        <f t="shared" si="0"/>
        <v>375</v>
      </c>
      <c r="Y14" s="438"/>
      <c r="Z14" s="400">
        <v>-44</v>
      </c>
      <c r="AA14" s="540">
        <f>+X16</f>
        <v>-47</v>
      </c>
      <c r="AB14" s="135">
        <f t="shared" si="1"/>
        <v>375</v>
      </c>
      <c r="AC14" s="136">
        <f>+AD14+AB14</f>
        <v>7164</v>
      </c>
      <c r="AD14" s="136">
        <v>6789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3</v>
      </c>
      <c r="C15" s="371">
        <v>3</v>
      </c>
      <c r="D15" s="372" t="s">
        <v>439</v>
      </c>
      <c r="E15" s="111"/>
      <c r="F15" s="111" t="s">
        <v>35</v>
      </c>
      <c r="G15" s="578" t="str">
        <f>+G14</f>
        <v>7740-876-052</v>
      </c>
      <c r="H15" s="450">
        <v>12000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23</v>
      </c>
      <c r="N15" s="214">
        <v>40</v>
      </c>
      <c r="O15" s="214">
        <v>62</v>
      </c>
      <c r="P15" s="214">
        <v>52</v>
      </c>
      <c r="Q15" s="214">
        <v>52</v>
      </c>
      <c r="R15" s="214">
        <v>52</v>
      </c>
      <c r="S15" s="214">
        <v>36</v>
      </c>
      <c r="T15" s="214">
        <v>52</v>
      </c>
      <c r="U15" s="214">
        <v>39</v>
      </c>
      <c r="V15" s="214"/>
      <c r="W15" s="424"/>
      <c r="X15" s="123">
        <f>+IF(H16="s",0,IF(AB15=0,0,IF(COUNTA(M15:W15)=AN17+0.25,SUMIF($C:$C,B15,$AB:$AB)/AN17,SUMIF($C:$C,B15,$AB:$AB)/(COUNTA(M15:W15)))))</f>
        <v>46.628571428571426</v>
      </c>
      <c r="Y15" s="439"/>
      <c r="Z15" s="400"/>
      <c r="AA15" s="541"/>
      <c r="AB15" s="134">
        <f t="shared" si="1"/>
        <v>408</v>
      </c>
      <c r="AC15" s="137">
        <f>+AB15+AD15</f>
        <v>6328</v>
      </c>
      <c r="AD15" s="137">
        <v>5920</v>
      </c>
      <c r="AE15" s="439"/>
      <c r="AF15" s="439">
        <f>+AE15+Y15</f>
        <v>0</v>
      </c>
      <c r="AG15" s="140">
        <f>+AC14-AC15</f>
        <v>836</v>
      </c>
      <c r="AH15" s="131">
        <f>+IF(((AB16+(AB17/2))*60)=0,"",(J15*AB15)/((AB16+(AB17/2))*60))</f>
        <v>0.83363516483516487</v>
      </c>
      <c r="AI15" s="161">
        <f>+AB16+AB17/2</f>
        <v>455</v>
      </c>
      <c r="AJ15" s="161">
        <f t="shared" si="2"/>
        <v>455</v>
      </c>
      <c r="AK15" s="167">
        <f t="shared" si="3"/>
        <v>27300</v>
      </c>
      <c r="AL15" s="167">
        <f>+AB15*J15</f>
        <v>22758.240000000002</v>
      </c>
      <c r="AM15" s="230">
        <f>+AB15-(AI15*K15/K17)</f>
        <v>-14.5</v>
      </c>
      <c r="AN15" s="339"/>
      <c r="AO15" s="340"/>
      <c r="AP15" s="167"/>
      <c r="AQ15" s="167"/>
      <c r="AR15" s="167"/>
      <c r="AS15" s="167"/>
      <c r="AT15" s="433">
        <f t="shared" ref="AT15" si="7">IF(AU15=0,"",AW15-(($AT$3*K15)+($AT$3*K15)*AU15)+AB14)</f>
        <v>15.5</v>
      </c>
      <c r="AU15" s="393">
        <v>1.7</v>
      </c>
      <c r="AW15" s="356">
        <v>869</v>
      </c>
      <c r="AY15" s="356">
        <f t="shared" ref="AY15" si="8">+AW15-AG15</f>
        <v>33</v>
      </c>
      <c r="AZ15" s="581"/>
      <c r="BA15" s="581"/>
      <c r="BB15" s="581"/>
      <c r="BC15" s="581"/>
      <c r="BD15" s="581"/>
      <c r="BE15" s="581"/>
      <c r="BF15" s="581"/>
      <c r="BG15" s="581"/>
      <c r="BH15" s="581"/>
      <c r="BI15" s="581"/>
    </row>
    <row r="16" spans="2:64" s="98" customFormat="1" ht="62.25" customHeight="1" x14ac:dyDescent="0.9">
      <c r="B16" s="125">
        <f>+B15</f>
        <v>3</v>
      </c>
      <c r="C16" s="373"/>
      <c r="D16" s="184"/>
      <c r="E16" s="111">
        <f>+B15</f>
        <v>3</v>
      </c>
      <c r="F16" s="374"/>
      <c r="G16" s="578" t="str">
        <f>+G14</f>
        <v>7740-876-052</v>
      </c>
      <c r="H16" s="376"/>
      <c r="I16" s="113">
        <f>+IFERROR(IF(K17=0,0,IF((LOOKUP(2,1/(M16:W16&lt;&gt;""),M16:W16)-K17)&lt;0,0,IF(K17=0,"",LOOKUP(2,1/(M16:W16&lt;&gt;""),M16:W16)-K17))),0)</f>
        <v>0</v>
      </c>
      <c r="J16" s="113">
        <v>2</v>
      </c>
      <c r="K16" s="114" t="s">
        <v>22</v>
      </c>
      <c r="L16" s="102" t="s">
        <v>18</v>
      </c>
      <c r="M16" s="215">
        <v>51</v>
      </c>
      <c r="N16" s="215">
        <v>51</v>
      </c>
      <c r="O16" s="215">
        <v>51</v>
      </c>
      <c r="P16" s="215">
        <v>51</v>
      </c>
      <c r="Q16" s="215">
        <v>51</v>
      </c>
      <c r="R16" s="215">
        <v>51</v>
      </c>
      <c r="S16" s="215">
        <v>51</v>
      </c>
      <c r="T16" s="215">
        <v>51</v>
      </c>
      <c r="U16" s="215">
        <v>51</v>
      </c>
      <c r="V16" s="426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-47</v>
      </c>
      <c r="Y16" s="440"/>
      <c r="Z16" s="400"/>
      <c r="AA16" s="541"/>
      <c r="AB16" s="443">
        <f t="shared" si="6"/>
        <v>446.25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446.25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51" s="98" customFormat="1" ht="62.25" customHeight="1" thickBot="1" x14ac:dyDescent="0.95">
      <c r="B17" s="126">
        <f>+B15</f>
        <v>3</v>
      </c>
      <c r="C17" s="375"/>
      <c r="D17" s="174" t="s">
        <v>423</v>
      </c>
      <c r="E17" s="175">
        <f>+E16+100</f>
        <v>103</v>
      </c>
      <c r="F17" s="175"/>
      <c r="G17" s="579" t="str">
        <f>+G14</f>
        <v>7740-876-052</v>
      </c>
      <c r="H17" s="454">
        <f>+AC14-H15</f>
        <v>-4836</v>
      </c>
      <c r="I17" s="397"/>
      <c r="J17" s="165">
        <f>+IF(K17="","",IF(K15=0,"",(K15*J15)/(K17*60)))</f>
        <v>0.86326190476190479</v>
      </c>
      <c r="K17" s="118">
        <v>56</v>
      </c>
      <c r="L17" s="104" t="s">
        <v>19</v>
      </c>
      <c r="M17" s="427">
        <v>2</v>
      </c>
      <c r="N17" s="427">
        <v>2</v>
      </c>
      <c r="O17" s="427">
        <v>2</v>
      </c>
      <c r="P17" s="427">
        <v>2</v>
      </c>
      <c r="Q17" s="427">
        <v>2</v>
      </c>
      <c r="R17" s="427">
        <v>2</v>
      </c>
      <c r="S17" s="427">
        <v>2</v>
      </c>
      <c r="T17" s="427">
        <v>2</v>
      </c>
      <c r="U17" s="427">
        <v>2</v>
      </c>
      <c r="V17" s="428"/>
      <c r="W17" s="428"/>
      <c r="X17" s="173"/>
      <c r="Y17" s="441"/>
      <c r="Z17" s="401">
        <v>37.057412587412585</v>
      </c>
      <c r="AA17" s="401">
        <v>37.057412587412585</v>
      </c>
      <c r="AB17" s="444">
        <f t="shared" si="6"/>
        <v>17.5</v>
      </c>
      <c r="AC17" s="139"/>
      <c r="AD17" s="139"/>
      <c r="AE17" s="441"/>
      <c r="AF17" s="441"/>
      <c r="AG17" s="119">
        <f>+IFERROR(AG15/(K15*$AT$3),"")</f>
        <v>1.8373626373626373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17.5</v>
      </c>
      <c r="AP17" s="167">
        <f>+AO17-AB17</f>
        <v>0</v>
      </c>
      <c r="AQ17" s="167"/>
      <c r="AR17" s="167"/>
      <c r="AS17" s="167"/>
      <c r="AT17" s="435"/>
      <c r="AU17" s="393"/>
      <c r="AW17" s="356">
        <v>1.90989010989011</v>
      </c>
      <c r="AY17" s="356"/>
    </row>
    <row r="18" spans="2:51" s="98" customFormat="1" ht="62.25" customHeight="1" thickTop="1" x14ac:dyDescent="0.9">
      <c r="B18" s="97">
        <f>+B19</f>
        <v>4</v>
      </c>
      <c r="C18" s="370"/>
      <c r="D18" s="106"/>
      <c r="E18" s="106"/>
      <c r="F18" s="106"/>
      <c r="G18" s="582" t="s">
        <v>431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135" t="str">
        <f t="shared" si="0"/>
        <v/>
      </c>
      <c r="Y18" s="438"/>
      <c r="Z18" s="400">
        <v>0</v>
      </c>
      <c r="AA18" s="540">
        <f>+X20</f>
        <v>0</v>
      </c>
      <c r="AB18" s="135">
        <f t="shared" si="1"/>
        <v>0</v>
      </c>
      <c r="AC18" s="136">
        <f>+AD18+AB18</f>
        <v>9585</v>
      </c>
      <c r="AD18" s="136">
        <v>9585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51" s="98" customFormat="1" ht="62.25" customHeight="1" x14ac:dyDescent="0.9">
      <c r="B19" s="132">
        <v>4</v>
      </c>
      <c r="C19" s="371">
        <f>+B19</f>
        <v>4</v>
      </c>
      <c r="D19" s="372" t="s">
        <v>430</v>
      </c>
      <c r="E19" s="111"/>
      <c r="F19" s="111" t="s">
        <v>35</v>
      </c>
      <c r="G19" s="582" t="str">
        <f>+G18</f>
        <v xml:space="preserve">2878-556-700 </v>
      </c>
      <c r="H19" s="450">
        <v>9585</v>
      </c>
      <c r="I19" s="111" t="s">
        <v>251</v>
      </c>
      <c r="J19" s="113">
        <v>36.65</v>
      </c>
      <c r="K19" s="130">
        <v>75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424"/>
      <c r="X19" s="123">
        <f>+IF(H20="s",0,IF(AB19=0,0,IF(COUNTA(M19:W19)=AN21+0.25,SUMIF($C:$C,B19,$AB:$AB)/AN21,SUMIF($C:$C,B19,$AB:$AB)/(COUNTA(M19:W19)))))</f>
        <v>0</v>
      </c>
      <c r="Y19" s="439"/>
      <c r="Z19" s="400"/>
      <c r="AA19" s="541"/>
      <c r="AB19" s="134">
        <f t="shared" si="1"/>
        <v>0</v>
      </c>
      <c r="AC19" s="137">
        <f>+AB19+AD19</f>
        <v>9549</v>
      </c>
      <c r="AD19" s="137">
        <v>9549</v>
      </c>
      <c r="AE19" s="439">
        <v>0</v>
      </c>
      <c r="AF19" s="439">
        <f>+AE19+Y19</f>
        <v>0</v>
      </c>
      <c r="AG19" s="140">
        <f>+AC18-AC19</f>
        <v>36</v>
      </c>
      <c r="AH19" s="131" t="str">
        <f>+IF(((AB20+(AB21/2))*60)=0,"",(J19*AB19)/((AB20+(AB21/2))*60))</f>
        <v/>
      </c>
      <c r="AI19" s="161">
        <f>+AB20+AB21/2</f>
        <v>0</v>
      </c>
      <c r="AJ19" s="161">
        <f t="shared" si="2"/>
        <v>0</v>
      </c>
      <c r="AK19" s="167">
        <f t="shared" si="3"/>
        <v>0</v>
      </c>
      <c r="AL19" s="167">
        <f>+AB19*J19</f>
        <v>0</v>
      </c>
      <c r="AM19" s="230">
        <f>+AB19-(AI19*K19/K21)</f>
        <v>0</v>
      </c>
      <c r="AN19" s="339"/>
      <c r="AO19" s="340"/>
      <c r="AP19" s="167"/>
      <c r="AQ19" s="167"/>
      <c r="AR19" s="167"/>
      <c r="AS19" s="167"/>
      <c r="AT19" s="433" t="str">
        <f t="shared" ref="AT19" si="9">IF(AU19=0,"",AW19-(($AT$3*K19)+($AT$3*K19)*AU19)+AB18)</f>
        <v/>
      </c>
      <c r="AU19" s="393"/>
      <c r="AW19" s="356">
        <v>36</v>
      </c>
      <c r="AY19" s="356">
        <f t="shared" ref="AY19" si="10">+AW19-AG19</f>
        <v>0</v>
      </c>
    </row>
    <row r="20" spans="2:51" s="98" customFormat="1" ht="62.25" customHeight="1" x14ac:dyDescent="0.9">
      <c r="B20" s="125">
        <f>+B19</f>
        <v>4</v>
      </c>
      <c r="C20" s="373"/>
      <c r="D20" s="184"/>
      <c r="E20" s="111">
        <f>+B19</f>
        <v>4</v>
      </c>
      <c r="F20" s="374"/>
      <c r="G20" s="582" t="str">
        <f>+G19</f>
        <v xml:space="preserve">2878-556-700 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25"/>
      <c r="N20" s="425"/>
      <c r="O20" s="425"/>
      <c r="P20" s="425"/>
      <c r="Q20" s="425"/>
      <c r="R20" s="425"/>
      <c r="S20" s="425"/>
      <c r="T20" s="425"/>
      <c r="U20" s="425"/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0</v>
      </c>
      <c r="Y20" s="440"/>
      <c r="Z20" s="400"/>
      <c r="AA20" s="541"/>
      <c r="AB20" s="443">
        <f t="shared" si="6"/>
        <v>0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51" s="98" customFormat="1" ht="62.25" customHeight="1" thickBot="1" x14ac:dyDescent="0.95">
      <c r="B21" s="126">
        <f>+B19</f>
        <v>4</v>
      </c>
      <c r="C21" s="375"/>
      <c r="D21" s="174" t="s">
        <v>445</v>
      </c>
      <c r="E21" s="175">
        <f>+E20+100</f>
        <v>104</v>
      </c>
      <c r="F21" s="175"/>
      <c r="G21" s="582" t="str">
        <f>+G20</f>
        <v xml:space="preserve">2878-556-700 </v>
      </c>
      <c r="H21" s="454">
        <f>+AC18-H19</f>
        <v>0</v>
      </c>
      <c r="I21" s="397"/>
      <c r="J21" s="165">
        <f>+IF(K21="","",IF(K19=0,"",(K19*J19)/(K21*60)))</f>
        <v>0.91625000000000001</v>
      </c>
      <c r="K21" s="118">
        <v>50</v>
      </c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8"/>
      <c r="W21" s="428"/>
      <c r="X21" s="173"/>
      <c r="Y21" s="441"/>
      <c r="Z21" s="401">
        <v>29.116666666666667</v>
      </c>
      <c r="AA21" s="169">
        <v>29.116666666666667</v>
      </c>
      <c r="AB21" s="444">
        <f t="shared" si="6"/>
        <v>0</v>
      </c>
      <c r="AC21" s="139"/>
      <c r="AD21" s="139"/>
      <c r="AE21" s="441"/>
      <c r="AF21" s="441"/>
      <c r="AG21" s="119">
        <f>+IFERROR(AG19/(K19*$AT$3),"")</f>
        <v>5.4857142857142854E-2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+IF(AN21=7.75,SUM(N21:S21)+T21*0.75,IF(AN21=8,SUM(N21:T21),IF(AN21=7.25,SUM(N21:S21)+T21*0.25,IF(AN21=8.25,SUM(N21:T21)+U21*0.25,IF(AN21=8.75,SUM(N21:T21)+U21*0.75,0)))))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5.4857142857142854E-2</v>
      </c>
      <c r="AY21" s="356"/>
    </row>
    <row r="22" spans="2:5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77" t="s">
        <v>472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50</v>
      </c>
      <c r="N22" s="423">
        <v>50</v>
      </c>
      <c r="O22" s="423">
        <v>50</v>
      </c>
      <c r="P22" s="423">
        <v>50</v>
      </c>
      <c r="Q22" s="423">
        <v>50</v>
      </c>
      <c r="R22" s="423"/>
      <c r="S22" s="423"/>
      <c r="T22" s="423"/>
      <c r="U22" s="423"/>
      <c r="V22" s="423"/>
      <c r="W22" s="423"/>
      <c r="X22" s="135">
        <f t="shared" si="0"/>
        <v>250</v>
      </c>
      <c r="Y22" s="438"/>
      <c r="Z22" s="400">
        <v>43</v>
      </c>
      <c r="AA22" s="540">
        <f>+X24</f>
        <v>-200</v>
      </c>
      <c r="AB22" s="135">
        <f t="shared" si="1"/>
        <v>250</v>
      </c>
      <c r="AC22" s="136">
        <f>+AD22+AB22</f>
        <v>1151</v>
      </c>
      <c r="AD22" s="136">
        <v>901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51" s="98" customFormat="1" ht="62.25" customHeight="1" x14ac:dyDescent="0.9">
      <c r="B23" s="132">
        <v>4</v>
      </c>
      <c r="C23" s="371">
        <f>+B23</f>
        <v>4</v>
      </c>
      <c r="D23" s="372" t="s">
        <v>473</v>
      </c>
      <c r="E23" s="111"/>
      <c r="F23" s="111" t="s">
        <v>35</v>
      </c>
      <c r="G23" s="578" t="s">
        <v>472</v>
      </c>
      <c r="H23" s="450">
        <v>8333</v>
      </c>
      <c r="I23" s="111" t="s">
        <v>251</v>
      </c>
      <c r="J23" s="113">
        <v>37.200000000000003</v>
      </c>
      <c r="K23" s="130">
        <v>60</v>
      </c>
      <c r="L23" s="101" t="s">
        <v>17</v>
      </c>
      <c r="M23" s="214">
        <v>14</v>
      </c>
      <c r="N23" s="214">
        <v>20</v>
      </c>
      <c r="O23" s="214">
        <v>28</v>
      </c>
      <c r="P23" s="214">
        <v>33</v>
      </c>
      <c r="Q23" s="214">
        <v>40</v>
      </c>
      <c r="R23" s="214">
        <v>50</v>
      </c>
      <c r="S23" s="214">
        <v>50</v>
      </c>
      <c r="T23" s="214">
        <v>50</v>
      </c>
      <c r="U23" s="214">
        <v>40</v>
      </c>
      <c r="V23" s="214"/>
      <c r="W23" s="424"/>
      <c r="X23" s="123">
        <f>+IF(H24="s",0,IF(AB23=0,0,IF(COUNTA(M23:W23)=AN25+0.25,SUMIF($C:$C,B23,$AB:$AB)/AN25,SUMIF($C:$C,B23,$AB:$AB)/(COUNTA(M23:W23)))))</f>
        <v>37.142857142857146</v>
      </c>
      <c r="Y23" s="439"/>
      <c r="Z23" s="400"/>
      <c r="AA23" s="541"/>
      <c r="AB23" s="134">
        <f t="shared" si="1"/>
        <v>325</v>
      </c>
      <c r="AC23" s="137">
        <f>+AB23+AD23</f>
        <v>368</v>
      </c>
      <c r="AD23" s="137">
        <v>43</v>
      </c>
      <c r="AE23" s="439">
        <v>0</v>
      </c>
      <c r="AF23" s="439">
        <f>+AE23+Y23</f>
        <v>0</v>
      </c>
      <c r="AG23" s="140">
        <f>+AC22-AC23</f>
        <v>783</v>
      </c>
      <c r="AH23" s="131">
        <f>+IF(((AB24+(AB25/2))*60)=0,"",(J23*AB23)/((AB24+(AB25/2))*60))</f>
        <v>0.54829931972789125</v>
      </c>
      <c r="AI23" s="161">
        <f>+AB24+AB25/2</f>
        <v>367.5</v>
      </c>
      <c r="AJ23" s="161">
        <f t="shared" si="2"/>
        <v>367.3</v>
      </c>
      <c r="AK23" s="167">
        <f t="shared" si="3"/>
        <v>22050</v>
      </c>
      <c r="AL23" s="167">
        <f>+AB23*J23</f>
        <v>12090.000000000002</v>
      </c>
      <c r="AM23" s="230">
        <f>+AB23-(AI23*K23/K25)</f>
        <v>-187.79069767441865</v>
      </c>
      <c r="AN23" s="339"/>
      <c r="AO23" s="340"/>
      <c r="AP23" s="167"/>
      <c r="AQ23" s="167"/>
      <c r="AR23" s="167"/>
      <c r="AS23" s="167"/>
      <c r="AT23" s="433">
        <f>-250+AB22</f>
        <v>0</v>
      </c>
      <c r="AU23" s="393">
        <v>1</v>
      </c>
      <c r="AW23" s="356">
        <v>858</v>
      </c>
      <c r="AY23" s="356">
        <f t="shared" ref="AY23" si="11">+AW23-AG23</f>
        <v>75</v>
      </c>
    </row>
    <row r="24" spans="2:5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78" t="s">
        <v>472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42</v>
      </c>
      <c r="N24" s="425">
        <v>42</v>
      </c>
      <c r="O24" s="425">
        <v>42</v>
      </c>
      <c r="P24" s="425">
        <v>42</v>
      </c>
      <c r="Q24" s="425">
        <v>42</v>
      </c>
      <c r="R24" s="425">
        <v>42</v>
      </c>
      <c r="S24" s="425">
        <v>42</v>
      </c>
      <c r="T24" s="425">
        <v>42</v>
      </c>
      <c r="U24" s="425">
        <v>42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-200</v>
      </c>
      <c r="Y24" s="440"/>
      <c r="Z24" s="400"/>
      <c r="AA24" s="541"/>
      <c r="AB24" s="443">
        <f t="shared" si="6"/>
        <v>367.5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367.5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5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79" t="s">
        <v>472</v>
      </c>
      <c r="H25" s="454">
        <f>+AC22-H23</f>
        <v>-7182</v>
      </c>
      <c r="I25" s="397"/>
      <c r="J25" s="165">
        <f>+IF(K25="","",IF(K23=0,"",(K23*J23)/(K25*60)))</f>
        <v>0.8651162790697674</v>
      </c>
      <c r="K25" s="118">
        <v>43</v>
      </c>
      <c r="L25" s="104" t="s">
        <v>19</v>
      </c>
      <c r="M25" s="427"/>
      <c r="N25" s="427"/>
      <c r="O25" s="427"/>
      <c r="P25" s="427"/>
      <c r="Q25" s="427"/>
      <c r="R25" s="427"/>
      <c r="S25" s="427"/>
      <c r="T25" s="427"/>
      <c r="U25" s="427"/>
      <c r="V25" s="428"/>
      <c r="W25" s="428"/>
      <c r="X25" s="173"/>
      <c r="Y25" s="441"/>
      <c r="Z25" s="401">
        <v>13.84</v>
      </c>
      <c r="AA25" s="168">
        <f>+IF(COUNTA(M23:W23)=$AM$4+0.25,$AM$4-(AB23/K23),COUNTA(M23:W23)-(AB23/K23))+Z25</f>
        <v>17.173333333333332</v>
      </c>
      <c r="AB25" s="444">
        <f t="shared" si="6"/>
        <v>0</v>
      </c>
      <c r="AC25" s="139"/>
      <c r="AD25" s="139"/>
      <c r="AE25" s="441"/>
      <c r="AF25" s="441"/>
      <c r="AG25" s="119">
        <f>+IFERROR(AG23/(K23*$AT$3),"")</f>
        <v>1.4914285714285713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0</v>
      </c>
      <c r="AP25" s="167">
        <f>+AO25-AB25</f>
        <v>0</v>
      </c>
      <c r="AQ25" s="167"/>
      <c r="AR25" s="167"/>
      <c r="AS25" s="167"/>
      <c r="AT25" s="435"/>
      <c r="AU25" s="393"/>
      <c r="AW25" s="356">
        <v>1.3074285714285714</v>
      </c>
      <c r="AY25" s="356"/>
    </row>
    <row r="26" spans="2:5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77" t="s">
        <v>433</v>
      </c>
      <c r="H26" s="106"/>
      <c r="I26" s="111"/>
      <c r="J26" s="107" t="s">
        <v>20</v>
      </c>
      <c r="K26" s="108" t="s">
        <v>23</v>
      </c>
      <c r="L26" s="100" t="s">
        <v>21</v>
      </c>
      <c r="M26" s="423"/>
      <c r="N26" s="423"/>
      <c r="O26" s="423"/>
      <c r="P26" s="423"/>
      <c r="Q26" s="423"/>
      <c r="R26" s="423"/>
      <c r="S26" s="423"/>
      <c r="T26" s="423"/>
      <c r="U26" s="423"/>
      <c r="V26" s="423"/>
      <c r="W26" s="423"/>
      <c r="X26" s="135" t="str">
        <f t="shared" si="0"/>
        <v/>
      </c>
      <c r="Y26" s="438"/>
      <c r="Z26" s="400">
        <v>51.5</v>
      </c>
      <c r="AA26" s="540">
        <f>+X28</f>
        <v>60.5</v>
      </c>
      <c r="AB26" s="135">
        <f t="shared" si="1"/>
        <v>0</v>
      </c>
      <c r="AC26" s="136">
        <f>+AD26+AB26</f>
        <v>11679</v>
      </c>
      <c r="AD26" s="136">
        <v>11679</v>
      </c>
      <c r="AE26" s="438"/>
      <c r="AF26" s="438"/>
      <c r="AG26" s="109"/>
      <c r="AH26" s="110"/>
      <c r="AI26" s="157"/>
      <c r="AJ26" s="161">
        <f t="shared" si="2"/>
        <v>0</v>
      </c>
      <c r="AK26" s="167">
        <f t="shared" si="3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51" s="98" customFormat="1" ht="62.25" customHeight="1" x14ac:dyDescent="0.9">
      <c r="B27" s="132">
        <v>5</v>
      </c>
      <c r="C27" s="371">
        <f>+B27</f>
        <v>5</v>
      </c>
      <c r="D27" s="372" t="s">
        <v>432</v>
      </c>
      <c r="E27" s="111"/>
      <c r="F27" s="111" t="s">
        <v>35</v>
      </c>
      <c r="G27" s="578" t="str">
        <f>+G26</f>
        <v>2843-709-800</v>
      </c>
      <c r="H27" s="450">
        <v>11700</v>
      </c>
      <c r="I27" s="111" t="s">
        <v>251</v>
      </c>
      <c r="J27" s="113">
        <v>50</v>
      </c>
      <c r="K27" s="130">
        <v>58</v>
      </c>
      <c r="L27" s="101" t="s">
        <v>17</v>
      </c>
      <c r="M27" s="214">
        <v>65</v>
      </c>
      <c r="N27" s="214">
        <v>65</v>
      </c>
      <c r="O27" s="214">
        <v>65</v>
      </c>
      <c r="P27" s="214">
        <v>65</v>
      </c>
      <c r="Q27" s="214">
        <v>65</v>
      </c>
      <c r="R27" s="214">
        <v>65</v>
      </c>
      <c r="S27" s="214">
        <v>65</v>
      </c>
      <c r="T27" s="214">
        <v>65</v>
      </c>
      <c r="U27" s="214">
        <v>48</v>
      </c>
      <c r="V27" s="214"/>
      <c r="W27" s="424"/>
      <c r="X27" s="123">
        <f>+IF(H28="s",0,IF(AB27=0,0,IF(COUNTA(M27:W27)=AN29+0.25,SUMIF($C:$C,B27,$AB:$AB)/AN29,SUMIF($C:$C,B27,$AB:$AB)/(COUNTA(M27:W27)))))</f>
        <v>64.914285714285711</v>
      </c>
      <c r="Y27" s="439"/>
      <c r="Z27" s="400"/>
      <c r="AA27" s="541"/>
      <c r="AB27" s="134">
        <f t="shared" si="1"/>
        <v>568</v>
      </c>
      <c r="AC27" s="137">
        <f>+AB27+AD27</f>
        <v>10890</v>
      </c>
      <c r="AD27" s="137">
        <v>10322</v>
      </c>
      <c r="AE27" s="439">
        <v>0</v>
      </c>
      <c r="AF27" s="439">
        <f>+AE27+Y27</f>
        <v>0</v>
      </c>
      <c r="AG27" s="140">
        <f>+AC26-AC27</f>
        <v>789</v>
      </c>
      <c r="AH27" s="131">
        <f>+IF(((AB28+(AB29/2))*60)=0,"",(J27*AB27)/((AB28+(AB29/2))*60))</f>
        <v>1.0111259457053849</v>
      </c>
      <c r="AI27" s="161">
        <f>+AB28+AB29/2</f>
        <v>468.125</v>
      </c>
      <c r="AJ27" s="161">
        <f t="shared" si="2"/>
        <v>468.07499999999999</v>
      </c>
      <c r="AK27" s="167">
        <f t="shared" si="3"/>
        <v>28087.5</v>
      </c>
      <c r="AL27" s="167">
        <f>+AB27*J27</f>
        <v>28400</v>
      </c>
      <c r="AM27" s="230">
        <f>+AB27-(AI27*K27/K29)</f>
        <v>65.199074074074076</v>
      </c>
      <c r="AN27" s="339"/>
      <c r="AO27" s="340"/>
      <c r="AP27" s="167"/>
      <c r="AQ27" s="167"/>
      <c r="AR27" s="167"/>
      <c r="AS27" s="167"/>
      <c r="AT27" s="433" t="str">
        <f t="shared" ref="AT27" si="12">IF(AU27=0,"",AW27-(($AT$3*K27)+($AT$3*K27)*AU27)+AB26)</f>
        <v/>
      </c>
      <c r="AU27" s="393"/>
      <c r="AW27" s="356">
        <v>1357</v>
      </c>
      <c r="AY27" s="356">
        <f t="shared" ref="AY27" si="13">+AW27-AG27</f>
        <v>568</v>
      </c>
    </row>
    <row r="28" spans="2:5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78" t="str">
        <f>+G26</f>
        <v>2843-709-800</v>
      </c>
      <c r="H28" s="376" t="s">
        <v>182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53</v>
      </c>
      <c r="N28" s="425">
        <v>53</v>
      </c>
      <c r="O28" s="425">
        <v>53</v>
      </c>
      <c r="P28" s="425">
        <v>53</v>
      </c>
      <c r="Q28" s="425">
        <v>53</v>
      </c>
      <c r="R28" s="425">
        <v>53</v>
      </c>
      <c r="S28" s="425">
        <v>53</v>
      </c>
      <c r="T28" s="425">
        <v>53</v>
      </c>
      <c r="U28" s="425">
        <v>53</v>
      </c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60.5</v>
      </c>
      <c r="Y28" s="440"/>
      <c r="Z28" s="400"/>
      <c r="AA28" s="541"/>
      <c r="AB28" s="443">
        <f t="shared" si="6"/>
        <v>463.75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167">
        <f t="shared" si="3"/>
        <v>0</v>
      </c>
      <c r="AL28" s="167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463.75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5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79" t="str">
        <f>+G26</f>
        <v>2843-709-800</v>
      </c>
      <c r="H29" s="454">
        <f>+AC26-H27</f>
        <v>-21</v>
      </c>
      <c r="I29" s="397" t="s">
        <v>182</v>
      </c>
      <c r="J29" s="165">
        <f>+IF(K29="","",IF(K27=0,"",(K27*J27)/(K29*60)))</f>
        <v>0.89506172839506171</v>
      </c>
      <c r="K29" s="118">
        <v>54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>
        <v>1</v>
      </c>
      <c r="V29" s="428"/>
      <c r="W29" s="428"/>
      <c r="X29" s="173"/>
      <c r="Y29" s="441"/>
      <c r="Z29" s="401">
        <v>36.370689655172413</v>
      </c>
      <c r="AA29" s="401">
        <v>36.370689655172413</v>
      </c>
      <c r="AB29" s="444">
        <f t="shared" si="6"/>
        <v>8.75</v>
      </c>
      <c r="AC29" s="139"/>
      <c r="AD29" s="139"/>
      <c r="AE29" s="441"/>
      <c r="AF29" s="441"/>
      <c r="AG29" s="119">
        <f>+IFERROR(AG27/(K27*$AT$3),"")</f>
        <v>1.554679802955665</v>
      </c>
      <c r="AH29" s="162"/>
      <c r="AI29" s="161"/>
      <c r="AJ29" s="161">
        <f t="shared" si="2"/>
        <v>0</v>
      </c>
      <c r="AK29" s="167">
        <f t="shared" si="3"/>
        <v>0</v>
      </c>
      <c r="AL29" s="167"/>
      <c r="AM29" s="230"/>
      <c r="AN29" s="342">
        <f>+$AM$4</f>
        <v>8.75</v>
      </c>
      <c r="AO29" s="340">
        <f>+IF(AN29=7.75,SUM(M29:S29)+T29*0.75,IF(AN29=8,SUM(M29:T29),IF(AN29=7.25,SUM(M29:S29)+T29*0.25,IF(AN29=8.25,SUM(M29:T29)+U29*0.25,IF(AN29=8.75,SUM(M29:T29)+U29*0.75,0)))))</f>
        <v>8.75</v>
      </c>
      <c r="AP29" s="167">
        <f>+AO29-AB29</f>
        <v>0</v>
      </c>
      <c r="AQ29" s="167"/>
      <c r="AR29" s="167"/>
      <c r="AS29" s="167"/>
      <c r="AT29" s="435"/>
      <c r="AU29" s="393"/>
      <c r="AW29" s="356">
        <v>2.6738916256157634</v>
      </c>
      <c r="AY29" s="356"/>
    </row>
    <row r="30" spans="2:51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77" t="s">
        <v>472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50</v>
      </c>
      <c r="N30" s="423">
        <v>50</v>
      </c>
      <c r="O30" s="423">
        <v>50</v>
      </c>
      <c r="P30" s="423">
        <v>50</v>
      </c>
      <c r="Q30" s="423">
        <v>50</v>
      </c>
      <c r="R30" s="423">
        <v>50</v>
      </c>
      <c r="S30" s="423"/>
      <c r="T30" s="423"/>
      <c r="U30" s="423"/>
      <c r="V30" s="423"/>
      <c r="W30" s="423"/>
      <c r="X30" s="135">
        <f t="shared" ref="X30" si="14">IF(AT31="","",SUM(M30:W30)-(-(AT31-SUM(M30:W30))/$AT$3)*SUM($M$2:$W$2))</f>
        <v>300</v>
      </c>
      <c r="Y30" s="438"/>
      <c r="Z30" s="400">
        <v>51.5</v>
      </c>
      <c r="AA30" s="540">
        <f>+X32</f>
        <v>0</v>
      </c>
      <c r="AB30" s="135">
        <f t="shared" ref="AB30:AB31" si="15">+SUM(L30:W30)</f>
        <v>300</v>
      </c>
      <c r="AC30" s="136">
        <f>+AD30+AB30</f>
        <v>300</v>
      </c>
      <c r="AD30" s="136"/>
      <c r="AE30" s="438"/>
      <c r="AF30" s="438"/>
      <c r="AG30" s="109"/>
      <c r="AH30" s="110"/>
      <c r="AI30" s="157"/>
      <c r="AJ30" s="161">
        <f t="shared" ref="AJ30:AJ33" si="16">TRUNC(AI30)+(AI30-TRUNC(AI30))*60/100</f>
        <v>0</v>
      </c>
      <c r="AK30" s="167">
        <f t="shared" ref="AK30:AK33" si="17">+AI30*60</f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51" s="98" customFormat="1" ht="62.25" customHeight="1" x14ac:dyDescent="0.9">
      <c r="B31" s="132">
        <v>5</v>
      </c>
      <c r="C31" s="371">
        <f>+B31</f>
        <v>5</v>
      </c>
      <c r="D31" s="372" t="s">
        <v>473</v>
      </c>
      <c r="E31" s="111"/>
      <c r="F31" s="111" t="s">
        <v>35</v>
      </c>
      <c r="G31" s="578" t="str">
        <f>+G30</f>
        <v>7674-739-401</v>
      </c>
      <c r="H31" s="450">
        <v>8333</v>
      </c>
      <c r="I31" s="111" t="s">
        <v>251</v>
      </c>
      <c r="J31" s="113"/>
      <c r="K31" s="130">
        <v>75</v>
      </c>
      <c r="L31" s="101" t="s">
        <v>17</v>
      </c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424"/>
      <c r="X31" s="123">
        <f>+IF(H32="s",0,IF(AB31=0,0,IF(COUNTA(M31:W31)=AN33+0.25,SUMIF($C:$C,B31,$AB:$AB)/AN33,SUMIF($C:$C,B31,$AB:$AB)/(COUNTA(M31:W31)))))</f>
        <v>0</v>
      </c>
      <c r="Y31" s="439"/>
      <c r="Z31" s="400"/>
      <c r="AA31" s="541"/>
      <c r="AB31" s="134">
        <f t="shared" si="15"/>
        <v>0</v>
      </c>
      <c r="AC31" s="137">
        <f>+AB31+AD31</f>
        <v>0</v>
      </c>
      <c r="AD31" s="137"/>
      <c r="AE31" s="439">
        <v>0</v>
      </c>
      <c r="AF31" s="439">
        <f>+AE31+Y31</f>
        <v>0</v>
      </c>
      <c r="AG31" s="140">
        <f>+AC30-AC31</f>
        <v>300</v>
      </c>
      <c r="AH31" s="131" t="str">
        <f>+IF(((AB32+(AB33/2))*60)=0,"",(J31*AB31)/((AB32+(AB33/2))*60))</f>
        <v/>
      </c>
      <c r="AI31" s="161">
        <f>+AB32+AB33/2</f>
        <v>0</v>
      </c>
      <c r="AJ31" s="161">
        <f t="shared" si="16"/>
        <v>0</v>
      </c>
      <c r="AK31" s="167">
        <f t="shared" si="17"/>
        <v>0</v>
      </c>
      <c r="AL31" s="167">
        <f>+AB31*J31</f>
        <v>0</v>
      </c>
      <c r="AM31" s="230" t="e">
        <f>+AB31-(AI31*K31/K33)</f>
        <v>#DIV/0!</v>
      </c>
      <c r="AN31" s="339"/>
      <c r="AO31" s="340"/>
      <c r="AP31" s="167"/>
      <c r="AQ31" s="167"/>
      <c r="AR31" s="167"/>
      <c r="AS31" s="167"/>
      <c r="AT31" s="433">
        <f>-300+AB30</f>
        <v>0</v>
      </c>
      <c r="AU31" s="393"/>
      <c r="AW31" s="356">
        <v>0</v>
      </c>
      <c r="AY31" s="356">
        <f t="shared" ref="AY31" si="18">+AW31-AG31</f>
        <v>-300</v>
      </c>
    </row>
    <row r="32" spans="2:51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78" t="str">
        <f>+G30</f>
        <v>7674-739-401</v>
      </c>
      <c r="H32" s="376" t="s">
        <v>400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/>
      <c r="N32" s="425"/>
      <c r="O32" s="425"/>
      <c r="P32" s="425"/>
      <c r="Q32" s="425"/>
      <c r="R32" s="425"/>
      <c r="S32" s="425"/>
      <c r="T32" s="425"/>
      <c r="U32" s="425"/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0</v>
      </c>
      <c r="Y32" s="440"/>
      <c r="Z32" s="400"/>
      <c r="AA32" s="541"/>
      <c r="AB32" s="443">
        <f t="shared" ref="AB32:AB33" si="19">+SUM(M32:W32)-U32*0.25</f>
        <v>0</v>
      </c>
      <c r="AC32" s="341"/>
      <c r="AD32" s="341"/>
      <c r="AE32" s="440"/>
      <c r="AF32" s="440"/>
      <c r="AG32" s="115"/>
      <c r="AH32" s="116"/>
      <c r="AI32" s="157"/>
      <c r="AJ32" s="161">
        <f t="shared" si="16"/>
        <v>0</v>
      </c>
      <c r="AK32" s="167">
        <f t="shared" si="17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0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79" t="str">
        <f>+G30</f>
        <v>7674-739-401</v>
      </c>
      <c r="H33" s="454">
        <f>+AC30-H31</f>
        <v>-8033</v>
      </c>
      <c r="I33" s="397" t="s">
        <v>182</v>
      </c>
      <c r="J33" s="165" t="str">
        <f>+IF(K33="","",IF(K31=0,"",(K31*J31)/(K33*60)))</f>
        <v/>
      </c>
      <c r="K33" s="118"/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/>
      <c r="AA33" s="168">
        <f>+IF(COUNTA(M31:W31)=$AM$4+0.25,$AM$4-(AB31/K31),COUNTA(M31:W31)-(AB31/K31))+Z33</f>
        <v>0</v>
      </c>
      <c r="AB33" s="444">
        <f t="shared" si="19"/>
        <v>0</v>
      </c>
      <c r="AC33" s="139"/>
      <c r="AD33" s="139"/>
      <c r="AE33" s="441"/>
      <c r="AF33" s="441"/>
      <c r="AG33" s="119">
        <f>+IFERROR(AG31/(K31*$AT$3),"")</f>
        <v>0.45714285714285713</v>
      </c>
      <c r="AH33" s="162"/>
      <c r="AI33" s="161"/>
      <c r="AJ33" s="161">
        <f t="shared" si="16"/>
        <v>0</v>
      </c>
      <c r="AK33" s="167">
        <f t="shared" si="17"/>
        <v>0</v>
      </c>
      <c r="AL33" s="167"/>
      <c r="AM33" s="230"/>
      <c r="AN33" s="342">
        <f>+$AM$4</f>
        <v>8.75</v>
      </c>
      <c r="AO33" s="340">
        <f>+IF(AN33=7.75,SUM(M33:S33)+T33*0.75,IF(AN33=8,SUM(M33:T33),IF(AN33=7.25,SUM(M33:S33)+T33*0.25,IF(AN33=8.25,SUM(M33:T33)+U33*0.25,IF(AN33=8.75,SUM(M33:T33)+U33*0.75,0)))))</f>
        <v>0</v>
      </c>
      <c r="AP33" s="167">
        <f>+AO33-AB33</f>
        <v>0</v>
      </c>
      <c r="AQ33" s="167"/>
      <c r="AR33" s="167"/>
      <c r="AS33" s="167"/>
      <c r="AT33" s="435"/>
      <c r="AU33" s="393"/>
      <c r="AW33" s="356">
        <v>0</v>
      </c>
      <c r="AY33" s="356"/>
    </row>
    <row r="34" spans="2:61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77" t="s">
        <v>444</v>
      </c>
      <c r="H34" s="106"/>
      <c r="I34" s="111"/>
      <c r="J34" s="107" t="s">
        <v>20</v>
      </c>
      <c r="K34" s="108">
        <v>0</v>
      </c>
      <c r="L34" s="100" t="s">
        <v>21</v>
      </c>
      <c r="M34" s="423">
        <v>50</v>
      </c>
      <c r="N34" s="423">
        <v>50</v>
      </c>
      <c r="O34" s="423">
        <v>50</v>
      </c>
      <c r="P34" s="423"/>
      <c r="Q34" s="423">
        <v>50</v>
      </c>
      <c r="R34" s="423">
        <v>50</v>
      </c>
      <c r="S34" s="423">
        <v>50</v>
      </c>
      <c r="T34" s="423"/>
      <c r="U34" s="423"/>
      <c r="V34" s="423"/>
      <c r="W34" s="423"/>
      <c r="X34" s="135">
        <f t="shared" si="0"/>
        <v>300</v>
      </c>
      <c r="Y34" s="438"/>
      <c r="Z34" s="400">
        <v>16.25</v>
      </c>
      <c r="AA34" s="540">
        <f>+X36</f>
        <v>-46.25</v>
      </c>
      <c r="AB34" s="135">
        <f t="shared" si="1"/>
        <v>300</v>
      </c>
      <c r="AC34" s="136">
        <f>+AD34+AB34</f>
        <v>6001</v>
      </c>
      <c r="AD34" s="136">
        <v>5701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1.35">
      <c r="B35" s="132">
        <v>6</v>
      </c>
      <c r="C35" s="371">
        <f>+B35</f>
        <v>6</v>
      </c>
      <c r="D35" s="372" t="s">
        <v>443</v>
      </c>
      <c r="E35" s="111"/>
      <c r="F35" s="111" t="s">
        <v>35</v>
      </c>
      <c r="G35" s="578" t="str">
        <f t="shared" ref="G35:G37" si="20">+G34</f>
        <v>2917-496-712</v>
      </c>
      <c r="H35" s="450">
        <v>7000</v>
      </c>
      <c r="I35" s="111" t="s">
        <v>33</v>
      </c>
      <c r="J35" s="113"/>
      <c r="K35" s="130">
        <v>55</v>
      </c>
      <c r="L35" s="101" t="s">
        <v>17</v>
      </c>
      <c r="M35" s="214">
        <v>50</v>
      </c>
      <c r="N35" s="214">
        <v>50</v>
      </c>
      <c r="O35" s="214">
        <v>50</v>
      </c>
      <c r="P35" s="214">
        <v>37</v>
      </c>
      <c r="Q35" s="214">
        <v>63</v>
      </c>
      <c r="R35" s="214">
        <v>50</v>
      </c>
      <c r="S35" s="214">
        <v>50</v>
      </c>
      <c r="T35" s="214">
        <v>50</v>
      </c>
      <c r="U35" s="214">
        <v>35</v>
      </c>
      <c r="V35" s="424"/>
      <c r="W35" s="424"/>
      <c r="X35" s="123">
        <f>+IF(H36="s",0,IF(AB35=0,0,IF(COUNTA(M35:W35)=AN37+0.25,SUMIF($C:$C,B35,$AB:$AB)/AN37,SUMIF($C:$C,B35,$AB:$AB)/(COUNTA(M35:W35)))))</f>
        <v>49.714285714285715</v>
      </c>
      <c r="Y35" s="439"/>
      <c r="Z35" s="400"/>
      <c r="AA35" s="541"/>
      <c r="AB35" s="134">
        <f t="shared" si="1"/>
        <v>435</v>
      </c>
      <c r="AC35" s="137">
        <f>+AB35+AD35</f>
        <v>4611</v>
      </c>
      <c r="AD35" s="137">
        <v>4176</v>
      </c>
      <c r="AE35" s="439"/>
      <c r="AF35" s="439">
        <f>+AE35+Y35</f>
        <v>0</v>
      </c>
      <c r="AG35" s="140">
        <f>+AC34-AC35</f>
        <v>1390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>
        <f>-450+AB34</f>
        <v>-150</v>
      </c>
      <c r="AU35" s="393">
        <v>1.5</v>
      </c>
      <c r="AW35" s="356">
        <v>1525</v>
      </c>
      <c r="AY35" s="356">
        <f t="shared" ref="AY35" si="21">+AW35-AG35</f>
        <v>135</v>
      </c>
      <c r="AZ35" s="581" t="s">
        <v>482</v>
      </c>
      <c r="BA35" s="581"/>
      <c r="BB35" s="581"/>
      <c r="BC35" s="581"/>
      <c r="BD35" s="581"/>
      <c r="BE35" s="581"/>
      <c r="BF35" s="581"/>
      <c r="BG35" s="581"/>
      <c r="BH35" s="581"/>
      <c r="BI35" s="581"/>
    </row>
    <row r="36" spans="2:61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78" t="str">
        <f t="shared" si="20"/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-46.25</v>
      </c>
      <c r="Y36" s="440"/>
      <c r="Z36" s="400"/>
      <c r="AA36" s="541"/>
      <c r="AB36" s="443">
        <f t="shared" si="6"/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79" t="str">
        <f t="shared" si="20"/>
        <v>2917-496-712</v>
      </c>
      <c r="H37" s="454">
        <f>+AC34-H35</f>
        <v>-999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68.483636363636364</v>
      </c>
      <c r="AA37" s="401">
        <v>68.483636363636364</v>
      </c>
      <c r="AB37" s="444">
        <f t="shared" si="6"/>
        <v>0</v>
      </c>
      <c r="AC37" s="139"/>
      <c r="AD37" s="139"/>
      <c r="AE37" s="441"/>
      <c r="AF37" s="441"/>
      <c r="AG37" s="119">
        <f>+IFERROR(AG35/(K35*$AT$3),"")</f>
        <v>2.8883116883116884</v>
      </c>
      <c r="AH37" s="162"/>
      <c r="AI37" s="161"/>
      <c r="AJ37" s="161"/>
      <c r="AK37" s="167"/>
      <c r="AL37" s="167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3.168831168831169</v>
      </c>
      <c r="AY37" s="356"/>
    </row>
    <row r="38" spans="2:61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77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/>
      <c r="P38" s="423">
        <v>50</v>
      </c>
      <c r="Q38" s="423"/>
      <c r="R38" s="423">
        <v>50</v>
      </c>
      <c r="S38" s="423">
        <v>100</v>
      </c>
      <c r="T38" s="423">
        <v>50</v>
      </c>
      <c r="U38" s="423">
        <v>50</v>
      </c>
      <c r="V38" s="423"/>
      <c r="W38" s="423"/>
      <c r="X38" s="135">
        <f t="shared" si="0"/>
        <v>400</v>
      </c>
      <c r="Y38" s="438"/>
      <c r="Z38" s="400">
        <v>-10</v>
      </c>
      <c r="AA38" s="540">
        <f>+X40</f>
        <v>-208</v>
      </c>
      <c r="AB38" s="135">
        <f t="shared" si="1"/>
        <v>400</v>
      </c>
      <c r="AC38" s="136">
        <f>+AD38+AB38</f>
        <v>4556</v>
      </c>
      <c r="AD38" s="136">
        <v>4156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78" t="str">
        <f>+G38</f>
        <v>2917-496-712</v>
      </c>
      <c r="H39" s="450">
        <v>7000</v>
      </c>
      <c r="I39" s="111" t="s">
        <v>33</v>
      </c>
      <c r="J39" s="113">
        <v>42.84</v>
      </c>
      <c r="K39" s="130">
        <v>60</v>
      </c>
      <c r="L39" s="101" t="s">
        <v>17</v>
      </c>
      <c r="M39" s="214">
        <v>40</v>
      </c>
      <c r="N39" s="214">
        <v>0</v>
      </c>
      <c r="O39" s="214">
        <v>12</v>
      </c>
      <c r="P39" s="214">
        <v>22</v>
      </c>
      <c r="Q39" s="214">
        <v>50</v>
      </c>
      <c r="R39" s="214">
        <v>50</v>
      </c>
      <c r="S39" s="214">
        <v>50</v>
      </c>
      <c r="T39" s="214">
        <v>50</v>
      </c>
      <c r="U39" s="214">
        <v>43</v>
      </c>
      <c r="V39" s="424"/>
      <c r="W39" s="424"/>
      <c r="X39" s="123">
        <f>+IF(H40="s",0,IF(AB39=0,0,IF(COUNTA(M39:W39)=AN41+0.25,SUMIF($C:$C,B39,$AB:$AB)/AN41,SUMIF($C:$C,B39,$AB:$AB)/(COUNTA(M39:W39)))))</f>
        <v>36.228571428571428</v>
      </c>
      <c r="Y39" s="439"/>
      <c r="Z39" s="400"/>
      <c r="AA39" s="541"/>
      <c r="AB39" s="134">
        <f t="shared" si="1"/>
        <v>317</v>
      </c>
      <c r="AC39" s="137">
        <f>+AB39+AD39</f>
        <v>3692</v>
      </c>
      <c r="AD39" s="137">
        <v>3375</v>
      </c>
      <c r="AE39" s="439">
        <v>0</v>
      </c>
      <c r="AF39" s="439">
        <f>+AE39+Y39</f>
        <v>0</v>
      </c>
      <c r="AG39" s="140">
        <f>+AC38-AC39</f>
        <v>864</v>
      </c>
      <c r="AH39" s="131">
        <f>+IF(((AB40+(AB41/2))*60)=0,"",(J39*AB39)/((AB40+(AB41/2))*60))</f>
        <v>0.53334432989690728</v>
      </c>
      <c r="AI39" s="161">
        <f>+AB40+AB41/2</f>
        <v>424.375</v>
      </c>
      <c r="AJ39" s="161">
        <f t="shared" si="2"/>
        <v>424.22500000000002</v>
      </c>
      <c r="AK39" s="167">
        <f t="shared" si="3"/>
        <v>25462.5</v>
      </c>
      <c r="AL39" s="167">
        <f>+AB39*J39</f>
        <v>13580.28</v>
      </c>
      <c r="AM39" s="230">
        <f>+AB39-(AI39*K39/K41)</f>
        <v>-202.64285714285711</v>
      </c>
      <c r="AN39" s="339"/>
      <c r="AO39" s="340"/>
      <c r="AP39" s="167"/>
      <c r="AQ39" s="167"/>
      <c r="AR39" s="167"/>
      <c r="AS39" s="167"/>
      <c r="AT39" s="433">
        <f t="shared" ref="AT39" si="22">IF(AU39=0,"",AW39-(($AT$3*K39)+($AT$3*K39)*AU39)+AB38)</f>
        <v>-131.5</v>
      </c>
      <c r="AU39" s="393">
        <v>1.5</v>
      </c>
      <c r="AW39" s="356">
        <v>781</v>
      </c>
      <c r="AY39" s="356">
        <f t="shared" ref="AY39" si="23">+AW39-AG39</f>
        <v>-83</v>
      </c>
      <c r="AZ39" s="581" t="s">
        <v>482</v>
      </c>
      <c r="BA39" s="581"/>
      <c r="BB39" s="581"/>
      <c r="BC39" s="581"/>
      <c r="BD39" s="581"/>
      <c r="BE39" s="581"/>
      <c r="BF39" s="581"/>
      <c r="BG39" s="581"/>
      <c r="BH39" s="581"/>
      <c r="BI39" s="581"/>
    </row>
    <row r="40" spans="2:61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78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48</v>
      </c>
      <c r="N40" s="425">
        <v>48</v>
      </c>
      <c r="O40" s="425">
        <v>48</v>
      </c>
      <c r="P40" s="425">
        <v>48</v>
      </c>
      <c r="Q40" s="425">
        <v>48</v>
      </c>
      <c r="R40" s="425">
        <v>48</v>
      </c>
      <c r="S40" s="425">
        <v>48</v>
      </c>
      <c r="T40" s="425">
        <v>48</v>
      </c>
      <c r="U40" s="425">
        <v>48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-208</v>
      </c>
      <c r="Y40" s="440"/>
      <c r="Z40" s="400"/>
      <c r="AA40" s="541"/>
      <c r="AB40" s="443">
        <f t="shared" si="6"/>
        <v>420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420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79" t="str">
        <f>+G38</f>
        <v>2917-496-712</v>
      </c>
      <c r="H41" s="454">
        <f>+AC38-H39</f>
        <v>-2444</v>
      </c>
      <c r="I41" s="397"/>
      <c r="J41" s="165">
        <v>0.91625000000000001</v>
      </c>
      <c r="K41" s="118">
        <v>49</v>
      </c>
      <c r="L41" s="104" t="s">
        <v>19</v>
      </c>
      <c r="M41" s="427">
        <v>1</v>
      </c>
      <c r="N41" s="427">
        <v>1</v>
      </c>
      <c r="O41" s="427">
        <v>1</v>
      </c>
      <c r="P41" s="427">
        <v>1</v>
      </c>
      <c r="Q41" s="427">
        <v>1</v>
      </c>
      <c r="R41" s="427">
        <v>1</v>
      </c>
      <c r="S41" s="427">
        <v>1</v>
      </c>
      <c r="T41" s="427">
        <v>1</v>
      </c>
      <c r="U41" s="427">
        <v>1</v>
      </c>
      <c r="V41" s="428"/>
      <c r="W41" s="428"/>
      <c r="X41" s="173"/>
      <c r="Y41" s="441"/>
      <c r="Z41" s="401">
        <v>28.346666666666668</v>
      </c>
      <c r="AA41" s="168">
        <f>+IF(COUNTA(M39:W39)=$AM$4+0.25,$AM$4-(AB39/K39),COUNTA(M39:W39)-(AB39/K39))+Z41</f>
        <v>31.813333333333333</v>
      </c>
      <c r="AB41" s="444">
        <f t="shared" si="6"/>
        <v>8.75</v>
      </c>
      <c r="AC41" s="139"/>
      <c r="AD41" s="139"/>
      <c r="AE41" s="441"/>
      <c r="AF41" s="441"/>
      <c r="AG41" s="119">
        <f>+IFERROR(AG39/(K39*$AT$3),"")</f>
        <v>1.6457142857142857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8.75</v>
      </c>
      <c r="AP41" s="167">
        <f>+AO41-AB41</f>
        <v>0</v>
      </c>
      <c r="AQ41" s="167"/>
      <c r="AR41" s="167"/>
      <c r="AS41" s="167"/>
      <c r="AT41" s="435"/>
      <c r="AU41" s="393"/>
      <c r="AW41" s="356">
        <v>1.4876190476190476</v>
      </c>
      <c r="AY41" s="356"/>
    </row>
    <row r="42" spans="2:61" s="98" customFormat="1" ht="62.25" customHeight="1" thickTop="1" x14ac:dyDescent="0.9">
      <c r="B42" s="97">
        <f>+B43</f>
        <v>8</v>
      </c>
      <c r="C42" s="370"/>
      <c r="D42" s="106"/>
      <c r="E42" s="106"/>
      <c r="F42" s="106"/>
      <c r="G42" s="582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50</v>
      </c>
      <c r="N42" s="423">
        <v>50</v>
      </c>
      <c r="O42" s="423">
        <v>50</v>
      </c>
      <c r="P42" s="423">
        <v>50</v>
      </c>
      <c r="Q42" s="423">
        <v>50</v>
      </c>
      <c r="R42" s="423">
        <v>50</v>
      </c>
      <c r="S42" s="423"/>
      <c r="T42" s="423"/>
      <c r="U42" s="423"/>
      <c r="V42" s="423"/>
      <c r="W42" s="423"/>
      <c r="X42" s="135">
        <f t="shared" si="0"/>
        <v>300</v>
      </c>
      <c r="Y42" s="438"/>
      <c r="Z42" s="400">
        <v>0.5</v>
      </c>
      <c r="AA42" s="540">
        <f>+X44</f>
        <v>0.5</v>
      </c>
      <c r="AB42" s="135">
        <f t="shared" si="1"/>
        <v>300</v>
      </c>
      <c r="AC42" s="136">
        <f>+AD42+AB42</f>
        <v>6935</v>
      </c>
      <c r="AD42" s="136">
        <v>6635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8</v>
      </c>
      <c r="C43" s="371">
        <f>+B43</f>
        <v>8</v>
      </c>
      <c r="D43" s="372" t="s">
        <v>441</v>
      </c>
      <c r="E43" s="111"/>
      <c r="F43" s="111" t="s">
        <v>35</v>
      </c>
      <c r="G43" s="582" t="str">
        <f>+G42</f>
        <v>7741-793-052</v>
      </c>
      <c r="H43" s="450">
        <v>11500</v>
      </c>
      <c r="I43" s="111" t="s">
        <v>33</v>
      </c>
      <c r="J43" s="113">
        <v>55.14</v>
      </c>
      <c r="K43" s="130">
        <v>46</v>
      </c>
      <c r="L43" s="101" t="s">
        <v>17</v>
      </c>
      <c r="M43" s="214">
        <v>46</v>
      </c>
      <c r="N43" s="214">
        <v>46</v>
      </c>
      <c r="O43" s="214">
        <v>46</v>
      </c>
      <c r="P43" s="214">
        <v>46</v>
      </c>
      <c r="Q43" s="214">
        <v>46</v>
      </c>
      <c r="R43" s="214">
        <v>46</v>
      </c>
      <c r="S43" s="214">
        <v>46</v>
      </c>
      <c r="T43" s="214">
        <v>46</v>
      </c>
      <c r="U43" s="214">
        <v>35</v>
      </c>
      <c r="V43" s="424"/>
      <c r="W43" s="424"/>
      <c r="X43" s="123">
        <f>+IF(H44="s",0,IF(AB43=0,0,IF(COUNTA(M43:W43)=AN45+0.25,SUMIF($C:$C,B43,$AB:$AB)/AN45,SUMIF($C:$C,B43,$AB:$AB)/(COUNTA(M43:W43)))))</f>
        <v>46.057142857142857</v>
      </c>
      <c r="Y43" s="439"/>
      <c r="Z43" s="400"/>
      <c r="AA43" s="541"/>
      <c r="AB43" s="134">
        <f t="shared" si="1"/>
        <v>403</v>
      </c>
      <c r="AC43" s="137">
        <f>+AB43+AD43</f>
        <v>6067</v>
      </c>
      <c r="AD43" s="137">
        <v>5664</v>
      </c>
      <c r="AE43" s="439">
        <v>0</v>
      </c>
      <c r="AF43" s="439">
        <f>+AE43+Y43</f>
        <v>0</v>
      </c>
      <c r="AG43" s="140">
        <f>+AC42-AC43</f>
        <v>868</v>
      </c>
      <c r="AH43" s="131">
        <f>+IF(((AB44+(AB45/2))*60)=0,"",(J43*AB43)/((AB44+(AB45/2))*60))</f>
        <v>0.87271163475699565</v>
      </c>
      <c r="AI43" s="161">
        <f>+AB44+AB45/2</f>
        <v>424.375</v>
      </c>
      <c r="AJ43" s="161">
        <f t="shared" si="2"/>
        <v>424.22500000000002</v>
      </c>
      <c r="AK43" s="167">
        <f t="shared" si="3"/>
        <v>25462.5</v>
      </c>
      <c r="AL43" s="167">
        <f>+AB43*J43</f>
        <v>22221.420000000002</v>
      </c>
      <c r="AM43" s="230">
        <f>+AB43-(AI43*K43/K45)</f>
        <v>4.6071428571428328</v>
      </c>
      <c r="AN43" s="339"/>
      <c r="AO43" s="340"/>
      <c r="AP43" s="167"/>
      <c r="AQ43" s="167"/>
      <c r="AR43" s="167"/>
      <c r="AS43" s="167"/>
      <c r="AT43" s="433">
        <f t="shared" ref="AT43" si="24">IF(AU43=0,"",AW43-(($AT$3*K43)+($AT$3*K43)*AU43)+AB42)</f>
        <v>3.125</v>
      </c>
      <c r="AU43" s="393">
        <v>2.15</v>
      </c>
      <c r="AW43" s="356">
        <v>971</v>
      </c>
      <c r="AY43" s="356">
        <f t="shared" ref="AY43" si="25">+AW43-AG43</f>
        <v>103</v>
      </c>
    </row>
    <row r="44" spans="2:61" s="98" customFormat="1" ht="62.25" customHeight="1" x14ac:dyDescent="0.9">
      <c r="B44" s="125">
        <f>+B43</f>
        <v>8</v>
      </c>
      <c r="C44" s="373"/>
      <c r="D44" s="184"/>
      <c r="E44" s="111">
        <f>+B43</f>
        <v>8</v>
      </c>
      <c r="F44" s="374"/>
      <c r="G44" s="582" t="str">
        <f>+G43</f>
        <v>7741-793-052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48</v>
      </c>
      <c r="N44" s="425">
        <v>48</v>
      </c>
      <c r="O44" s="425">
        <v>48</v>
      </c>
      <c r="P44" s="425">
        <v>48</v>
      </c>
      <c r="Q44" s="425">
        <v>48</v>
      </c>
      <c r="R44" s="425">
        <v>48</v>
      </c>
      <c r="S44" s="425">
        <v>48</v>
      </c>
      <c r="T44" s="425">
        <v>48</v>
      </c>
      <c r="U44" s="425">
        <v>48</v>
      </c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0.5</v>
      </c>
      <c r="Y44" s="440"/>
      <c r="Z44" s="400"/>
      <c r="AA44" s="541"/>
      <c r="AB44" s="443">
        <f t="shared" si="6"/>
        <v>420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420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8</v>
      </c>
      <c r="C45" s="375"/>
      <c r="D45" s="174" t="s">
        <v>373</v>
      </c>
      <c r="E45" s="175">
        <f>+E44+100</f>
        <v>108</v>
      </c>
      <c r="F45" s="175"/>
      <c r="G45" s="582" t="str">
        <f>+G44</f>
        <v>7741-793-052</v>
      </c>
      <c r="H45" s="454">
        <f>+AC42-H43</f>
        <v>-4565</v>
      </c>
      <c r="I45" s="397"/>
      <c r="J45" s="165">
        <f>+IF(K45="","",IF(K43=0,"",(K43*J43)/(K45*60)))</f>
        <v>0.86273469387755108</v>
      </c>
      <c r="K45" s="118">
        <v>49</v>
      </c>
      <c r="L45" s="104" t="s">
        <v>19</v>
      </c>
      <c r="M45" s="427">
        <v>1</v>
      </c>
      <c r="N45" s="427">
        <v>1</v>
      </c>
      <c r="O45" s="427">
        <v>1</v>
      </c>
      <c r="P45" s="427">
        <v>1</v>
      </c>
      <c r="Q45" s="427">
        <v>1</v>
      </c>
      <c r="R45" s="427">
        <v>1</v>
      </c>
      <c r="S45" s="427">
        <v>1</v>
      </c>
      <c r="T45" s="427">
        <v>1</v>
      </c>
      <c r="U45" s="427">
        <v>1</v>
      </c>
      <c r="V45" s="428"/>
      <c r="W45" s="428"/>
      <c r="X45" s="173"/>
      <c r="Y45" s="441"/>
      <c r="Z45" s="401">
        <v>24.299090909090911</v>
      </c>
      <c r="AA45" s="169">
        <v>24.299090909090911</v>
      </c>
      <c r="AB45" s="444">
        <f t="shared" si="6"/>
        <v>8.75</v>
      </c>
      <c r="AC45" s="139"/>
      <c r="AD45" s="139"/>
      <c r="AE45" s="441"/>
      <c r="AF45" s="441"/>
      <c r="AG45" s="119">
        <f>+IFERROR(AG43/(K43*$AT$3),"")</f>
        <v>2.1565217391304348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8.75</v>
      </c>
      <c r="AP45" s="167">
        <f>+AO45-AB45</f>
        <v>0</v>
      </c>
      <c r="AQ45" s="167"/>
      <c r="AR45" s="167"/>
      <c r="AS45" s="167"/>
      <c r="AT45" s="435"/>
      <c r="AU45" s="393"/>
      <c r="AW45" s="356">
        <v>2.4124223602484474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77" t="s">
        <v>428</v>
      </c>
      <c r="H46" s="106"/>
      <c r="I46" s="106"/>
      <c r="J46" s="107" t="s">
        <v>20</v>
      </c>
      <c r="K46" s="108" t="s">
        <v>23</v>
      </c>
      <c r="L46" s="100" t="s">
        <v>21</v>
      </c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135" t="str">
        <f t="shared" si="0"/>
        <v/>
      </c>
      <c r="Y46" s="438"/>
      <c r="Z46" s="400">
        <v>0</v>
      </c>
      <c r="AA46" s="540">
        <f>+X48</f>
        <v>0</v>
      </c>
      <c r="AB46" s="135">
        <f t="shared" si="1"/>
        <v>0</v>
      </c>
      <c r="AC46" s="136">
        <f>+AD46+AB46</f>
        <v>10477</v>
      </c>
      <c r="AD46" s="136">
        <v>10477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427</v>
      </c>
      <c r="E47" s="111"/>
      <c r="F47" s="111" t="s">
        <v>426</v>
      </c>
      <c r="G47" s="578" t="str">
        <f>+G46</f>
        <v>NUDIE-301580</v>
      </c>
      <c r="H47" s="450">
        <v>10450</v>
      </c>
      <c r="I47" s="111" t="s">
        <v>425</v>
      </c>
      <c r="J47" s="113">
        <v>44.17</v>
      </c>
      <c r="K47" s="130">
        <v>65</v>
      </c>
      <c r="L47" s="101" t="s">
        <v>17</v>
      </c>
      <c r="M47" s="214"/>
      <c r="N47" s="214"/>
      <c r="O47" s="214"/>
      <c r="P47" s="214"/>
      <c r="Q47" s="214"/>
      <c r="R47" s="214"/>
      <c r="S47" s="214">
        <v>15</v>
      </c>
      <c r="T47" s="214"/>
      <c r="U47" s="214"/>
      <c r="V47" s="214"/>
      <c r="W47" s="424"/>
      <c r="X47" s="123">
        <f>+IF(H48="s",0,IF(AB47=0,0,IF(COUNTA(M47:W47)=AN49+0.25,SUMIF($C:$C,B47,$AB:$AB)/AN49,SUMIF($C:$C,B47,$AB:$AB)/(COUNTA(M47:W47)))))</f>
        <v>0</v>
      </c>
      <c r="Y47" s="439">
        <v>7</v>
      </c>
      <c r="Z47" s="400"/>
      <c r="AA47" s="541"/>
      <c r="AB47" s="134">
        <f t="shared" si="1"/>
        <v>15</v>
      </c>
      <c r="AC47" s="137">
        <f>+AB47+AD47</f>
        <v>10473</v>
      </c>
      <c r="AD47" s="137">
        <v>10458</v>
      </c>
      <c r="AE47" s="439">
        <v>0</v>
      </c>
      <c r="AF47" s="439">
        <f>+AE47+Y47</f>
        <v>7</v>
      </c>
      <c r="AG47" s="140">
        <f>+AC46-AC47</f>
        <v>4</v>
      </c>
      <c r="AH47" s="131">
        <f>+IF(((AB48+(AB49/2))*60)=0,"",(J47*AB47)/((AB48+(AB49/2))*60))</f>
        <v>11.0425</v>
      </c>
      <c r="AI47" s="161">
        <f>+AB48+AB49/2</f>
        <v>1</v>
      </c>
      <c r="AJ47" s="161">
        <f t="shared" si="2"/>
        <v>1</v>
      </c>
      <c r="AK47" s="167">
        <f t="shared" si="3"/>
        <v>60</v>
      </c>
      <c r="AL47" s="167">
        <f>+AB47*J47</f>
        <v>662.55000000000007</v>
      </c>
      <c r="AM47" s="230">
        <f>+AB47-(AI47*K47/K49)</f>
        <v>13.796296296296296</v>
      </c>
      <c r="AN47" s="339"/>
      <c r="AO47" s="340"/>
      <c r="AP47" s="167"/>
      <c r="AQ47" s="167"/>
      <c r="AR47" s="167"/>
      <c r="AS47" s="167"/>
      <c r="AT47" s="433" t="str">
        <f t="shared" ref="AT47" si="26">IF(AU47=0,"",AW47-(($AT$3*K47)+($AT$3*K47)*AU47)+AB46)</f>
        <v/>
      </c>
      <c r="AU47" s="393"/>
      <c r="AW47" s="356">
        <v>19</v>
      </c>
      <c r="AY47" s="356">
        <f t="shared" ref="AY47" si="27">+AW47-AG47</f>
        <v>15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78" t="str">
        <f>+G47</f>
        <v>NUDIE-301580</v>
      </c>
      <c r="H48" s="376" t="s">
        <v>465</v>
      </c>
      <c r="I48" s="113">
        <f>+IFERROR(IF(K49=0,0,IF((LOOKUP(2,1/(M48:W48&lt;&gt;""),M48:W48)-K49)&lt;0,0,IF(K49=0,"",LOOKUP(2,1/(M48:W48&lt;&gt;""),M48:W48)-K49))),0)</f>
        <v>0</v>
      </c>
      <c r="J48" s="113">
        <v>1</v>
      </c>
      <c r="K48" s="114" t="s">
        <v>22</v>
      </c>
      <c r="L48" s="102" t="s">
        <v>18</v>
      </c>
      <c r="M48" s="425"/>
      <c r="N48" s="425"/>
      <c r="O48" s="425"/>
      <c r="P48" s="425"/>
      <c r="Q48" s="425"/>
      <c r="R48" s="425"/>
      <c r="S48" s="425">
        <v>1</v>
      </c>
      <c r="T48" s="425"/>
      <c r="U48" s="425"/>
      <c r="V48" s="425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0</v>
      </c>
      <c r="Y48" s="440"/>
      <c r="Z48" s="400"/>
      <c r="AA48" s="541"/>
      <c r="AB48" s="443">
        <f t="shared" si="6"/>
        <v>1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1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79" t="str">
        <f>+G48</f>
        <v>NUDIE-301580</v>
      </c>
      <c r="H49" s="454">
        <f>+AC46-H47</f>
        <v>27</v>
      </c>
      <c r="I49" s="397"/>
      <c r="J49" s="165">
        <f>+IF(K49="","",IF(K47=0,"",(K47*J47)/(K49*60)))</f>
        <v>0.8861265432098766</v>
      </c>
      <c r="K49" s="118">
        <v>54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6"/>
        <v>0</v>
      </c>
      <c r="AC49" s="139"/>
      <c r="AD49" s="139"/>
      <c r="AE49" s="441"/>
      <c r="AF49" s="441"/>
      <c r="AG49" s="119">
        <f>+IFERROR(AG47/(K47*$AT$3),"")</f>
        <v>7.032967032967033E-3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3.340659340659341E-2</v>
      </c>
      <c r="AY49" s="356"/>
    </row>
    <row r="50" spans="2:51" s="98" customFormat="1" ht="62.25" customHeight="1" thickTop="1" x14ac:dyDescent="0.9">
      <c r="B50" s="97">
        <f>+B51</f>
        <v>11</v>
      </c>
      <c r="C50" s="370"/>
      <c r="D50" s="106"/>
      <c r="E50" s="106"/>
      <c r="F50" s="106"/>
      <c r="G50" s="582" t="s">
        <v>474</v>
      </c>
      <c r="H50" s="106"/>
      <c r="I50" s="106"/>
      <c r="J50" s="107" t="s">
        <v>20</v>
      </c>
      <c r="K50" s="108" t="s">
        <v>23</v>
      </c>
      <c r="L50" s="100" t="s">
        <v>21</v>
      </c>
      <c r="M50" s="423">
        <v>60</v>
      </c>
      <c r="N50" s="423">
        <v>60</v>
      </c>
      <c r="O50" s="423">
        <v>60</v>
      </c>
      <c r="P50" s="423">
        <v>60</v>
      </c>
      <c r="Q50" s="423"/>
      <c r="R50" s="423">
        <v>50</v>
      </c>
      <c r="S50" s="423"/>
      <c r="T50" s="423"/>
      <c r="U50" s="423"/>
      <c r="V50" s="423"/>
      <c r="W50" s="423"/>
      <c r="X50" s="135">
        <f t="shared" si="0"/>
        <v>290</v>
      </c>
      <c r="Y50" s="438"/>
      <c r="Z50" s="400">
        <v>-471.25</v>
      </c>
      <c r="AA50" s="540">
        <f>+X52</f>
        <v>-568.75</v>
      </c>
      <c r="AB50" s="135">
        <f t="shared" si="1"/>
        <v>290</v>
      </c>
      <c r="AC50" s="136">
        <f>+AD50+AB50</f>
        <v>741</v>
      </c>
      <c r="AD50" s="136">
        <v>451</v>
      </c>
      <c r="AE50" s="438"/>
      <c r="AF50" s="438"/>
      <c r="AG50" s="109"/>
      <c r="AH50" s="110"/>
      <c r="AI50" s="157"/>
      <c r="AJ50" s="161">
        <f t="shared" si="2"/>
        <v>0</v>
      </c>
      <c r="AK50" s="167">
        <f t="shared" si="3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11</v>
      </c>
      <c r="C51" s="371">
        <v>11</v>
      </c>
      <c r="D51" s="372" t="s">
        <v>475</v>
      </c>
      <c r="E51" s="111"/>
      <c r="F51" s="111" t="s">
        <v>447</v>
      </c>
      <c r="G51" s="582" t="s">
        <v>474</v>
      </c>
      <c r="H51" s="450">
        <v>3360</v>
      </c>
      <c r="I51" s="111" t="s">
        <v>476</v>
      </c>
      <c r="J51" s="113">
        <v>38.65</v>
      </c>
      <c r="K51" s="130">
        <v>65</v>
      </c>
      <c r="L51" s="101" t="s">
        <v>17</v>
      </c>
      <c r="M51" s="214">
        <v>0</v>
      </c>
      <c r="N51" s="214">
        <v>0</v>
      </c>
      <c r="O51" s="214">
        <v>0</v>
      </c>
      <c r="P51" s="214">
        <v>0</v>
      </c>
      <c r="Q51" s="214">
        <v>0</v>
      </c>
      <c r="R51" s="214">
        <v>0</v>
      </c>
      <c r="S51" s="214">
        <v>0</v>
      </c>
      <c r="T51" s="214">
        <v>0</v>
      </c>
      <c r="U51" s="214">
        <v>0</v>
      </c>
      <c r="V51" s="214"/>
      <c r="W51" s="424"/>
      <c r="X51" s="123">
        <f>+IF(H52="s",0,IF(AB51=0,0,IF(COUNTA(M51:W51)=AN53+0.25,SUMIF($C:$C,B51,$AB:$AB)/AN53,SUMIF($C:$C,B51,$AB:$AB)/(COUNTA(M51:W51)))))</f>
        <v>0</v>
      </c>
      <c r="Y51" s="439"/>
      <c r="Z51" s="400"/>
      <c r="AA51" s="541"/>
      <c r="AB51" s="134">
        <f t="shared" si="1"/>
        <v>0</v>
      </c>
      <c r="AC51" s="137">
        <f>+AB51+AD51</f>
        <v>0</v>
      </c>
      <c r="AD51" s="137">
        <v>0</v>
      </c>
      <c r="AE51" s="439">
        <v>0</v>
      </c>
      <c r="AF51" s="439">
        <f>+AE51+Y51</f>
        <v>0</v>
      </c>
      <c r="AG51" s="140">
        <f>+AC50-AC51</f>
        <v>741</v>
      </c>
      <c r="AH51" s="131">
        <f>+IF(((AB52+(AB53/2))*60)=0,"",(J51*AB51)/((AB52+(AB53/2))*60))</f>
        <v>0</v>
      </c>
      <c r="AI51" s="161">
        <f>+AB52+AB53/2</f>
        <v>419</v>
      </c>
      <c r="AJ51" s="161">
        <f t="shared" si="2"/>
        <v>419</v>
      </c>
      <c r="AK51" s="167">
        <f t="shared" si="3"/>
        <v>25140</v>
      </c>
      <c r="AL51" s="167">
        <f>+AB51*J51</f>
        <v>0</v>
      </c>
      <c r="AM51" s="230">
        <f>+AB51-(AI51*K51/K53)</f>
        <v>-567.39583333333337</v>
      </c>
      <c r="AN51" s="339"/>
      <c r="AO51" s="340"/>
      <c r="AP51" s="167"/>
      <c r="AQ51" s="167"/>
      <c r="AR51" s="167"/>
      <c r="AS51" s="167"/>
      <c r="AT51" s="433">
        <f>-290+AB50</f>
        <v>0</v>
      </c>
      <c r="AU51" s="393">
        <v>1.5</v>
      </c>
      <c r="AW51" s="356">
        <v>451</v>
      </c>
      <c r="AY51" s="356">
        <f t="shared" ref="AY51" si="28">+AW51-AG51</f>
        <v>-290</v>
      </c>
    </row>
    <row r="52" spans="2:51" s="98" customFormat="1" ht="62.25" customHeight="1" x14ac:dyDescent="0.9">
      <c r="B52" s="125">
        <f>+B51</f>
        <v>11</v>
      </c>
      <c r="C52" s="373"/>
      <c r="D52" s="184"/>
      <c r="E52" s="111">
        <f>+B51</f>
        <v>11</v>
      </c>
      <c r="F52" s="374"/>
      <c r="G52" s="582" t="s">
        <v>474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48</v>
      </c>
      <c r="N52" s="425">
        <v>48</v>
      </c>
      <c r="O52" s="425">
        <v>48</v>
      </c>
      <c r="P52" s="425">
        <v>48</v>
      </c>
      <c r="Q52" s="425">
        <v>48</v>
      </c>
      <c r="R52" s="425">
        <v>48</v>
      </c>
      <c r="S52" s="425">
        <v>47</v>
      </c>
      <c r="T52" s="425">
        <v>48</v>
      </c>
      <c r="U52" s="425">
        <v>48</v>
      </c>
      <c r="V52" s="425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-568.75</v>
      </c>
      <c r="Y52" s="440"/>
      <c r="Z52" s="400"/>
      <c r="AA52" s="541"/>
      <c r="AB52" s="443">
        <f t="shared" si="6"/>
        <v>419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167">
        <f t="shared" si="3"/>
        <v>0</v>
      </c>
      <c r="AL52" s="167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419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+B51</f>
        <v>11</v>
      </c>
      <c r="C53" s="375"/>
      <c r="D53" s="174" t="s">
        <v>403</v>
      </c>
      <c r="E53" s="175">
        <f>+E52+100</f>
        <v>111</v>
      </c>
      <c r="F53" s="175"/>
      <c r="G53" s="582" t="s">
        <v>474</v>
      </c>
      <c r="H53" s="454">
        <f>+AC50-H51</f>
        <v>-2619</v>
      </c>
      <c r="I53" s="397"/>
      <c r="J53" s="165">
        <f>+IF(K53="","",IF(K51=0,"",(K51*J51)/(K53*60)))</f>
        <v>0.87230902777777775</v>
      </c>
      <c r="K53" s="118">
        <v>48</v>
      </c>
      <c r="L53" s="104" t="s">
        <v>19</v>
      </c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8"/>
      <c r="X53" s="173"/>
      <c r="Y53" s="441"/>
      <c r="Z53" s="401">
        <v>11.4331</v>
      </c>
      <c r="AA53" s="168">
        <f>+IF(COUNTA(M51:W51)=$AM$4+0.25,$AM$4-(AB51/K51),COUNTA(M51:W51)-(AB51/K51))+Z53</f>
        <v>20.1831</v>
      </c>
      <c r="AB53" s="444">
        <f t="shared" si="6"/>
        <v>0</v>
      </c>
      <c r="AC53" s="139"/>
      <c r="AD53" s="139"/>
      <c r="AE53" s="441"/>
      <c r="AF53" s="441"/>
      <c r="AG53" s="119">
        <f>+IFERROR(AG51/(K51*$AT$3),"")</f>
        <v>1.3028571428571429</v>
      </c>
      <c r="AH53" s="162"/>
      <c r="AI53" s="161"/>
      <c r="AJ53" s="161">
        <f t="shared" si="2"/>
        <v>0</v>
      </c>
      <c r="AK53" s="167">
        <f t="shared" si="3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0</v>
      </c>
      <c r="AP53" s="167">
        <f>+AO53-AB53</f>
        <v>0</v>
      </c>
      <c r="AQ53" s="167"/>
      <c r="AR53" s="167"/>
      <c r="AS53" s="167"/>
      <c r="AT53" s="435"/>
      <c r="AU53" s="393"/>
      <c r="AW53" s="356">
        <v>0.79296703296703297</v>
      </c>
      <c r="AY53" s="356"/>
    </row>
    <row r="54" spans="2:51" s="98" customFormat="1" ht="62.25" customHeight="1" thickTop="1" x14ac:dyDescent="0.9">
      <c r="B54" s="97">
        <f>+B55</f>
        <v>12</v>
      </c>
      <c r="C54" s="370"/>
      <c r="D54" s="106"/>
      <c r="E54" s="106"/>
      <c r="F54" s="106"/>
      <c r="G54" s="577" t="s">
        <v>433</v>
      </c>
      <c r="H54" s="106"/>
      <c r="I54" s="111"/>
      <c r="J54" s="107" t="s">
        <v>20</v>
      </c>
      <c r="K54" s="108" t="s">
        <v>23</v>
      </c>
      <c r="L54" s="100" t="s">
        <v>21</v>
      </c>
      <c r="M54" s="423">
        <v>150</v>
      </c>
      <c r="N54" s="423">
        <v>75</v>
      </c>
      <c r="O54" s="423">
        <v>150</v>
      </c>
      <c r="P54" s="423"/>
      <c r="Q54" s="423"/>
      <c r="R54" s="423"/>
      <c r="S54" s="423"/>
      <c r="T54" s="423"/>
      <c r="U54" s="423"/>
      <c r="V54" s="423"/>
      <c r="W54" s="423"/>
      <c r="X54" s="135">
        <f t="shared" si="0"/>
        <v>375</v>
      </c>
      <c r="Y54" s="438"/>
      <c r="Z54" s="400">
        <v>0.5</v>
      </c>
      <c r="AA54" s="540">
        <f>+X56</f>
        <v>0.5</v>
      </c>
      <c r="AB54" s="135">
        <f t="shared" si="1"/>
        <v>375</v>
      </c>
      <c r="AC54" s="136">
        <f>+AD54+AB54</f>
        <v>10801</v>
      </c>
      <c r="AD54" s="136">
        <v>10426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12</v>
      </c>
      <c r="C55" s="371">
        <f>+B55</f>
        <v>12</v>
      </c>
      <c r="D55" s="372" t="s">
        <v>432</v>
      </c>
      <c r="E55" s="111"/>
      <c r="F55" s="111" t="s">
        <v>35</v>
      </c>
      <c r="G55" s="578" t="str">
        <f>+G54</f>
        <v>2843-709-800</v>
      </c>
      <c r="H55" s="450">
        <v>11080</v>
      </c>
      <c r="I55" s="111" t="s">
        <v>251</v>
      </c>
      <c r="J55" s="113">
        <v>50</v>
      </c>
      <c r="K55" s="130">
        <v>58</v>
      </c>
      <c r="L55" s="101" t="s">
        <v>17</v>
      </c>
      <c r="M55" s="214">
        <v>58</v>
      </c>
      <c r="N55" s="214">
        <v>58</v>
      </c>
      <c r="O55" s="214">
        <v>58</v>
      </c>
      <c r="P55" s="214">
        <v>58</v>
      </c>
      <c r="Q55" s="214">
        <v>58</v>
      </c>
      <c r="R55" s="214">
        <v>58</v>
      </c>
      <c r="S55" s="214">
        <v>58</v>
      </c>
      <c r="T55" s="214">
        <v>58</v>
      </c>
      <c r="U55" s="214">
        <v>44</v>
      </c>
      <c r="V55" s="214"/>
      <c r="W55" s="424"/>
      <c r="X55" s="123">
        <f>+IF(H56="s",0,IF(AB55=0,0,IF(COUNTA(M55:W55)=AN57+0.25,SUMIF($C:$C,B55,$AB:$AB)/AN57,SUMIF($C:$C,B55,$AB:$AB)/(COUNTA(M55:W55)))))</f>
        <v>58.057142857142857</v>
      </c>
      <c r="Y55" s="439"/>
      <c r="Z55" s="400"/>
      <c r="AA55" s="541"/>
      <c r="AB55" s="134">
        <f t="shared" si="1"/>
        <v>508</v>
      </c>
      <c r="AC55" s="137">
        <f>+AB55+AD55</f>
        <v>9749</v>
      </c>
      <c r="AD55" s="137">
        <v>9241</v>
      </c>
      <c r="AE55" s="439">
        <v>0</v>
      </c>
      <c r="AF55" s="439">
        <f>+AE55+Y55</f>
        <v>0</v>
      </c>
      <c r="AG55" s="140">
        <f>+AC54-AC55</f>
        <v>1052</v>
      </c>
      <c r="AH55" s="131">
        <f>+IF(((AB56+(AB57/2))*60)=0,"",(J55*AB55)/((AB56+(AB57/2))*60))</f>
        <v>0.97739297739297737</v>
      </c>
      <c r="AI55" s="161">
        <f>+AB56+AB57/2</f>
        <v>433.125</v>
      </c>
      <c r="AJ55" s="161">
        <f t="shared" si="2"/>
        <v>433.07499999999999</v>
      </c>
      <c r="AK55" s="167">
        <f t="shared" si="3"/>
        <v>25987.5</v>
      </c>
      <c r="AL55" s="167">
        <f>+AB55*J55</f>
        <v>25400</v>
      </c>
      <c r="AM55" s="230">
        <f>+AB55-(AI55*K55/K57)</f>
        <v>42.791666666666686</v>
      </c>
      <c r="AN55" s="339"/>
      <c r="AO55" s="340"/>
      <c r="AP55" s="167"/>
      <c r="AQ55" s="167"/>
      <c r="AR55" s="167"/>
      <c r="AS55" s="167"/>
      <c r="AT55" s="433">
        <f t="shared" ref="AT55" si="29">IF(AU55=0,"",AW55-(($AT$3*K55)+($AT$3*K55)*AU55)+AB54)</f>
        <v>37.5</v>
      </c>
      <c r="AU55" s="393">
        <v>2</v>
      </c>
      <c r="AW55" s="356">
        <v>1185</v>
      </c>
      <c r="AY55" s="356">
        <f t="shared" ref="AY55" si="30">+AW55-AG55</f>
        <v>133</v>
      </c>
    </row>
    <row r="56" spans="2:51" s="98" customFormat="1" ht="62.25" customHeight="1" x14ac:dyDescent="0.9">
      <c r="B56" s="125">
        <f>B55</f>
        <v>12</v>
      </c>
      <c r="C56" s="373"/>
      <c r="D56" s="184"/>
      <c r="E56" s="111">
        <f>+B55</f>
        <v>12</v>
      </c>
      <c r="F56" s="377"/>
      <c r="G56" s="578" t="str">
        <f>+G54</f>
        <v>2843-709-800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49</v>
      </c>
      <c r="N56" s="425">
        <v>49</v>
      </c>
      <c r="O56" s="425">
        <v>49</v>
      </c>
      <c r="P56" s="425">
        <v>49</v>
      </c>
      <c r="Q56" s="425">
        <v>49</v>
      </c>
      <c r="R56" s="425">
        <v>49</v>
      </c>
      <c r="S56" s="425">
        <v>49</v>
      </c>
      <c r="T56" s="425">
        <v>49</v>
      </c>
      <c r="U56" s="425">
        <v>49</v>
      </c>
      <c r="V56" s="426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0.5</v>
      </c>
      <c r="Y56" s="440"/>
      <c r="Z56" s="400"/>
      <c r="AA56" s="541"/>
      <c r="AB56" s="443">
        <f t="shared" si="6"/>
        <v>428.75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230"/>
      <c r="AN56" s="339"/>
      <c r="AO56" s="340">
        <f>+IF(AN57=7.75,SUM(M56:S56)+T56*0.75,IF(AN57=8,SUM(M56:T56),IF(AN57=7.25,SUM(M56:S56)+T56*0.25,IF(AN57=8.25,SUM(M56:T56)+U56*0.25,IF(AN57=8.75,SUM(M56:T56)+U56*0.75,0)))))</f>
        <v>428.75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B55</f>
        <v>12</v>
      </c>
      <c r="C57" s="375"/>
      <c r="D57" s="174" t="s">
        <v>366</v>
      </c>
      <c r="E57" s="175">
        <f>+E56+100</f>
        <v>112</v>
      </c>
      <c r="F57" s="175"/>
      <c r="G57" s="579" t="str">
        <f>+G54</f>
        <v>2843-709-800</v>
      </c>
      <c r="H57" s="454">
        <f>+AC54-H55</f>
        <v>-279</v>
      </c>
      <c r="I57" s="397" t="s">
        <v>182</v>
      </c>
      <c r="J57" s="165">
        <f>+IF(K57="","",IF(K55=0,"",(K55*J55)/(K57*60)))</f>
        <v>0.89506172839506171</v>
      </c>
      <c r="K57" s="118">
        <v>54</v>
      </c>
      <c r="L57" s="104" t="s">
        <v>19</v>
      </c>
      <c r="M57" s="427">
        <v>1</v>
      </c>
      <c r="N57" s="427">
        <v>1</v>
      </c>
      <c r="O57" s="427">
        <v>1</v>
      </c>
      <c r="P57" s="427">
        <v>1</v>
      </c>
      <c r="Q57" s="427">
        <v>1</v>
      </c>
      <c r="R57" s="427">
        <v>1</v>
      </c>
      <c r="S57" s="427">
        <v>1</v>
      </c>
      <c r="T57" s="427">
        <v>1</v>
      </c>
      <c r="U57" s="427">
        <v>1</v>
      </c>
      <c r="V57" s="428"/>
      <c r="W57" s="428"/>
      <c r="X57" s="173"/>
      <c r="Y57" s="441"/>
      <c r="Z57" s="401">
        <v>20.200641379310341</v>
      </c>
      <c r="AA57" s="401">
        <v>20.200641379310341</v>
      </c>
      <c r="AB57" s="444">
        <f t="shared" si="6"/>
        <v>8.75</v>
      </c>
      <c r="AC57" s="139"/>
      <c r="AD57" s="139"/>
      <c r="AE57" s="441"/>
      <c r="AF57" s="441"/>
      <c r="AG57" s="119">
        <f>+IFERROR(AG55/(K55*$AT$3),"")</f>
        <v>2.0729064039408867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8.75</v>
      </c>
      <c r="AP57" s="167">
        <f>+AO57-AB57</f>
        <v>0</v>
      </c>
      <c r="AQ57" s="167"/>
      <c r="AR57" s="167"/>
      <c r="AS57" s="167"/>
      <c r="AT57" s="435"/>
      <c r="AU57" s="393"/>
      <c r="AW57" s="356">
        <v>2.3349753694581281</v>
      </c>
      <c r="AY57" s="356"/>
    </row>
    <row r="58" spans="2:51" s="98" customFormat="1" ht="62.25" customHeight="1" thickTop="1" x14ac:dyDescent="0.9">
      <c r="B58" s="97">
        <f>+B59</f>
        <v>13</v>
      </c>
      <c r="C58" s="370"/>
      <c r="D58" s="106"/>
      <c r="E58" s="106"/>
      <c r="F58" s="106"/>
      <c r="G58" s="577" t="s">
        <v>442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50</v>
      </c>
      <c r="N58" s="423">
        <v>50</v>
      </c>
      <c r="O58" s="423">
        <v>50</v>
      </c>
      <c r="P58" s="423"/>
      <c r="Q58" s="423"/>
      <c r="R58" s="423"/>
      <c r="S58" s="423"/>
      <c r="T58" s="423"/>
      <c r="U58" s="423"/>
      <c r="V58" s="423"/>
      <c r="W58" s="423"/>
      <c r="X58" s="135">
        <f t="shared" si="0"/>
        <v>150</v>
      </c>
      <c r="Y58" s="438"/>
      <c r="Z58" s="400">
        <v>-65.75</v>
      </c>
      <c r="AA58" s="540">
        <f>+X60</f>
        <v>-12.25</v>
      </c>
      <c r="AB58" s="135">
        <f t="shared" si="1"/>
        <v>150</v>
      </c>
      <c r="AC58" s="136">
        <f>+AD58+AB58</f>
        <v>2050</v>
      </c>
      <c r="AD58" s="136">
        <v>1900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62.25" customHeight="1" x14ac:dyDescent="0.9">
      <c r="B59" s="132">
        <v>13</v>
      </c>
      <c r="C59" s="371">
        <f>+B59</f>
        <v>13</v>
      </c>
      <c r="D59" s="372" t="s">
        <v>441</v>
      </c>
      <c r="E59" s="111"/>
      <c r="F59" s="111" t="s">
        <v>35</v>
      </c>
      <c r="G59" s="578" t="str">
        <f>+G58</f>
        <v>7741-793-052</v>
      </c>
      <c r="H59" s="450">
        <v>8500</v>
      </c>
      <c r="I59" s="111" t="s">
        <v>33</v>
      </c>
      <c r="J59" s="113">
        <v>55.14</v>
      </c>
      <c r="K59" s="130">
        <v>43</v>
      </c>
      <c r="L59" s="101" t="s">
        <v>17</v>
      </c>
      <c r="M59" s="214">
        <v>37</v>
      </c>
      <c r="N59" s="214">
        <v>43</v>
      </c>
      <c r="O59" s="214">
        <v>40</v>
      </c>
      <c r="P59" s="214">
        <v>40</v>
      </c>
      <c r="Q59" s="214">
        <v>43</v>
      </c>
      <c r="R59" s="214">
        <v>43</v>
      </c>
      <c r="S59" s="214">
        <v>43</v>
      </c>
      <c r="T59" s="214">
        <v>43</v>
      </c>
      <c r="U59" s="214">
        <v>32</v>
      </c>
      <c r="V59" s="214"/>
      <c r="W59" s="424"/>
      <c r="X59" s="123">
        <f>+IF(H60="s",0,IF(AB59=0,0,IF(COUNTA(M59:W59)=AN61+0.25,SUMIF($C:$C,B59,$AB:$AB)/AN61,SUMIF($C:$C,B59,$AB:$AB)/(COUNTA(M59:W59)))))</f>
        <v>41.6</v>
      </c>
      <c r="Y59" s="439"/>
      <c r="Z59" s="400"/>
      <c r="AA59" s="541"/>
      <c r="AB59" s="134">
        <f t="shared" si="1"/>
        <v>364</v>
      </c>
      <c r="AC59" s="137">
        <f>+AB59+AD59</f>
        <v>915</v>
      </c>
      <c r="AD59" s="137">
        <v>551</v>
      </c>
      <c r="AE59" s="439"/>
      <c r="AF59" s="439">
        <f>+AE59+Y59</f>
        <v>0</v>
      </c>
      <c r="AG59" s="140">
        <f>+AC58-AC59</f>
        <v>1135</v>
      </c>
      <c r="AH59" s="131">
        <f>+IF(((AB60+(AB61/2))*60)=0,"",(J59*AB59)/((AB60+(AB61/2))*60))</f>
        <v>0.83109565217391301</v>
      </c>
      <c r="AI59" s="161">
        <f>+AB60+AB61/2</f>
        <v>402.5</v>
      </c>
      <c r="AJ59" s="161">
        <f t="shared" si="2"/>
        <v>402.3</v>
      </c>
      <c r="AK59" s="167">
        <f t="shared" si="3"/>
        <v>24150</v>
      </c>
      <c r="AL59" s="167">
        <f>+AB59*J59</f>
        <v>20070.96</v>
      </c>
      <c r="AM59" s="230">
        <f>+AB59-(AI59*K59/K61)</f>
        <v>-12.25</v>
      </c>
      <c r="AN59" s="339"/>
      <c r="AO59" s="340"/>
      <c r="AP59" s="167"/>
      <c r="AQ59" s="167"/>
      <c r="AR59" s="167"/>
      <c r="AS59" s="167"/>
      <c r="AT59" s="433">
        <f>-150+AB58</f>
        <v>0</v>
      </c>
      <c r="AU59" s="393">
        <v>1.5</v>
      </c>
      <c r="AW59" s="356">
        <v>1349</v>
      </c>
      <c r="AY59" s="356">
        <f t="shared" ref="AY59" si="31">+AW59-AG59</f>
        <v>214</v>
      </c>
    </row>
    <row r="60" spans="2:51" s="98" customFormat="1" ht="62.25" customHeight="1" x14ac:dyDescent="0.9">
      <c r="B60" s="125">
        <f>+B59</f>
        <v>13</v>
      </c>
      <c r="C60" s="373"/>
      <c r="D60" s="184"/>
      <c r="E60" s="111">
        <f>+B59</f>
        <v>13</v>
      </c>
      <c r="F60" s="374"/>
      <c r="G60" s="578" t="str">
        <f>+G59</f>
        <v>7741-793-052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46</v>
      </c>
      <c r="N60" s="425">
        <v>46</v>
      </c>
      <c r="O60" s="425">
        <v>46</v>
      </c>
      <c r="P60" s="425">
        <v>46</v>
      </c>
      <c r="Q60" s="425">
        <v>46</v>
      </c>
      <c r="R60" s="425">
        <v>46</v>
      </c>
      <c r="S60" s="425">
        <v>46</v>
      </c>
      <c r="T60" s="425">
        <v>46</v>
      </c>
      <c r="U60" s="425">
        <v>46</v>
      </c>
      <c r="V60" s="425"/>
      <c r="W60" s="426"/>
      <c r="X60" s="160">
        <f>+IF(H60="l",IF(COUNTA(M59:W59)=AN61+0.25,AB59-K59*AN61,AB59-(K59*COUNTA(M59:W59))),IF(H60="s",0,IF(COUNTA(M59:W59)=AN61+0.25,SUMIF($C:$C,B59,$AB:$AB)-K59*AN61,SUMIF($C:$C,B59,$AB:$AB)-K59*COUNTA(M59:W59))))</f>
        <v>-12.25</v>
      </c>
      <c r="Y60" s="440"/>
      <c r="Z60" s="400"/>
      <c r="AA60" s="541"/>
      <c r="AB60" s="443">
        <f t="shared" si="6"/>
        <v>402.5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402.5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62.25" customHeight="1" thickBot="1" x14ac:dyDescent="0.95">
      <c r="B61" s="126">
        <f>+B59</f>
        <v>13</v>
      </c>
      <c r="C61" s="375"/>
      <c r="D61" s="174" t="s">
        <v>468</v>
      </c>
      <c r="E61" s="175">
        <f>+E60+100</f>
        <v>113</v>
      </c>
      <c r="F61" s="175"/>
      <c r="G61" s="579" t="str">
        <f>+G60</f>
        <v>7741-793-052</v>
      </c>
      <c r="H61" s="454">
        <f>+AC58-H59</f>
        <v>-6450</v>
      </c>
      <c r="I61" s="397"/>
      <c r="J61" s="165">
        <f>+IF(K61="","",IF(K59=0,"",(K59*J59)/(K61*60)))</f>
        <v>0.85906521739130437</v>
      </c>
      <c r="K61" s="429">
        <v>46</v>
      </c>
      <c r="L61" s="104" t="s">
        <v>19</v>
      </c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8"/>
      <c r="X61" s="173"/>
      <c r="Y61" s="441"/>
      <c r="Z61" s="448">
        <v>31.085947522750253</v>
      </c>
      <c r="AA61" s="168">
        <f>+IF(COUNTA(M59:W59)=$AM$4+0.25,$AM$4-(AB59/K59),COUNTA(M59:W59)-(AB59/K59))+Z61</f>
        <v>31.370831243680485</v>
      </c>
      <c r="AB61" s="444">
        <f t="shared" si="6"/>
        <v>0</v>
      </c>
      <c r="AC61" s="139"/>
      <c r="AD61" s="139"/>
      <c r="AE61" s="441"/>
      <c r="AF61" s="441"/>
      <c r="AG61" s="119">
        <f>+IFERROR(AG59/(K59*$AT$3),"")</f>
        <v>3.0166112956810633</v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0</v>
      </c>
      <c r="AQ61" s="167"/>
      <c r="AR61" s="167"/>
      <c r="AS61" s="167"/>
      <c r="AT61" s="435"/>
      <c r="AU61" s="393"/>
      <c r="AW61" s="356">
        <v>3.5853820598006645</v>
      </c>
      <c r="AY61" s="356"/>
    </row>
    <row r="62" spans="2:51" s="98" customFormat="1" ht="58.5" customHeight="1" thickTop="1" x14ac:dyDescent="0.9">
      <c r="B62" s="127">
        <f>+B63</f>
        <v>14</v>
      </c>
      <c r="C62" s="370"/>
      <c r="D62" s="106"/>
      <c r="E62" s="106"/>
      <c r="F62" s="106"/>
      <c r="G62" s="577" t="s">
        <v>456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120</v>
      </c>
      <c r="N62" s="423">
        <v>120</v>
      </c>
      <c r="O62" s="423">
        <v>113</v>
      </c>
      <c r="P62" s="423"/>
      <c r="Q62" s="423"/>
      <c r="R62" s="423"/>
      <c r="S62" s="423"/>
      <c r="T62" s="423"/>
      <c r="U62" s="423"/>
      <c r="V62" s="423"/>
      <c r="W62" s="423"/>
      <c r="X62" s="135">
        <f t="shared" si="0"/>
        <v>353</v>
      </c>
      <c r="Y62" s="438"/>
      <c r="Z62" s="400">
        <v>37</v>
      </c>
      <c r="AA62" s="540">
        <f>+X64</f>
        <v>42</v>
      </c>
      <c r="AB62" s="135">
        <f t="shared" si="1"/>
        <v>353</v>
      </c>
      <c r="AC62" s="136">
        <f>+AD62+AB62</f>
        <v>6295</v>
      </c>
      <c r="AD62" s="136">
        <v>5942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58.5" customHeight="1" x14ac:dyDescent="0.9">
      <c r="B63" s="133">
        <v>14</v>
      </c>
      <c r="C63" s="371">
        <f>+B63</f>
        <v>14</v>
      </c>
      <c r="D63" s="372" t="s">
        <v>461</v>
      </c>
      <c r="E63" s="111"/>
      <c r="F63" s="111" t="s">
        <v>447</v>
      </c>
      <c r="G63" s="578" t="str">
        <f t="shared" ref="G63:G69" si="32">+G62</f>
        <v>DOT KEYHOLE</v>
      </c>
      <c r="H63" s="450">
        <v>6262</v>
      </c>
      <c r="I63" s="111" t="s">
        <v>252</v>
      </c>
      <c r="J63" s="113">
        <v>36.090000000000003</v>
      </c>
      <c r="K63" s="130">
        <v>80</v>
      </c>
      <c r="L63" s="101" t="s">
        <v>17</v>
      </c>
      <c r="M63" s="214">
        <v>85</v>
      </c>
      <c r="N63" s="214">
        <v>85</v>
      </c>
      <c r="O63" s="214">
        <v>85</v>
      </c>
      <c r="P63" s="214">
        <v>85</v>
      </c>
      <c r="Q63" s="214">
        <v>85</v>
      </c>
      <c r="R63" s="214">
        <v>85</v>
      </c>
      <c r="S63" s="214">
        <v>85</v>
      </c>
      <c r="T63" s="214">
        <v>85</v>
      </c>
      <c r="U63" s="214">
        <v>62</v>
      </c>
      <c r="V63" s="214"/>
      <c r="W63" s="214"/>
      <c r="X63" s="123">
        <f>+IF(H64="s",0,IF(AB63=0,0,IF(COUNTA(M63:W63)=AN65+0.25,SUMIF($C:$C,B63,$AB:$AB)/AN65,SUMIF($C:$C,B63,$AB:$AB)/(COUNTA(M63:W63)))))</f>
        <v>84.8</v>
      </c>
      <c r="Y63" s="439"/>
      <c r="Z63" s="400"/>
      <c r="AA63" s="541"/>
      <c r="AB63" s="134">
        <f t="shared" si="1"/>
        <v>742</v>
      </c>
      <c r="AC63" s="137">
        <f>+AB63+AD63</f>
        <v>5223</v>
      </c>
      <c r="AD63" s="137">
        <v>4481</v>
      </c>
      <c r="AE63" s="439"/>
      <c r="AF63" s="439">
        <f>+AE63+Y63</f>
        <v>0</v>
      </c>
      <c r="AG63" s="140">
        <f>+AC62-AC63</f>
        <v>1072</v>
      </c>
      <c r="AH63" s="131">
        <f>+IF(((AB64+(AB65/2))*60)=0,"",(J63*AB63)/((AB64+(AB65/2))*60))</f>
        <v>0.85726386554621858</v>
      </c>
      <c r="AI63" s="161">
        <f>+AB64+AB65/2</f>
        <v>520.625</v>
      </c>
      <c r="AJ63" s="161">
        <f t="shared" si="2"/>
        <v>520.375</v>
      </c>
      <c r="AK63" s="167">
        <f t="shared" si="3"/>
        <v>31237.5</v>
      </c>
      <c r="AL63" s="167">
        <f>+AB63*J63</f>
        <v>26778.780000000002</v>
      </c>
      <c r="AM63" s="230">
        <f>+AB63-(AI63*K63/K65)</f>
        <v>-1.75</v>
      </c>
      <c r="AN63" s="339"/>
      <c r="AO63" s="340"/>
      <c r="AP63" s="167"/>
      <c r="AQ63" s="167"/>
      <c r="AR63" s="167"/>
      <c r="AS63" s="167"/>
      <c r="AT63" s="433">
        <f>-350+AB62</f>
        <v>3</v>
      </c>
      <c r="AU63" s="393">
        <v>1.5</v>
      </c>
      <c r="AW63" s="356">
        <v>1461</v>
      </c>
      <c r="AY63" s="356">
        <f t="shared" ref="AY63" si="33">+AW63-AG63</f>
        <v>389</v>
      </c>
    </row>
    <row r="64" spans="2:51" s="98" customFormat="1" ht="58.5" customHeight="1" x14ac:dyDescent="0.9">
      <c r="B64" s="125">
        <f>+B63</f>
        <v>14</v>
      </c>
      <c r="C64" s="373"/>
      <c r="D64" s="184"/>
      <c r="E64" s="111">
        <f>+B63</f>
        <v>14</v>
      </c>
      <c r="F64" s="374"/>
      <c r="G64" s="578" t="str">
        <f t="shared" si="32"/>
        <v>DOT KEYHOLE</v>
      </c>
      <c r="H64" s="376"/>
      <c r="I64" s="113">
        <f>+IFERROR(IF(K65=0,0,IF((LOOKUP(2,1/(M64:W64&lt;&gt;""),M64:W64)-K65)&lt;0,0,IF(K65=0,"",LOOKUP(2,1/(M64:W64&lt;&gt;""),M64:W64)-K65))),0)</f>
        <v>3</v>
      </c>
      <c r="J64" s="113"/>
      <c r="K64" s="114" t="s">
        <v>22</v>
      </c>
      <c r="L64" s="102" t="s">
        <v>18</v>
      </c>
      <c r="M64" s="425">
        <v>59</v>
      </c>
      <c r="N64" s="425">
        <v>59</v>
      </c>
      <c r="O64" s="425">
        <v>59</v>
      </c>
      <c r="P64" s="425">
        <v>59</v>
      </c>
      <c r="Q64" s="425">
        <v>59</v>
      </c>
      <c r="R64" s="425">
        <v>59</v>
      </c>
      <c r="S64" s="425">
        <v>59</v>
      </c>
      <c r="T64" s="425">
        <v>59</v>
      </c>
      <c r="U64" s="425">
        <v>59</v>
      </c>
      <c r="V64" s="425"/>
      <c r="W64" s="425"/>
      <c r="X64" s="160">
        <f>+IF(H64="l",IF(COUNTA(M63:W63)=AN65+0.25,AB63-K63*AN65,AB63-(K63*COUNTA(M63:W63))),IF(H64="s",0,IF(COUNTA(M63:W63)=AN65+0.25,SUMIF($C:$C,B63,$AB:$AB)-K63*AN65,SUMIF($C:$C,B63,$AB:$AB)-K63*COUNTA(M63:W63))))</f>
        <v>42</v>
      </c>
      <c r="Y64" s="440"/>
      <c r="Z64" s="400"/>
      <c r="AA64" s="541"/>
      <c r="AB64" s="443">
        <f t="shared" si="6"/>
        <v>516.25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516.25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58.5" customHeight="1" thickBot="1" x14ac:dyDescent="0.95">
      <c r="B65" s="126">
        <f>+B63</f>
        <v>14</v>
      </c>
      <c r="C65" s="375"/>
      <c r="D65" s="174" t="s">
        <v>112</v>
      </c>
      <c r="E65" s="175">
        <f>+E64+100</f>
        <v>114</v>
      </c>
      <c r="F65" s="175"/>
      <c r="G65" s="579" t="str">
        <f t="shared" si="32"/>
        <v>DOT KEYHOLE</v>
      </c>
      <c r="H65" s="454">
        <f>+AC62-H63</f>
        <v>33</v>
      </c>
      <c r="I65" s="397"/>
      <c r="J65" s="165">
        <f>+IF(K65="","",IF(K63=0,"",(K63*J63)/(K65*60)))</f>
        <v>0.85928571428571432</v>
      </c>
      <c r="K65" s="118">
        <v>56</v>
      </c>
      <c r="L65" s="104" t="s">
        <v>19</v>
      </c>
      <c r="M65" s="427">
        <v>1</v>
      </c>
      <c r="N65" s="427">
        <v>1</v>
      </c>
      <c r="O65" s="427">
        <v>1</v>
      </c>
      <c r="P65" s="427">
        <v>1</v>
      </c>
      <c r="Q65" s="427">
        <v>1</v>
      </c>
      <c r="R65" s="427">
        <v>1</v>
      </c>
      <c r="S65" s="427">
        <v>1</v>
      </c>
      <c r="T65" s="427">
        <v>1</v>
      </c>
      <c r="U65" s="427">
        <v>1</v>
      </c>
      <c r="V65" s="427"/>
      <c r="W65" s="427"/>
      <c r="X65" s="173"/>
      <c r="Y65" s="441"/>
      <c r="Z65" s="401">
        <v>41.23</v>
      </c>
      <c r="AA65" s="401">
        <v>41.23</v>
      </c>
      <c r="AB65" s="444">
        <f t="shared" si="6"/>
        <v>8.75</v>
      </c>
      <c r="AC65" s="139"/>
      <c r="AD65" s="139"/>
      <c r="AE65" s="441"/>
      <c r="AF65" s="441"/>
      <c r="AG65" s="119">
        <f>+IFERROR(AG63/(K63*$AT$3),"")</f>
        <v>1.5314285714285714</v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8.75</v>
      </c>
      <c r="AP65" s="167">
        <f>+AO65-AB65</f>
        <v>0</v>
      </c>
      <c r="AQ65" s="167"/>
      <c r="AR65" s="167"/>
      <c r="AS65" s="167"/>
      <c r="AT65" s="435"/>
      <c r="AU65" s="393"/>
      <c r="AW65" s="356">
        <v>2.0871428571428572</v>
      </c>
      <c r="AY65" s="356"/>
    </row>
    <row r="66" spans="2:62" s="98" customFormat="1" ht="58.5" customHeight="1" thickTop="1" x14ac:dyDescent="0.9">
      <c r="B66" s="127">
        <f>+B67</f>
        <v>14</v>
      </c>
      <c r="C66" s="370"/>
      <c r="D66" s="106"/>
      <c r="E66" s="106"/>
      <c r="F66" s="106"/>
      <c r="G66" s="577" t="s">
        <v>489</v>
      </c>
      <c r="H66" s="106"/>
      <c r="I66" s="106"/>
      <c r="J66" s="107" t="s">
        <v>20</v>
      </c>
      <c r="K66" s="108" t="s">
        <v>23</v>
      </c>
      <c r="L66" s="100" t="s">
        <v>21</v>
      </c>
      <c r="M66" s="423"/>
      <c r="N66" s="423"/>
      <c r="O66" s="423"/>
      <c r="P66" s="423"/>
      <c r="Q66" s="423"/>
      <c r="R66" s="423"/>
      <c r="S66" s="423">
        <v>60</v>
      </c>
      <c r="T66" s="423"/>
      <c r="U66" s="423"/>
      <c r="V66" s="423"/>
      <c r="W66" s="423"/>
      <c r="X66" s="135">
        <f t="shared" ref="X66" si="34">IF(AT67="","",SUM(M66:W66)-(-(AT67-SUM(M66:W66))/$AT$3)*SUM($M$2:$W$2))</f>
        <v>60</v>
      </c>
      <c r="Y66" s="438"/>
      <c r="Z66" s="400"/>
      <c r="AA66" s="540">
        <f>+X68</f>
        <v>0</v>
      </c>
      <c r="AB66" s="135">
        <f t="shared" ref="AB66:AB67" si="35">+SUM(L66:W66)</f>
        <v>60</v>
      </c>
      <c r="AC66" s="136">
        <f>+AD66+AB66</f>
        <v>60</v>
      </c>
      <c r="AD66" s="136"/>
      <c r="AE66" s="438"/>
      <c r="AF66" s="438"/>
      <c r="AG66" s="109"/>
      <c r="AH66" s="110"/>
      <c r="AI66" s="157"/>
      <c r="AJ66" s="161">
        <f t="shared" ref="AJ66:AJ69" si="36">TRUNC(AI66)+(AI66-TRUNC(AI66))*60/100</f>
        <v>0</v>
      </c>
      <c r="AK66" s="167">
        <f t="shared" ref="AK66:AK69" si="37">+AI66*60</f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58.5" customHeight="1" x14ac:dyDescent="0.9">
      <c r="B67" s="133">
        <v>14</v>
      </c>
      <c r="C67" s="371">
        <f>+B67</f>
        <v>14</v>
      </c>
      <c r="D67" s="372" t="s">
        <v>487</v>
      </c>
      <c r="E67" s="111"/>
      <c r="F67" s="111" t="s">
        <v>488</v>
      </c>
      <c r="G67" s="578" t="str">
        <f t="shared" si="32"/>
        <v>BERGEN-302189</v>
      </c>
      <c r="H67" s="450"/>
      <c r="I67" s="111" t="s">
        <v>33</v>
      </c>
      <c r="J67" s="113"/>
      <c r="K67" s="130"/>
      <c r="L67" s="101" t="s">
        <v>17</v>
      </c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123">
        <f>+IF(H68="s",0,IF(AB67=0,0,IF(COUNTA(M67:W67)=AN69+0.25,SUMIF($C:$C,B67,$AB:$AB)/AN69,SUMIF($C:$C,B67,$AB:$AB)/(COUNTA(M67:W67)))))</f>
        <v>0</v>
      </c>
      <c r="Y67" s="439"/>
      <c r="Z67" s="400"/>
      <c r="AA67" s="541"/>
      <c r="AB67" s="134">
        <f t="shared" si="35"/>
        <v>0</v>
      </c>
      <c r="AC67" s="137">
        <f>+AB67+AD67</f>
        <v>0</v>
      </c>
      <c r="AD67" s="137"/>
      <c r="AE67" s="439"/>
      <c r="AF67" s="439">
        <f>+AE67+Y67</f>
        <v>0</v>
      </c>
      <c r="AG67" s="140">
        <f>+AC66-AC67</f>
        <v>60</v>
      </c>
      <c r="AH67" s="131" t="str">
        <f>+IF(((AB68+(AB69/2))*60)=0,"",(J67*AB67)/((AB68+(AB69/2))*60))</f>
        <v/>
      </c>
      <c r="AI67" s="161">
        <f>+AB68+AB69/2</f>
        <v>0</v>
      </c>
      <c r="AJ67" s="161">
        <f t="shared" si="36"/>
        <v>0</v>
      </c>
      <c r="AK67" s="167">
        <f t="shared" si="37"/>
        <v>0</v>
      </c>
      <c r="AL67" s="167">
        <f>+AB67*J67</f>
        <v>0</v>
      </c>
      <c r="AM67" s="230" t="e">
        <f>+AB67-(AI67*K67/K69)</f>
        <v>#DIV/0!</v>
      </c>
      <c r="AN67" s="339"/>
      <c r="AO67" s="340"/>
      <c r="AP67" s="167"/>
      <c r="AQ67" s="167"/>
      <c r="AR67" s="167"/>
      <c r="AS67" s="167"/>
      <c r="AT67" s="433">
        <f>-60+AB66</f>
        <v>0</v>
      </c>
      <c r="AU67" s="393">
        <v>1.5</v>
      </c>
      <c r="AW67" s="356">
        <v>1461</v>
      </c>
      <c r="AY67" s="356">
        <f t="shared" ref="AY67" si="38">+AW67-AG67</f>
        <v>1401</v>
      </c>
    </row>
    <row r="68" spans="2:62" s="98" customFormat="1" ht="58.5" customHeight="1" x14ac:dyDescent="0.9">
      <c r="B68" s="125">
        <f>+B67</f>
        <v>14</v>
      </c>
      <c r="C68" s="373"/>
      <c r="D68" s="184"/>
      <c r="E68" s="111">
        <f>+B67</f>
        <v>14</v>
      </c>
      <c r="F68" s="374"/>
      <c r="G68" s="578" t="str">
        <f t="shared" si="32"/>
        <v>BERGEN-302189</v>
      </c>
      <c r="H68" s="376" t="s">
        <v>400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/>
      <c r="N68" s="425"/>
      <c r="O68" s="425"/>
      <c r="P68" s="425"/>
      <c r="Q68" s="425"/>
      <c r="R68" s="425"/>
      <c r="S68" s="425"/>
      <c r="T68" s="425"/>
      <c r="U68" s="425"/>
      <c r="V68" s="425"/>
      <c r="W68" s="425"/>
      <c r="X68" s="160">
        <f>+IF(H68="l",IF(COUNTA(M67:W67)=AN69+0.25,AB67-K67*AN69,AB67-(K67*COUNTA(M67:W67))),IF(H68="s",0,IF(COUNTA(M67:W67)=AN69+0.25,SUMIF($C:$C,B67,$AB:$AB)-K67*AN69,SUMIF($C:$C,B67,$AB:$AB)-K67*COUNTA(M67:W67))))</f>
        <v>0</v>
      </c>
      <c r="Y68" s="440"/>
      <c r="Z68" s="400"/>
      <c r="AA68" s="541"/>
      <c r="AB68" s="443">
        <f t="shared" ref="AB68:AB69" si="39">+SUM(M68:W68)-U68*0.25</f>
        <v>0</v>
      </c>
      <c r="AC68" s="341"/>
      <c r="AD68" s="341"/>
      <c r="AE68" s="440"/>
      <c r="AF68" s="440"/>
      <c r="AG68" s="115"/>
      <c r="AH68" s="116"/>
      <c r="AI68" s="157"/>
      <c r="AJ68" s="161">
        <f t="shared" si="36"/>
        <v>0</v>
      </c>
      <c r="AK68" s="167">
        <f t="shared" si="37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0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58.5" customHeight="1" thickBot="1" x14ac:dyDescent="0.95">
      <c r="B69" s="126">
        <f>+B67</f>
        <v>14</v>
      </c>
      <c r="C69" s="375"/>
      <c r="D69" s="174" t="s">
        <v>112</v>
      </c>
      <c r="E69" s="175">
        <f>+E68+100</f>
        <v>114</v>
      </c>
      <c r="F69" s="175"/>
      <c r="G69" s="579" t="str">
        <f t="shared" si="32"/>
        <v>BERGEN-302189</v>
      </c>
      <c r="H69" s="454">
        <f>+AC66-H67</f>
        <v>60</v>
      </c>
      <c r="I69" s="397"/>
      <c r="J69" s="165" t="str">
        <f>+IF(K69="","",IF(K67=0,"",(K67*J67)/(K69*60)))</f>
        <v/>
      </c>
      <c r="K69" s="118"/>
      <c r="L69" s="104" t="s">
        <v>19</v>
      </c>
      <c r="M69" s="427"/>
      <c r="N69" s="427"/>
      <c r="O69" s="427"/>
      <c r="P69" s="427"/>
      <c r="Q69" s="427"/>
      <c r="R69" s="427"/>
      <c r="S69" s="427"/>
      <c r="T69" s="427"/>
      <c r="U69" s="427"/>
      <c r="V69" s="427"/>
      <c r="W69" s="427"/>
      <c r="X69" s="173"/>
      <c r="Y69" s="441"/>
      <c r="Z69" s="401"/>
      <c r="AA69" s="401"/>
      <c r="AB69" s="444">
        <f t="shared" si="39"/>
        <v>0</v>
      </c>
      <c r="AC69" s="139"/>
      <c r="AD69" s="139"/>
      <c r="AE69" s="441"/>
      <c r="AF69" s="441"/>
      <c r="AG69" s="119" t="str">
        <f>+IFERROR(AG67/(K67*$AT$3),"")</f>
        <v/>
      </c>
      <c r="AH69" s="162"/>
      <c r="AI69" s="161"/>
      <c r="AJ69" s="161">
        <f t="shared" si="36"/>
        <v>0</v>
      </c>
      <c r="AK69" s="167">
        <f t="shared" si="37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0</v>
      </c>
      <c r="AP69" s="167">
        <f>+AO69-AB69</f>
        <v>0</v>
      </c>
      <c r="AQ69" s="167"/>
      <c r="AR69" s="167"/>
      <c r="AS69" s="167"/>
      <c r="AT69" s="435"/>
      <c r="AU69" s="393"/>
      <c r="AW69" s="356">
        <v>2.0871428571428572</v>
      </c>
      <c r="AY69" s="356"/>
    </row>
    <row r="70" spans="2:62" s="98" customFormat="1" ht="62.25" customHeight="1" thickTop="1" x14ac:dyDescent="0.9">
      <c r="B70" s="97">
        <f>+B71</f>
        <v>15</v>
      </c>
      <c r="C70" s="370"/>
      <c r="D70" s="106"/>
      <c r="E70" s="106"/>
      <c r="F70" s="106"/>
      <c r="G70" s="577" t="s">
        <v>440</v>
      </c>
      <c r="H70" s="106"/>
      <c r="I70" s="106"/>
      <c r="J70" s="107" t="s">
        <v>20</v>
      </c>
      <c r="K70" s="108" t="s">
        <v>23</v>
      </c>
      <c r="L70" s="100" t="s">
        <v>21</v>
      </c>
      <c r="M70" s="423">
        <v>150</v>
      </c>
      <c r="N70" s="423">
        <v>75</v>
      </c>
      <c r="O70" s="423">
        <v>150</v>
      </c>
      <c r="P70" s="423"/>
      <c r="Q70" s="423"/>
      <c r="R70" s="423"/>
      <c r="S70" s="423"/>
      <c r="T70" s="423"/>
      <c r="U70" s="423"/>
      <c r="V70" s="423"/>
      <c r="W70" s="423"/>
      <c r="X70" s="135">
        <f t="shared" si="0"/>
        <v>375</v>
      </c>
      <c r="Y70" s="438"/>
      <c r="Z70" s="400">
        <v>0</v>
      </c>
      <c r="AA70" s="540">
        <f>+X72</f>
        <v>0</v>
      </c>
      <c r="AB70" s="135">
        <f t="shared" si="1"/>
        <v>375</v>
      </c>
      <c r="AC70" s="136">
        <f>+AD70+AB70</f>
        <v>3676</v>
      </c>
      <c r="AD70" s="136">
        <v>3301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1.35">
      <c r="B71" s="132">
        <v>15</v>
      </c>
      <c r="C71" s="371">
        <f>+B71</f>
        <v>15</v>
      </c>
      <c r="D71" s="372" t="s">
        <v>439</v>
      </c>
      <c r="E71" s="111"/>
      <c r="F71" s="111" t="s">
        <v>35</v>
      </c>
      <c r="G71" s="578" t="str">
        <f>+G70</f>
        <v>7740-876-052</v>
      </c>
      <c r="H71" s="450">
        <v>7700</v>
      </c>
      <c r="I71" s="111" t="s">
        <v>33</v>
      </c>
      <c r="J71" s="113">
        <v>55.78</v>
      </c>
      <c r="K71" s="130">
        <v>52</v>
      </c>
      <c r="L71" s="101" t="s">
        <v>17</v>
      </c>
      <c r="M71" s="214">
        <v>52</v>
      </c>
      <c r="N71" s="214">
        <v>52</v>
      </c>
      <c r="O71" s="214">
        <v>52</v>
      </c>
      <c r="P71" s="214">
        <v>52</v>
      </c>
      <c r="Q71" s="214">
        <v>52</v>
      </c>
      <c r="R71" s="214">
        <v>52</v>
      </c>
      <c r="S71" s="214">
        <v>52</v>
      </c>
      <c r="T71" s="214">
        <v>52</v>
      </c>
      <c r="U71" s="214">
        <v>39</v>
      </c>
      <c r="V71" s="424"/>
      <c r="W71" s="424"/>
      <c r="X71" s="123">
        <f>+IF(H72="s",0,IF(AB71=0,0,IF(COUNTA(M71:W71)=AN73+0.25,SUMIF($C:$C,B71,$AB:$AB)/AN73,SUMIF($C:$C,B71,$AB:$AB)/(COUNTA(M71:W71)))))</f>
        <v>52</v>
      </c>
      <c r="Y71" s="439"/>
      <c r="Z71" s="400"/>
      <c r="AA71" s="541"/>
      <c r="AB71" s="134">
        <f t="shared" si="1"/>
        <v>455</v>
      </c>
      <c r="AC71" s="137">
        <f>+AB71+AD71</f>
        <v>2719</v>
      </c>
      <c r="AD71" s="137">
        <v>2264</v>
      </c>
      <c r="AE71" s="439">
        <v>0</v>
      </c>
      <c r="AF71" s="439">
        <f>+AE71+Y71</f>
        <v>0</v>
      </c>
      <c r="AG71" s="140">
        <f>+AC70-AC71</f>
        <v>957</v>
      </c>
      <c r="AH71" s="131">
        <f>+IF(((AB72+(AB73/2))*60)=0,"",(J71*AB71)/((AB72+(AB73/2))*60))</f>
        <v>0.91806474950262262</v>
      </c>
      <c r="AI71" s="161">
        <f>+AB72+AB73/2</f>
        <v>460.75</v>
      </c>
      <c r="AJ71" s="161">
        <f t="shared" si="2"/>
        <v>460.45</v>
      </c>
      <c r="AK71" s="167">
        <f t="shared" si="3"/>
        <v>27645</v>
      </c>
      <c r="AL71" s="167">
        <f>+AB71*J71</f>
        <v>25379.9</v>
      </c>
      <c r="AM71" s="230">
        <f>+AB71-(AI71*K71/K73)</f>
        <v>27.160714285714278</v>
      </c>
      <c r="AN71" s="339"/>
      <c r="AO71" s="340"/>
      <c r="AP71" s="167"/>
      <c r="AQ71" s="167"/>
      <c r="AR71" s="167"/>
      <c r="AS71" s="167"/>
      <c r="AT71" s="433">
        <f t="shared" ref="AT71" si="40">IF(AU71=0,"",AW71-(($AT$3*K71)+($AT$3*K71)*AU71)+AB70)</f>
        <v>47</v>
      </c>
      <c r="AU71" s="393">
        <v>2</v>
      </c>
      <c r="AW71" s="356">
        <v>1037</v>
      </c>
      <c r="AY71" s="356">
        <f t="shared" ref="AY71" si="41">+AW71-AG71</f>
        <v>80</v>
      </c>
      <c r="AZ71" s="581"/>
      <c r="BA71" s="581"/>
      <c r="BB71" s="581"/>
      <c r="BC71" s="581"/>
      <c r="BD71" s="581"/>
      <c r="BE71" s="581"/>
      <c r="BF71" s="581"/>
      <c r="BG71" s="581"/>
      <c r="BH71" s="581"/>
      <c r="BI71" s="581"/>
    </row>
    <row r="72" spans="2:62" s="98" customFormat="1" ht="62.25" customHeight="1" x14ac:dyDescent="0.9">
      <c r="B72" s="125">
        <f>+B71</f>
        <v>15</v>
      </c>
      <c r="C72" s="373"/>
      <c r="D72" s="184"/>
      <c r="E72" s="111">
        <f>+B71</f>
        <v>15</v>
      </c>
      <c r="F72" s="377"/>
      <c r="G72" s="578" t="str">
        <f>+G71</f>
        <v>7740-876-052</v>
      </c>
      <c r="H72" s="376" t="s">
        <v>399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>
        <v>51</v>
      </c>
      <c r="N72" s="425">
        <v>51</v>
      </c>
      <c r="O72" s="425">
        <v>51</v>
      </c>
      <c r="P72" s="425">
        <v>52</v>
      </c>
      <c r="Q72" s="425">
        <v>52</v>
      </c>
      <c r="R72" s="425">
        <v>52</v>
      </c>
      <c r="S72" s="425">
        <v>52</v>
      </c>
      <c r="T72" s="425">
        <v>52</v>
      </c>
      <c r="U72" s="425">
        <v>52</v>
      </c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0</v>
      </c>
      <c r="Y72" s="440"/>
      <c r="Z72" s="400"/>
      <c r="AA72" s="541"/>
      <c r="AB72" s="443">
        <f t="shared" si="6"/>
        <v>452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452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126">
        <f>+B71</f>
        <v>15</v>
      </c>
      <c r="C73" s="375"/>
      <c r="D73" s="174" t="s">
        <v>93</v>
      </c>
      <c r="E73" s="175">
        <f>+E72+100</f>
        <v>115</v>
      </c>
      <c r="F73" s="175"/>
      <c r="G73" s="579" t="str">
        <f>+G72</f>
        <v>7740-876-052</v>
      </c>
      <c r="H73" s="454">
        <f>+AC70-H71</f>
        <v>-4024</v>
      </c>
      <c r="I73" s="397"/>
      <c r="J73" s="165">
        <f>+IF(K73="","",IF(K71=0,"",(K71*J71)/(K73*60)))</f>
        <v>0.86326190476190479</v>
      </c>
      <c r="K73" s="118">
        <v>56</v>
      </c>
      <c r="L73" s="104" t="s">
        <v>19</v>
      </c>
      <c r="M73" s="427">
        <v>2</v>
      </c>
      <c r="N73" s="427">
        <v>2</v>
      </c>
      <c r="O73" s="427">
        <v>2</v>
      </c>
      <c r="P73" s="427">
        <v>2</v>
      </c>
      <c r="Q73" s="427">
        <v>2</v>
      </c>
      <c r="R73" s="427">
        <v>2</v>
      </c>
      <c r="S73" s="427">
        <v>2</v>
      </c>
      <c r="T73" s="427">
        <v>2</v>
      </c>
      <c r="U73" s="427">
        <v>2</v>
      </c>
      <c r="V73" s="428"/>
      <c r="W73" s="428"/>
      <c r="X73" s="173"/>
      <c r="Y73" s="441"/>
      <c r="Z73" s="401">
        <v>11.961538461538462</v>
      </c>
      <c r="AA73" s="448">
        <v>11.961538461538462</v>
      </c>
      <c r="AB73" s="444">
        <f t="shared" si="6"/>
        <v>17.5</v>
      </c>
      <c r="AC73" s="139"/>
      <c r="AD73" s="139"/>
      <c r="AE73" s="441"/>
      <c r="AF73" s="441"/>
      <c r="AG73" s="119">
        <f>+IFERROR(AG71/(K71*$AT$3),"")</f>
        <v>2.1032967032967034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17.5</v>
      </c>
      <c r="AP73" s="167">
        <f>+AO73-AB73</f>
        <v>0</v>
      </c>
      <c r="AQ73" s="167"/>
      <c r="AR73" s="167"/>
      <c r="AS73" s="167"/>
      <c r="AT73" s="435"/>
      <c r="AU73" s="393"/>
      <c r="AW73" s="356">
        <v>2.279120879120879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77" t="s">
        <v>463</v>
      </c>
      <c r="H74" s="106"/>
      <c r="I74" s="106"/>
      <c r="J74" s="107" t="s">
        <v>20</v>
      </c>
      <c r="K74" s="108" t="s">
        <v>23</v>
      </c>
      <c r="L74" s="100" t="s">
        <v>21</v>
      </c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135" t="str">
        <f t="shared" ref="X74:X94" si="42">IF(AT75="","",SUM(M74:W74)-(-(AT75-SUM(M74:W74))/$AT$3)*SUM($M$2:$W$2))</f>
        <v/>
      </c>
      <c r="Y74" s="438"/>
      <c r="Z74" s="400">
        <v>-399.75</v>
      </c>
      <c r="AA74" s="540">
        <f>+X76</f>
        <v>-52</v>
      </c>
      <c r="AB74" s="135">
        <f t="shared" ref="AB74:AB95" si="43">+SUM(L74:W74)</f>
        <v>0</v>
      </c>
      <c r="AC74" s="136">
        <f>+AD74+AB74</f>
        <v>2169</v>
      </c>
      <c r="AD74" s="136">
        <v>2169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462</v>
      </c>
      <c r="E75" s="111"/>
      <c r="F75" s="111" t="s">
        <v>422</v>
      </c>
      <c r="G75" s="578" t="str">
        <f>+G74</f>
        <v>PIANO-Turquaz</v>
      </c>
      <c r="H75" s="450">
        <v>2155</v>
      </c>
      <c r="I75" s="111" t="s">
        <v>451</v>
      </c>
      <c r="J75" s="113">
        <v>33.86</v>
      </c>
      <c r="K75" s="130">
        <v>75</v>
      </c>
      <c r="L75" s="101" t="s">
        <v>17</v>
      </c>
      <c r="M75" s="214">
        <v>70</v>
      </c>
      <c r="N75" s="214">
        <v>70</v>
      </c>
      <c r="O75" s="214">
        <v>33</v>
      </c>
      <c r="P75" s="214"/>
      <c r="Q75" s="214"/>
      <c r="R75" s="214"/>
      <c r="S75" s="214"/>
      <c r="T75" s="214"/>
      <c r="U75" s="214"/>
      <c r="V75" s="424"/>
      <c r="W75" s="424"/>
      <c r="X75" s="123">
        <f>+IF(H76="s",0,IF(AB75=0,0,IF(COUNTA(M75:W75)=AN77+0.25,SUMIF($C:$C,B75,$AB:$AB)/AN77,SUMIF($C:$C,B75,$AB:$AB)/(COUNTA(M75:W75)))))</f>
        <v>147.66666666666666</v>
      </c>
      <c r="Y75" s="439"/>
      <c r="Z75" s="400"/>
      <c r="AA75" s="541"/>
      <c r="AB75" s="134">
        <f t="shared" si="43"/>
        <v>173</v>
      </c>
      <c r="AC75" s="137">
        <f>+AB75+AD75</f>
        <v>2095</v>
      </c>
      <c r="AD75" s="137">
        <v>1922</v>
      </c>
      <c r="AE75" s="439"/>
      <c r="AF75" s="439">
        <f>+AE75+Y75</f>
        <v>0</v>
      </c>
      <c r="AG75" s="140">
        <f>+AC74-AC75</f>
        <v>74</v>
      </c>
      <c r="AH75" s="131">
        <f>+IF(((AB76+(AB77/2))*60)=0,"",(J75*AB75)/((AB76+(AB77/2))*60))</f>
        <v>3.2543222222222221</v>
      </c>
      <c r="AI75" s="161">
        <f>+AB76+AB77/2</f>
        <v>30</v>
      </c>
      <c r="AJ75" s="161">
        <f t="shared" si="2"/>
        <v>30</v>
      </c>
      <c r="AK75" s="167">
        <f t="shared" si="3"/>
        <v>1800</v>
      </c>
      <c r="AL75" s="167">
        <f>+AB75*J75</f>
        <v>5857.78</v>
      </c>
      <c r="AM75" s="230">
        <f>+AB75-(AI75*K75/K77)</f>
        <v>128</v>
      </c>
      <c r="AN75" s="339"/>
      <c r="AO75" s="340"/>
      <c r="AP75" s="167"/>
      <c r="AQ75" s="167"/>
      <c r="AR75" s="167"/>
      <c r="AS75" s="167"/>
      <c r="AT75" s="433" t="str">
        <f t="shared" ref="AT75" si="44">IF(AU75=0,"",AW75-(($AT$3*K75)+($AT$3*K75)*AU75)+AB74)</f>
        <v/>
      </c>
      <c r="AU75" s="393"/>
      <c r="AW75" s="356">
        <v>247</v>
      </c>
      <c r="AY75" s="356">
        <f t="shared" ref="AY75" si="45">+AW75-AG75</f>
        <v>173</v>
      </c>
      <c r="AZ75" s="580"/>
      <c r="BA75" s="580"/>
      <c r="BB75" s="580"/>
      <c r="BC75" s="580"/>
      <c r="BD75" s="580"/>
      <c r="BE75" s="580"/>
      <c r="BF75" s="580"/>
      <c r="BG75" s="580"/>
      <c r="BH75" s="580"/>
      <c r="BI75" s="580"/>
      <c r="BJ75" s="580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78" t="str">
        <f>+G74</f>
        <v>PIANO-Turquaz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>
        <v>10</v>
      </c>
      <c r="N76" s="425">
        <v>10</v>
      </c>
      <c r="O76" s="425">
        <v>10</v>
      </c>
      <c r="P76" s="425"/>
      <c r="Q76" s="425"/>
      <c r="R76" s="425"/>
      <c r="S76" s="425"/>
      <c r="T76" s="425"/>
      <c r="U76" s="425"/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-52</v>
      </c>
      <c r="Y76" s="440"/>
      <c r="Z76" s="400"/>
      <c r="AA76" s="541"/>
      <c r="AB76" s="443">
        <f t="shared" si="6"/>
        <v>30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30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79" t="str">
        <f>+G74</f>
        <v>PIANO-Turquaz</v>
      </c>
      <c r="H77" s="454">
        <f>+AC74-H75</f>
        <v>14</v>
      </c>
      <c r="I77" s="397"/>
      <c r="J77" s="165">
        <f>+IF(K77="","",IF(K75=0,"",(K75*J75)/(K77*60)))</f>
        <v>0.84650000000000003</v>
      </c>
      <c r="K77" s="118">
        <v>50</v>
      </c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169">
        <v>24.69</v>
      </c>
      <c r="AA77" s="169">
        <v>24.69</v>
      </c>
      <c r="AB77" s="444">
        <f t="shared" si="6"/>
        <v>0</v>
      </c>
      <c r="AC77" s="139"/>
      <c r="AD77" s="139"/>
      <c r="AE77" s="441"/>
      <c r="AF77" s="441"/>
      <c r="AG77" s="119">
        <f>+IFERROR(AG75/(K75*$AT$3),"")</f>
        <v>0.11276190476190476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>
        <v>0.37638095238095237</v>
      </c>
      <c r="AY77" s="356"/>
    </row>
    <row r="78" spans="2:62" s="98" customFormat="1" ht="62.25" customHeight="1" thickTop="1" x14ac:dyDescent="0.9">
      <c r="B78" s="127">
        <f>+B79</f>
        <v>16</v>
      </c>
      <c r="C78" s="370"/>
      <c r="D78" s="106"/>
      <c r="E78" s="106"/>
      <c r="F78" s="106"/>
      <c r="G78" s="577" t="s">
        <v>472</v>
      </c>
      <c r="H78" s="106"/>
      <c r="I78" s="106"/>
      <c r="J78" s="107" t="s">
        <v>20</v>
      </c>
      <c r="K78" s="108" t="s">
        <v>23</v>
      </c>
      <c r="L78" s="100" t="s">
        <v>21</v>
      </c>
      <c r="M78" s="423">
        <v>100</v>
      </c>
      <c r="N78" s="423">
        <v>100</v>
      </c>
      <c r="O78" s="423">
        <v>100</v>
      </c>
      <c r="P78" s="423"/>
      <c r="Q78" s="423"/>
      <c r="R78" s="423"/>
      <c r="S78" s="423"/>
      <c r="T78" s="423"/>
      <c r="U78" s="423"/>
      <c r="V78" s="423"/>
      <c r="W78" s="423"/>
      <c r="X78" s="135">
        <f t="shared" si="42"/>
        <v>300</v>
      </c>
      <c r="Y78" s="438"/>
      <c r="Z78" s="400">
        <v>0</v>
      </c>
      <c r="AA78" s="540">
        <f>+X80</f>
        <v>-255</v>
      </c>
      <c r="AB78" s="135">
        <f t="shared" si="43"/>
        <v>300</v>
      </c>
      <c r="AC78" s="136">
        <f>+AD78+AB78</f>
        <v>1351</v>
      </c>
      <c r="AD78" s="136">
        <v>1051</v>
      </c>
      <c r="AE78" s="438"/>
      <c r="AF78" s="438"/>
      <c r="AG78" s="109"/>
      <c r="AH78" s="110"/>
      <c r="AI78" s="157"/>
      <c r="AJ78" s="161">
        <f t="shared" si="2"/>
        <v>0</v>
      </c>
      <c r="AK78" s="167">
        <f t="shared" si="3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3">
        <v>16</v>
      </c>
      <c r="C79" s="371">
        <f>+B79</f>
        <v>16</v>
      </c>
      <c r="D79" s="372" t="s">
        <v>473</v>
      </c>
      <c r="E79" s="111"/>
      <c r="F79" s="111" t="s">
        <v>35</v>
      </c>
      <c r="G79" s="578" t="str">
        <f>+G78</f>
        <v>7674-739-401</v>
      </c>
      <c r="H79" s="450">
        <v>8333</v>
      </c>
      <c r="I79" s="111" t="s">
        <v>251</v>
      </c>
      <c r="J79" s="113">
        <v>37.200000000000003</v>
      </c>
      <c r="K79" s="130">
        <v>60</v>
      </c>
      <c r="L79" s="101" t="s">
        <v>17</v>
      </c>
      <c r="M79" s="214">
        <v>0</v>
      </c>
      <c r="N79" s="214">
        <v>30</v>
      </c>
      <c r="O79" s="214">
        <v>30</v>
      </c>
      <c r="P79" s="214">
        <v>30</v>
      </c>
      <c r="Q79" s="214">
        <v>30</v>
      </c>
      <c r="R79" s="214">
        <v>40</v>
      </c>
      <c r="S79" s="214">
        <v>40</v>
      </c>
      <c r="T79" s="214">
        <v>40</v>
      </c>
      <c r="U79" s="214">
        <v>30</v>
      </c>
      <c r="V79" s="424"/>
      <c r="W79" s="424"/>
      <c r="X79" s="123">
        <f>+IF(H80="s",0,IF(AB79=0,0,IF(COUNTA(M79:W79)=AN81+0.25,SUMIF($C:$C,B79,$AB:$AB)/AN81,SUMIF($C:$C,B79,$AB:$AB)/(COUNTA(M79:W79)))))</f>
        <v>50.628571428571426</v>
      </c>
      <c r="Y79" s="439"/>
      <c r="Z79" s="400"/>
      <c r="AA79" s="541"/>
      <c r="AB79" s="134">
        <f t="shared" si="43"/>
        <v>270</v>
      </c>
      <c r="AC79" s="137">
        <f>+AB79+AD79</f>
        <v>270</v>
      </c>
      <c r="AD79" s="137">
        <v>0</v>
      </c>
      <c r="AE79" s="439"/>
      <c r="AF79" s="439">
        <f>+AE79+Y79</f>
        <v>0</v>
      </c>
      <c r="AG79" s="140">
        <f>+AC78-AC79</f>
        <v>1081</v>
      </c>
      <c r="AH79" s="131">
        <f>+IF(((AB80+(AB81/2))*60)=0,"",(J79*AB79)/((AB80+(AB81/2))*60))</f>
        <v>0.496</v>
      </c>
      <c r="AI79" s="161">
        <f>+AB80+AB81/2</f>
        <v>337.5</v>
      </c>
      <c r="AJ79" s="161">
        <f t="shared" si="2"/>
        <v>337.3</v>
      </c>
      <c r="AK79" s="167">
        <f t="shared" si="3"/>
        <v>20250</v>
      </c>
      <c r="AL79" s="167">
        <f>+AB79*J79</f>
        <v>10044</v>
      </c>
      <c r="AM79" s="230">
        <f>+AB79-(AI79*K79/K81)</f>
        <v>-200.93023255813955</v>
      </c>
      <c r="AN79" s="339"/>
      <c r="AO79" s="340"/>
      <c r="AP79" s="167"/>
      <c r="AQ79" s="167"/>
      <c r="AR79" s="167"/>
      <c r="AS79" s="167"/>
      <c r="AT79" s="433">
        <f>-150+AB78</f>
        <v>150</v>
      </c>
      <c r="AU79" s="393">
        <v>1.5</v>
      </c>
      <c r="AW79" s="356">
        <v>1051</v>
      </c>
      <c r="AY79" s="356">
        <f t="shared" ref="AY79" si="46">+AW79-AG79</f>
        <v>-30</v>
      </c>
      <c r="AZ79" s="580"/>
      <c r="BA79" s="580"/>
      <c r="BB79" s="580"/>
      <c r="BC79" s="580"/>
      <c r="BD79" s="580"/>
      <c r="BE79" s="580"/>
      <c r="BF79" s="580"/>
      <c r="BG79" s="580"/>
      <c r="BH79" s="580"/>
      <c r="BI79" s="580"/>
      <c r="BJ79" s="580"/>
    </row>
    <row r="80" spans="2:62" s="98" customFormat="1" ht="62.25" customHeight="1" x14ac:dyDescent="0.9">
      <c r="B80" s="125">
        <f>+B79</f>
        <v>16</v>
      </c>
      <c r="C80" s="373"/>
      <c r="D80" s="184"/>
      <c r="E80" s="111">
        <f>+B79</f>
        <v>16</v>
      </c>
      <c r="F80" s="374"/>
      <c r="G80" s="578" t="str">
        <f>+G78</f>
        <v>7674-739-401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32</v>
      </c>
      <c r="N80" s="425">
        <v>32</v>
      </c>
      <c r="O80" s="425">
        <v>32</v>
      </c>
      <c r="P80" s="425">
        <v>42</v>
      </c>
      <c r="Q80" s="425">
        <v>42</v>
      </c>
      <c r="R80" s="425">
        <v>42</v>
      </c>
      <c r="S80" s="425">
        <v>42</v>
      </c>
      <c r="T80" s="425">
        <v>42</v>
      </c>
      <c r="U80" s="425">
        <v>42</v>
      </c>
      <c r="V80" s="426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-255</v>
      </c>
      <c r="Y80" s="440"/>
      <c r="Z80" s="400"/>
      <c r="AA80" s="541"/>
      <c r="AB80" s="443">
        <f t="shared" ref="AB80:AB97" si="47">+SUM(M80:W80)-U80*0.25</f>
        <v>337.5</v>
      </c>
      <c r="AC80" s="341"/>
      <c r="AD80" s="341"/>
      <c r="AE80" s="440"/>
      <c r="AF80" s="440"/>
      <c r="AG80" s="115"/>
      <c r="AH80" s="116"/>
      <c r="AI80" s="157"/>
      <c r="AJ80" s="161">
        <f t="shared" si="2"/>
        <v>0</v>
      </c>
      <c r="AK80" s="167">
        <f t="shared" si="3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337.5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343">
        <f>+B79</f>
        <v>16</v>
      </c>
      <c r="C81" s="375"/>
      <c r="D81" s="378" t="s">
        <v>152</v>
      </c>
      <c r="E81" s="175">
        <f>+E80+100</f>
        <v>116</v>
      </c>
      <c r="F81" s="175"/>
      <c r="G81" s="579" t="str">
        <f>+G78</f>
        <v>7674-739-401</v>
      </c>
      <c r="H81" s="454">
        <f>+AC78-H79</f>
        <v>-6982</v>
      </c>
      <c r="I81" s="397"/>
      <c r="J81" s="165">
        <f>+IF(K81="","",IF(K79=0,"",(K79*J79)/(K81*60)))</f>
        <v>0.8651162790697674</v>
      </c>
      <c r="K81" s="118">
        <v>43</v>
      </c>
      <c r="L81" s="104" t="s">
        <v>19</v>
      </c>
      <c r="M81" s="427"/>
      <c r="N81" s="427"/>
      <c r="O81" s="427"/>
      <c r="P81" s="427"/>
      <c r="Q81" s="427"/>
      <c r="R81" s="427"/>
      <c r="S81" s="427"/>
      <c r="T81" s="427"/>
      <c r="U81" s="427"/>
      <c r="V81" s="428"/>
      <c r="W81" s="428"/>
      <c r="X81" s="173"/>
      <c r="Y81" s="441"/>
      <c r="Z81" s="401">
        <v>2.0367000000000002</v>
      </c>
      <c r="AA81" s="168">
        <f>+IF(COUNTA(M79:W79)=$AM$4+0.25,$AM$4-(AB79/K79),COUNTA(M79:W79)-(AB79/K79))+Z81</f>
        <v>6.2866999999999997</v>
      </c>
      <c r="AB81" s="444">
        <f t="shared" si="47"/>
        <v>0</v>
      </c>
      <c r="AC81" s="139"/>
      <c r="AD81" s="139"/>
      <c r="AE81" s="441"/>
      <c r="AF81" s="441"/>
      <c r="AG81" s="119">
        <f>+IFERROR(AG79/(K79*$AT$3),"")</f>
        <v>2.059047619047619</v>
      </c>
      <c r="AH81" s="162"/>
      <c r="AI81" s="161"/>
      <c r="AJ81" s="161">
        <f t="shared" si="2"/>
        <v>0</v>
      </c>
      <c r="AK81" s="167">
        <f t="shared" si="3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0</v>
      </c>
      <c r="AP81" s="167">
        <f>+AO81-AB81</f>
        <v>0</v>
      </c>
      <c r="AQ81" s="167"/>
      <c r="AR81" s="167"/>
      <c r="AS81" s="167"/>
      <c r="AT81" s="435"/>
      <c r="AU81" s="393"/>
      <c r="AW81" s="356">
        <v>1.6015238095238096</v>
      </c>
      <c r="AY81" s="356"/>
    </row>
    <row r="82" spans="2:51" s="98" customFormat="1" ht="62.25" customHeight="1" thickTop="1" x14ac:dyDescent="0.9">
      <c r="B82" s="97">
        <f>+B83</f>
        <v>17</v>
      </c>
      <c r="C82" s="370"/>
      <c r="D82" s="106"/>
      <c r="E82" s="106"/>
      <c r="F82" s="106"/>
      <c r="G82" s="577" t="s">
        <v>436</v>
      </c>
      <c r="H82" s="106"/>
      <c r="I82" s="111"/>
      <c r="J82" s="107" t="s">
        <v>20</v>
      </c>
      <c r="K82" s="108" t="s">
        <v>23</v>
      </c>
      <c r="L82" s="100" t="s">
        <v>21</v>
      </c>
      <c r="M82" s="423">
        <v>60</v>
      </c>
      <c r="N82" s="423">
        <v>120</v>
      </c>
      <c r="O82" s="423">
        <v>60</v>
      </c>
      <c r="P82" s="423">
        <v>60</v>
      </c>
      <c r="Q82" s="423">
        <v>60</v>
      </c>
      <c r="R82" s="423">
        <v>60</v>
      </c>
      <c r="S82" s="423"/>
      <c r="T82" s="423"/>
      <c r="U82" s="423"/>
      <c r="V82" s="423"/>
      <c r="W82" s="423"/>
      <c r="X82" s="135">
        <f t="shared" si="42"/>
        <v>420</v>
      </c>
      <c r="Y82" s="438"/>
      <c r="Z82" s="400">
        <v>-0.25</v>
      </c>
      <c r="AA82" s="540">
        <f>+X84</f>
        <v>3.25</v>
      </c>
      <c r="AB82" s="135">
        <f t="shared" si="43"/>
        <v>420</v>
      </c>
      <c r="AC82" s="136">
        <f>+AD82+AB82</f>
        <v>7982</v>
      </c>
      <c r="AD82" s="136">
        <v>7562</v>
      </c>
      <c r="AE82" s="438"/>
      <c r="AF82" s="438"/>
      <c r="AG82" s="109"/>
      <c r="AH82" s="110"/>
      <c r="AI82" s="157"/>
      <c r="AJ82" s="161">
        <f t="shared" si="2"/>
        <v>0</v>
      </c>
      <c r="AK82" s="167">
        <f t="shared" si="3"/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2">
        <v>17</v>
      </c>
      <c r="C83" s="371">
        <f>+B83</f>
        <v>17</v>
      </c>
      <c r="D83" s="372" t="s">
        <v>435</v>
      </c>
      <c r="E83" s="111"/>
      <c r="F83" s="111" t="s">
        <v>35</v>
      </c>
      <c r="G83" s="578" t="str">
        <f>+G82</f>
        <v>2628-510-630</v>
      </c>
      <c r="H83" s="450">
        <v>10010</v>
      </c>
      <c r="I83" s="111" t="s">
        <v>33</v>
      </c>
      <c r="J83" s="113">
        <v>44.34</v>
      </c>
      <c r="K83" s="130">
        <v>53</v>
      </c>
      <c r="L83" s="101" t="s">
        <v>17</v>
      </c>
      <c r="M83" s="214">
        <v>37</v>
      </c>
      <c r="N83" s="214">
        <v>53</v>
      </c>
      <c r="O83" s="214">
        <v>53</v>
      </c>
      <c r="P83" s="214">
        <v>58</v>
      </c>
      <c r="Q83" s="214">
        <v>59</v>
      </c>
      <c r="R83" s="214">
        <v>58</v>
      </c>
      <c r="S83" s="214">
        <v>53</v>
      </c>
      <c r="T83" s="214">
        <v>53</v>
      </c>
      <c r="U83" s="214">
        <v>43</v>
      </c>
      <c r="V83" s="214"/>
      <c r="W83" s="424"/>
      <c r="X83" s="123">
        <f>+IF(H84="s",0,IF(AB83=0,0,IF(COUNTA(M83:W83)=AN85+0.25,SUMIF($C:$C,B83,$AB:$AB)/AN85,SUMIF($C:$C,B83,$AB:$AB)/(COUNTA(M83:W83)))))</f>
        <v>53.371428571428574</v>
      </c>
      <c r="Y83" s="439"/>
      <c r="Z83" s="400"/>
      <c r="AA83" s="541"/>
      <c r="AB83" s="134">
        <f t="shared" si="43"/>
        <v>467</v>
      </c>
      <c r="AC83" s="137">
        <f>+AB83+AD83</f>
        <v>7272</v>
      </c>
      <c r="AD83" s="137">
        <v>6805</v>
      </c>
      <c r="AE83" s="439">
        <v>0</v>
      </c>
      <c r="AF83" s="439">
        <f>+AE83+Y83</f>
        <v>0</v>
      </c>
      <c r="AG83" s="140">
        <f>+AC82-AC83</f>
        <v>710</v>
      </c>
      <c r="AH83" s="131">
        <f>+IF(((AB84+(AB85/2))*60)=0,"",(J83*AB83)/((AB84+(AB85/2))*60))</f>
        <v>0.84820399385560685</v>
      </c>
      <c r="AI83" s="161">
        <f>+AB84+AB85/2</f>
        <v>406.875</v>
      </c>
      <c r="AJ83" s="161">
        <f t="shared" si="2"/>
        <v>406.52499999999998</v>
      </c>
      <c r="AK83" s="167">
        <f t="shared" si="3"/>
        <v>24412.5</v>
      </c>
      <c r="AL83" s="167">
        <f>+AB83*J83</f>
        <v>20706.780000000002</v>
      </c>
      <c r="AM83" s="230">
        <f>+AB83-(AI83*K83/K85)</f>
        <v>-1.7907608695651902</v>
      </c>
      <c r="AN83" s="339"/>
      <c r="AO83" s="340"/>
      <c r="AP83" s="167"/>
      <c r="AQ83" s="167"/>
      <c r="AR83" s="167"/>
      <c r="AS83" s="167"/>
      <c r="AT83" s="433">
        <f t="shared" ref="AT83" si="48">IF(AU83=0,"",AW83-(($AT$3*K83)+($AT$3*K83)*AU83)+AB82)</f>
        <v>17.625</v>
      </c>
      <c r="AU83" s="393">
        <v>1.5</v>
      </c>
      <c r="AW83" s="356">
        <v>757</v>
      </c>
      <c r="AY83" s="356">
        <f t="shared" ref="AY83" si="49">+AW83-AG83</f>
        <v>47</v>
      </c>
    </row>
    <row r="84" spans="2:51" s="98" customFormat="1" ht="62.25" customHeight="1" x14ac:dyDescent="0.9">
      <c r="B84" s="125">
        <f>+B83</f>
        <v>17</v>
      </c>
      <c r="C84" s="373"/>
      <c r="D84" s="184"/>
      <c r="E84" s="111">
        <f>+B83</f>
        <v>17</v>
      </c>
      <c r="F84" s="374"/>
      <c r="G84" s="578" t="str">
        <f>+G82</f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25">
        <v>46</v>
      </c>
      <c r="N84" s="425">
        <v>46</v>
      </c>
      <c r="O84" s="425">
        <v>46</v>
      </c>
      <c r="P84" s="425">
        <v>46</v>
      </c>
      <c r="Q84" s="425">
        <v>46</v>
      </c>
      <c r="R84" s="425">
        <v>46</v>
      </c>
      <c r="S84" s="425">
        <v>46</v>
      </c>
      <c r="T84" s="425">
        <v>46</v>
      </c>
      <c r="U84" s="425">
        <v>46</v>
      </c>
      <c r="V84" s="426"/>
      <c r="W84" s="426"/>
      <c r="X84" s="160">
        <f>+IF(H84="l",IF(COUNTA(M83:W83)=AN85+0.25,AB83-K83*AN85,AB83-(K83*COUNTA(M83:W83))),IF(H84="s",0,IF(COUNTA(M83:W83)=AN85+0.25,SUMIF($C:$C,B83,$AB:$AB)-K83*AN85,SUMIF($C:$C,B83,$AB:$AB)-K83*COUNTA(M83:W83))))</f>
        <v>3.25</v>
      </c>
      <c r="Y84" s="440"/>
      <c r="Z84" s="400"/>
      <c r="AA84" s="541"/>
      <c r="AB84" s="443">
        <f t="shared" si="47"/>
        <v>402.5</v>
      </c>
      <c r="AC84" s="341"/>
      <c r="AD84" s="341"/>
      <c r="AE84" s="440"/>
      <c r="AF84" s="440"/>
      <c r="AG84" s="115"/>
      <c r="AH84" s="116"/>
      <c r="AI84" s="157"/>
      <c r="AJ84" s="161">
        <f t="shared" si="2"/>
        <v>0</v>
      </c>
      <c r="AK84" s="167">
        <f t="shared" si="3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402.5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126">
        <f>+B83</f>
        <v>17</v>
      </c>
      <c r="C85" s="375"/>
      <c r="D85" s="174" t="s">
        <v>379</v>
      </c>
      <c r="E85" s="175">
        <f>+E84+100</f>
        <v>117</v>
      </c>
      <c r="F85" s="175"/>
      <c r="G85" s="579" t="str">
        <f>+G82</f>
        <v>2628-510-630</v>
      </c>
      <c r="H85" s="454">
        <f>+AC82-H83</f>
        <v>-2028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7">
        <v>1</v>
      </c>
      <c r="N85" s="427">
        <v>1</v>
      </c>
      <c r="O85" s="427">
        <v>1</v>
      </c>
      <c r="P85" s="427">
        <v>1</v>
      </c>
      <c r="Q85" s="427">
        <v>1</v>
      </c>
      <c r="R85" s="427">
        <v>1</v>
      </c>
      <c r="S85" s="427">
        <v>1</v>
      </c>
      <c r="T85" s="427">
        <v>1</v>
      </c>
      <c r="U85" s="427">
        <v>1</v>
      </c>
      <c r="V85" s="428"/>
      <c r="W85" s="428"/>
      <c r="X85" s="173"/>
      <c r="Y85" s="441"/>
      <c r="Z85" s="401">
        <v>41.323268679526997</v>
      </c>
      <c r="AA85" s="169">
        <v>41.323268679526997</v>
      </c>
      <c r="AB85" s="444">
        <f t="shared" si="47"/>
        <v>8.75</v>
      </c>
      <c r="AC85" s="139"/>
      <c r="AD85" s="139"/>
      <c r="AE85" s="441"/>
      <c r="AF85" s="441"/>
      <c r="AG85" s="119">
        <f>+IFERROR(AG83/(K83*$AT$3),"")</f>
        <v>1.5309973045822103</v>
      </c>
      <c r="AH85" s="162"/>
      <c r="AI85" s="161"/>
      <c r="AJ85" s="161">
        <f t="shared" si="2"/>
        <v>0</v>
      </c>
      <c r="AK85" s="167">
        <f t="shared" si="3"/>
        <v>0</v>
      </c>
      <c r="AL85" s="167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8.75</v>
      </c>
      <c r="AP85" s="167">
        <f>+AO85-AB85</f>
        <v>0</v>
      </c>
      <c r="AQ85" s="167"/>
      <c r="AR85" s="167"/>
      <c r="AS85" s="167"/>
      <c r="AT85" s="435"/>
      <c r="AU85" s="393"/>
      <c r="AW85" s="356">
        <v>1.6323450134770889</v>
      </c>
      <c r="AY85" s="356"/>
    </row>
    <row r="86" spans="2:51" s="98" customFormat="1" ht="62.25" customHeight="1" thickTop="1" x14ac:dyDescent="0.9">
      <c r="B86" s="127">
        <f>+B87</f>
        <v>18</v>
      </c>
      <c r="C86" s="370"/>
      <c r="D86" s="106"/>
      <c r="E86" s="106"/>
      <c r="F86" s="106"/>
      <c r="G86" s="577" t="s">
        <v>436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60</v>
      </c>
      <c r="N86" s="423">
        <v>60</v>
      </c>
      <c r="O86" s="423">
        <v>60</v>
      </c>
      <c r="P86" s="423">
        <v>120</v>
      </c>
      <c r="Q86" s="423">
        <v>60</v>
      </c>
      <c r="R86" s="423">
        <v>60</v>
      </c>
      <c r="S86" s="423"/>
      <c r="T86" s="423"/>
      <c r="U86" s="423"/>
      <c r="V86" s="423"/>
      <c r="W86" s="423"/>
      <c r="X86" s="135">
        <f t="shared" si="42"/>
        <v>420</v>
      </c>
      <c r="Y86" s="438"/>
      <c r="Z86" s="400">
        <v>-29.25</v>
      </c>
      <c r="AA86" s="540">
        <f>+X88</f>
        <v>0.25</v>
      </c>
      <c r="AB86" s="135">
        <f t="shared" si="43"/>
        <v>420</v>
      </c>
      <c r="AC86" s="136">
        <f>+AD86+AB86</f>
        <v>9025</v>
      </c>
      <c r="AD86" s="136">
        <v>8605</v>
      </c>
      <c r="AE86" s="438"/>
      <c r="AF86" s="438"/>
      <c r="AG86" s="109"/>
      <c r="AH86" s="110"/>
      <c r="AI86" s="157"/>
      <c r="AJ86" s="161">
        <f t="shared" ref="AJ86:AJ97" si="50">TRUNC(AI86)+(AI86-TRUNC(AI86))*60/100</f>
        <v>0</v>
      </c>
      <c r="AK86" s="167">
        <f t="shared" ref="AK86:AK97" si="51">+AI86*60</f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18</v>
      </c>
      <c r="C87" s="371">
        <f>+B87</f>
        <v>18</v>
      </c>
      <c r="D87" s="372" t="s">
        <v>435</v>
      </c>
      <c r="E87" s="111"/>
      <c r="F87" s="111" t="s">
        <v>35</v>
      </c>
      <c r="G87" s="578" t="str">
        <f t="shared" ref="G87:G97" si="52">+G86</f>
        <v>2628-510-630</v>
      </c>
      <c r="H87" s="450">
        <v>10800</v>
      </c>
      <c r="I87" s="111" t="s">
        <v>33</v>
      </c>
      <c r="J87" s="113">
        <v>44.34</v>
      </c>
      <c r="K87" s="130">
        <v>53</v>
      </c>
      <c r="L87" s="101" t="s">
        <v>17</v>
      </c>
      <c r="M87" s="424">
        <v>42</v>
      </c>
      <c r="N87" s="424">
        <v>53</v>
      </c>
      <c r="O87" s="424">
        <v>53</v>
      </c>
      <c r="P87" s="424">
        <v>53</v>
      </c>
      <c r="Q87" s="424">
        <v>53</v>
      </c>
      <c r="R87" s="424">
        <v>53</v>
      </c>
      <c r="S87" s="424">
        <v>53</v>
      </c>
      <c r="T87" s="424">
        <v>53</v>
      </c>
      <c r="U87" s="424">
        <v>51</v>
      </c>
      <c r="V87" s="424"/>
      <c r="W87" s="424"/>
      <c r="X87" s="123">
        <f>+IF(H88="s",0,IF(AB87=0,0,IF(COUNTA(M87:W87)=AN89+0.25,SUMIF($C:$C,B87,$AB:$AB)/AN89,SUMIF($C:$C,B87,$AB:$AB)/(COUNTA(M87:W87)))))</f>
        <v>53.028571428571432</v>
      </c>
      <c r="Y87" s="439"/>
      <c r="Z87" s="400"/>
      <c r="AA87" s="541"/>
      <c r="AB87" s="134">
        <f t="shared" si="43"/>
        <v>464</v>
      </c>
      <c r="AC87" s="137">
        <f>+AB87+AD87</f>
        <v>8225</v>
      </c>
      <c r="AD87" s="137">
        <v>7761</v>
      </c>
      <c r="AE87" s="439">
        <v>0</v>
      </c>
      <c r="AF87" s="439">
        <f>+AE87+Y87</f>
        <v>0</v>
      </c>
      <c r="AG87" s="140">
        <f>+AC86-AC87</f>
        <v>800</v>
      </c>
      <c r="AH87" s="131">
        <f>+IF(((AB88+(AB89/2))*60)=0,"",(J87*AB87)/((AB88+(AB89/2))*60))</f>
        <v>0.86127723704866566</v>
      </c>
      <c r="AI87" s="161">
        <f>+AB88+AB89/2</f>
        <v>398.125</v>
      </c>
      <c r="AJ87" s="161">
        <f t="shared" si="50"/>
        <v>398.07499999999999</v>
      </c>
      <c r="AK87" s="167">
        <f t="shared" si="51"/>
        <v>23887.5</v>
      </c>
      <c r="AL87" s="167">
        <f>+AB87*J87</f>
        <v>20573.760000000002</v>
      </c>
      <c r="AM87" s="230">
        <f>+AB87-(AI87*K87/K89)</f>
        <v>5.2907608695651902</v>
      </c>
      <c r="AN87" s="339"/>
      <c r="AO87" s="340"/>
      <c r="AP87" s="167"/>
      <c r="AQ87" s="167"/>
      <c r="AR87" s="167"/>
      <c r="AS87" s="167"/>
      <c r="AT87" s="433">
        <f t="shared" ref="AT87" si="53">IF(AU87=0,"",AW87-(($AT$3*K87)+($AT$3*K87)*AU87)+AB86)</f>
        <v>35.0625</v>
      </c>
      <c r="AU87" s="393">
        <v>1.65</v>
      </c>
      <c r="AW87" s="356">
        <v>844</v>
      </c>
      <c r="AY87" s="356">
        <f t="shared" ref="AY87" si="54">+AW87-AG87</f>
        <v>44</v>
      </c>
    </row>
    <row r="88" spans="2:51" s="98" customFormat="1" ht="62.25" customHeight="1" x14ac:dyDescent="0.9">
      <c r="B88" s="125">
        <f>+B87</f>
        <v>18</v>
      </c>
      <c r="C88" s="373"/>
      <c r="D88" s="184"/>
      <c r="E88" s="111">
        <f>+B87</f>
        <v>18</v>
      </c>
      <c r="F88" s="374"/>
      <c r="G88" s="578" t="str">
        <f t="shared" si="52"/>
        <v>2628-510-630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25">
        <v>45</v>
      </c>
      <c r="N88" s="425">
        <v>45</v>
      </c>
      <c r="O88" s="425">
        <v>45</v>
      </c>
      <c r="P88" s="425">
        <v>45</v>
      </c>
      <c r="Q88" s="425">
        <v>45</v>
      </c>
      <c r="R88" s="425">
        <v>45</v>
      </c>
      <c r="S88" s="425">
        <v>45</v>
      </c>
      <c r="T88" s="425">
        <v>45</v>
      </c>
      <c r="U88" s="425">
        <v>45</v>
      </c>
      <c r="V88" s="425"/>
      <c r="W88" s="425"/>
      <c r="X88" s="160">
        <f>+IF(H88="l",IF(COUNTA(M87:W87)=AN89+0.25,AB87-K87*AN89,AB87-(K87*COUNTA(M87:W87))),IF(H88="s",0,IF(COUNTA(M87:W87)=AN89+0.25,SUMIF($C:$C,B87,$AB:$AB)-K87*AN89,SUMIF($C:$C,B87,$AB:$AB)-K87*COUNTA(M87:W87))))</f>
        <v>0.25</v>
      </c>
      <c r="Y88" s="440"/>
      <c r="Z88" s="400"/>
      <c r="AA88" s="541"/>
      <c r="AB88" s="443">
        <f t="shared" si="47"/>
        <v>393.75</v>
      </c>
      <c r="AC88" s="138"/>
      <c r="AD88" s="138"/>
      <c r="AE88" s="442"/>
      <c r="AF88" s="440"/>
      <c r="AG88" s="115"/>
      <c r="AH88" s="116"/>
      <c r="AI88" s="157"/>
      <c r="AJ88" s="161">
        <f t="shared" si="50"/>
        <v>0</v>
      </c>
      <c r="AK88" s="167">
        <f t="shared" si="51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393.75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18</v>
      </c>
      <c r="C89" s="375"/>
      <c r="D89" s="378" t="s">
        <v>406</v>
      </c>
      <c r="E89" s="175">
        <f>+E88+100</f>
        <v>118</v>
      </c>
      <c r="F89" s="175"/>
      <c r="G89" s="579" t="str">
        <f t="shared" si="52"/>
        <v>2628-510-630</v>
      </c>
      <c r="H89" s="454">
        <f>+AC86-H87</f>
        <v>-1775</v>
      </c>
      <c r="I89" s="397"/>
      <c r="J89" s="165">
        <f>+IF(K89="","",IF(K87=0,"",(K87*J87)/(K89*60)))</f>
        <v>0.85145652173913045</v>
      </c>
      <c r="K89" s="118">
        <v>46</v>
      </c>
      <c r="L89" s="104" t="s">
        <v>19</v>
      </c>
      <c r="M89" s="428">
        <v>1</v>
      </c>
      <c r="N89" s="428">
        <v>1</v>
      </c>
      <c r="O89" s="428">
        <v>1</v>
      </c>
      <c r="P89" s="428">
        <v>1</v>
      </c>
      <c r="Q89" s="428">
        <v>1</v>
      </c>
      <c r="R89" s="428">
        <v>1</v>
      </c>
      <c r="S89" s="428">
        <v>1</v>
      </c>
      <c r="T89" s="428">
        <v>1</v>
      </c>
      <c r="U89" s="428">
        <v>1</v>
      </c>
      <c r="V89" s="428"/>
      <c r="W89" s="428"/>
      <c r="X89" s="173"/>
      <c r="Y89" s="441"/>
      <c r="Z89" s="401">
        <v>40.950645170328073</v>
      </c>
      <c r="AA89" s="401">
        <v>40.950645170328073</v>
      </c>
      <c r="AB89" s="444">
        <f t="shared" si="47"/>
        <v>8.75</v>
      </c>
      <c r="AC89" s="139"/>
      <c r="AD89" s="139"/>
      <c r="AE89" s="441"/>
      <c r="AF89" s="441"/>
      <c r="AG89" s="119">
        <f>+IFERROR(AG87/(K87*$AT$3),"")</f>
        <v>1.725067385444744</v>
      </c>
      <c r="AH89" s="162"/>
      <c r="AI89" s="161"/>
      <c r="AJ89" s="161">
        <f t="shared" si="50"/>
        <v>0</v>
      </c>
      <c r="AK89" s="167">
        <f t="shared" si="51"/>
        <v>0</v>
      </c>
      <c r="AL89" s="167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8.75</v>
      </c>
      <c r="AP89" s="167">
        <f>+AO89-AB89</f>
        <v>0</v>
      </c>
      <c r="AQ89" s="167"/>
      <c r="AR89" s="167"/>
      <c r="AS89" s="167"/>
      <c r="AT89" s="435"/>
      <c r="AU89" s="393"/>
      <c r="AW89" s="356">
        <v>1.819946091644205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77" t="s">
        <v>477</v>
      </c>
      <c r="H90" s="106"/>
      <c r="I90" s="106"/>
      <c r="J90" s="107" t="s">
        <v>20</v>
      </c>
      <c r="K90" s="108" t="s">
        <v>23</v>
      </c>
      <c r="L90" s="100" t="s">
        <v>21</v>
      </c>
      <c r="M90" s="423">
        <v>75</v>
      </c>
      <c r="N90" s="423">
        <v>150</v>
      </c>
      <c r="O90" s="423">
        <v>75</v>
      </c>
      <c r="P90" s="423">
        <v>75</v>
      </c>
      <c r="Q90" s="423">
        <v>75</v>
      </c>
      <c r="R90" s="423">
        <v>75</v>
      </c>
      <c r="S90" s="423">
        <v>107</v>
      </c>
      <c r="T90" s="423"/>
      <c r="U90" s="423"/>
      <c r="V90" s="423"/>
      <c r="W90" s="423"/>
      <c r="X90" s="135" t="str">
        <f t="shared" si="42"/>
        <v/>
      </c>
      <c r="Y90" s="438"/>
      <c r="Z90" s="400">
        <v>-51</v>
      </c>
      <c r="AA90" s="540">
        <f>+X92</f>
        <v>4</v>
      </c>
      <c r="AB90" s="135">
        <f t="shared" si="43"/>
        <v>632</v>
      </c>
      <c r="AC90" s="136">
        <f>+AD90+AB90</f>
        <v>2183</v>
      </c>
      <c r="AD90" s="136">
        <v>1551</v>
      </c>
      <c r="AE90" s="438"/>
      <c r="AF90" s="438"/>
      <c r="AG90" s="109"/>
      <c r="AH90" s="110"/>
      <c r="AI90" s="157"/>
      <c r="AJ90" s="161">
        <f t="shared" si="50"/>
        <v>0</v>
      </c>
      <c r="AK90" s="167">
        <f t="shared" si="51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478</v>
      </c>
      <c r="E91" s="111"/>
      <c r="F91" s="111" t="s">
        <v>422</v>
      </c>
      <c r="G91" s="578" t="str">
        <f t="shared" si="52"/>
        <v>ADA-Turquaz</v>
      </c>
      <c r="H91" s="450">
        <v>2145</v>
      </c>
      <c r="I91" s="111" t="s">
        <v>252</v>
      </c>
      <c r="J91" s="113">
        <v>13.23</v>
      </c>
      <c r="K91" s="130">
        <v>40</v>
      </c>
      <c r="L91" s="101" t="s">
        <v>17</v>
      </c>
      <c r="M91" s="214">
        <v>40</v>
      </c>
      <c r="N91" s="214">
        <v>33</v>
      </c>
      <c r="O91" s="214">
        <v>40</v>
      </c>
      <c r="P91" s="214">
        <v>28</v>
      </c>
      <c r="Q91" s="214">
        <v>40</v>
      </c>
      <c r="R91" s="214">
        <v>45</v>
      </c>
      <c r="S91" s="214">
        <v>45</v>
      </c>
      <c r="T91" s="214">
        <v>45</v>
      </c>
      <c r="U91" s="214">
        <v>45</v>
      </c>
      <c r="V91" s="214">
        <v>45</v>
      </c>
      <c r="W91" s="214">
        <v>38</v>
      </c>
      <c r="X91" s="123">
        <f>+IF(H92="s",0,IF(AB91=0,0,IF(COUNTA(M91:W91)=AN93+0.25,SUMIF($C:$C,B91,$AB:$AB)/AN93,SUMIF($C:$C,B91,$AB:$AB)/(COUNTA(M91:W91)))))</f>
        <v>40.363636363636367</v>
      </c>
      <c r="Y91" s="439"/>
      <c r="Z91" s="400"/>
      <c r="AA91" s="541"/>
      <c r="AB91" s="134">
        <f t="shared" si="43"/>
        <v>444</v>
      </c>
      <c r="AC91" s="137">
        <f>+AB91+AD91</f>
        <v>553</v>
      </c>
      <c r="AD91" s="137">
        <v>109</v>
      </c>
      <c r="AE91" s="439">
        <v>0</v>
      </c>
      <c r="AF91" s="439">
        <f>+AE91+Y91</f>
        <v>0</v>
      </c>
      <c r="AG91" s="140">
        <f>+AC90-AC91</f>
        <v>1630</v>
      </c>
      <c r="AH91" s="131">
        <f>+IF(((AB92+(AB93/2))*60)=0,"",(J91*AB91)/((AB92+(AB93/2))*60))</f>
        <v>0.75893023255813952</v>
      </c>
      <c r="AI91" s="161">
        <f>+AB92+AB93/2</f>
        <v>129</v>
      </c>
      <c r="AJ91" s="161">
        <f t="shared" si="50"/>
        <v>129</v>
      </c>
      <c r="AK91" s="167">
        <f t="shared" si="51"/>
        <v>7740</v>
      </c>
      <c r="AL91" s="167">
        <f>+AB91*J91</f>
        <v>5874.12</v>
      </c>
      <c r="AM91" s="230">
        <f>+AB91-(AI91*K91/K93)</f>
        <v>-25.090909090909065</v>
      </c>
      <c r="AN91" s="339"/>
      <c r="AO91" s="340"/>
      <c r="AP91" s="167"/>
      <c r="AQ91" s="167"/>
      <c r="AR91" s="167"/>
      <c r="AS91" s="167"/>
      <c r="AT91" s="433"/>
      <c r="AU91" s="393">
        <v>1.5</v>
      </c>
      <c r="AW91" s="356">
        <v>1442</v>
      </c>
      <c r="AY91" s="356">
        <f t="shared" ref="AY91" si="55">+AW91-AG91</f>
        <v>-188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78" t="str">
        <f t="shared" si="52"/>
        <v>ADA-Turquaz</v>
      </c>
      <c r="H92" s="376" t="s">
        <v>400</v>
      </c>
      <c r="I92" s="113">
        <f>+IFERROR(IF(K93=0,0,IF((LOOKUP(2,1/(M92:W92&lt;&gt;""),M92:W92)-K93)&lt;0,0,IF(K93=0,"",LOOKUP(2,1/(M92:W92&lt;&gt;""),M92:W92)-K93))),0)</f>
        <v>1</v>
      </c>
      <c r="J92" s="113"/>
      <c r="K92" s="114" t="s">
        <v>22</v>
      </c>
      <c r="L92" s="102" t="s">
        <v>18</v>
      </c>
      <c r="M92" s="451">
        <v>12</v>
      </c>
      <c r="N92" s="451">
        <v>12</v>
      </c>
      <c r="O92" s="451">
        <v>12</v>
      </c>
      <c r="P92" s="451">
        <v>12</v>
      </c>
      <c r="Q92" s="451">
        <v>12</v>
      </c>
      <c r="R92" s="451">
        <v>12</v>
      </c>
      <c r="S92" s="451">
        <v>12</v>
      </c>
      <c r="T92" s="451">
        <v>12</v>
      </c>
      <c r="U92" s="451">
        <v>12</v>
      </c>
      <c r="V92" s="451">
        <v>12</v>
      </c>
      <c r="W92" s="451">
        <v>12</v>
      </c>
      <c r="X92" s="160">
        <f>+IF(H92="l",IF(COUNTA(M91:W91)=AN93+0.25,AB91-K91*AN93,AB91-(K91*COUNTA(M91:W91))),IF(H92="s",0,IF(COUNTA(M91:W91)=AN93+0.25,SUMIF($C:$C,B91,$AB:$AB)-K91*AN93,SUMIF($C:$C,B91,$AB:$AB)-K91*COUNTA(M91:W91))))</f>
        <v>4</v>
      </c>
      <c r="Y92" s="440"/>
      <c r="Z92" s="400"/>
      <c r="AA92" s="541"/>
      <c r="AB92" s="443">
        <f t="shared" si="47"/>
        <v>129</v>
      </c>
      <c r="AC92" s="138"/>
      <c r="AD92" s="138"/>
      <c r="AE92" s="442"/>
      <c r="AF92" s="440"/>
      <c r="AG92" s="115"/>
      <c r="AH92" s="116"/>
      <c r="AI92" s="157"/>
      <c r="AJ92" s="161">
        <f t="shared" si="50"/>
        <v>0</v>
      </c>
      <c r="AK92" s="167">
        <f t="shared" si="51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105</v>
      </c>
      <c r="AP92" s="167">
        <f>+AO92-AB92</f>
        <v>-24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79" t="str">
        <f t="shared" si="52"/>
        <v>ADA-Turquaz</v>
      </c>
      <c r="H93" s="454">
        <f>+AC90-H91</f>
        <v>38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47"/>
        <v>0</v>
      </c>
      <c r="AC93" s="139"/>
      <c r="AD93" s="139"/>
      <c r="AE93" s="441"/>
      <c r="AF93" s="441"/>
      <c r="AG93" s="119">
        <f>+IFERROR(AG91/(K91*$AT$3),"")</f>
        <v>4.6571428571428575</v>
      </c>
      <c r="AH93" s="162"/>
      <c r="AI93" s="161"/>
      <c r="AJ93" s="161">
        <f t="shared" si="50"/>
        <v>0</v>
      </c>
      <c r="AK93" s="167">
        <f t="shared" si="51"/>
        <v>0</v>
      </c>
      <c r="AL93" s="167"/>
      <c r="AM93" s="230"/>
      <c r="AN93" s="342">
        <f>+$AM$4</f>
        <v>8.75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4.12</v>
      </c>
      <c r="AY93" s="356"/>
    </row>
    <row r="94" spans="2:51" s="98" customFormat="1" ht="62.25" customHeight="1" thickTop="1" x14ac:dyDescent="0.9">
      <c r="B94" s="127">
        <f>+B95</f>
        <v>20</v>
      </c>
      <c r="C94" s="370"/>
      <c r="D94" s="106"/>
      <c r="E94" s="106"/>
      <c r="F94" s="106"/>
      <c r="G94" s="577" t="s">
        <v>459</v>
      </c>
      <c r="H94" s="106"/>
      <c r="I94" s="106"/>
      <c r="J94" s="107" t="s">
        <v>20</v>
      </c>
      <c r="K94" s="108" t="s">
        <v>23</v>
      </c>
      <c r="L94" s="100" t="s">
        <v>21</v>
      </c>
      <c r="M94" s="423"/>
      <c r="N94" s="423"/>
      <c r="O94" s="423"/>
      <c r="P94" s="423"/>
      <c r="Q94" s="423"/>
      <c r="R94" s="423"/>
      <c r="S94" s="423"/>
      <c r="T94" s="423"/>
      <c r="U94" s="423"/>
      <c r="V94" s="423"/>
      <c r="W94" s="423"/>
      <c r="X94" s="135" t="str">
        <f t="shared" si="42"/>
        <v/>
      </c>
      <c r="Y94" s="438"/>
      <c r="Z94" s="400">
        <v>-7</v>
      </c>
      <c r="AA94" s="540">
        <f>+X96</f>
        <v>0</v>
      </c>
      <c r="AB94" s="135">
        <f t="shared" si="43"/>
        <v>0</v>
      </c>
      <c r="AC94" s="136">
        <f>+AD94+AB94</f>
        <v>2869</v>
      </c>
      <c r="AD94" s="136">
        <v>2869</v>
      </c>
      <c r="AE94" s="438"/>
      <c r="AF94" s="438"/>
      <c r="AG94" s="109"/>
      <c r="AH94" s="110"/>
      <c r="AI94" s="157"/>
      <c r="AJ94" s="161">
        <f t="shared" si="50"/>
        <v>0</v>
      </c>
      <c r="AK94" s="167">
        <f t="shared" si="51"/>
        <v>0</v>
      </c>
      <c r="AL94" s="167"/>
      <c r="AM94" s="167"/>
      <c r="AN94" s="339"/>
      <c r="AO94" s="340"/>
      <c r="AP94" s="167"/>
      <c r="AQ94" s="167"/>
      <c r="AR94" s="167"/>
      <c r="AS94" s="167"/>
      <c r="AT94" s="432"/>
      <c r="AU94" s="393"/>
      <c r="AW94" s="356"/>
      <c r="AY94" s="356"/>
    </row>
    <row r="95" spans="2:51" s="98" customFormat="1" ht="62.25" customHeight="1" x14ac:dyDescent="0.9">
      <c r="B95" s="133">
        <v>20</v>
      </c>
      <c r="C95" s="371">
        <f>+B95</f>
        <v>20</v>
      </c>
      <c r="D95" s="372" t="s">
        <v>460</v>
      </c>
      <c r="E95" s="111"/>
      <c r="F95" s="111" t="s">
        <v>422</v>
      </c>
      <c r="G95" s="578" t="str">
        <f t="shared" si="52"/>
        <v>ADA-PURPLE</v>
      </c>
      <c r="H95" s="450">
        <v>2869</v>
      </c>
      <c r="I95" s="111" t="s">
        <v>252</v>
      </c>
      <c r="J95" s="113">
        <v>13.23</v>
      </c>
      <c r="K95" s="130">
        <v>40</v>
      </c>
      <c r="L95" s="101" t="s">
        <v>17</v>
      </c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123">
        <f>+IF(H96="s",0,IF(AB95=0,0,IF(COUNTA(M95:W95)=AN97+0.25,SUMIF($C:$C,B95,$AB:$AB)/AN97,SUMIF($C:$C,B95,$AB:$AB)/(COUNTA(M95:W95)))))</f>
        <v>0</v>
      </c>
      <c r="Y95" s="439"/>
      <c r="Z95" s="400"/>
      <c r="AA95" s="541"/>
      <c r="AB95" s="134">
        <f t="shared" si="43"/>
        <v>0</v>
      </c>
      <c r="AC95" s="137">
        <f>+AB95+AD95</f>
        <v>2862</v>
      </c>
      <c r="AD95" s="137">
        <v>2862</v>
      </c>
      <c r="AE95" s="439">
        <v>0</v>
      </c>
      <c r="AF95" s="439">
        <f>+AE95+Y95</f>
        <v>0</v>
      </c>
      <c r="AG95" s="140">
        <f>+AC94-AC95</f>
        <v>7</v>
      </c>
      <c r="AH95" s="131" t="str">
        <f>+IF(((AB96+(AB97/2))*60)=0,"",(J95*AB95)/((AB96+(AB97/2))*60))</f>
        <v/>
      </c>
      <c r="AI95" s="161">
        <f>+AB96+AB97/2</f>
        <v>0</v>
      </c>
      <c r="AJ95" s="161">
        <f t="shared" si="50"/>
        <v>0</v>
      </c>
      <c r="AK95" s="167">
        <f t="shared" si="51"/>
        <v>0</v>
      </c>
      <c r="AL95" s="167">
        <f>+AB95*J95</f>
        <v>0</v>
      </c>
      <c r="AM95" s="230">
        <f>+AB95-(AI95*K95/K97)</f>
        <v>0</v>
      </c>
      <c r="AN95" s="339"/>
      <c r="AO95" s="340"/>
      <c r="AP95" s="167"/>
      <c r="AQ95" s="167"/>
      <c r="AR95" s="167"/>
      <c r="AS95" s="167"/>
      <c r="AT95" s="433" t="str">
        <f t="shared" ref="AT95" si="56">IF(AU95=0,"",AW95-(($AT$3*K95)+($AT$3*K95)*AU95)+AB94)</f>
        <v/>
      </c>
      <c r="AU95" s="393"/>
      <c r="AW95" s="356">
        <v>7</v>
      </c>
      <c r="AY95" s="356">
        <f t="shared" ref="AY95" si="57">+AW95-AG95</f>
        <v>0</v>
      </c>
    </row>
    <row r="96" spans="2:51" s="98" customFormat="1" ht="62.25" customHeight="1" x14ac:dyDescent="0.9">
      <c r="B96" s="125">
        <f>+B95</f>
        <v>20</v>
      </c>
      <c r="C96" s="373"/>
      <c r="D96" s="184"/>
      <c r="E96" s="111">
        <f>+B95</f>
        <v>20</v>
      </c>
      <c r="F96" s="374"/>
      <c r="G96" s="578" t="str">
        <f t="shared" si="52"/>
        <v>ADA-PURPLE</v>
      </c>
      <c r="H96" s="376" t="s">
        <v>400</v>
      </c>
      <c r="I96" s="113">
        <f>+IFERROR(IF(K97=0,0,IF((LOOKUP(2,1/(M96:W96&lt;&gt;""),M96:W96)-K97)&lt;0,0,IF(K97=0,"",LOOKUP(2,1/(M96:W96&lt;&gt;""),M96:W96)-K97))),0)</f>
        <v>0</v>
      </c>
      <c r="J96" s="113"/>
      <c r="K96" s="114" t="s">
        <v>22</v>
      </c>
      <c r="L96" s="102" t="s">
        <v>18</v>
      </c>
      <c r="M96" s="451"/>
      <c r="N96" s="451"/>
      <c r="O96" s="451"/>
      <c r="P96" s="451"/>
      <c r="Q96" s="451"/>
      <c r="R96" s="451"/>
      <c r="S96" s="451"/>
      <c r="T96" s="451"/>
      <c r="U96" s="451"/>
      <c r="V96" s="451"/>
      <c r="W96" s="451"/>
      <c r="X96" s="160">
        <f>+IF(H96="l",IF(COUNTA(M95:W95)=AN97+0.25,AB95-K95*AN97,AB95-(K95*COUNTA(M95:W95))),IF(H96="s",0,IF(COUNTA(M95:W95)=AN97+0.25,SUMIF($C:$C,B95,$AB:$AB)-K95*AN97,SUMIF($C:$C,B95,$AB:$AB)-K95*COUNTA(M95:W95))))</f>
        <v>0</v>
      </c>
      <c r="Y96" s="440"/>
      <c r="Z96" s="400"/>
      <c r="AA96" s="541"/>
      <c r="AB96" s="443">
        <f t="shared" si="47"/>
        <v>0</v>
      </c>
      <c r="AC96" s="138"/>
      <c r="AD96" s="138"/>
      <c r="AE96" s="442"/>
      <c r="AF96" s="440"/>
      <c r="AG96" s="115"/>
      <c r="AH96" s="116"/>
      <c r="AI96" s="157"/>
      <c r="AJ96" s="161">
        <f t="shared" si="50"/>
        <v>0</v>
      </c>
      <c r="AK96" s="167">
        <f t="shared" si="51"/>
        <v>0</v>
      </c>
      <c r="AL96" s="167"/>
      <c r="AM96" s="167"/>
      <c r="AN96" s="339"/>
      <c r="AO96" s="340">
        <f>+IF(AN97=7.75,SUM(M96:S96)+T96*0.75,IF(AN97=8,SUM(M96:T96),IF(AN97=7.25,SUM(M96:S96)+T96*0.25,IF(AN97=8.25,SUM(M96:T96)+U96*0.25,IF(AN97=8.75,SUM(M96:T96)+U96*0.75,0)))))</f>
        <v>0</v>
      </c>
      <c r="AP96" s="167">
        <f>+AO96-AB96</f>
        <v>0</v>
      </c>
      <c r="AQ96" s="167"/>
      <c r="AR96" s="167"/>
      <c r="AS96" s="167"/>
      <c r="AT96" s="434"/>
      <c r="AU96" s="393"/>
      <c r="AW96" s="356"/>
      <c r="AY96" s="356"/>
    </row>
    <row r="97" spans="2:51" s="98" customFormat="1" ht="62.25" customHeight="1" thickBot="1" x14ac:dyDescent="0.95">
      <c r="B97" s="343">
        <f>+B95</f>
        <v>20</v>
      </c>
      <c r="C97" s="375"/>
      <c r="D97" s="378" t="s">
        <v>78</v>
      </c>
      <c r="E97" s="175">
        <f>+E96+100</f>
        <v>120</v>
      </c>
      <c r="F97" s="175"/>
      <c r="G97" s="579" t="str">
        <f t="shared" si="52"/>
        <v>ADA-PURPLE</v>
      </c>
      <c r="H97" s="454">
        <f>+AC94-H95</f>
        <v>0</v>
      </c>
      <c r="I97" s="397"/>
      <c r="J97" s="165">
        <f>+IF(K97="","",IF(K95=0,"",(K95*J95)/(K97*60)))</f>
        <v>0.80181818181818187</v>
      </c>
      <c r="K97" s="118">
        <v>11</v>
      </c>
      <c r="L97" s="104" t="s">
        <v>19</v>
      </c>
      <c r="M97" s="428"/>
      <c r="N97" s="428"/>
      <c r="O97" s="428"/>
      <c r="P97" s="428"/>
      <c r="Q97" s="428"/>
      <c r="R97" s="428"/>
      <c r="S97" s="428"/>
      <c r="T97" s="428"/>
      <c r="U97" s="428"/>
      <c r="V97" s="428"/>
      <c r="W97" s="428"/>
      <c r="X97" s="173"/>
      <c r="Y97" s="441"/>
      <c r="Z97" s="401">
        <v>19.29</v>
      </c>
      <c r="AA97" s="169">
        <v>19.29</v>
      </c>
      <c r="AB97" s="444">
        <f t="shared" si="47"/>
        <v>0</v>
      </c>
      <c r="AC97" s="139"/>
      <c r="AD97" s="139"/>
      <c r="AE97" s="441"/>
      <c r="AF97" s="441"/>
      <c r="AG97" s="119">
        <f>+IFERROR(AG95/(K95*$AT$3),"")</f>
        <v>0.02</v>
      </c>
      <c r="AH97" s="162"/>
      <c r="AI97" s="161"/>
      <c r="AJ97" s="161">
        <f t="shared" si="50"/>
        <v>0</v>
      </c>
      <c r="AK97" s="167">
        <f t="shared" si="51"/>
        <v>0</v>
      </c>
      <c r="AL97" s="167"/>
      <c r="AM97" s="230"/>
      <c r="AN97" s="342">
        <f>+$AM$4</f>
        <v>8.75</v>
      </c>
      <c r="AO97" s="340">
        <f>+IF(AN97=7.75,SUM(M97:S97)+T97*0.75,IF(AN97=8,SUM(M97:T97),IF(AN97=7.25,SUM(M97:S97)+T97*0.25,IF(AN97=8.25,SUM(M97:T97)+U97*0.25,IF(AN97=8.75,SUM(M97:T97)+U97*0.75,0)))))</f>
        <v>0</v>
      </c>
      <c r="AP97" s="167">
        <f>+AO97-AB97</f>
        <v>0</v>
      </c>
      <c r="AQ97" s="167"/>
      <c r="AR97" s="167"/>
      <c r="AS97" s="167"/>
      <c r="AT97" s="435"/>
      <c r="AU97" s="393"/>
      <c r="AW97" s="356">
        <v>0.02</v>
      </c>
      <c r="AY97" s="356"/>
    </row>
    <row r="98" spans="2:51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0"/>
      <c r="Y98" s="381"/>
      <c r="Z98" s="380"/>
      <c r="AA98" s="380"/>
      <c r="AB98" s="380"/>
      <c r="AC98" s="380"/>
      <c r="AD98" s="380"/>
      <c r="AE98" s="380"/>
      <c r="AF98" s="380"/>
      <c r="AG98" s="380"/>
      <c r="AH98" s="382"/>
      <c r="AI98" s="383"/>
      <c r="AJ98" s="383"/>
      <c r="AN98" s="385"/>
      <c r="AO98" s="386"/>
      <c r="AU98" s="394"/>
    </row>
    <row r="99" spans="2:51" s="384" customFormat="1" ht="91.5" customHeight="1" thickTop="1" thickBot="1" x14ac:dyDescent="0.95">
      <c r="B99" s="379"/>
      <c r="C99" s="379"/>
      <c r="D99" s="380"/>
      <c r="E99" s="380"/>
      <c r="F99" s="380"/>
      <c r="G99" s="380"/>
      <c r="H99" s="380"/>
      <c r="I99" s="380"/>
      <c r="J99" s="380"/>
      <c r="K99" s="380"/>
      <c r="L99" s="346" t="s">
        <v>21</v>
      </c>
      <c r="M99" s="166">
        <f t="shared" ref="M99:W99" si="58">+SUMIF($L$6:$L$98,$L$99,M6:M98)</f>
        <v>1275</v>
      </c>
      <c r="N99" s="166">
        <f t="shared" si="58"/>
        <v>1185</v>
      </c>
      <c r="O99" s="166">
        <f t="shared" si="58"/>
        <v>1168</v>
      </c>
      <c r="P99" s="166">
        <f t="shared" si="58"/>
        <v>565</v>
      </c>
      <c r="Q99" s="166">
        <f t="shared" si="58"/>
        <v>445</v>
      </c>
      <c r="R99" s="166">
        <f t="shared" si="58"/>
        <v>495</v>
      </c>
      <c r="S99" s="166">
        <f t="shared" si="58"/>
        <v>492</v>
      </c>
      <c r="T99" s="166">
        <f t="shared" si="58"/>
        <v>100</v>
      </c>
      <c r="U99" s="166">
        <f t="shared" si="58"/>
        <v>100</v>
      </c>
      <c r="V99" s="166">
        <f t="shared" si="58"/>
        <v>0</v>
      </c>
      <c r="W99" s="166">
        <f t="shared" si="58"/>
        <v>0</v>
      </c>
      <c r="X99" s="332"/>
      <c r="Y99" s="223"/>
      <c r="Z99" s="332"/>
      <c r="AA99" s="575">
        <f>+SUM(M99:W99)</f>
        <v>5825</v>
      </c>
      <c r="AB99" s="576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51" s="384" customFormat="1" ht="91.5" customHeight="1" thickTop="1" thickBot="1" x14ac:dyDescent="0.95">
      <c r="B100" s="379"/>
      <c r="C100" s="379"/>
      <c r="D100" s="380"/>
      <c r="E100" s="380"/>
      <c r="F100" s="380"/>
      <c r="G100" s="380"/>
      <c r="H100" s="380"/>
      <c r="I100" s="380"/>
      <c r="J100" s="380"/>
      <c r="K100" s="380"/>
      <c r="L100" s="347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32"/>
      <c r="Y100" s="344"/>
      <c r="Z100" s="332"/>
      <c r="AA100" s="332"/>
      <c r="AB100" s="332"/>
      <c r="AC100" s="380"/>
      <c r="AD100" s="380"/>
      <c r="AE100" s="380"/>
      <c r="AF100" s="380"/>
      <c r="AG100" s="380"/>
      <c r="AH100" s="382"/>
      <c r="AI100" s="383"/>
      <c r="AJ100" s="383"/>
      <c r="AN100" s="385"/>
      <c r="AU100" s="394"/>
    </row>
    <row r="101" spans="2:51" s="384" customFormat="1" ht="91.5" customHeight="1" thickTop="1" thickBot="1" x14ac:dyDescent="0.95">
      <c r="B101" s="379"/>
      <c r="C101" s="379"/>
      <c r="D101" s="380"/>
      <c r="E101" s="380"/>
      <c r="F101" s="380"/>
      <c r="G101" s="380"/>
      <c r="H101" s="380"/>
      <c r="I101" s="380"/>
      <c r="J101" s="380"/>
      <c r="K101" s="380"/>
      <c r="L101" s="346" t="s">
        <v>17</v>
      </c>
      <c r="M101" s="166">
        <f t="shared" ref="M101:W101" si="59">+SUMIF($L$6:$L$98,$L$101,M6:M98)</f>
        <v>754</v>
      </c>
      <c r="N101" s="166">
        <f t="shared" si="59"/>
        <v>794</v>
      </c>
      <c r="O101" s="166">
        <f t="shared" si="59"/>
        <v>797</v>
      </c>
      <c r="P101" s="166">
        <f t="shared" si="59"/>
        <v>749</v>
      </c>
      <c r="Q101" s="166">
        <f t="shared" si="59"/>
        <v>826</v>
      </c>
      <c r="R101" s="166">
        <f t="shared" si="59"/>
        <v>841</v>
      </c>
      <c r="S101" s="166">
        <f t="shared" si="59"/>
        <v>831</v>
      </c>
      <c r="T101" s="166">
        <f t="shared" si="59"/>
        <v>833</v>
      </c>
      <c r="U101" s="166">
        <f t="shared" si="59"/>
        <v>657</v>
      </c>
      <c r="V101" s="166">
        <f t="shared" si="59"/>
        <v>45</v>
      </c>
      <c r="W101" s="166">
        <f t="shared" si="59"/>
        <v>38</v>
      </c>
      <c r="X101" s="332"/>
      <c r="Y101" s="223"/>
      <c r="Z101" s="332"/>
      <c r="AA101" s="575">
        <f>+SUM(M101:W101)</f>
        <v>7165</v>
      </c>
      <c r="AB101" s="576"/>
      <c r="AC101" s="380"/>
      <c r="AD101" s="380"/>
      <c r="AE101" s="380"/>
      <c r="AF101" s="380"/>
      <c r="AG101" s="380"/>
      <c r="AH101" s="382"/>
      <c r="AI101" s="383"/>
      <c r="AJ101" s="383"/>
      <c r="AN101" s="385"/>
      <c r="AU101" s="394"/>
    </row>
    <row r="102" spans="2:51" s="384" customFormat="1" ht="91.5" customHeight="1" thickTop="1" thickBot="1" x14ac:dyDescent="0.95">
      <c r="B102" s="379"/>
      <c r="C102" s="379"/>
      <c r="D102" s="380"/>
      <c r="E102" s="380"/>
      <c r="F102" s="380"/>
      <c r="G102" s="380"/>
      <c r="H102" s="380"/>
      <c r="I102" s="380"/>
      <c r="J102" s="380"/>
      <c r="K102" s="380"/>
      <c r="L102" s="347"/>
      <c r="M102" s="344"/>
      <c r="N102" s="344"/>
      <c r="O102" s="344"/>
      <c r="P102" s="344"/>
      <c r="Q102" s="344"/>
      <c r="R102" s="344"/>
      <c r="S102" s="344"/>
      <c r="T102" s="344"/>
      <c r="U102" s="344"/>
      <c r="V102" s="344"/>
      <c r="W102" s="344"/>
      <c r="X102" s="332"/>
      <c r="Y102" s="344"/>
      <c r="Z102" s="332"/>
      <c r="AA102" s="332"/>
      <c r="AB102" s="332"/>
      <c r="AC102" s="380"/>
      <c r="AD102" s="380"/>
      <c r="AE102" s="380"/>
      <c r="AF102" s="380"/>
      <c r="AG102" s="380"/>
      <c r="AH102" s="382"/>
      <c r="AI102" s="383"/>
      <c r="AJ102" s="383"/>
      <c r="AN102" s="385"/>
      <c r="AU102" s="394"/>
    </row>
    <row r="103" spans="2:51" s="384" customFormat="1" ht="91.5" customHeight="1" thickTop="1" thickBot="1" x14ac:dyDescent="0.95">
      <c r="B103" s="379"/>
      <c r="C103" s="379"/>
      <c r="D103" s="387"/>
      <c r="E103" s="387"/>
      <c r="F103" s="387"/>
      <c r="G103" s="387"/>
      <c r="H103" s="387"/>
      <c r="I103" s="387"/>
      <c r="J103" s="388"/>
      <c r="K103" s="387"/>
      <c r="L103" s="346" t="s">
        <v>19</v>
      </c>
      <c r="M103" s="166">
        <f t="shared" ref="M103:W103" si="60">+SUMIF($L$6:$L$98,$L$103,M6:M98)</f>
        <v>14</v>
      </c>
      <c r="N103" s="166">
        <f t="shared" si="60"/>
        <v>14</v>
      </c>
      <c r="O103" s="166">
        <f t="shared" si="60"/>
        <v>14</v>
      </c>
      <c r="P103" s="166">
        <f t="shared" si="60"/>
        <v>14</v>
      </c>
      <c r="Q103" s="166">
        <f t="shared" si="60"/>
        <v>14</v>
      </c>
      <c r="R103" s="166">
        <f t="shared" si="60"/>
        <v>14</v>
      </c>
      <c r="S103" s="166">
        <f t="shared" si="60"/>
        <v>14</v>
      </c>
      <c r="T103" s="166">
        <f t="shared" si="60"/>
        <v>14</v>
      </c>
      <c r="U103" s="166">
        <f t="shared" si="60"/>
        <v>14</v>
      </c>
      <c r="V103" s="166">
        <f t="shared" si="60"/>
        <v>0</v>
      </c>
      <c r="W103" s="166">
        <f t="shared" si="60"/>
        <v>0</v>
      </c>
      <c r="X103" s="348"/>
      <c r="Y103" s="223"/>
      <c r="Z103" s="348"/>
      <c r="AA103" s="332"/>
      <c r="AB103" s="332"/>
      <c r="AC103" s="380"/>
      <c r="AD103" s="380"/>
      <c r="AE103" s="380"/>
      <c r="AF103" s="380"/>
      <c r="AG103" s="380"/>
      <c r="AH103" s="382"/>
      <c r="AI103" s="383"/>
      <c r="AJ103" s="383"/>
      <c r="AN103" s="385"/>
      <c r="AU103" s="394"/>
    </row>
    <row r="104" spans="2:51" s="384" customFormat="1" ht="62.25" customHeight="1" thickTop="1" x14ac:dyDescent="0.9">
      <c r="B104" s="379"/>
      <c r="C104" s="379"/>
      <c r="D104" s="387"/>
      <c r="E104" s="387"/>
      <c r="F104" s="387"/>
      <c r="G104" s="387"/>
      <c r="H104" s="387"/>
      <c r="I104" s="389"/>
      <c r="J104" s="388"/>
      <c r="K104" s="387"/>
      <c r="L104" s="347"/>
      <c r="M104" s="349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32"/>
      <c r="Y104" s="345"/>
      <c r="Z104" s="332"/>
      <c r="AA104" s="332"/>
      <c r="AB104" s="332"/>
      <c r="AC104" s="380"/>
      <c r="AD104" s="380"/>
      <c r="AE104" s="380"/>
      <c r="AF104" s="380"/>
      <c r="AG104" s="390"/>
      <c r="AH104" s="382"/>
      <c r="AI104" s="383"/>
      <c r="AJ104" s="383"/>
      <c r="AN104" s="385"/>
      <c r="AU104" s="394"/>
    </row>
    <row r="105" spans="2:51" s="98" customFormat="1" ht="62.25" customHeight="1" thickBot="1" x14ac:dyDescent="0.95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35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51" s="98" customFormat="1" ht="88.5" customHeight="1" thickTop="1" thickBot="1" x14ac:dyDescent="0.95">
      <c r="B106" s="94"/>
      <c r="C106" s="94"/>
      <c r="D106" s="92"/>
      <c r="E106" s="92"/>
      <c r="F106" s="92"/>
      <c r="G106" s="92"/>
      <c r="H106" s="92"/>
      <c r="I106" s="91"/>
      <c r="J106" s="93"/>
      <c r="K106" s="212" t="s">
        <v>18</v>
      </c>
      <c r="L106" s="351" t="s">
        <v>180</v>
      </c>
      <c r="M106" s="166">
        <f t="shared" ref="M106:W106" si="61">+IF(M109=0,0,SUMIFS($J$6:$J$98,$L$6:$L$98,$K$106))</f>
        <v>3</v>
      </c>
      <c r="N106" s="166">
        <f t="shared" si="61"/>
        <v>3</v>
      </c>
      <c r="O106" s="166">
        <f t="shared" si="61"/>
        <v>3</v>
      </c>
      <c r="P106" s="166">
        <f t="shared" si="61"/>
        <v>3</v>
      </c>
      <c r="Q106" s="166">
        <f t="shared" si="61"/>
        <v>3</v>
      </c>
      <c r="R106" s="166">
        <f t="shared" si="61"/>
        <v>3</v>
      </c>
      <c r="S106" s="166">
        <f t="shared" si="61"/>
        <v>3</v>
      </c>
      <c r="T106" s="166">
        <f t="shared" si="61"/>
        <v>3</v>
      </c>
      <c r="U106" s="166">
        <f t="shared" si="61"/>
        <v>3</v>
      </c>
      <c r="V106" s="166">
        <f t="shared" si="61"/>
        <v>3</v>
      </c>
      <c r="W106" s="166">
        <f t="shared" si="61"/>
        <v>3</v>
      </c>
      <c r="X106" s="2"/>
      <c r="Y106" s="223"/>
      <c r="Z106" s="2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51" s="98" customFormat="1" ht="62.25" customHeight="1" thickTop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1"/>
      <c r="Y107" s="352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51" s="98" customFormat="1" ht="62.25" customHeight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212"/>
      <c r="L108" s="350"/>
      <c r="M108" s="1"/>
      <c r="N108" s="1"/>
      <c r="O108" s="1"/>
      <c r="P108" s="1"/>
      <c r="Q108" s="353"/>
      <c r="R108" s="353"/>
      <c r="S108" s="353"/>
      <c r="T108" s="353"/>
      <c r="U108" s="353"/>
      <c r="V108" s="353"/>
      <c r="W108" s="353"/>
      <c r="X108" s="1"/>
      <c r="Y108" s="353"/>
      <c r="Z108" s="1"/>
      <c r="AA108" s="1"/>
      <c r="AB108" s="1"/>
      <c r="AC108" s="91"/>
      <c r="AD108" s="91"/>
      <c r="AE108" s="91"/>
      <c r="AF108" s="91"/>
      <c r="AG108" s="91"/>
      <c r="AH108" s="95"/>
      <c r="AI108" s="158"/>
      <c r="AJ108" s="158"/>
      <c r="AN108" s="183"/>
      <c r="AU108" s="393"/>
    </row>
    <row r="109" spans="2:51" s="98" customFormat="1" ht="98.25" customHeight="1" thickTop="1" thickBot="1" x14ac:dyDescent="0.95">
      <c r="B109" s="94"/>
      <c r="C109" s="94"/>
      <c r="D109" s="92"/>
      <c r="E109" s="92"/>
      <c r="F109" s="92"/>
      <c r="G109" s="92"/>
      <c r="H109" s="92"/>
      <c r="I109" s="92"/>
      <c r="J109" s="93"/>
      <c r="K109" s="212"/>
      <c r="L109" s="351" t="s">
        <v>18</v>
      </c>
      <c r="M109" s="166">
        <f t="shared" ref="M109:W109" si="62">+SUMIF($L$6:$L$98,$L$109,M6:M98)</f>
        <v>736</v>
      </c>
      <c r="N109" s="166">
        <f t="shared" si="62"/>
        <v>736</v>
      </c>
      <c r="O109" s="166">
        <f t="shared" si="62"/>
        <v>736</v>
      </c>
      <c r="P109" s="166">
        <f t="shared" si="62"/>
        <v>737</v>
      </c>
      <c r="Q109" s="166">
        <f t="shared" si="62"/>
        <v>737</v>
      </c>
      <c r="R109" s="166">
        <f t="shared" si="62"/>
        <v>737</v>
      </c>
      <c r="S109" s="166">
        <f t="shared" si="62"/>
        <v>737</v>
      </c>
      <c r="T109" s="166">
        <f t="shared" si="62"/>
        <v>737</v>
      </c>
      <c r="U109" s="166">
        <f t="shared" si="62"/>
        <v>737</v>
      </c>
      <c r="V109" s="166">
        <f t="shared" si="62"/>
        <v>12</v>
      </c>
      <c r="W109" s="166">
        <f t="shared" si="62"/>
        <v>12</v>
      </c>
      <c r="X109" s="1"/>
      <c r="Y109" s="223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51" s="98" customFormat="1" ht="62.25" customHeight="1" thickTop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212"/>
      <c r="L110" s="350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1"/>
      <c r="Y110" s="354"/>
      <c r="Z110" s="1"/>
      <c r="AA110" s="1"/>
      <c r="AB110" s="1"/>
      <c r="AC110" s="91"/>
      <c r="AD110" s="91"/>
      <c r="AE110" s="91"/>
      <c r="AF110" s="91"/>
      <c r="AG110" s="91"/>
      <c r="AH110" s="95"/>
      <c r="AI110" s="158"/>
      <c r="AJ110" s="158"/>
      <c r="AN110" s="183"/>
      <c r="AU110" s="393"/>
    </row>
    <row r="111" spans="2:51" s="98" customFormat="1" ht="62.25" customHeight="1" thickBot="1" x14ac:dyDescent="0.95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50"/>
      <c r="M111" s="1"/>
      <c r="N111" s="1"/>
      <c r="O111" s="1"/>
      <c r="P111" s="1"/>
      <c r="Q111" s="353"/>
      <c r="R111" s="353"/>
      <c r="S111" s="353"/>
      <c r="T111" s="353"/>
      <c r="U111" s="353"/>
      <c r="V111" s="353"/>
      <c r="W111" s="353"/>
      <c r="X111" s="1"/>
      <c r="Y111" s="353"/>
      <c r="Z111" s="1"/>
      <c r="AA111" s="1"/>
      <c r="AB111" s="1"/>
      <c r="AC111" s="91"/>
      <c r="AD111" s="91"/>
      <c r="AE111" s="91"/>
      <c r="AF111" s="91"/>
      <c r="AG111" s="91"/>
      <c r="AH111" s="95"/>
      <c r="AI111" s="158"/>
      <c r="AJ111" s="158"/>
      <c r="AN111" s="183"/>
      <c r="AU111" s="393"/>
    </row>
    <row r="112" spans="2:51" s="98" customFormat="1" ht="94.5" customHeight="1" thickTop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351" t="s">
        <v>13</v>
      </c>
      <c r="M112" s="166">
        <f>+M109+M106+M103</f>
        <v>753</v>
      </c>
      <c r="N112" s="166">
        <f t="shared" ref="N112:W112" si="63">+N109+N106+N103</f>
        <v>753</v>
      </c>
      <c r="O112" s="166">
        <f t="shared" si="63"/>
        <v>753</v>
      </c>
      <c r="P112" s="166">
        <f t="shared" si="63"/>
        <v>754</v>
      </c>
      <c r="Q112" s="166">
        <f t="shared" si="63"/>
        <v>754</v>
      </c>
      <c r="R112" s="166">
        <f t="shared" si="63"/>
        <v>754</v>
      </c>
      <c r="S112" s="166">
        <f t="shared" si="63"/>
        <v>754</v>
      </c>
      <c r="T112" s="166">
        <f t="shared" si="63"/>
        <v>754</v>
      </c>
      <c r="U112" s="166">
        <f t="shared" si="63"/>
        <v>754</v>
      </c>
      <c r="V112" s="166">
        <f t="shared" si="63"/>
        <v>15</v>
      </c>
      <c r="W112" s="166">
        <f t="shared" si="63"/>
        <v>15</v>
      </c>
      <c r="X112" s="1"/>
      <c r="Y112" s="223"/>
      <c r="Z112" s="1"/>
      <c r="AA112" s="1"/>
      <c r="AB112" s="1"/>
      <c r="AC112" s="91"/>
      <c r="AD112" s="91"/>
      <c r="AE112" s="91"/>
      <c r="AF112" s="91"/>
      <c r="AG112" s="91"/>
      <c r="AH112" s="95"/>
      <c r="AI112" s="155"/>
      <c r="AJ112" s="155"/>
      <c r="AN112" s="183"/>
      <c r="AU112" s="393"/>
    </row>
    <row r="113" spans="2:47" s="98" customFormat="1" ht="62.25" thickTop="1" x14ac:dyDescent="0.9">
      <c r="B113" s="94"/>
      <c r="C113" s="94"/>
      <c r="D113" s="92"/>
      <c r="E113" s="92"/>
      <c r="F113" s="92"/>
      <c r="G113" s="92"/>
      <c r="H113" s="92"/>
      <c r="I113" s="92"/>
      <c r="J113" s="93"/>
      <c r="K113" s="92"/>
      <c r="L113" s="35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x14ac:dyDescent="0.9">
      <c r="J114" s="91"/>
      <c r="K114" s="91"/>
      <c r="T114" s="544"/>
      <c r="U114" s="544"/>
      <c r="V114" s="544"/>
      <c r="AI114" s="158"/>
      <c r="AJ114" s="158"/>
    </row>
    <row r="115" spans="2:47" ht="105" customHeight="1" x14ac:dyDescent="0.9">
      <c r="B115" s="391"/>
      <c r="AI115" s="158"/>
      <c r="AJ115" s="158"/>
    </row>
    <row r="116" spans="2:47" s="98" customFormat="1" x14ac:dyDescent="0.9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5"/>
      <c r="AI116" s="158"/>
      <c r="AJ116" s="158"/>
      <c r="AN116" s="183"/>
      <c r="AU116" s="393"/>
    </row>
    <row r="117" spans="2:47" s="98" customFormat="1" x14ac:dyDescent="0.9">
      <c r="B117" s="94"/>
      <c r="C117" s="94"/>
      <c r="D117" s="92"/>
      <c r="E117" s="92"/>
      <c r="F117" s="92"/>
      <c r="G117" s="92"/>
      <c r="H117" s="92"/>
      <c r="I117" s="91"/>
      <c r="J117" s="93"/>
      <c r="K117" s="92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8"/>
      <c r="AJ117" s="158"/>
      <c r="AN117" s="183"/>
      <c r="AU117" s="393"/>
    </row>
    <row r="118" spans="2:47" s="98" customFormat="1" x14ac:dyDescent="0.9">
      <c r="B118" s="94"/>
      <c r="C118" s="94"/>
      <c r="D118" s="92"/>
      <c r="E118" s="92"/>
      <c r="F118" s="92"/>
      <c r="G118" s="92"/>
      <c r="H118" s="92"/>
      <c r="I118" s="92"/>
      <c r="J118" s="93"/>
      <c r="K118" s="92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8"/>
      <c r="AJ118" s="158"/>
      <c r="AN118" s="183"/>
      <c r="AU118" s="393"/>
    </row>
    <row r="119" spans="2:47" s="98" customFormat="1" ht="66" customHeight="1" x14ac:dyDescent="0.9">
      <c r="B119" s="94"/>
      <c r="C119" s="94"/>
      <c r="D119" s="92"/>
      <c r="E119" s="92"/>
      <c r="F119" s="92"/>
      <c r="G119" s="92"/>
      <c r="H119" s="92"/>
      <c r="I119" s="92"/>
      <c r="J119" s="93"/>
      <c r="K119" s="92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8"/>
      <c r="AJ119" s="158"/>
      <c r="AN119" s="183"/>
      <c r="AU119" s="393"/>
    </row>
    <row r="121" spans="2:47" s="92" customFormat="1" x14ac:dyDescent="0.7">
      <c r="B121" s="94"/>
      <c r="C121" s="94"/>
      <c r="D121" s="92">
        <v>2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6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7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8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11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12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13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14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34" spans="2:47" s="92" customFormat="1" x14ac:dyDescent="0.7">
      <c r="B134" s="94"/>
      <c r="C134" s="94"/>
      <c r="H134" s="92">
        <v>15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5"/>
      <c r="AI134" s="155"/>
      <c r="AJ134" s="155"/>
      <c r="AK134" s="98"/>
      <c r="AL134" s="98"/>
      <c r="AM134" s="98"/>
      <c r="AN134" s="183"/>
      <c r="AO134" s="91"/>
      <c r="AP134" s="91"/>
      <c r="AU134" s="243"/>
    </row>
    <row r="135" spans="2:47" s="92" customFormat="1" x14ac:dyDescent="0.7">
      <c r="B135" s="94"/>
      <c r="C135" s="94"/>
      <c r="H135" s="92">
        <v>17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5"/>
      <c r="AI135" s="155"/>
      <c r="AJ135" s="155"/>
      <c r="AK135" s="98"/>
      <c r="AL135" s="98"/>
      <c r="AM135" s="98"/>
      <c r="AN135" s="183"/>
      <c r="AO135" s="91"/>
      <c r="AP135" s="91"/>
      <c r="AU135" s="243"/>
    </row>
    <row r="136" spans="2:47" s="92" customFormat="1" x14ac:dyDescent="0.7">
      <c r="B136" s="94"/>
      <c r="C136" s="94"/>
      <c r="H136" s="92">
        <v>18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5"/>
      <c r="AI136" s="155"/>
      <c r="AJ136" s="155"/>
      <c r="AK136" s="98"/>
      <c r="AL136" s="98"/>
      <c r="AM136" s="98"/>
      <c r="AN136" s="183"/>
      <c r="AO136" s="91"/>
      <c r="AP136" s="91"/>
      <c r="AU136" s="243"/>
    </row>
    <row r="137" spans="2:47" s="92" customFormat="1" x14ac:dyDescent="0.7">
      <c r="B137" s="94"/>
      <c r="C137" s="94"/>
      <c r="H137" s="92">
        <v>19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5"/>
      <c r="AI137" s="155"/>
      <c r="AJ137" s="155"/>
      <c r="AK137" s="98"/>
      <c r="AL137" s="98"/>
      <c r="AM137" s="98"/>
      <c r="AN137" s="183"/>
      <c r="AO137" s="91"/>
      <c r="AP137" s="91"/>
      <c r="AU137" s="243"/>
    </row>
    <row r="193" spans="2:47" s="92" customFormat="1" x14ac:dyDescent="0.7">
      <c r="B193" s="94"/>
      <c r="C193" s="94"/>
      <c r="G193" s="92">
        <v>1</v>
      </c>
      <c r="J193" s="93"/>
      <c r="L193" s="99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5"/>
      <c r="AI193" s="155"/>
      <c r="AJ193" s="155"/>
      <c r="AK193" s="98"/>
      <c r="AL193" s="98"/>
      <c r="AM193" s="98"/>
      <c r="AN193" s="183"/>
      <c r="AO193" s="91"/>
      <c r="AP193" s="91"/>
      <c r="AU193" s="243"/>
    </row>
  </sheetData>
  <autoFilter ref="A5:CT97">
    <filterColumn colId="9" showButton="0"/>
  </autoFilter>
  <mergeCells count="65">
    <mergeCell ref="AZ71:BI71"/>
    <mergeCell ref="G54:G57"/>
    <mergeCell ref="AA54:AA56"/>
    <mergeCell ref="G58:G61"/>
    <mergeCell ref="AA58:AA60"/>
    <mergeCell ref="G62:G65"/>
    <mergeCell ref="AA62:AA64"/>
    <mergeCell ref="G70:G73"/>
    <mergeCell ref="AA70:AA72"/>
    <mergeCell ref="G66:G69"/>
    <mergeCell ref="AA66:AA68"/>
    <mergeCell ref="G94:G97"/>
    <mergeCell ref="AA94:AA96"/>
    <mergeCell ref="AA99:AB99"/>
    <mergeCell ref="AA101:AB101"/>
    <mergeCell ref="AZ75:BJ75"/>
    <mergeCell ref="AZ79:BJ79"/>
    <mergeCell ref="AA86:AA88"/>
    <mergeCell ref="T114:V114"/>
    <mergeCell ref="G50:G53"/>
    <mergeCell ref="AA50:AA52"/>
    <mergeCell ref="G42:G45"/>
    <mergeCell ref="AA42:AA44"/>
    <mergeCell ref="G46:G49"/>
    <mergeCell ref="AA46:AA48"/>
    <mergeCell ref="G90:G93"/>
    <mergeCell ref="AA90:AA92"/>
    <mergeCell ref="G74:G77"/>
    <mergeCell ref="AA74:AA76"/>
    <mergeCell ref="G78:G81"/>
    <mergeCell ref="AA78:AA80"/>
    <mergeCell ref="G82:G85"/>
    <mergeCell ref="AA82:AA84"/>
    <mergeCell ref="G86:G89"/>
    <mergeCell ref="G38:G41"/>
    <mergeCell ref="AA38:AA40"/>
    <mergeCell ref="AZ39:BI39"/>
    <mergeCell ref="AZ15:BI15"/>
    <mergeCell ref="G18:G21"/>
    <mergeCell ref="AA18:AA20"/>
    <mergeCell ref="G26:G29"/>
    <mergeCell ref="AA26:AA28"/>
    <mergeCell ref="G22:G25"/>
    <mergeCell ref="AA22:AA24"/>
    <mergeCell ref="G30:G33"/>
    <mergeCell ref="AA30:AA32"/>
    <mergeCell ref="G34:G37"/>
    <mergeCell ref="AA34:AA36"/>
    <mergeCell ref="AZ35:BI35"/>
    <mergeCell ref="AZ7:BI7"/>
    <mergeCell ref="G10:G13"/>
    <mergeCell ref="AA10:AA12"/>
    <mergeCell ref="AZ11:BI11"/>
    <mergeCell ref="G14:G17"/>
    <mergeCell ref="AA14:AA16"/>
    <mergeCell ref="J5:K5"/>
    <mergeCell ref="G6:G9"/>
    <mergeCell ref="AA6:AA8"/>
    <mergeCell ref="AG1:AH1"/>
    <mergeCell ref="AG2:AH3"/>
    <mergeCell ref="H3:I3"/>
    <mergeCell ref="K3:L3"/>
    <mergeCell ref="B4:G4"/>
    <mergeCell ref="K4:L4"/>
    <mergeCell ref="AG4:AH4"/>
  </mergeCells>
  <conditionalFormatting sqref="I8">
    <cfRule type="cellIs" dxfId="1111" priority="99" operator="greaterThan">
      <formula>0</formula>
    </cfRule>
  </conditionalFormatting>
  <conditionalFormatting sqref="I12">
    <cfRule type="cellIs" dxfId="1110" priority="83" operator="greaterThan">
      <formula>0</formula>
    </cfRule>
  </conditionalFormatting>
  <conditionalFormatting sqref="I16">
    <cfRule type="cellIs" dxfId="1109" priority="139" operator="greaterThan">
      <formula>0</formula>
    </cfRule>
  </conditionalFormatting>
  <conditionalFormatting sqref="I20">
    <cfRule type="cellIs" dxfId="1108" priority="156" operator="greaterThan">
      <formula>0</formula>
    </cfRule>
  </conditionalFormatting>
  <conditionalFormatting sqref="I28">
    <cfRule type="cellIs" dxfId="1107" priority="165" operator="greaterThan">
      <formula>0</formula>
    </cfRule>
  </conditionalFormatting>
  <conditionalFormatting sqref="I36">
    <cfRule type="cellIs" dxfId="1106" priority="135" operator="greaterThan">
      <formula>0</formula>
    </cfRule>
  </conditionalFormatting>
  <conditionalFormatting sqref="I40">
    <cfRule type="cellIs" dxfId="1105" priority="119" operator="greaterThan">
      <formula>0</formula>
    </cfRule>
  </conditionalFormatting>
  <conditionalFormatting sqref="I44">
    <cfRule type="cellIs" dxfId="1104" priority="144" operator="greaterThan">
      <formula>0</formula>
    </cfRule>
  </conditionalFormatting>
  <conditionalFormatting sqref="I48">
    <cfRule type="cellIs" dxfId="1103" priority="171" operator="greaterThan">
      <formula>0</formula>
    </cfRule>
  </conditionalFormatting>
  <conditionalFormatting sqref="I56">
    <cfRule type="cellIs" dxfId="1102" priority="161" operator="greaterThan">
      <formula>0</formula>
    </cfRule>
  </conditionalFormatting>
  <conditionalFormatting sqref="I60">
    <cfRule type="cellIs" dxfId="1101" priority="88" operator="greaterThan">
      <formula>0</formula>
    </cfRule>
  </conditionalFormatting>
  <conditionalFormatting sqref="I64">
    <cfRule type="cellIs" dxfId="1100" priority="108" operator="greaterThan">
      <formula>0</formula>
    </cfRule>
  </conditionalFormatting>
  <conditionalFormatting sqref="I72">
    <cfRule type="cellIs" dxfId="1099" priority="101" operator="greaterThan">
      <formula>0</formula>
    </cfRule>
  </conditionalFormatting>
  <conditionalFormatting sqref="I76">
    <cfRule type="cellIs" dxfId="1098" priority="93" operator="greaterThan">
      <formula>0</formula>
    </cfRule>
  </conditionalFormatting>
  <conditionalFormatting sqref="I84">
    <cfRule type="cellIs" dxfId="1097" priority="148" operator="greaterThan">
      <formula>0</formula>
    </cfRule>
  </conditionalFormatting>
  <conditionalFormatting sqref="I88">
    <cfRule type="cellIs" dxfId="1096" priority="154" operator="greaterThan">
      <formula>0</formula>
    </cfRule>
  </conditionalFormatting>
  <conditionalFormatting sqref="I96">
    <cfRule type="cellIs" dxfId="1095" priority="114" operator="greaterThan">
      <formula>0</formula>
    </cfRule>
  </conditionalFormatting>
  <conditionalFormatting sqref="J8">
    <cfRule type="cellIs" dxfId="1094" priority="78" operator="greaterThan">
      <formula>0</formula>
    </cfRule>
  </conditionalFormatting>
  <conditionalFormatting sqref="J16">
    <cfRule type="cellIs" dxfId="1093" priority="138" operator="greaterThan">
      <formula>0</formula>
    </cfRule>
  </conditionalFormatting>
  <conditionalFormatting sqref="J20">
    <cfRule type="cellIs" dxfId="1092" priority="157" operator="greaterThan">
      <formula>0</formula>
    </cfRule>
  </conditionalFormatting>
  <conditionalFormatting sqref="J28">
    <cfRule type="cellIs" dxfId="1091" priority="131" operator="greaterThan">
      <formula>0</formula>
    </cfRule>
  </conditionalFormatting>
  <conditionalFormatting sqref="J36">
    <cfRule type="cellIs" dxfId="1090" priority="132" operator="greaterThan">
      <formula>0</formula>
    </cfRule>
  </conditionalFormatting>
  <conditionalFormatting sqref="J40">
    <cfRule type="cellIs" dxfId="1089" priority="116" operator="greaterThan">
      <formula>0</formula>
    </cfRule>
  </conditionalFormatting>
  <conditionalFormatting sqref="J44">
    <cfRule type="cellIs" dxfId="1088" priority="142" operator="greaterThan">
      <formula>0</formula>
    </cfRule>
  </conditionalFormatting>
  <conditionalFormatting sqref="J48">
    <cfRule type="cellIs" dxfId="1087" priority="169" operator="greaterThan">
      <formula>0</formula>
    </cfRule>
  </conditionalFormatting>
  <conditionalFormatting sqref="J56">
    <cfRule type="cellIs" dxfId="1086" priority="130" operator="greaterThan">
      <formula>0</formula>
    </cfRule>
  </conditionalFormatting>
  <conditionalFormatting sqref="J60">
    <cfRule type="cellIs" dxfId="1085" priority="86" operator="greaterThan">
      <formula>0</formula>
    </cfRule>
  </conditionalFormatting>
  <conditionalFormatting sqref="J64">
    <cfRule type="cellIs" dxfId="1084" priority="105" operator="greaterThan">
      <formula>0</formula>
    </cfRule>
  </conditionalFormatting>
  <conditionalFormatting sqref="J72">
    <cfRule type="cellIs" dxfId="1083" priority="100" operator="greaterThan">
      <formula>0</formula>
    </cfRule>
  </conditionalFormatting>
  <conditionalFormatting sqref="J76">
    <cfRule type="cellIs" dxfId="1082" priority="91" operator="greaterThan">
      <formula>0</formula>
    </cfRule>
  </conditionalFormatting>
  <conditionalFormatting sqref="J84">
    <cfRule type="cellIs" dxfId="1081" priority="75" operator="greaterThan">
      <formula>0</formula>
    </cfRule>
  </conditionalFormatting>
  <conditionalFormatting sqref="J88">
    <cfRule type="cellIs" dxfId="1080" priority="151" operator="greaterThan">
      <formula>0</formula>
    </cfRule>
  </conditionalFormatting>
  <conditionalFormatting sqref="J96">
    <cfRule type="cellIs" dxfId="1079" priority="110" operator="greaterThan">
      <formula>0</formula>
    </cfRule>
  </conditionalFormatting>
  <conditionalFormatting sqref="Z6:Z21 Z54:Z65 X34:X65 X70:X98 Z70:Z76">
    <cfRule type="cellIs" dxfId="1078" priority="174" operator="lessThan">
      <formula>0</formula>
    </cfRule>
  </conditionalFormatting>
  <conditionalFormatting sqref="Z26:Z29 Z34:Z49">
    <cfRule type="cellIs" dxfId="1077" priority="81" operator="lessThan">
      <formula>0</formula>
    </cfRule>
  </conditionalFormatting>
  <conditionalFormatting sqref="Z7">
    <cfRule type="iconSet" priority="97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076" priority="96" operator="lessThan">
      <formula>0</formula>
    </cfRule>
  </conditionalFormatting>
  <conditionalFormatting sqref="Z11">
    <cfRule type="iconSet" priority="84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075" priority="80" operator="lessThan">
      <formula>0</formula>
    </cfRule>
  </conditionalFormatting>
  <conditionalFormatting sqref="Z15">
    <cfRule type="iconSet" priority="141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074" priority="137" operator="lessThan">
      <formula>0</formula>
    </cfRule>
  </conditionalFormatting>
  <conditionalFormatting sqref="Z19">
    <cfRule type="iconSet" priority="160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073" priority="158" operator="lessThan">
      <formula>0</formula>
    </cfRule>
  </conditionalFormatting>
  <conditionalFormatting sqref="Z27">
    <cfRule type="iconSet" priority="167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072" priority="166" operator="lessThan">
      <formula>0</formula>
    </cfRule>
  </conditionalFormatting>
  <conditionalFormatting sqref="Z35">
    <cfRule type="iconSet" priority="134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071" priority="133" operator="lessThan">
      <formula>0</formula>
    </cfRule>
  </conditionalFormatting>
  <conditionalFormatting sqref="Z39">
    <cfRule type="iconSet" priority="118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070" priority="117" operator="lessThan">
      <formula>0</formula>
    </cfRule>
  </conditionalFormatting>
  <conditionalFormatting sqref="Z43">
    <cfRule type="iconSet" priority="146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069" priority="143" operator="lessThan">
      <formula>0</formula>
    </cfRule>
  </conditionalFormatting>
  <conditionalFormatting sqref="Z47">
    <cfRule type="iconSet" priority="173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068" priority="170" operator="lessThan">
      <formula>0</formula>
    </cfRule>
  </conditionalFormatting>
  <conditionalFormatting sqref="Z55">
    <cfRule type="iconSet" priority="163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067" priority="162" operator="lessThan">
      <formula>0</formula>
    </cfRule>
  </conditionalFormatting>
  <conditionalFormatting sqref="Z59">
    <cfRule type="iconSet" priority="89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066" priority="87" operator="lessThan">
      <formula>0</formula>
    </cfRule>
  </conditionalFormatting>
  <conditionalFormatting sqref="Z63">
    <cfRule type="iconSet" priority="107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065" priority="106" operator="lessThan">
      <formula>0</formula>
    </cfRule>
  </conditionalFormatting>
  <conditionalFormatting sqref="Z71">
    <cfRule type="iconSet" priority="104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064" priority="102" operator="lessThan">
      <formula>0</formula>
    </cfRule>
  </conditionalFormatting>
  <conditionalFormatting sqref="Z75">
    <cfRule type="iconSet" priority="95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063" priority="92" operator="lessThan">
      <formula>0</formula>
    </cfRule>
  </conditionalFormatting>
  <conditionalFormatting sqref="Z82:Z89 Z94:Z98">
    <cfRule type="cellIs" dxfId="1062" priority="112" operator="lessThan">
      <formula>0</formula>
    </cfRule>
  </conditionalFormatting>
  <conditionalFormatting sqref="Z83">
    <cfRule type="iconSet" priority="150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061" priority="147" operator="lessThan">
      <formula>0</formula>
    </cfRule>
  </conditionalFormatting>
  <conditionalFormatting sqref="Z87">
    <cfRule type="iconSet" priority="153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1060" priority="152" operator="lessThan">
      <formula>0</formula>
    </cfRule>
  </conditionalFormatting>
  <conditionalFormatting sqref="Z95">
    <cfRule type="iconSet" priority="113">
      <iconSet>
        <cfvo type="percent" val="0"/>
        <cfvo type="percent" val="&quot;$I$6&quot;"/>
        <cfvo type="percent" val="#REF!"/>
      </iconSet>
    </cfRule>
  </conditionalFormatting>
  <conditionalFormatting sqref="Z96">
    <cfRule type="cellIs" dxfId="1059" priority="111" operator="lessThan">
      <formula>0</formula>
    </cfRule>
  </conditionalFormatting>
  <conditionalFormatting sqref="AA17">
    <cfRule type="cellIs" dxfId="1058" priority="122" operator="lessThan">
      <formula>0</formula>
    </cfRule>
  </conditionalFormatting>
  <conditionalFormatting sqref="AA29">
    <cfRule type="cellIs" dxfId="1057" priority="129" operator="lessThan">
      <formula>0</formula>
    </cfRule>
  </conditionalFormatting>
  <conditionalFormatting sqref="AA49">
    <cfRule type="cellIs" dxfId="1056" priority="121" operator="lessThan">
      <formula>0</formula>
    </cfRule>
  </conditionalFormatting>
  <conditionalFormatting sqref="AA57">
    <cfRule type="cellIs" dxfId="1055" priority="128" operator="lessThan">
      <formula>0</formula>
    </cfRule>
  </conditionalFormatting>
  <conditionalFormatting sqref="AA65">
    <cfRule type="cellIs" dxfId="1054" priority="77" operator="lessThan">
      <formula>0</formula>
    </cfRule>
  </conditionalFormatting>
  <conditionalFormatting sqref="AG2:AH3">
    <cfRule type="cellIs" dxfId="1053" priority="175" operator="lessThan">
      <formula>0.85</formula>
    </cfRule>
  </conditionalFormatting>
  <conditionalFormatting sqref="AP26:AP29 AP94:AP1048576 AP82:AP89 AP1:AP21 AP34:AP49 AP54:AP65 AP70:AP77">
    <cfRule type="cellIs" dxfId="1052" priority="82" operator="notEqual">
      <formula>0</formula>
    </cfRule>
  </conditionalFormatting>
  <conditionalFormatting sqref="AT6:AT65 AT70:AT100">
    <cfRule type="cellIs" dxfId="1051" priority="76" operator="lessThan">
      <formula>0</formula>
    </cfRule>
  </conditionalFormatting>
  <conditionalFormatting sqref="AA73">
    <cfRule type="cellIs" dxfId="1050" priority="74" operator="lessThan">
      <formula>0</formula>
    </cfRule>
  </conditionalFormatting>
  <conditionalFormatting sqref="AA89">
    <cfRule type="cellIs" dxfId="1049" priority="73" operator="lessThan">
      <formula>0</formula>
    </cfRule>
  </conditionalFormatting>
  <conditionalFormatting sqref="I24">
    <cfRule type="cellIs" dxfId="1048" priority="68" operator="greaterThan">
      <formula>0</formula>
    </cfRule>
  </conditionalFormatting>
  <conditionalFormatting sqref="Z22:Z24">
    <cfRule type="cellIs" dxfId="1047" priority="66" operator="lessThan">
      <formula>0</formula>
    </cfRule>
  </conditionalFormatting>
  <conditionalFormatting sqref="Z23">
    <cfRule type="iconSet" priority="72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046" priority="70" operator="lessThan">
      <formula>0</formula>
    </cfRule>
  </conditionalFormatting>
  <conditionalFormatting sqref="AP22:AP25">
    <cfRule type="cellIs" dxfId="1045" priority="67" operator="notEqual">
      <formula>0</formula>
    </cfRule>
  </conditionalFormatting>
  <conditionalFormatting sqref="I52">
    <cfRule type="cellIs" dxfId="1044" priority="63" operator="greaterThan">
      <formula>0</formula>
    </cfRule>
  </conditionalFormatting>
  <conditionalFormatting sqref="J52">
    <cfRule type="cellIs" dxfId="1043" priority="61" operator="greaterThan">
      <formula>0</formula>
    </cfRule>
  </conditionalFormatting>
  <conditionalFormatting sqref="Z50:Z53">
    <cfRule type="cellIs" dxfId="1042" priority="58" operator="lessThan">
      <formula>0</formula>
    </cfRule>
  </conditionalFormatting>
  <conditionalFormatting sqref="Z51">
    <cfRule type="iconSet" priority="65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041" priority="62" operator="lessThan">
      <formula>0</formula>
    </cfRule>
  </conditionalFormatting>
  <conditionalFormatting sqref="Z90:Z92">
    <cfRule type="cellIs" dxfId="1040" priority="54" operator="lessThan">
      <formula>0</formula>
    </cfRule>
  </conditionalFormatting>
  <conditionalFormatting sqref="AP50:AP53">
    <cfRule type="cellIs" dxfId="1039" priority="59" operator="notEqual">
      <formula>0</formula>
    </cfRule>
  </conditionalFormatting>
  <conditionalFormatting sqref="I92">
    <cfRule type="cellIs" dxfId="1038" priority="56" operator="greaterThan">
      <formula>0</formula>
    </cfRule>
  </conditionalFormatting>
  <conditionalFormatting sqref="J92">
    <cfRule type="cellIs" dxfId="1037" priority="52" operator="greaterThan">
      <formula>0</formula>
    </cfRule>
  </conditionalFormatting>
  <conditionalFormatting sqref="Z91">
    <cfRule type="iconSet" priority="55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1036" priority="53" operator="lessThan">
      <formula>0</formula>
    </cfRule>
  </conditionalFormatting>
  <conditionalFormatting sqref="AP90:AP93">
    <cfRule type="cellIs" dxfId="1035" priority="51" operator="notEqual">
      <formula>0</formula>
    </cfRule>
  </conditionalFormatting>
  <conditionalFormatting sqref="Z93">
    <cfRule type="cellIs" dxfId="1034" priority="50" operator="lessThan">
      <formula>0</formula>
    </cfRule>
  </conditionalFormatting>
  <conditionalFormatting sqref="I80">
    <cfRule type="cellIs" dxfId="1033" priority="46" operator="greaterThan">
      <formula>0</formula>
    </cfRule>
  </conditionalFormatting>
  <conditionalFormatting sqref="J80">
    <cfRule type="cellIs" dxfId="1032" priority="44" operator="greaterThan">
      <formula>0</formula>
    </cfRule>
  </conditionalFormatting>
  <conditionalFormatting sqref="Z78:Z81">
    <cfRule type="cellIs" dxfId="1031" priority="49" operator="lessThan">
      <formula>0</formula>
    </cfRule>
  </conditionalFormatting>
  <conditionalFormatting sqref="Z79">
    <cfRule type="iconSet" priority="48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030" priority="45" operator="lessThan">
      <formula>0</formula>
    </cfRule>
  </conditionalFormatting>
  <conditionalFormatting sqref="AP78:AP81">
    <cfRule type="cellIs" dxfId="1029" priority="43" operator="notEqual">
      <formula>0</formula>
    </cfRule>
  </conditionalFormatting>
  <conditionalFormatting sqref="AA37">
    <cfRule type="cellIs" dxfId="1028" priority="34" operator="lessThan">
      <formula>0</formula>
    </cfRule>
  </conditionalFormatting>
  <conditionalFormatting sqref="Z25">
    <cfRule type="cellIs" dxfId="1027" priority="39" operator="lessThan">
      <formula>0</formula>
    </cfRule>
  </conditionalFormatting>
  <conditionalFormatting sqref="X6:X9">
    <cfRule type="cellIs" dxfId="1026" priority="33" operator="lessThan">
      <formula>0</formula>
    </cfRule>
  </conditionalFormatting>
  <conditionalFormatting sqref="X8">
    <cfRule type="cellIs" dxfId="1025" priority="31" operator="lessThan">
      <formula>0</formula>
    </cfRule>
  </conditionalFormatting>
  <conditionalFormatting sqref="X7">
    <cfRule type="iconSet" priority="32">
      <iconSet>
        <cfvo type="percent" val="0"/>
        <cfvo type="percent" val="&quot;$I$6&quot;"/>
        <cfvo type="percent" val="#REF!"/>
      </iconSet>
    </cfRule>
  </conditionalFormatting>
  <conditionalFormatting sqref="X10:X29">
    <cfRule type="cellIs" dxfId="1024" priority="30" operator="lessThan">
      <formula>0</formula>
    </cfRule>
  </conditionalFormatting>
  <conditionalFormatting sqref="X12 X16 X20 X24 X28 X36 X40 X44 X48 X52 X56 X60 X64 X72 X76 X80 X84 X88 X92 X96">
    <cfRule type="cellIs" dxfId="1023" priority="28" operator="lessThan">
      <formula>0</formula>
    </cfRule>
  </conditionalFormatting>
  <conditionalFormatting sqref="X75 X11 X15 X19 X23 X27 X35 X39 X43 X47 X51 X55 X59 X63 X71 X79 X83 X87 X91 X95">
    <cfRule type="iconSet" priority="29">
      <iconSet>
        <cfvo type="percent" val="0"/>
        <cfvo type="percent" val="&quot;$I$6&quot;"/>
        <cfvo type="percent" val="#REF!"/>
      </iconSet>
    </cfRule>
  </conditionalFormatting>
  <conditionalFormatting sqref="I32">
    <cfRule type="cellIs" dxfId="1022" priority="24" operator="greaterThan">
      <formula>0</formula>
    </cfRule>
  </conditionalFormatting>
  <conditionalFormatting sqref="J32">
    <cfRule type="cellIs" dxfId="1021" priority="23" operator="greaterThan">
      <formula>0</formula>
    </cfRule>
  </conditionalFormatting>
  <conditionalFormatting sqref="Z30:Z33">
    <cfRule type="cellIs" dxfId="1020" priority="20" operator="lessThan">
      <formula>0</formula>
    </cfRule>
  </conditionalFormatting>
  <conditionalFormatting sqref="Z31">
    <cfRule type="iconSet" priority="26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019" priority="25" operator="lessThan">
      <formula>0</formula>
    </cfRule>
  </conditionalFormatting>
  <conditionalFormatting sqref="AP30:AP33">
    <cfRule type="cellIs" dxfId="1018" priority="21" operator="notEqual">
      <formula>0</formula>
    </cfRule>
  </conditionalFormatting>
  <conditionalFormatting sqref="X30:X33">
    <cfRule type="cellIs" dxfId="1017" priority="18" operator="lessThan">
      <formula>0</formula>
    </cfRule>
  </conditionalFormatting>
  <conditionalFormatting sqref="X32">
    <cfRule type="cellIs" dxfId="1016" priority="16" operator="lessThan">
      <formula>0</formula>
    </cfRule>
  </conditionalFormatting>
  <conditionalFormatting sqref="X31">
    <cfRule type="iconSet" priority="17">
      <iconSet>
        <cfvo type="percent" val="0"/>
        <cfvo type="percent" val="&quot;$I$6&quot;"/>
        <cfvo type="percent" val="#REF!"/>
      </iconSet>
    </cfRule>
  </conditionalFormatting>
  <conditionalFormatting sqref="J12">
    <cfRule type="cellIs" dxfId="1015" priority="14" operator="greaterThan">
      <formula>0</formula>
    </cfRule>
  </conditionalFormatting>
  <conditionalFormatting sqref="I68">
    <cfRule type="cellIs" dxfId="1014" priority="11" operator="greaterThan">
      <formula>0</formula>
    </cfRule>
  </conditionalFormatting>
  <conditionalFormatting sqref="J68">
    <cfRule type="cellIs" dxfId="1013" priority="8" operator="greaterThan">
      <formula>0</formula>
    </cfRule>
  </conditionalFormatting>
  <conditionalFormatting sqref="Z66:Z69 X66:X69">
    <cfRule type="cellIs" dxfId="1012" priority="13" operator="lessThan">
      <formula>0</formula>
    </cfRule>
  </conditionalFormatting>
  <conditionalFormatting sqref="Z67">
    <cfRule type="iconSet" priority="10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011" priority="9" operator="lessThan">
      <formula>0</formula>
    </cfRule>
  </conditionalFormatting>
  <conditionalFormatting sqref="AA69">
    <cfRule type="cellIs" dxfId="1010" priority="6" operator="lessThan">
      <formula>0</formula>
    </cfRule>
  </conditionalFormatting>
  <conditionalFormatting sqref="AP66:AP69">
    <cfRule type="cellIs" dxfId="1009" priority="7" operator="notEqual">
      <formula>0</formula>
    </cfRule>
  </conditionalFormatting>
  <conditionalFormatting sqref="AT66 AT68:AT69">
    <cfRule type="cellIs" dxfId="1008" priority="5" operator="lessThan">
      <formula>0</formula>
    </cfRule>
  </conditionalFormatting>
  <conditionalFormatting sqref="X68">
    <cfRule type="cellIs" dxfId="1007" priority="3" operator="lessThan">
      <formula>0</formula>
    </cfRule>
  </conditionalFormatting>
  <conditionalFormatting sqref="X67">
    <cfRule type="iconSet" priority="4">
      <iconSet>
        <cfvo type="percent" val="0"/>
        <cfvo type="percent" val="&quot;$I$6&quot;"/>
        <cfvo type="percent" val="#REF!"/>
      </iconSet>
    </cfRule>
  </conditionalFormatting>
  <conditionalFormatting sqref="AT67">
    <cfRule type="cellIs" dxfId="1006" priority="2" operator="lessThan">
      <formula>0</formula>
    </cfRule>
  </conditionalFormatting>
  <conditionalFormatting sqref="J24">
    <cfRule type="cellIs" dxfId="1005" priority="1" operator="greater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8" id="{A2E316D1-ABCB-4CAC-AB29-F076562B693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85" id="{736D5B73-C50F-4295-9466-FBA289D7D2C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140" id="{409BE0F3-3F28-4E4F-923E-0801033E3D3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59" id="{01058C26-E925-42CB-A84A-A6337833230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68" id="{40669774-6FC7-406F-B371-C3681F918CB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136" id="{13F5EC85-7DF8-4780-98BE-3D6A10A5DCA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120" id="{9F93597E-9EF2-4285-9B75-F7FD86A45BB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45" id="{83A801A9-A3CB-4CE8-911F-78A38883CFF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72" id="{45E67224-837C-4F38-B98E-B91686F3197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164" id="{C76F7DC2-E2BC-4269-A0F9-25A4F83DAB4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90" id="{EB80B58D-E94F-43A6-AAB0-B7E4107998D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109" id="{C0C08D00-ED9A-4F43-BD63-57C041D8861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103" id="{97872497-C8F6-472F-9336-445668704B4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94" id="{9CF4B1EC-BC7C-442C-952E-0889718ED7A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149" id="{6FE6FF1E-5654-4CC6-B3B7-ABAF49FEF17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55" id="{7A8CEAED-3773-44E8-911D-6ACFE00006E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115" id="{1A285CA0-E600-411A-8FF9-762A3065AC0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AA94</xm:sqref>
        </x14:conditionalFormatting>
        <x14:conditionalFormatting xmlns:xm="http://schemas.microsoft.com/office/excel/2006/main">
          <x14:cfRule type="iconSet" priority="71" id="{A0701D35-4036-4A03-B9B8-BAEFC342432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64" id="{EA5C89A9-7A2D-4984-A1B2-019FD23E04F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57" id="{BD966232-B032-4A6E-93F2-45122C146F2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47" id="{9A3E7D26-27F8-4758-9A4A-B97B534CBD6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27" id="{C0F7BD5D-2511-4175-B850-DD3B12BDD06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12" id="{EECB1AF4-0B0F-4056-8BEF-40100F91F68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89"/>
  <sheetViews>
    <sheetView topLeftCell="A43" zoomScale="18" zoomScaleNormal="18" zoomScaleSheetLayoutView="18" workbookViewId="0">
      <selection activeCell="AZ39" sqref="AZ39:BI39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customWidth="1"/>
    <col min="48" max="48" width="64.7109375" style="91" customWidth="1"/>
    <col min="49" max="49" width="34" style="91" customWidth="1"/>
    <col min="50" max="50" width="20.42578125" style="91" customWidth="1"/>
    <col min="51" max="51" width="36.140625" style="91" customWidth="1"/>
    <col min="52" max="52" width="64" style="91" customWidth="1"/>
    <col min="53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0.80455883634499548</v>
      </c>
      <c r="AH2" s="535"/>
      <c r="AK2" s="183">
        <f>+SUBTOTAL(9,AK6:AK111)</f>
        <v>390150</v>
      </c>
      <c r="AL2" s="183">
        <f>+SUBTOTAL(9,AL6:AL111)</f>
        <v>313898.63</v>
      </c>
      <c r="AW2" s="91">
        <v>0.59793648334624327</v>
      </c>
    </row>
    <row r="3" spans="2:64" ht="94.5" customHeight="1" x14ac:dyDescent="0.9">
      <c r="B3" s="363">
        <f>+AM4</f>
        <v>8.75</v>
      </c>
      <c r="C3" s="469"/>
      <c r="D3" s="469"/>
      <c r="E3" s="469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69"/>
      <c r="AD3" s="96"/>
      <c r="AE3" s="96"/>
      <c r="AF3" s="96"/>
      <c r="AG3" s="535"/>
      <c r="AH3" s="535"/>
      <c r="AK3" s="183"/>
      <c r="AL3" s="183"/>
      <c r="AT3" s="91">
        <v>8.75</v>
      </c>
    </row>
    <row r="4" spans="2:64" s="141" customFormat="1" ht="79.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+SUMIF($L$6:$L$94,AB3,$AB$6:$AB$94)</f>
        <v>7449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12-05-2026</v>
      </c>
      <c r="AH4" s="539"/>
      <c r="AI4" s="362">
        <f>+SUM(AI6:AI99)</f>
        <v>6502.5</v>
      </c>
      <c r="AJ4" s="362"/>
      <c r="AK4" s="98"/>
      <c r="AL4" s="98"/>
      <c r="AM4" s="363">
        <v>8.75</v>
      </c>
      <c r="AT4" s="396">
        <f>+SUBTOTAL(9,AT6:AT95)</f>
        <v>45.75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77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>
        <v>50</v>
      </c>
      <c r="P6" s="423">
        <v>50</v>
      </c>
      <c r="Q6" s="423">
        <v>50</v>
      </c>
      <c r="R6" s="423">
        <v>50</v>
      </c>
      <c r="S6" s="423">
        <v>150</v>
      </c>
      <c r="T6" s="423">
        <v>50</v>
      </c>
      <c r="U6" s="423"/>
      <c r="V6" s="423"/>
      <c r="W6" s="423"/>
      <c r="X6" s="135">
        <f t="shared" ref="X6:X66" si="0">IF(AT7="","",SUM(M6:W6)-(-(AT7-SUM(M6:W6))/$AT$3)*SUM($M$2:$W$2))</f>
        <v>500</v>
      </c>
      <c r="Y6" s="438"/>
      <c r="Z6" s="400">
        <v>0</v>
      </c>
      <c r="AA6" s="540">
        <f>+X8</f>
        <v>0</v>
      </c>
      <c r="AB6" s="135">
        <f t="shared" ref="AB6:AB67" si="1">+SUM(L6:W6)</f>
        <v>500</v>
      </c>
      <c r="AC6" s="136">
        <f>+AD6+AB6</f>
        <v>4260</v>
      </c>
      <c r="AD6" s="136">
        <v>3760</v>
      </c>
      <c r="AE6" s="438"/>
      <c r="AF6" s="438"/>
      <c r="AG6" s="109"/>
      <c r="AH6" s="110"/>
      <c r="AI6" s="157"/>
      <c r="AJ6" s="161">
        <f t="shared" ref="AJ6:AJ81" si="2">TRUNC(AI6)+(AI6-TRUNC(AI6))*60/100</f>
        <v>0</v>
      </c>
      <c r="AK6" s="167">
        <f t="shared" ref="AK6:AK81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78" t="str">
        <f>+G6</f>
        <v>2917-496-712</v>
      </c>
      <c r="H7" s="450">
        <v>8200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424"/>
      <c r="X7" s="123">
        <f>+IF(H8="s",0,IF(AB7=0,0,IF(COUNTA(M7:W7)=AN9+0.25,SUMIF($C:$C,B7,$AB:$AB)/AN9,SUMIF($C:$C,B7,$AB:$AB)/(COUNTA(M7:W7)))))</f>
        <v>60</v>
      </c>
      <c r="Y7" s="439"/>
      <c r="Z7" s="400"/>
      <c r="AA7" s="541"/>
      <c r="AB7" s="134">
        <f t="shared" si="1"/>
        <v>525</v>
      </c>
      <c r="AC7" s="137">
        <f>+AB7+AD7</f>
        <v>3605</v>
      </c>
      <c r="AD7" s="137">
        <v>3080</v>
      </c>
      <c r="AE7" s="439">
        <v>0</v>
      </c>
      <c r="AF7" s="439">
        <f>+AE7+Y7</f>
        <v>0</v>
      </c>
      <c r="AG7" s="140">
        <f>+AC6-AC7</f>
        <v>655</v>
      </c>
      <c r="AH7" s="131">
        <f>+IF(((AB8+(AB9/2))*60)=0,"",(J7*AB7)/((AB8+(AB9/2))*60))</f>
        <v>0.89249999999999996</v>
      </c>
      <c r="AI7" s="161">
        <f>+AB8+AB9/2</f>
        <v>420</v>
      </c>
      <c r="AJ7" s="161">
        <f t="shared" si="2"/>
        <v>420</v>
      </c>
      <c r="AK7" s="167">
        <f t="shared" si="3"/>
        <v>25200</v>
      </c>
      <c r="AL7" s="167">
        <f>+AB7*J7</f>
        <v>22491</v>
      </c>
      <c r="AM7" s="230">
        <f>+AB7-(AI7*K7/K9)</f>
        <v>10.714285714285666</v>
      </c>
      <c r="AN7" s="339"/>
      <c r="AO7" s="340"/>
      <c r="AP7" s="167"/>
      <c r="AQ7" s="167"/>
      <c r="AR7" s="167"/>
      <c r="AS7" s="167"/>
      <c r="AT7" s="433">
        <f t="shared" ref="AT7" si="4">IF(AU7=0,"",AW7-(($AT$3*K7)+($AT$3*K7)*AU7)+AB6)</f>
        <v>-132.5</v>
      </c>
      <c r="AU7" s="393">
        <v>1.5</v>
      </c>
      <c r="AW7" s="356">
        <v>680</v>
      </c>
      <c r="AY7" s="356">
        <f>+AW7-AG7</f>
        <v>25</v>
      </c>
      <c r="AZ7" s="581" t="s">
        <v>482</v>
      </c>
      <c r="BA7" s="581"/>
      <c r="BB7" s="581"/>
      <c r="BC7" s="581"/>
      <c r="BD7" s="581"/>
      <c r="BE7" s="581"/>
      <c r="BF7" s="581"/>
      <c r="BG7" s="581"/>
      <c r="BH7" s="581"/>
      <c r="BI7" s="58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78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47</v>
      </c>
      <c r="N8" s="215">
        <v>47</v>
      </c>
      <c r="O8" s="215">
        <v>47</v>
      </c>
      <c r="P8" s="215">
        <v>47</v>
      </c>
      <c r="Q8" s="215">
        <v>47</v>
      </c>
      <c r="R8" s="215">
        <v>47</v>
      </c>
      <c r="S8" s="215">
        <v>47</v>
      </c>
      <c r="T8" s="215">
        <v>47</v>
      </c>
      <c r="U8" s="215">
        <v>47</v>
      </c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541"/>
      <c r="AB8" s="443">
        <f t="shared" ref="AB8:AB9" si="5">+SUM(M8:W8)-U8*0.25</f>
        <v>411.25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411.25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79" t="str">
        <f>+G6</f>
        <v>2917-496-712</v>
      </c>
      <c r="H9" s="454">
        <f>+AC6-H7</f>
        <v>-3940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si="5"/>
        <v>17.5</v>
      </c>
      <c r="AC9" s="139"/>
      <c r="AD9" s="139"/>
      <c r="AE9" s="441"/>
      <c r="AF9" s="441"/>
      <c r="AG9" s="119">
        <f>+IFERROR(AG7/(K7*$AT$3),"")</f>
        <v>1.2476190476190476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17.5</v>
      </c>
      <c r="AP9" s="167">
        <f>+AO9-AB9</f>
        <v>0</v>
      </c>
      <c r="AQ9" s="167"/>
      <c r="AR9" s="167"/>
      <c r="AS9" s="167"/>
      <c r="AT9" s="435"/>
      <c r="AU9" s="393"/>
      <c r="AW9" s="356">
        <v>1.2952380952380953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77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23">
        <v>75</v>
      </c>
      <c r="N10" s="423">
        <v>75</v>
      </c>
      <c r="O10" s="423"/>
      <c r="P10" s="423"/>
      <c r="Q10" s="423">
        <v>76</v>
      </c>
      <c r="R10" s="423"/>
      <c r="S10" s="423"/>
      <c r="T10" s="423"/>
      <c r="U10" s="423"/>
      <c r="V10" s="423"/>
      <c r="W10" s="423"/>
      <c r="X10" s="135">
        <f t="shared" si="0"/>
        <v>226</v>
      </c>
      <c r="Y10" s="438"/>
      <c r="Z10" s="400">
        <v>-173</v>
      </c>
      <c r="AA10" s="540">
        <f>+X12</f>
        <v>-136</v>
      </c>
      <c r="AB10" s="135">
        <f t="shared" si="1"/>
        <v>226</v>
      </c>
      <c r="AC10" s="136">
        <f>+AD10+AB10</f>
        <v>1876</v>
      </c>
      <c r="AD10" s="136">
        <v>1650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439</v>
      </c>
      <c r="E11" s="111"/>
      <c r="F11" s="111" t="s">
        <v>35</v>
      </c>
      <c r="G11" s="578" t="str">
        <f>+G10</f>
        <v>7740-876-052</v>
      </c>
      <c r="H11" s="450">
        <v>7000</v>
      </c>
      <c r="I11" s="111" t="s">
        <v>33</v>
      </c>
      <c r="J11" s="113">
        <v>55.78</v>
      </c>
      <c r="K11" s="130">
        <v>52</v>
      </c>
      <c r="L11" s="101" t="s">
        <v>17</v>
      </c>
      <c r="M11" s="214">
        <v>25</v>
      </c>
      <c r="N11" s="214">
        <v>34</v>
      </c>
      <c r="O11" s="214">
        <v>19</v>
      </c>
      <c r="P11" s="214">
        <v>35</v>
      </c>
      <c r="Q11" s="214">
        <v>36</v>
      </c>
      <c r="R11" s="214">
        <v>45</v>
      </c>
      <c r="S11" s="214">
        <v>45</v>
      </c>
      <c r="T11" s="214">
        <v>45</v>
      </c>
      <c r="U11" s="214">
        <v>35</v>
      </c>
      <c r="V11" s="214"/>
      <c r="W11" s="424"/>
      <c r="X11" s="123">
        <f>+IF(H12="s",0,IF(AB11=0,0,IF(COUNTA(M11:W11)=AN13+0.25,SUMIF($C:$C,B11,$AB:$AB)/AN13,SUMIF($C:$C,B11,$AB:$AB)/(COUNTA(M11:W11)))))</f>
        <v>36.457142857142856</v>
      </c>
      <c r="Y11" s="439"/>
      <c r="Z11" s="400"/>
      <c r="AA11" s="541"/>
      <c r="AB11" s="134">
        <f>+SUM(L11:W11)</f>
        <v>319</v>
      </c>
      <c r="AC11" s="137">
        <f>+AB11+AD11</f>
        <v>1078</v>
      </c>
      <c r="AD11" s="137">
        <v>759</v>
      </c>
      <c r="AE11" s="439">
        <v>0</v>
      </c>
      <c r="AF11" s="439">
        <f>+AE11+Y11</f>
        <v>0</v>
      </c>
      <c r="AG11" s="140">
        <f>+AC10-AC11</f>
        <v>798</v>
      </c>
      <c r="AH11" s="131">
        <f>+IF(((AB12+(AB13/2))*60)=0,"",(J11*AB11)/((AB12+(AB13/2))*60))</f>
        <v>0.68470687830687826</v>
      </c>
      <c r="AI11" s="161">
        <f>+AB12+AB13/2</f>
        <v>433.125</v>
      </c>
      <c r="AJ11" s="161">
        <f t="shared" si="2"/>
        <v>433.07499999999999</v>
      </c>
      <c r="AK11" s="167">
        <f t="shared" si="3"/>
        <v>25987.5</v>
      </c>
      <c r="AL11" s="167">
        <f>+AB11*J11</f>
        <v>17793.82</v>
      </c>
      <c r="AM11" s="230">
        <f>+AB11-(AI11*K11/K13)</f>
        <v>-83.1875</v>
      </c>
      <c r="AN11" s="339"/>
      <c r="AO11" s="340"/>
      <c r="AP11" s="167"/>
      <c r="AQ11" s="167"/>
      <c r="AR11" s="167"/>
      <c r="AS11" s="167"/>
      <c r="AT11" s="433">
        <f>-226+AB10</f>
        <v>0</v>
      </c>
      <c r="AU11" s="393">
        <v>1.5</v>
      </c>
      <c r="AW11" s="356">
        <v>891</v>
      </c>
      <c r="AY11" s="356">
        <f>+AW11-AG11</f>
        <v>93</v>
      </c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78" t="str">
        <f>+G10</f>
        <v>7740-876-052</v>
      </c>
      <c r="H12" s="376" t="s">
        <v>400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49</v>
      </c>
      <c r="N12" s="215">
        <v>49</v>
      </c>
      <c r="O12" s="215">
        <v>49</v>
      </c>
      <c r="P12" s="215">
        <v>49</v>
      </c>
      <c r="Q12" s="215">
        <v>49</v>
      </c>
      <c r="R12" s="215">
        <v>49</v>
      </c>
      <c r="S12" s="215">
        <v>49</v>
      </c>
      <c r="T12" s="215">
        <v>49</v>
      </c>
      <c r="U12" s="215">
        <v>49</v>
      </c>
      <c r="V12" s="215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-136</v>
      </c>
      <c r="Y12" s="440"/>
      <c r="Z12" s="400"/>
      <c r="AA12" s="541"/>
      <c r="AB12" s="443">
        <f t="shared" ref="AB12:AB73" si="6">+SUM(M12:W12)-U12*0.25</f>
        <v>428.75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428.75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79" t="str">
        <f>+G10</f>
        <v>7740-876-052</v>
      </c>
      <c r="H13" s="454">
        <f>+AC10-H11</f>
        <v>-5124</v>
      </c>
      <c r="I13" s="397"/>
      <c r="J13" s="165">
        <f>+IF(K13="","",IF(K11=0,"",(K11*J11)/(K13*60)))</f>
        <v>0.86326190476190479</v>
      </c>
      <c r="K13" s="118">
        <v>56</v>
      </c>
      <c r="L13" s="104" t="s">
        <v>19</v>
      </c>
      <c r="M13" s="427">
        <v>1</v>
      </c>
      <c r="N13" s="427">
        <v>1</v>
      </c>
      <c r="O13" s="427">
        <v>1</v>
      </c>
      <c r="P13" s="427">
        <v>1</v>
      </c>
      <c r="Q13" s="427">
        <v>1</v>
      </c>
      <c r="R13" s="427">
        <v>1</v>
      </c>
      <c r="S13" s="427">
        <v>1</v>
      </c>
      <c r="T13" s="427">
        <v>1</v>
      </c>
      <c r="U13" s="427">
        <v>1</v>
      </c>
      <c r="V13" s="427"/>
      <c r="W13" s="428"/>
      <c r="X13" s="173"/>
      <c r="Y13" s="441"/>
      <c r="Z13" s="401">
        <v>37.302417582417576</v>
      </c>
      <c r="AA13" s="168">
        <f>+IF(COUNTA(M11:W11)=$AM$4+0.25,$AM$4-(AB11/K11),COUNTA(M11:W11)-(AB11/K11))+Z13</f>
        <v>39.917802197802189</v>
      </c>
      <c r="AB13" s="444">
        <f t="shared" si="6"/>
        <v>8.75</v>
      </c>
      <c r="AC13" s="139"/>
      <c r="AD13" s="139"/>
      <c r="AE13" s="441"/>
      <c r="AF13" s="441"/>
      <c r="AG13" s="119">
        <f>+IFERROR(AG11/(K11*$AT$3),"")</f>
        <v>1.7538461538461538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8.75</v>
      </c>
      <c r="AP13" s="167">
        <f>+AO13-AB13</f>
        <v>0</v>
      </c>
      <c r="AQ13" s="167"/>
      <c r="AR13" s="167"/>
      <c r="AS13" s="167"/>
      <c r="AT13" s="435"/>
      <c r="AU13" s="393"/>
      <c r="AW13" s="356">
        <v>1.9582417582417582</v>
      </c>
      <c r="AY13" s="356"/>
    </row>
    <row r="14" spans="2:64" s="98" customFormat="1" ht="62.25" customHeight="1" thickTop="1" x14ac:dyDescent="0.9">
      <c r="B14" s="97">
        <f>+B15</f>
        <v>3</v>
      </c>
      <c r="C14" s="370"/>
      <c r="D14" s="106"/>
      <c r="E14" s="106"/>
      <c r="F14" s="106"/>
      <c r="G14" s="577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>
        <v>75</v>
      </c>
      <c r="N14" s="423">
        <v>75</v>
      </c>
      <c r="O14" s="423">
        <v>75</v>
      </c>
      <c r="P14" s="423"/>
      <c r="Q14" s="423">
        <v>75</v>
      </c>
      <c r="R14" s="423"/>
      <c r="S14" s="423"/>
      <c r="T14" s="423"/>
      <c r="U14" s="423"/>
      <c r="V14" s="423"/>
      <c r="W14" s="423"/>
      <c r="X14" s="135">
        <f t="shared" si="0"/>
        <v>300</v>
      </c>
      <c r="Y14" s="438"/>
      <c r="Z14" s="400">
        <v>-47</v>
      </c>
      <c r="AA14" s="540">
        <f>+X16</f>
        <v>0</v>
      </c>
      <c r="AB14" s="135">
        <f t="shared" si="1"/>
        <v>300</v>
      </c>
      <c r="AC14" s="136">
        <f>+AD14+AB14</f>
        <v>7464</v>
      </c>
      <c r="AD14" s="136">
        <v>7164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3</v>
      </c>
      <c r="C15" s="371">
        <v>3</v>
      </c>
      <c r="D15" s="372" t="s">
        <v>439</v>
      </c>
      <c r="E15" s="111"/>
      <c r="F15" s="111" t="s">
        <v>35</v>
      </c>
      <c r="G15" s="578" t="str">
        <f>+G14</f>
        <v>7740-876-052</v>
      </c>
      <c r="H15" s="450">
        <v>12000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52</v>
      </c>
      <c r="N15" s="214">
        <v>52</v>
      </c>
      <c r="O15" s="214">
        <v>52</v>
      </c>
      <c r="P15" s="214">
        <v>52</v>
      </c>
      <c r="Q15" s="214">
        <v>52</v>
      </c>
      <c r="R15" s="214">
        <v>52</v>
      </c>
      <c r="S15" s="214">
        <v>52</v>
      </c>
      <c r="T15" s="214">
        <v>52</v>
      </c>
      <c r="U15" s="214">
        <v>39</v>
      </c>
      <c r="V15" s="214"/>
      <c r="W15" s="424"/>
      <c r="X15" s="123">
        <f>+IF(H16="s",0,IF(AB15=0,0,IF(COUNTA(M15:W15)=AN17+0.25,SUMIF($C:$C,B15,$AB:$AB)/AN17,SUMIF($C:$C,B15,$AB:$AB)/(COUNTA(M15:W15)))))</f>
        <v>52</v>
      </c>
      <c r="Y15" s="439"/>
      <c r="Z15" s="400"/>
      <c r="AA15" s="541"/>
      <c r="AB15" s="134">
        <f t="shared" si="1"/>
        <v>455</v>
      </c>
      <c r="AC15" s="137">
        <f>+AB15+AD15</f>
        <v>6783</v>
      </c>
      <c r="AD15" s="137">
        <v>6328</v>
      </c>
      <c r="AE15" s="439"/>
      <c r="AF15" s="439">
        <f>+AE15+Y15</f>
        <v>0</v>
      </c>
      <c r="AG15" s="140">
        <f>+AC14-AC15</f>
        <v>681</v>
      </c>
      <c r="AH15" s="131">
        <f>+IF(((AB16+(AB17/2))*60)=0,"",(J15*AB15)/((AB16+(AB17/2))*60))</f>
        <v>0.92966666666666675</v>
      </c>
      <c r="AI15" s="161">
        <f>+AB16+AB17/2</f>
        <v>455</v>
      </c>
      <c r="AJ15" s="161">
        <f t="shared" si="2"/>
        <v>455</v>
      </c>
      <c r="AK15" s="167">
        <f t="shared" si="3"/>
        <v>27300</v>
      </c>
      <c r="AL15" s="167">
        <f>+AB15*J15</f>
        <v>25379.9</v>
      </c>
      <c r="AM15" s="230">
        <f>+AB15-(AI15*K15/K17)</f>
        <v>32.5</v>
      </c>
      <c r="AN15" s="339"/>
      <c r="AO15" s="340"/>
      <c r="AP15" s="167"/>
      <c r="AQ15" s="167"/>
      <c r="AR15" s="167"/>
      <c r="AS15" s="167"/>
      <c r="AT15" s="433">
        <f t="shared" ref="AT15" si="7">IF(AU15=0,"",AW15-(($AT$3*K15)+($AT$3*K15)*AU15)+AB14)</f>
        <v>-92.5</v>
      </c>
      <c r="AU15" s="393">
        <v>1.7</v>
      </c>
      <c r="AW15" s="356">
        <v>836</v>
      </c>
      <c r="AY15" s="356">
        <f t="shared" ref="AY15" si="8">+AW15-AG15</f>
        <v>155</v>
      </c>
      <c r="AZ15" s="581" t="s">
        <v>482</v>
      </c>
      <c r="BA15" s="581"/>
      <c r="BB15" s="581"/>
      <c r="BC15" s="581"/>
      <c r="BD15" s="581"/>
      <c r="BE15" s="581"/>
      <c r="BF15" s="581"/>
      <c r="BG15" s="581"/>
      <c r="BH15" s="581"/>
      <c r="BI15" s="581"/>
    </row>
    <row r="16" spans="2:64" s="98" customFormat="1" ht="62.25" customHeight="1" x14ac:dyDescent="0.9">
      <c r="B16" s="125">
        <f>+B15</f>
        <v>3</v>
      </c>
      <c r="C16" s="373"/>
      <c r="D16" s="184"/>
      <c r="E16" s="111">
        <f>+B15</f>
        <v>3</v>
      </c>
      <c r="F16" s="374"/>
      <c r="G16" s="578" t="str">
        <f>+G14</f>
        <v>7740-876-052</v>
      </c>
      <c r="H16" s="376"/>
      <c r="I16" s="113">
        <f>+IFERROR(IF(K17=0,0,IF((LOOKUP(2,1/(M16:W16&lt;&gt;""),M16:W16)-K17)&lt;0,0,IF(K17=0,"",LOOKUP(2,1/(M16:W16&lt;&gt;""),M16:W16)-K17))),0)</f>
        <v>0</v>
      </c>
      <c r="J16" s="113">
        <v>2</v>
      </c>
      <c r="K16" s="114" t="s">
        <v>22</v>
      </c>
      <c r="L16" s="102" t="s">
        <v>18</v>
      </c>
      <c r="M16" s="215">
        <v>51</v>
      </c>
      <c r="N16" s="215">
        <v>51</v>
      </c>
      <c r="O16" s="215">
        <v>51</v>
      </c>
      <c r="P16" s="215">
        <v>51</v>
      </c>
      <c r="Q16" s="215">
        <v>51</v>
      </c>
      <c r="R16" s="215">
        <v>51</v>
      </c>
      <c r="S16" s="215">
        <v>51</v>
      </c>
      <c r="T16" s="215">
        <v>51</v>
      </c>
      <c r="U16" s="215">
        <v>51</v>
      </c>
      <c r="V16" s="426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0</v>
      </c>
      <c r="Y16" s="440"/>
      <c r="Z16" s="400"/>
      <c r="AA16" s="541"/>
      <c r="AB16" s="443">
        <f t="shared" si="6"/>
        <v>446.25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446.25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51" s="98" customFormat="1" ht="62.25" customHeight="1" thickBot="1" x14ac:dyDescent="0.95">
      <c r="B17" s="126">
        <f>+B15</f>
        <v>3</v>
      </c>
      <c r="C17" s="375"/>
      <c r="D17" s="174" t="s">
        <v>423</v>
      </c>
      <c r="E17" s="175">
        <f>+E16+100</f>
        <v>103</v>
      </c>
      <c r="F17" s="175"/>
      <c r="G17" s="579" t="str">
        <f>+G14</f>
        <v>7740-876-052</v>
      </c>
      <c r="H17" s="454">
        <f>+AC14-H15</f>
        <v>-4536</v>
      </c>
      <c r="I17" s="397"/>
      <c r="J17" s="165">
        <f>+IF(K17="","",IF(K15=0,"",(K15*J15)/(K17*60)))</f>
        <v>0.86326190476190479</v>
      </c>
      <c r="K17" s="118">
        <v>56</v>
      </c>
      <c r="L17" s="104" t="s">
        <v>19</v>
      </c>
      <c r="M17" s="427">
        <v>2</v>
      </c>
      <c r="N17" s="427">
        <v>2</v>
      </c>
      <c r="O17" s="427">
        <v>2</v>
      </c>
      <c r="P17" s="427">
        <v>2</v>
      </c>
      <c r="Q17" s="427">
        <v>2</v>
      </c>
      <c r="R17" s="427">
        <v>2</v>
      </c>
      <c r="S17" s="427">
        <v>2</v>
      </c>
      <c r="T17" s="427">
        <v>2</v>
      </c>
      <c r="U17" s="427">
        <v>2</v>
      </c>
      <c r="V17" s="428"/>
      <c r="W17" s="428"/>
      <c r="X17" s="173"/>
      <c r="Y17" s="441"/>
      <c r="Z17" s="401">
        <v>37.057412587412585</v>
      </c>
      <c r="AA17" s="401">
        <v>37.057412587412585</v>
      </c>
      <c r="AB17" s="444">
        <f t="shared" si="6"/>
        <v>17.5</v>
      </c>
      <c r="AC17" s="139"/>
      <c r="AD17" s="139"/>
      <c r="AE17" s="441"/>
      <c r="AF17" s="441"/>
      <c r="AG17" s="119">
        <f>+IFERROR(AG15/(K15*$AT$3),"")</f>
        <v>1.4967032967032967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17.5</v>
      </c>
      <c r="AP17" s="167">
        <f>+AO17-AB17</f>
        <v>0</v>
      </c>
      <c r="AQ17" s="167"/>
      <c r="AR17" s="167"/>
      <c r="AS17" s="167"/>
      <c r="AT17" s="435"/>
      <c r="AU17" s="393"/>
      <c r="AW17" s="356">
        <v>1.8373626373626373</v>
      </c>
      <c r="AY17" s="356"/>
    </row>
    <row r="18" spans="2:51" s="98" customFormat="1" ht="62.25" customHeight="1" thickTop="1" x14ac:dyDescent="0.9">
      <c r="B18" s="97">
        <f>+B19</f>
        <v>4</v>
      </c>
      <c r="C18" s="370"/>
      <c r="D18" s="106"/>
      <c r="E18" s="106"/>
      <c r="F18" s="106"/>
      <c r="G18" s="582" t="s">
        <v>431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135" t="str">
        <f t="shared" si="0"/>
        <v/>
      </c>
      <c r="Y18" s="438"/>
      <c r="Z18" s="400">
        <v>0</v>
      </c>
      <c r="AA18" s="540">
        <f>+X20</f>
        <v>0</v>
      </c>
      <c r="AB18" s="135">
        <f t="shared" si="1"/>
        <v>0</v>
      </c>
      <c r="AC18" s="136">
        <f>+AD18+AB18</f>
        <v>9585</v>
      </c>
      <c r="AD18" s="136">
        <v>9585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51" s="98" customFormat="1" ht="62.25" customHeight="1" x14ac:dyDescent="0.9">
      <c r="B19" s="132">
        <v>4</v>
      </c>
      <c r="C19" s="371">
        <f>+B19</f>
        <v>4</v>
      </c>
      <c r="D19" s="372" t="s">
        <v>430</v>
      </c>
      <c r="E19" s="111"/>
      <c r="F19" s="111" t="s">
        <v>35</v>
      </c>
      <c r="G19" s="582" t="str">
        <f>+G18</f>
        <v xml:space="preserve">2878-556-700 </v>
      </c>
      <c r="H19" s="450">
        <v>9585</v>
      </c>
      <c r="I19" s="111" t="s">
        <v>251</v>
      </c>
      <c r="J19" s="113">
        <v>36.65</v>
      </c>
      <c r="K19" s="130">
        <v>75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424"/>
      <c r="X19" s="123">
        <f>+IF(H20="s",0,IF(AB19=0,0,IF(COUNTA(M19:W19)=AN21+0.25,SUMIF($C:$C,B19,$AB:$AB)/AN21,SUMIF($C:$C,B19,$AB:$AB)/(COUNTA(M19:W19)))))</f>
        <v>0</v>
      </c>
      <c r="Y19" s="439"/>
      <c r="Z19" s="400"/>
      <c r="AA19" s="541"/>
      <c r="AB19" s="134">
        <f t="shared" si="1"/>
        <v>0</v>
      </c>
      <c r="AC19" s="137">
        <f>+AB19+AD19</f>
        <v>9549</v>
      </c>
      <c r="AD19" s="137">
        <v>9549</v>
      </c>
      <c r="AE19" s="439">
        <v>0</v>
      </c>
      <c r="AF19" s="439">
        <f>+AE19+Y19</f>
        <v>0</v>
      </c>
      <c r="AG19" s="140">
        <f>+AC18-AC19</f>
        <v>36</v>
      </c>
      <c r="AH19" s="131" t="str">
        <f>+IF(((AB20+(AB21/2))*60)=0,"",(J19*AB19)/((AB20+(AB21/2))*60))</f>
        <v/>
      </c>
      <c r="AI19" s="161">
        <f>+AB20+AB21/2</f>
        <v>0</v>
      </c>
      <c r="AJ19" s="161">
        <f t="shared" si="2"/>
        <v>0</v>
      </c>
      <c r="AK19" s="167">
        <f t="shared" si="3"/>
        <v>0</v>
      </c>
      <c r="AL19" s="167">
        <f>+AB19*J19</f>
        <v>0</v>
      </c>
      <c r="AM19" s="230">
        <f>+AB19-(AI19*K19/K21)</f>
        <v>0</v>
      </c>
      <c r="AN19" s="339"/>
      <c r="AO19" s="340"/>
      <c r="AP19" s="167"/>
      <c r="AQ19" s="167"/>
      <c r="AR19" s="167"/>
      <c r="AS19" s="167"/>
      <c r="AT19" s="433" t="str">
        <f t="shared" ref="AT19" si="9">IF(AU19=0,"",AW19-(($AT$3*K19)+($AT$3*K19)*AU19)+AB18)</f>
        <v/>
      </c>
      <c r="AU19" s="393"/>
      <c r="AW19" s="356">
        <v>36</v>
      </c>
      <c r="AY19" s="356">
        <f t="shared" ref="AY19" si="10">+AW19-AG19</f>
        <v>0</v>
      </c>
    </row>
    <row r="20" spans="2:51" s="98" customFormat="1" ht="62.25" customHeight="1" x14ac:dyDescent="0.9">
      <c r="B20" s="125">
        <f>+B19</f>
        <v>4</v>
      </c>
      <c r="C20" s="373"/>
      <c r="D20" s="184"/>
      <c r="E20" s="111">
        <f>+B19</f>
        <v>4</v>
      </c>
      <c r="F20" s="374"/>
      <c r="G20" s="582" t="str">
        <f>+G19</f>
        <v xml:space="preserve">2878-556-700 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25"/>
      <c r="N20" s="425"/>
      <c r="O20" s="425"/>
      <c r="P20" s="425"/>
      <c r="Q20" s="425"/>
      <c r="R20" s="425"/>
      <c r="S20" s="425"/>
      <c r="T20" s="425"/>
      <c r="U20" s="425"/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0</v>
      </c>
      <c r="Y20" s="440"/>
      <c r="Z20" s="400"/>
      <c r="AA20" s="541"/>
      <c r="AB20" s="443">
        <f t="shared" si="6"/>
        <v>0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51" s="98" customFormat="1" ht="62.25" customHeight="1" thickBot="1" x14ac:dyDescent="0.95">
      <c r="B21" s="126">
        <f>+B19</f>
        <v>4</v>
      </c>
      <c r="C21" s="375"/>
      <c r="D21" s="174" t="s">
        <v>445</v>
      </c>
      <c r="E21" s="175">
        <f>+E20+100</f>
        <v>104</v>
      </c>
      <c r="F21" s="175"/>
      <c r="G21" s="582" t="str">
        <f>+G20</f>
        <v xml:space="preserve">2878-556-700 </v>
      </c>
      <c r="H21" s="454">
        <f>+AC18-H19</f>
        <v>0</v>
      </c>
      <c r="I21" s="397"/>
      <c r="J21" s="165">
        <f>+IF(K21="","",IF(K19=0,"",(K19*J19)/(K21*60)))</f>
        <v>0.91625000000000001</v>
      </c>
      <c r="K21" s="118">
        <v>50</v>
      </c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8"/>
      <c r="W21" s="428"/>
      <c r="X21" s="173"/>
      <c r="Y21" s="441"/>
      <c r="Z21" s="401">
        <v>29.116666666666667</v>
      </c>
      <c r="AA21" s="169">
        <v>29.116666666666667</v>
      </c>
      <c r="AB21" s="444">
        <f t="shared" si="6"/>
        <v>0</v>
      </c>
      <c r="AC21" s="139"/>
      <c r="AD21" s="139"/>
      <c r="AE21" s="441"/>
      <c r="AF21" s="441"/>
      <c r="AG21" s="119">
        <f>+IFERROR(AG19/(K19*$AT$3),"")</f>
        <v>5.4857142857142854E-2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+IF(AN21=7.75,SUM(N21:S21)+T21*0.75,IF(AN21=8,SUM(N21:T21),IF(AN21=7.25,SUM(N21:S21)+T21*0.25,IF(AN21=8.25,SUM(N21:T21)+U21*0.25,IF(AN21=8.75,SUM(N21:T21)+U21*0.75,0)))))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5.4857142857142854E-2</v>
      </c>
      <c r="AY21" s="356"/>
    </row>
    <row r="22" spans="2:5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77" t="s">
        <v>472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50</v>
      </c>
      <c r="N22" s="423">
        <v>100</v>
      </c>
      <c r="O22" s="423">
        <v>50</v>
      </c>
      <c r="P22" s="423">
        <v>100</v>
      </c>
      <c r="Q22" s="423">
        <v>100</v>
      </c>
      <c r="R22" s="423"/>
      <c r="S22" s="423">
        <v>50</v>
      </c>
      <c r="T22" s="423"/>
      <c r="U22" s="423">
        <v>100</v>
      </c>
      <c r="V22" s="423"/>
      <c r="W22" s="423"/>
      <c r="X22" s="135">
        <f t="shared" si="0"/>
        <v>550</v>
      </c>
      <c r="Y22" s="438"/>
      <c r="Z22" s="400">
        <v>-200</v>
      </c>
      <c r="AA22" s="540">
        <f>+X24</f>
        <v>-85</v>
      </c>
      <c r="AB22" s="135">
        <f t="shared" si="1"/>
        <v>550</v>
      </c>
      <c r="AC22" s="136">
        <f>+AD22+AB22</f>
        <v>1701</v>
      </c>
      <c r="AD22" s="136">
        <v>1151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51" s="98" customFormat="1" ht="62.25" customHeight="1" x14ac:dyDescent="0.9">
      <c r="B23" s="132">
        <v>4</v>
      </c>
      <c r="C23" s="371">
        <f>+B23</f>
        <v>4</v>
      </c>
      <c r="D23" s="372" t="s">
        <v>473</v>
      </c>
      <c r="E23" s="111"/>
      <c r="F23" s="111" t="s">
        <v>35</v>
      </c>
      <c r="G23" s="578" t="s">
        <v>472</v>
      </c>
      <c r="H23" s="450">
        <v>8333</v>
      </c>
      <c r="I23" s="111" t="s">
        <v>251</v>
      </c>
      <c r="J23" s="113">
        <v>37.200000000000003</v>
      </c>
      <c r="K23" s="130">
        <v>60</v>
      </c>
      <c r="L23" s="101" t="s">
        <v>17</v>
      </c>
      <c r="M23" s="214">
        <v>55</v>
      </c>
      <c r="N23" s="214">
        <v>50</v>
      </c>
      <c r="O23" s="214">
        <v>50</v>
      </c>
      <c r="P23" s="214">
        <v>50</v>
      </c>
      <c r="Q23" s="214">
        <v>53</v>
      </c>
      <c r="R23" s="214">
        <v>50</v>
      </c>
      <c r="S23" s="214">
        <v>50</v>
      </c>
      <c r="T23" s="214">
        <v>50</v>
      </c>
      <c r="U23" s="214">
        <v>32</v>
      </c>
      <c r="V23" s="214"/>
      <c r="W23" s="424"/>
      <c r="X23" s="123">
        <f>+IF(H24="s",0,IF(AB23=0,0,IF(COUNTA(M23:W23)=AN25+0.25,SUMIF($C:$C,B23,$AB:$AB)/AN25,SUMIF($C:$C,B23,$AB:$AB)/(COUNTA(M23:W23)))))</f>
        <v>50.285714285714285</v>
      </c>
      <c r="Y23" s="439"/>
      <c r="Z23" s="400"/>
      <c r="AA23" s="541"/>
      <c r="AB23" s="134">
        <f t="shared" si="1"/>
        <v>440</v>
      </c>
      <c r="AC23" s="137">
        <f>+AB23+AD23</f>
        <v>808</v>
      </c>
      <c r="AD23" s="137">
        <v>368</v>
      </c>
      <c r="AE23" s="439">
        <v>0</v>
      </c>
      <c r="AF23" s="439">
        <f>+AE23+Y23</f>
        <v>0</v>
      </c>
      <c r="AG23" s="140">
        <f>+AC22-AC23</f>
        <v>893</v>
      </c>
      <c r="AH23" s="131">
        <f>+IF(((AB24+(AB25/2))*60)=0,"",(J23*AB23)/((AB24+(AB25/2))*60))</f>
        <v>0.74231292517006808</v>
      </c>
      <c r="AI23" s="161">
        <f>+AB24+AB25/2</f>
        <v>367.5</v>
      </c>
      <c r="AJ23" s="161">
        <f t="shared" si="2"/>
        <v>367.3</v>
      </c>
      <c r="AK23" s="167">
        <f t="shared" si="3"/>
        <v>22050</v>
      </c>
      <c r="AL23" s="167">
        <f>+AB23*J23</f>
        <v>16368.000000000002</v>
      </c>
      <c r="AM23" s="230">
        <f>+AB23-(AI23*K23/K25)</f>
        <v>-72.790697674418652</v>
      </c>
      <c r="AN23" s="339"/>
      <c r="AO23" s="340"/>
      <c r="AP23" s="167"/>
      <c r="AQ23" s="167"/>
      <c r="AR23" s="167"/>
      <c r="AS23" s="167"/>
      <c r="AT23" s="433">
        <f t="shared" ref="AT23" si="11">IF(AU23=0,"",AW23-(($AT$3*K23)+($AT$3*K23)*AU23)+AB22)</f>
        <v>20.5</v>
      </c>
      <c r="AU23" s="393">
        <v>1.5</v>
      </c>
      <c r="AW23" s="356">
        <v>783</v>
      </c>
      <c r="AY23" s="356">
        <f t="shared" ref="AY23" si="12">+AW23-AG23</f>
        <v>-110</v>
      </c>
    </row>
    <row r="24" spans="2:5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78" t="s">
        <v>472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42</v>
      </c>
      <c r="N24" s="425">
        <v>42</v>
      </c>
      <c r="O24" s="425">
        <v>42</v>
      </c>
      <c r="P24" s="425">
        <v>42</v>
      </c>
      <c r="Q24" s="425">
        <v>42</v>
      </c>
      <c r="R24" s="425">
        <v>42</v>
      </c>
      <c r="S24" s="425">
        <v>42</v>
      </c>
      <c r="T24" s="425">
        <v>42</v>
      </c>
      <c r="U24" s="425">
        <v>42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-85</v>
      </c>
      <c r="Y24" s="440"/>
      <c r="Z24" s="400"/>
      <c r="AA24" s="541"/>
      <c r="AB24" s="443">
        <f t="shared" si="6"/>
        <v>367.5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367.5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5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79" t="s">
        <v>472</v>
      </c>
      <c r="H25" s="454">
        <f>+AC22-H23</f>
        <v>-6632</v>
      </c>
      <c r="I25" s="397"/>
      <c r="J25" s="165">
        <f>+IF(K25="","",IF(K23=0,"",(K23*J23)/(K25*60)))</f>
        <v>0.8651162790697674</v>
      </c>
      <c r="K25" s="118">
        <v>43</v>
      </c>
      <c r="L25" s="104" t="s">
        <v>19</v>
      </c>
      <c r="M25" s="427"/>
      <c r="N25" s="427"/>
      <c r="O25" s="427"/>
      <c r="P25" s="427"/>
      <c r="Q25" s="427"/>
      <c r="R25" s="427"/>
      <c r="S25" s="427"/>
      <c r="T25" s="427"/>
      <c r="U25" s="427"/>
      <c r="V25" s="428"/>
      <c r="W25" s="428"/>
      <c r="X25" s="173"/>
      <c r="Y25" s="441"/>
      <c r="Z25" s="401">
        <v>17.173333333333332</v>
      </c>
      <c r="AA25" s="168">
        <f>+IF(COUNTA(M23:W23)=$AM$4+0.25,$AM$4-(AB23/K23),COUNTA(M23:W23)-(AB23/K23))+Z25</f>
        <v>18.59</v>
      </c>
      <c r="AB25" s="444">
        <f t="shared" si="6"/>
        <v>0</v>
      </c>
      <c r="AC25" s="139"/>
      <c r="AD25" s="139"/>
      <c r="AE25" s="441"/>
      <c r="AF25" s="441"/>
      <c r="AG25" s="119">
        <f>+IFERROR(AG23/(K23*$AT$3),"")</f>
        <v>1.700952380952381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0</v>
      </c>
      <c r="AP25" s="167">
        <f>+AO25-AB25</f>
        <v>0</v>
      </c>
      <c r="AQ25" s="167"/>
      <c r="AR25" s="167"/>
      <c r="AS25" s="167"/>
      <c r="AT25" s="435"/>
      <c r="AU25" s="393"/>
      <c r="AW25" s="356">
        <v>1.4914285714285713</v>
      </c>
      <c r="AY25" s="356"/>
    </row>
    <row r="26" spans="2:5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77" t="s">
        <v>433</v>
      </c>
      <c r="H26" s="106"/>
      <c r="I26" s="111"/>
      <c r="J26" s="107" t="s">
        <v>20</v>
      </c>
      <c r="K26" s="108" t="s">
        <v>23</v>
      </c>
      <c r="L26" s="100" t="s">
        <v>21</v>
      </c>
      <c r="M26" s="423"/>
      <c r="N26" s="423"/>
      <c r="O26" s="423"/>
      <c r="P26" s="423"/>
      <c r="Q26" s="423"/>
      <c r="R26" s="423"/>
      <c r="S26" s="423"/>
      <c r="T26" s="423"/>
      <c r="U26" s="423"/>
      <c r="V26" s="423"/>
      <c r="W26" s="423"/>
      <c r="X26" s="135" t="str">
        <f t="shared" si="0"/>
        <v/>
      </c>
      <c r="Y26" s="438"/>
      <c r="Z26" s="400">
        <v>60.5</v>
      </c>
      <c r="AA26" s="540">
        <f>+X28</f>
        <v>0.5</v>
      </c>
      <c r="AB26" s="135">
        <f t="shared" si="1"/>
        <v>0</v>
      </c>
      <c r="AC26" s="136">
        <f>+AD26+AB26</f>
        <v>11679</v>
      </c>
      <c r="AD26" s="136">
        <v>11679</v>
      </c>
      <c r="AE26" s="438"/>
      <c r="AF26" s="438"/>
      <c r="AG26" s="109"/>
      <c r="AH26" s="110"/>
      <c r="AI26" s="157"/>
      <c r="AJ26" s="161">
        <f t="shared" si="2"/>
        <v>0</v>
      </c>
      <c r="AK26" s="167">
        <f t="shared" si="3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51" s="98" customFormat="1" ht="62.25" customHeight="1" x14ac:dyDescent="0.9">
      <c r="B27" s="132">
        <v>5</v>
      </c>
      <c r="C27" s="371">
        <f>+B27</f>
        <v>5</v>
      </c>
      <c r="D27" s="372" t="s">
        <v>432</v>
      </c>
      <c r="E27" s="111"/>
      <c r="F27" s="111" t="s">
        <v>35</v>
      </c>
      <c r="G27" s="578" t="str">
        <f>+G26</f>
        <v>2843-709-800</v>
      </c>
      <c r="H27" s="450">
        <v>11700</v>
      </c>
      <c r="I27" s="111" t="s">
        <v>251</v>
      </c>
      <c r="J27" s="113">
        <v>50</v>
      </c>
      <c r="K27" s="130">
        <v>58</v>
      </c>
      <c r="L27" s="101" t="s">
        <v>17</v>
      </c>
      <c r="M27" s="214">
        <v>65</v>
      </c>
      <c r="N27" s="214">
        <v>65</v>
      </c>
      <c r="O27" s="214">
        <v>44</v>
      </c>
      <c r="P27" s="214">
        <v>65</v>
      </c>
      <c r="Q27" s="214">
        <v>65</v>
      </c>
      <c r="R27" s="214">
        <v>58</v>
      </c>
      <c r="S27" s="214">
        <v>58</v>
      </c>
      <c r="T27" s="214">
        <v>44</v>
      </c>
      <c r="U27" s="214">
        <v>44</v>
      </c>
      <c r="V27" s="214"/>
      <c r="W27" s="424"/>
      <c r="X27" s="123">
        <f>+IF(H28="s",0,IF(AB27=0,0,IF(COUNTA(M27:W27)=AN29+0.25,SUMIF($C:$C,B27,$AB:$AB)/AN29,SUMIF($C:$C,B27,$AB:$AB)/(COUNTA(M27:W27)))))</f>
        <v>58.057142857142857</v>
      </c>
      <c r="Y27" s="439"/>
      <c r="Z27" s="400"/>
      <c r="AA27" s="541"/>
      <c r="AB27" s="134">
        <f t="shared" si="1"/>
        <v>508</v>
      </c>
      <c r="AC27" s="137">
        <f>+AB27+AD27</f>
        <v>11398</v>
      </c>
      <c r="AD27" s="137">
        <v>10890</v>
      </c>
      <c r="AE27" s="439">
        <v>0</v>
      </c>
      <c r="AF27" s="439">
        <f>+AE27+Y27</f>
        <v>0</v>
      </c>
      <c r="AG27" s="140">
        <f>+AC26-AC27</f>
        <v>281</v>
      </c>
      <c r="AH27" s="131">
        <f>+IF(((AB28+(AB29/2))*60)=0,"",(J27*AB27)/((AB28+(AB29/2))*60))</f>
        <v>0.9043168669336894</v>
      </c>
      <c r="AI27" s="161">
        <f>+AB28+AB29/2</f>
        <v>468.125</v>
      </c>
      <c r="AJ27" s="161">
        <f t="shared" si="2"/>
        <v>468.07499999999999</v>
      </c>
      <c r="AK27" s="167">
        <f t="shared" si="3"/>
        <v>28087.5</v>
      </c>
      <c r="AL27" s="167">
        <f>+AB27*J27</f>
        <v>25400</v>
      </c>
      <c r="AM27" s="230">
        <f>+AB27-(AI27*K27/K29)</f>
        <v>5.1990740740740762</v>
      </c>
      <c r="AN27" s="339"/>
      <c r="AO27" s="340"/>
      <c r="AP27" s="167"/>
      <c r="AQ27" s="167"/>
      <c r="AR27" s="167"/>
      <c r="AS27" s="167"/>
      <c r="AT27" s="433" t="str">
        <f t="shared" ref="AT27" si="13">IF(AU27=0,"",AW27-(($AT$3*K27)+($AT$3*K27)*AU27)+AB26)</f>
        <v/>
      </c>
      <c r="AU27" s="393"/>
      <c r="AW27" s="356">
        <v>789</v>
      </c>
      <c r="AY27" s="356">
        <f t="shared" ref="AY27" si="14">+AW27-AG27</f>
        <v>508</v>
      </c>
    </row>
    <row r="28" spans="2:5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78" t="str">
        <f>+G26</f>
        <v>2843-709-800</v>
      </c>
      <c r="H28" s="376" t="s">
        <v>182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53</v>
      </c>
      <c r="N28" s="425">
        <v>53</v>
      </c>
      <c r="O28" s="425">
        <v>53</v>
      </c>
      <c r="P28" s="425">
        <v>53</v>
      </c>
      <c r="Q28" s="425">
        <v>53</v>
      </c>
      <c r="R28" s="425">
        <v>53</v>
      </c>
      <c r="S28" s="425">
        <v>53</v>
      </c>
      <c r="T28" s="425">
        <v>53</v>
      </c>
      <c r="U28" s="425">
        <v>53</v>
      </c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0.5</v>
      </c>
      <c r="Y28" s="440"/>
      <c r="Z28" s="400"/>
      <c r="AA28" s="541"/>
      <c r="AB28" s="443">
        <f t="shared" si="6"/>
        <v>463.75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167">
        <f t="shared" si="3"/>
        <v>0</v>
      </c>
      <c r="AL28" s="167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463.75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5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79" t="str">
        <f>+G26</f>
        <v>2843-709-800</v>
      </c>
      <c r="H29" s="454">
        <f>+AC26-H27</f>
        <v>-21</v>
      </c>
      <c r="I29" s="397" t="s">
        <v>182</v>
      </c>
      <c r="J29" s="165">
        <f>+IF(K29="","",IF(K27=0,"",(K27*J27)/(K29*60)))</f>
        <v>0.89506172839506171</v>
      </c>
      <c r="K29" s="118">
        <v>54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>
        <v>1</v>
      </c>
      <c r="V29" s="428"/>
      <c r="W29" s="428"/>
      <c r="X29" s="173"/>
      <c r="Y29" s="441"/>
      <c r="Z29" s="401">
        <v>36.370689655172413</v>
      </c>
      <c r="AA29" s="401">
        <v>36.370689655172413</v>
      </c>
      <c r="AB29" s="444">
        <f t="shared" si="6"/>
        <v>8.75</v>
      </c>
      <c r="AC29" s="139"/>
      <c r="AD29" s="139"/>
      <c r="AE29" s="441"/>
      <c r="AF29" s="441"/>
      <c r="AG29" s="119">
        <f>+IFERROR(AG27/(K27*$AT$3),"")</f>
        <v>0.55369458128078819</v>
      </c>
      <c r="AH29" s="162"/>
      <c r="AI29" s="161"/>
      <c r="AJ29" s="161">
        <f t="shared" si="2"/>
        <v>0</v>
      </c>
      <c r="AK29" s="167">
        <f t="shared" si="3"/>
        <v>0</v>
      </c>
      <c r="AL29" s="167"/>
      <c r="AM29" s="230"/>
      <c r="AN29" s="342">
        <f>+$AM$4</f>
        <v>8.75</v>
      </c>
      <c r="AO29" s="340">
        <f>+IF(AN29=7.75,SUM(M29:S29)+T29*0.75,IF(AN29=8,SUM(M29:T29),IF(AN29=7.25,SUM(M29:S29)+T29*0.25,IF(AN29=8.25,SUM(M29:T29)+U29*0.25,IF(AN29=8.75,SUM(M29:T29)+U29*0.75,0)))))</f>
        <v>8.75</v>
      </c>
      <c r="AP29" s="167">
        <f>+AO29-AB29</f>
        <v>0</v>
      </c>
      <c r="AQ29" s="167"/>
      <c r="AR29" s="167"/>
      <c r="AS29" s="167"/>
      <c r="AT29" s="435"/>
      <c r="AU29" s="393"/>
      <c r="AW29" s="356">
        <v>1.554679802955665</v>
      </c>
      <c r="AY29" s="356"/>
    </row>
    <row r="30" spans="2:51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77" t="s">
        <v>472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50</v>
      </c>
      <c r="N30" s="423">
        <v>50</v>
      </c>
      <c r="O30" s="423">
        <v>50</v>
      </c>
      <c r="P30" s="423">
        <v>50</v>
      </c>
      <c r="Q30" s="423">
        <v>50</v>
      </c>
      <c r="R30" s="423"/>
      <c r="S30" s="423"/>
      <c r="T30" s="423">
        <v>50</v>
      </c>
      <c r="U30" s="423">
        <v>50</v>
      </c>
      <c r="V30" s="423"/>
      <c r="W30" s="423"/>
      <c r="X30" s="135">
        <f t="shared" ref="X30" si="15">IF(AT31="","",SUM(M30:W30)-(-(AT31-SUM(M30:W30))/$AT$3)*SUM($M$2:$W$2))</f>
        <v>350</v>
      </c>
      <c r="Y30" s="438"/>
      <c r="Z30" s="400">
        <v>0</v>
      </c>
      <c r="AA30" s="540">
        <f>+X32</f>
        <v>0</v>
      </c>
      <c r="AB30" s="135">
        <f t="shared" ref="AB30:AB31" si="16">+SUM(L30:W30)</f>
        <v>350</v>
      </c>
      <c r="AC30" s="136">
        <f>+AD30+AB30</f>
        <v>650</v>
      </c>
      <c r="AD30" s="136">
        <v>300</v>
      </c>
      <c r="AE30" s="438"/>
      <c r="AF30" s="438"/>
      <c r="AG30" s="109"/>
      <c r="AH30" s="110"/>
      <c r="AI30" s="157"/>
      <c r="AJ30" s="161">
        <f t="shared" si="2"/>
        <v>0</v>
      </c>
      <c r="AK30" s="167">
        <f t="shared" si="3"/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51" s="98" customFormat="1" ht="62.25" customHeight="1" x14ac:dyDescent="0.9">
      <c r="B31" s="132">
        <v>5</v>
      </c>
      <c r="C31" s="371">
        <f>+B31</f>
        <v>5</v>
      </c>
      <c r="D31" s="372" t="s">
        <v>473</v>
      </c>
      <c r="E31" s="111"/>
      <c r="F31" s="111" t="s">
        <v>35</v>
      </c>
      <c r="G31" s="578" t="str">
        <f>+G30</f>
        <v>7674-739-401</v>
      </c>
      <c r="H31" s="450">
        <v>8333</v>
      </c>
      <c r="I31" s="111" t="s">
        <v>251</v>
      </c>
      <c r="J31" s="113"/>
      <c r="K31" s="130">
        <v>75</v>
      </c>
      <c r="L31" s="101" t="s">
        <v>17</v>
      </c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424"/>
      <c r="X31" s="123">
        <f>+IF(H32="s",0,IF(AB31=0,0,IF(COUNTA(M31:W31)=AN33+0.25,SUMIF($C:$C,B31,$AB:$AB)/AN33,SUMIF($C:$C,B31,$AB:$AB)/(COUNTA(M31:W31)))))</f>
        <v>0</v>
      </c>
      <c r="Y31" s="439"/>
      <c r="Z31" s="400"/>
      <c r="AA31" s="541"/>
      <c r="AB31" s="134">
        <f t="shared" si="16"/>
        <v>0</v>
      </c>
      <c r="AC31" s="137">
        <f>+AB31+AD31</f>
        <v>0</v>
      </c>
      <c r="AD31" s="137">
        <v>0</v>
      </c>
      <c r="AE31" s="439">
        <v>0</v>
      </c>
      <c r="AF31" s="439">
        <f>+AE31+Y31</f>
        <v>0</v>
      </c>
      <c r="AG31" s="140">
        <f>+AC30-AC31</f>
        <v>650</v>
      </c>
      <c r="AH31" s="131" t="str">
        <f>+IF(((AB32+(AB33/2))*60)=0,"",(J31*AB31)/((AB32+(AB33/2))*60))</f>
        <v/>
      </c>
      <c r="AI31" s="161">
        <f>+AB32+AB33/2</f>
        <v>0</v>
      </c>
      <c r="AJ31" s="161">
        <f t="shared" si="2"/>
        <v>0</v>
      </c>
      <c r="AK31" s="167">
        <f t="shared" si="3"/>
        <v>0</v>
      </c>
      <c r="AL31" s="167">
        <f>+AB31*J31</f>
        <v>0</v>
      </c>
      <c r="AM31" s="230" t="e">
        <f>+AB31-(AI31*K31/K33)</f>
        <v>#DIV/0!</v>
      </c>
      <c r="AN31" s="339"/>
      <c r="AO31" s="340"/>
      <c r="AP31" s="167"/>
      <c r="AQ31" s="167"/>
      <c r="AR31" s="167"/>
      <c r="AS31" s="167"/>
      <c r="AT31" s="433">
        <f>-350+AB30</f>
        <v>0</v>
      </c>
      <c r="AU31" s="393">
        <v>1.5</v>
      </c>
      <c r="AW31" s="356">
        <v>300</v>
      </c>
      <c r="AY31" s="356">
        <f t="shared" ref="AY31" si="17">+AW31-AG31</f>
        <v>-350</v>
      </c>
    </row>
    <row r="32" spans="2:51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78" t="str">
        <f>+G30</f>
        <v>7674-739-401</v>
      </c>
      <c r="H32" s="376" t="s">
        <v>400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/>
      <c r="N32" s="425"/>
      <c r="O32" s="425"/>
      <c r="P32" s="425"/>
      <c r="Q32" s="425"/>
      <c r="R32" s="425"/>
      <c r="S32" s="425"/>
      <c r="T32" s="425"/>
      <c r="U32" s="425"/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0</v>
      </c>
      <c r="Y32" s="440"/>
      <c r="Z32" s="400"/>
      <c r="AA32" s="541"/>
      <c r="AB32" s="443">
        <f t="shared" ref="AB32:AB33" si="18">+SUM(M32:W32)-U32*0.25</f>
        <v>0</v>
      </c>
      <c r="AC32" s="341"/>
      <c r="AD32" s="341"/>
      <c r="AE32" s="440"/>
      <c r="AF32" s="440"/>
      <c r="AG32" s="115"/>
      <c r="AH32" s="116"/>
      <c r="AI32" s="157"/>
      <c r="AJ32" s="161">
        <f t="shared" si="2"/>
        <v>0</v>
      </c>
      <c r="AK32" s="167">
        <f t="shared" si="3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0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79" t="str">
        <f>+G30</f>
        <v>7674-739-401</v>
      </c>
      <c r="H33" s="454">
        <f>+AC30-H31</f>
        <v>-7683</v>
      </c>
      <c r="I33" s="397" t="s">
        <v>182</v>
      </c>
      <c r="J33" s="165" t="str">
        <f>+IF(K33="","",IF(K31=0,"",(K31*J31)/(K33*60)))</f>
        <v/>
      </c>
      <c r="K33" s="118"/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>
        <v>0</v>
      </c>
      <c r="AA33" s="168">
        <f>+IF(COUNTA(M31:W31)=$AM$4+0.25,$AM$4-(AB31/K31),COUNTA(M31:W31)-(AB31/K31))+Z33</f>
        <v>0</v>
      </c>
      <c r="AB33" s="444">
        <f t="shared" si="18"/>
        <v>0</v>
      </c>
      <c r="AC33" s="139"/>
      <c r="AD33" s="139"/>
      <c r="AE33" s="441"/>
      <c r="AF33" s="441"/>
      <c r="AG33" s="119">
        <f>+IFERROR(AG31/(K31*$AT$3),"")</f>
        <v>0.99047619047619051</v>
      </c>
      <c r="AH33" s="162"/>
      <c r="AI33" s="161"/>
      <c r="AJ33" s="161">
        <f t="shared" si="2"/>
        <v>0</v>
      </c>
      <c r="AK33" s="167">
        <f t="shared" si="3"/>
        <v>0</v>
      </c>
      <c r="AL33" s="167"/>
      <c r="AM33" s="230"/>
      <c r="AN33" s="342">
        <f>+$AM$4</f>
        <v>8.75</v>
      </c>
      <c r="AO33" s="340">
        <f>+IF(AN33=7.75,SUM(M33:S33)+T33*0.75,IF(AN33=8,SUM(M33:T33),IF(AN33=7.25,SUM(M33:S33)+T33*0.25,IF(AN33=8.25,SUM(M33:T33)+U33*0.25,IF(AN33=8.75,SUM(M33:T33)+U33*0.75,0)))))</f>
        <v>0</v>
      </c>
      <c r="AP33" s="167">
        <f>+AO33-AB33</f>
        <v>0</v>
      </c>
      <c r="AQ33" s="167"/>
      <c r="AR33" s="167"/>
      <c r="AS33" s="167"/>
      <c r="AT33" s="435"/>
      <c r="AU33" s="393"/>
      <c r="AW33" s="356">
        <v>0.45714285714285713</v>
      </c>
      <c r="AY33" s="356"/>
    </row>
    <row r="34" spans="2:61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77" t="s">
        <v>444</v>
      </c>
      <c r="H34" s="106"/>
      <c r="I34" s="111"/>
      <c r="J34" s="107" t="s">
        <v>20</v>
      </c>
      <c r="K34" s="108">
        <v>0</v>
      </c>
      <c r="L34" s="100" t="s">
        <v>21</v>
      </c>
      <c r="M34" s="423">
        <v>50</v>
      </c>
      <c r="N34" s="423">
        <v>50</v>
      </c>
      <c r="O34" s="423">
        <v>50</v>
      </c>
      <c r="P34" s="423">
        <v>50</v>
      </c>
      <c r="Q34" s="423">
        <v>50</v>
      </c>
      <c r="R34" s="423"/>
      <c r="S34" s="423">
        <v>50</v>
      </c>
      <c r="T34" s="423">
        <v>50</v>
      </c>
      <c r="U34" s="423">
        <v>50</v>
      </c>
      <c r="V34" s="423"/>
      <c r="W34" s="423"/>
      <c r="X34" s="135">
        <f t="shared" si="0"/>
        <v>400</v>
      </c>
      <c r="Y34" s="438"/>
      <c r="Z34" s="400">
        <v>-46.25</v>
      </c>
      <c r="AA34" s="540">
        <f>+X36</f>
        <v>-76.25</v>
      </c>
      <c r="AB34" s="135">
        <f t="shared" si="1"/>
        <v>400</v>
      </c>
      <c r="AC34" s="136">
        <f>+AD34+AB34</f>
        <v>6401</v>
      </c>
      <c r="AD34" s="136">
        <v>6001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0.9">
      <c r="B35" s="132">
        <v>6</v>
      </c>
      <c r="C35" s="371">
        <f>+B35</f>
        <v>6</v>
      </c>
      <c r="D35" s="372" t="s">
        <v>443</v>
      </c>
      <c r="E35" s="111"/>
      <c r="F35" s="111" t="s">
        <v>35</v>
      </c>
      <c r="G35" s="578" t="str">
        <f t="shared" ref="G35:G37" si="19">+G34</f>
        <v>2917-496-712</v>
      </c>
      <c r="H35" s="450">
        <v>7000</v>
      </c>
      <c r="I35" s="111" t="s">
        <v>33</v>
      </c>
      <c r="J35" s="113"/>
      <c r="K35" s="130">
        <v>55</v>
      </c>
      <c r="L35" s="101" t="s">
        <v>17</v>
      </c>
      <c r="M35" s="214">
        <v>30</v>
      </c>
      <c r="N35" s="214">
        <v>40</v>
      </c>
      <c r="O35" s="214">
        <v>20</v>
      </c>
      <c r="P35" s="214">
        <v>40</v>
      </c>
      <c r="Q35" s="214">
        <v>60</v>
      </c>
      <c r="R35" s="214">
        <v>60</v>
      </c>
      <c r="S35" s="214">
        <v>60</v>
      </c>
      <c r="T35" s="214">
        <v>60</v>
      </c>
      <c r="U35" s="214">
        <v>35</v>
      </c>
      <c r="V35" s="424"/>
      <c r="W35" s="424"/>
      <c r="X35" s="123">
        <f>+IF(H36="s",0,IF(AB35=0,0,IF(COUNTA(M35:W35)=AN37+0.25,SUMIF($C:$C,B35,$AB:$AB)/AN37,SUMIF($C:$C,B35,$AB:$AB)/(COUNTA(M35:W35)))))</f>
        <v>46.285714285714285</v>
      </c>
      <c r="Y35" s="439"/>
      <c r="Z35" s="400"/>
      <c r="AA35" s="541"/>
      <c r="AB35" s="134">
        <f t="shared" si="1"/>
        <v>405</v>
      </c>
      <c r="AC35" s="137">
        <f>+AB35+AD35</f>
        <v>5016</v>
      </c>
      <c r="AD35" s="137">
        <v>4611</v>
      </c>
      <c r="AE35" s="439"/>
      <c r="AF35" s="439">
        <f>+AE35+Y35</f>
        <v>0</v>
      </c>
      <c r="AG35" s="140">
        <f>+AC34-AC35</f>
        <v>1385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>
        <f>-400+AB34</f>
        <v>0</v>
      </c>
      <c r="AU35" s="393">
        <v>1.5</v>
      </c>
      <c r="AW35" s="356">
        <v>1390</v>
      </c>
      <c r="AY35" s="356">
        <f t="shared" ref="AY35" si="20">+AW35-AG35</f>
        <v>5</v>
      </c>
    </row>
    <row r="36" spans="2:61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78" t="str">
        <f t="shared" si="19"/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-76.25</v>
      </c>
      <c r="Y36" s="440"/>
      <c r="Z36" s="400"/>
      <c r="AA36" s="541"/>
      <c r="AB36" s="443">
        <f t="shared" si="6"/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79" t="str">
        <f t="shared" si="19"/>
        <v>2917-496-712</v>
      </c>
      <c r="H37" s="454">
        <f>+AC34-H35</f>
        <v>-599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68.483636363636364</v>
      </c>
      <c r="AA37" s="401">
        <v>68.483636363636364</v>
      </c>
      <c r="AB37" s="444">
        <f t="shared" si="6"/>
        <v>0</v>
      </c>
      <c r="AC37" s="139"/>
      <c r="AD37" s="139"/>
      <c r="AE37" s="441"/>
      <c r="AF37" s="441"/>
      <c r="AG37" s="119">
        <f>+IFERROR(AG35/(K35*$AT$3),"")</f>
        <v>2.877922077922078</v>
      </c>
      <c r="AH37" s="162"/>
      <c r="AI37" s="161"/>
      <c r="AJ37" s="161"/>
      <c r="AK37" s="167"/>
      <c r="AL37" s="167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2.8883116883116884</v>
      </c>
      <c r="AY37" s="356"/>
    </row>
    <row r="38" spans="2:61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77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/>
      <c r="P38" s="423">
        <v>50</v>
      </c>
      <c r="Q38" s="423">
        <v>50</v>
      </c>
      <c r="R38" s="423"/>
      <c r="S38" s="423">
        <v>50</v>
      </c>
      <c r="T38" s="423">
        <v>100</v>
      </c>
      <c r="U38" s="423">
        <v>50</v>
      </c>
      <c r="V38" s="423"/>
      <c r="W38" s="423"/>
      <c r="X38" s="135">
        <f t="shared" si="0"/>
        <v>400</v>
      </c>
      <c r="Y38" s="438"/>
      <c r="Z38" s="400">
        <v>-208</v>
      </c>
      <c r="AA38" s="540">
        <f>+X40</f>
        <v>-27</v>
      </c>
      <c r="AB38" s="135">
        <f t="shared" si="1"/>
        <v>400</v>
      </c>
      <c r="AC38" s="136">
        <f>+AD38+AB38</f>
        <v>4956</v>
      </c>
      <c r="AD38" s="136">
        <v>4556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78" t="str">
        <f>+G38</f>
        <v>2917-496-712</v>
      </c>
      <c r="H39" s="450">
        <v>7000</v>
      </c>
      <c r="I39" s="111" t="s">
        <v>33</v>
      </c>
      <c r="J39" s="113">
        <v>42.84</v>
      </c>
      <c r="K39" s="130">
        <v>60</v>
      </c>
      <c r="L39" s="101" t="s">
        <v>17</v>
      </c>
      <c r="M39" s="214">
        <v>45</v>
      </c>
      <c r="N39" s="214">
        <v>60</v>
      </c>
      <c r="O39" s="214">
        <v>60</v>
      </c>
      <c r="P39" s="214">
        <v>60</v>
      </c>
      <c r="Q39" s="214">
        <v>60</v>
      </c>
      <c r="R39" s="214">
        <v>60</v>
      </c>
      <c r="S39" s="214">
        <v>60</v>
      </c>
      <c r="T39" s="214">
        <v>50</v>
      </c>
      <c r="U39" s="214">
        <v>43</v>
      </c>
      <c r="V39" s="424"/>
      <c r="W39" s="424"/>
      <c r="X39" s="123">
        <f>+IF(H40="s",0,IF(AB39=0,0,IF(COUNTA(M39:W39)=AN41+0.25,SUMIF($C:$C,B39,$AB:$AB)/AN41,SUMIF($C:$C,B39,$AB:$AB)/(COUNTA(M39:W39)))))</f>
        <v>56.914285714285711</v>
      </c>
      <c r="Y39" s="439"/>
      <c r="Z39" s="400"/>
      <c r="AA39" s="541"/>
      <c r="AB39" s="134">
        <f t="shared" si="1"/>
        <v>498</v>
      </c>
      <c r="AC39" s="137">
        <f>+AB39+AD39</f>
        <v>4190</v>
      </c>
      <c r="AD39" s="137">
        <v>3692</v>
      </c>
      <c r="AE39" s="439">
        <v>0</v>
      </c>
      <c r="AF39" s="439">
        <f>+AE39+Y39</f>
        <v>0</v>
      </c>
      <c r="AG39" s="140">
        <f>+AC38-AC39</f>
        <v>766</v>
      </c>
      <c r="AH39" s="131">
        <f>+IF(((AB40+(AB41/2))*60)=0,"",(J39*AB39)/((AB40+(AB41/2))*60))</f>
        <v>0.83787216494845373</v>
      </c>
      <c r="AI39" s="161">
        <f>+AB40+AB41/2</f>
        <v>424.375</v>
      </c>
      <c r="AJ39" s="161">
        <f t="shared" si="2"/>
        <v>424.22500000000002</v>
      </c>
      <c r="AK39" s="167">
        <f t="shared" si="3"/>
        <v>25462.5</v>
      </c>
      <c r="AL39" s="167">
        <f>+AB39*J39</f>
        <v>21334.320000000003</v>
      </c>
      <c r="AM39" s="230">
        <f>+AB39-(AI39*K39/K41)</f>
        <v>-21.64285714285711</v>
      </c>
      <c r="AN39" s="339"/>
      <c r="AO39" s="340"/>
      <c r="AP39" s="167"/>
      <c r="AQ39" s="167"/>
      <c r="AR39" s="167"/>
      <c r="AS39" s="167"/>
      <c r="AT39" s="433">
        <f t="shared" ref="AT39" si="21">IF(AU39=0,"",AW39-(($AT$3*K39)+($AT$3*K39)*AU39)+AB38)</f>
        <v>-48.5</v>
      </c>
      <c r="AU39" s="393">
        <v>1.5</v>
      </c>
      <c r="AW39" s="356">
        <v>864</v>
      </c>
      <c r="AY39" s="356">
        <f t="shared" ref="AY39" si="22">+AW39-AG39</f>
        <v>98</v>
      </c>
      <c r="AZ39" s="581" t="s">
        <v>482</v>
      </c>
      <c r="BA39" s="581"/>
      <c r="BB39" s="581"/>
      <c r="BC39" s="581"/>
      <c r="BD39" s="581"/>
      <c r="BE39" s="581"/>
      <c r="BF39" s="581"/>
      <c r="BG39" s="581"/>
      <c r="BH39" s="581"/>
      <c r="BI39" s="581"/>
    </row>
    <row r="40" spans="2:61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78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48</v>
      </c>
      <c r="N40" s="425">
        <v>48</v>
      </c>
      <c r="O40" s="425">
        <v>48</v>
      </c>
      <c r="P40" s="425">
        <v>48</v>
      </c>
      <c r="Q40" s="425">
        <v>48</v>
      </c>
      <c r="R40" s="425">
        <v>48</v>
      </c>
      <c r="S40" s="425">
        <v>48</v>
      </c>
      <c r="T40" s="425">
        <v>48</v>
      </c>
      <c r="U40" s="425">
        <v>48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-27</v>
      </c>
      <c r="Y40" s="440"/>
      <c r="Z40" s="400"/>
      <c r="AA40" s="541"/>
      <c r="AB40" s="443">
        <f t="shared" si="6"/>
        <v>420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420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79" t="str">
        <f>+G38</f>
        <v>2917-496-712</v>
      </c>
      <c r="H41" s="454">
        <f>+AC38-H39</f>
        <v>-2044</v>
      </c>
      <c r="I41" s="397"/>
      <c r="J41" s="165">
        <v>0.91625000000000001</v>
      </c>
      <c r="K41" s="118">
        <v>49</v>
      </c>
      <c r="L41" s="104" t="s">
        <v>19</v>
      </c>
      <c r="M41" s="427">
        <v>1</v>
      </c>
      <c r="N41" s="427">
        <v>1</v>
      </c>
      <c r="O41" s="427">
        <v>1</v>
      </c>
      <c r="P41" s="427">
        <v>1</v>
      </c>
      <c r="Q41" s="427">
        <v>1</v>
      </c>
      <c r="R41" s="427">
        <v>1</v>
      </c>
      <c r="S41" s="427">
        <v>1</v>
      </c>
      <c r="T41" s="427">
        <v>1</v>
      </c>
      <c r="U41" s="427">
        <v>1</v>
      </c>
      <c r="V41" s="428"/>
      <c r="W41" s="428"/>
      <c r="X41" s="173"/>
      <c r="Y41" s="441"/>
      <c r="Z41" s="401">
        <v>31.813333333333333</v>
      </c>
      <c r="AA41" s="168">
        <f>+IF(COUNTA(M39:W39)=$AM$4+0.25,$AM$4-(AB39/K39),COUNTA(M39:W39)-(AB39/K39))+Z41</f>
        <v>32.263333333333335</v>
      </c>
      <c r="AB41" s="444">
        <f t="shared" si="6"/>
        <v>8.75</v>
      </c>
      <c r="AC41" s="139"/>
      <c r="AD41" s="139"/>
      <c r="AE41" s="441"/>
      <c r="AF41" s="441"/>
      <c r="AG41" s="119">
        <f>+IFERROR(AG39/(K39*$AT$3),"")</f>
        <v>1.4590476190476191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8.75</v>
      </c>
      <c r="AP41" s="167">
        <f>+AO41-AB41</f>
        <v>0</v>
      </c>
      <c r="AQ41" s="167"/>
      <c r="AR41" s="167"/>
      <c r="AS41" s="167"/>
      <c r="AT41" s="435"/>
      <c r="AU41" s="393"/>
      <c r="AW41" s="356">
        <v>1.6457142857142857</v>
      </c>
      <c r="AY41" s="356"/>
    </row>
    <row r="42" spans="2:61" s="98" customFormat="1" ht="62.25" customHeight="1" thickTop="1" x14ac:dyDescent="0.9">
      <c r="B42" s="97">
        <f>+B43</f>
        <v>8</v>
      </c>
      <c r="C42" s="370"/>
      <c r="D42" s="106"/>
      <c r="E42" s="106"/>
      <c r="F42" s="106"/>
      <c r="G42" s="582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100</v>
      </c>
      <c r="N42" s="423">
        <v>50</v>
      </c>
      <c r="O42" s="423">
        <v>100</v>
      </c>
      <c r="P42" s="423">
        <v>50</v>
      </c>
      <c r="Q42" s="423">
        <v>50</v>
      </c>
      <c r="R42" s="423"/>
      <c r="S42" s="423"/>
      <c r="T42" s="423">
        <v>50</v>
      </c>
      <c r="U42" s="423"/>
      <c r="V42" s="423"/>
      <c r="W42" s="423"/>
      <c r="X42" s="135">
        <f t="shared" si="0"/>
        <v>400</v>
      </c>
      <c r="Y42" s="438"/>
      <c r="Z42" s="400">
        <v>0.5</v>
      </c>
      <c r="AA42" s="540">
        <f>+X44</f>
        <v>9.5</v>
      </c>
      <c r="AB42" s="135">
        <f t="shared" si="1"/>
        <v>400</v>
      </c>
      <c r="AC42" s="136">
        <f>+AD42+AB42</f>
        <v>7335</v>
      </c>
      <c r="AD42" s="136">
        <v>6935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8</v>
      </c>
      <c r="C43" s="371">
        <f>+B43</f>
        <v>8</v>
      </c>
      <c r="D43" s="372" t="s">
        <v>441</v>
      </c>
      <c r="E43" s="111"/>
      <c r="F43" s="111" t="s">
        <v>35</v>
      </c>
      <c r="G43" s="582" t="str">
        <f>+G42</f>
        <v>7741-793-052</v>
      </c>
      <c r="H43" s="450">
        <v>11500</v>
      </c>
      <c r="I43" s="111" t="s">
        <v>33</v>
      </c>
      <c r="J43" s="113">
        <v>55.14</v>
      </c>
      <c r="K43" s="130">
        <v>46</v>
      </c>
      <c r="L43" s="101" t="s">
        <v>17</v>
      </c>
      <c r="M43" s="214">
        <v>46</v>
      </c>
      <c r="N43" s="214">
        <v>46</v>
      </c>
      <c r="O43" s="214">
        <v>46</v>
      </c>
      <c r="P43" s="214">
        <v>46</v>
      </c>
      <c r="Q43" s="214">
        <v>46</v>
      </c>
      <c r="R43" s="214">
        <v>46</v>
      </c>
      <c r="S43" s="214">
        <v>46</v>
      </c>
      <c r="T43" s="214">
        <v>55</v>
      </c>
      <c r="U43" s="214">
        <v>35</v>
      </c>
      <c r="V43" s="424"/>
      <c r="W43" s="424"/>
      <c r="X43" s="123">
        <f>+IF(H44="s",0,IF(AB43=0,0,IF(COUNTA(M43:W43)=AN45+0.25,SUMIF($C:$C,B43,$AB:$AB)/AN45,SUMIF($C:$C,B43,$AB:$AB)/(COUNTA(M43:W43)))))</f>
        <v>47.085714285714289</v>
      </c>
      <c r="Y43" s="439"/>
      <c r="Z43" s="400"/>
      <c r="AA43" s="541"/>
      <c r="AB43" s="134">
        <f t="shared" si="1"/>
        <v>412</v>
      </c>
      <c r="AC43" s="137">
        <f>+AB43+AD43</f>
        <v>6479</v>
      </c>
      <c r="AD43" s="137">
        <v>6067</v>
      </c>
      <c r="AE43" s="439">
        <v>0</v>
      </c>
      <c r="AF43" s="439">
        <f>+AE43+Y43</f>
        <v>0</v>
      </c>
      <c r="AG43" s="140">
        <f>+AC42-AC43</f>
        <v>856</v>
      </c>
      <c r="AH43" s="131">
        <f>+IF(((AB44+(AB45/2))*60)=0,"",(J43*AB43)/((AB44+(AB45/2))*60))</f>
        <v>0.89220147275405004</v>
      </c>
      <c r="AI43" s="161">
        <f>+AB44+AB45/2</f>
        <v>424.375</v>
      </c>
      <c r="AJ43" s="161">
        <f t="shared" si="2"/>
        <v>424.22500000000002</v>
      </c>
      <c r="AK43" s="167">
        <f t="shared" si="3"/>
        <v>25462.5</v>
      </c>
      <c r="AL43" s="167">
        <f>+AB43*J43</f>
        <v>22717.68</v>
      </c>
      <c r="AM43" s="230">
        <f>+AB43-(AI43*K43/K45)</f>
        <v>13.607142857142833</v>
      </c>
      <c r="AN43" s="339"/>
      <c r="AO43" s="340"/>
      <c r="AP43" s="167"/>
      <c r="AQ43" s="167"/>
      <c r="AR43" s="167"/>
      <c r="AS43" s="167"/>
      <c r="AT43" s="433">
        <f t="shared" ref="AT43" si="23">IF(AU43=0,"",AW43-(($AT$3*K43)+($AT$3*K43)*AU43)+AB42)</f>
        <v>60.5</v>
      </c>
      <c r="AU43" s="393">
        <v>2</v>
      </c>
      <c r="AW43" s="356">
        <v>868</v>
      </c>
      <c r="AY43" s="356">
        <f t="shared" ref="AY43" si="24">+AW43-AG43</f>
        <v>12</v>
      </c>
    </row>
    <row r="44" spans="2:61" s="98" customFormat="1" ht="62.25" customHeight="1" x14ac:dyDescent="0.9">
      <c r="B44" s="125">
        <f>+B43</f>
        <v>8</v>
      </c>
      <c r="C44" s="373"/>
      <c r="D44" s="184"/>
      <c r="E44" s="111">
        <f>+B43</f>
        <v>8</v>
      </c>
      <c r="F44" s="374"/>
      <c r="G44" s="582" t="str">
        <f>+G43</f>
        <v>7741-793-052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48</v>
      </c>
      <c r="N44" s="425">
        <v>48</v>
      </c>
      <c r="O44" s="425">
        <v>48</v>
      </c>
      <c r="P44" s="425">
        <v>48</v>
      </c>
      <c r="Q44" s="425">
        <v>48</v>
      </c>
      <c r="R44" s="425">
        <v>48</v>
      </c>
      <c r="S44" s="425">
        <v>48</v>
      </c>
      <c r="T44" s="425">
        <v>48</v>
      </c>
      <c r="U44" s="425">
        <v>48</v>
      </c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9.5</v>
      </c>
      <c r="Y44" s="440"/>
      <c r="Z44" s="400"/>
      <c r="AA44" s="541"/>
      <c r="AB44" s="443">
        <f t="shared" si="6"/>
        <v>420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420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8</v>
      </c>
      <c r="C45" s="375"/>
      <c r="D45" s="174" t="s">
        <v>373</v>
      </c>
      <c r="E45" s="175">
        <f>+E44+100</f>
        <v>108</v>
      </c>
      <c r="F45" s="175"/>
      <c r="G45" s="582" t="str">
        <f>+G44</f>
        <v>7741-793-052</v>
      </c>
      <c r="H45" s="454">
        <f>+AC42-H43</f>
        <v>-4165</v>
      </c>
      <c r="I45" s="397"/>
      <c r="J45" s="165">
        <f>+IF(K45="","",IF(K43=0,"",(K43*J43)/(K45*60)))</f>
        <v>0.86273469387755108</v>
      </c>
      <c r="K45" s="118">
        <v>49</v>
      </c>
      <c r="L45" s="104" t="s">
        <v>19</v>
      </c>
      <c r="M45" s="427">
        <v>1</v>
      </c>
      <c r="N45" s="427">
        <v>1</v>
      </c>
      <c r="O45" s="427">
        <v>1</v>
      </c>
      <c r="P45" s="427">
        <v>1</v>
      </c>
      <c r="Q45" s="427">
        <v>1</v>
      </c>
      <c r="R45" s="427">
        <v>1</v>
      </c>
      <c r="S45" s="427">
        <v>1</v>
      </c>
      <c r="T45" s="427">
        <v>1</v>
      </c>
      <c r="U45" s="427">
        <v>1</v>
      </c>
      <c r="V45" s="428"/>
      <c r="W45" s="428"/>
      <c r="X45" s="173"/>
      <c r="Y45" s="441"/>
      <c r="Z45" s="401">
        <v>24.299090909090911</v>
      </c>
      <c r="AA45" s="169">
        <v>24.299090909090911</v>
      </c>
      <c r="AB45" s="444">
        <f t="shared" si="6"/>
        <v>8.75</v>
      </c>
      <c r="AC45" s="139"/>
      <c r="AD45" s="139"/>
      <c r="AE45" s="441"/>
      <c r="AF45" s="441"/>
      <c r="AG45" s="119">
        <f>+IFERROR(AG43/(K43*$AT$3),"")</f>
        <v>2.1267080745341613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8.75</v>
      </c>
      <c r="AP45" s="167">
        <f>+AO45-AB45</f>
        <v>0</v>
      </c>
      <c r="AQ45" s="167"/>
      <c r="AR45" s="167"/>
      <c r="AS45" s="167"/>
      <c r="AT45" s="435"/>
      <c r="AU45" s="393"/>
      <c r="AW45" s="356">
        <v>2.1565217391304348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77" t="s">
        <v>474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60</v>
      </c>
      <c r="N46" s="423">
        <v>60</v>
      </c>
      <c r="O46" s="423">
        <v>50</v>
      </c>
      <c r="P46" s="423">
        <v>50</v>
      </c>
      <c r="Q46" s="423">
        <v>60</v>
      </c>
      <c r="R46" s="423"/>
      <c r="S46" s="423">
        <v>52</v>
      </c>
      <c r="T46" s="423"/>
      <c r="U46" s="423"/>
      <c r="V46" s="423"/>
      <c r="W46" s="423"/>
      <c r="X46" s="135">
        <f t="shared" si="0"/>
        <v>332</v>
      </c>
      <c r="Y46" s="438"/>
      <c r="Z46" s="400">
        <v>-568.75</v>
      </c>
      <c r="AA46" s="540">
        <f>+X48</f>
        <v>-538.75</v>
      </c>
      <c r="AB46" s="135">
        <f t="shared" si="1"/>
        <v>332</v>
      </c>
      <c r="AC46" s="136">
        <f>+AD46+AB46</f>
        <v>1073</v>
      </c>
      <c r="AD46" s="136">
        <v>741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475</v>
      </c>
      <c r="E47" s="111"/>
      <c r="F47" s="111" t="s">
        <v>447</v>
      </c>
      <c r="G47" s="578" t="s">
        <v>474</v>
      </c>
      <c r="H47" s="450">
        <v>3360</v>
      </c>
      <c r="I47" s="111" t="s">
        <v>476</v>
      </c>
      <c r="J47" s="113">
        <v>38.65</v>
      </c>
      <c r="K47" s="130">
        <v>65</v>
      </c>
      <c r="L47" s="101" t="s">
        <v>17</v>
      </c>
      <c r="M47" s="214">
        <v>0</v>
      </c>
      <c r="N47" s="214">
        <v>0</v>
      </c>
      <c r="O47" s="214">
        <v>0</v>
      </c>
      <c r="P47" s="214">
        <v>0</v>
      </c>
      <c r="Q47" s="214">
        <v>0</v>
      </c>
      <c r="R47" s="214">
        <v>0</v>
      </c>
      <c r="S47" s="214">
        <v>10</v>
      </c>
      <c r="T47" s="214">
        <v>10</v>
      </c>
      <c r="U47" s="214">
        <v>10</v>
      </c>
      <c r="V47" s="214"/>
      <c r="W47" s="424"/>
      <c r="X47" s="123">
        <f>+IF(H48="s",0,IF(AB47=0,0,IF(COUNTA(M47:W47)=AN49+0.25,SUMIF($C:$C,B47,$AB:$AB)/AN49,SUMIF($C:$C,B47,$AB:$AB)/(COUNTA(M47:W47)))))</f>
        <v>3.4285714285714284</v>
      </c>
      <c r="Y47" s="439"/>
      <c r="Z47" s="400"/>
      <c r="AA47" s="541"/>
      <c r="AB47" s="134">
        <f t="shared" si="1"/>
        <v>30</v>
      </c>
      <c r="AC47" s="137">
        <f>+AB47+AD47</f>
        <v>30</v>
      </c>
      <c r="AD47" s="137">
        <v>0</v>
      </c>
      <c r="AE47" s="439">
        <v>0</v>
      </c>
      <c r="AF47" s="439">
        <f>+AE47+Y47</f>
        <v>0</v>
      </c>
      <c r="AG47" s="140">
        <f>+AC46-AC47</f>
        <v>1043</v>
      </c>
      <c r="AH47" s="131">
        <f>+IF(((AB48+(AB49/2))*60)=0,"",(J47*AB47)/((AB48+(AB49/2))*60))</f>
        <v>4.6011904761904761E-2</v>
      </c>
      <c r="AI47" s="161">
        <f>+AB48+AB49/2</f>
        <v>420</v>
      </c>
      <c r="AJ47" s="161">
        <f t="shared" si="2"/>
        <v>420</v>
      </c>
      <c r="AK47" s="167">
        <f t="shared" si="3"/>
        <v>25200</v>
      </c>
      <c r="AL47" s="167">
        <f>+AB47*J47</f>
        <v>1159.5</v>
      </c>
      <c r="AM47" s="230">
        <f>+AB47-(AI47*K47/K49)</f>
        <v>-538.75</v>
      </c>
      <c r="AN47" s="339"/>
      <c r="AO47" s="340"/>
      <c r="AP47" s="167"/>
      <c r="AQ47" s="167"/>
      <c r="AR47" s="167"/>
      <c r="AS47" s="167"/>
      <c r="AT47" s="433">
        <f>-300+AB46</f>
        <v>32</v>
      </c>
      <c r="AU47" s="393">
        <v>1.5</v>
      </c>
      <c r="AW47" s="356">
        <v>741</v>
      </c>
      <c r="AY47" s="356">
        <f t="shared" ref="AY47" si="25">+AW47-AG47</f>
        <v>-302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78" t="s">
        <v>474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48</v>
      </c>
      <c r="N48" s="425">
        <v>48</v>
      </c>
      <c r="O48" s="425">
        <v>48</v>
      </c>
      <c r="P48" s="425">
        <v>48</v>
      </c>
      <c r="Q48" s="425">
        <v>48</v>
      </c>
      <c r="R48" s="425">
        <v>48</v>
      </c>
      <c r="S48" s="425">
        <v>48</v>
      </c>
      <c r="T48" s="425">
        <v>48</v>
      </c>
      <c r="U48" s="425">
        <v>48</v>
      </c>
      <c r="V48" s="425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-538.75</v>
      </c>
      <c r="Y48" s="440"/>
      <c r="Z48" s="400"/>
      <c r="AA48" s="541"/>
      <c r="AB48" s="443">
        <f t="shared" si="6"/>
        <v>420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420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79" t="s">
        <v>474</v>
      </c>
      <c r="H49" s="454">
        <f>+AC46-H47</f>
        <v>-2287</v>
      </c>
      <c r="I49" s="397"/>
      <c r="J49" s="165">
        <f>+IF(K49="","",IF(K47=0,"",(K47*J47)/(K49*60)))</f>
        <v>0.87230902777777775</v>
      </c>
      <c r="K49" s="118">
        <v>48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20.1831</v>
      </c>
      <c r="AA49" s="168">
        <f>+IF(COUNTA(M47:W47)=$AM$4+0.25,$AM$4-(AB47/K47),COUNTA(M47:W47)-(AB47/K47))+Z49</f>
        <v>28.471561538461536</v>
      </c>
      <c r="AB49" s="444">
        <f t="shared" si="6"/>
        <v>0</v>
      </c>
      <c r="AC49" s="139"/>
      <c r="AD49" s="139"/>
      <c r="AE49" s="441"/>
      <c r="AF49" s="441"/>
      <c r="AG49" s="119">
        <f>+IFERROR(AG47/(K47*$AT$3),"")</f>
        <v>1.8338461538461539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1.3028571428571429</v>
      </c>
      <c r="AY49" s="356"/>
    </row>
    <row r="50" spans="2:51" s="98" customFormat="1" ht="62.25" customHeight="1" thickTop="1" x14ac:dyDescent="0.9">
      <c r="B50" s="97">
        <f>+B51</f>
        <v>12</v>
      </c>
      <c r="C50" s="370"/>
      <c r="D50" s="106"/>
      <c r="E50" s="106"/>
      <c r="F50" s="106"/>
      <c r="G50" s="577" t="s">
        <v>433</v>
      </c>
      <c r="H50" s="106"/>
      <c r="I50" s="111"/>
      <c r="J50" s="107" t="s">
        <v>20</v>
      </c>
      <c r="K50" s="108" t="s">
        <v>23</v>
      </c>
      <c r="L50" s="100" t="s">
        <v>21</v>
      </c>
      <c r="M50" s="423">
        <v>150</v>
      </c>
      <c r="N50" s="423">
        <v>75</v>
      </c>
      <c r="O50" s="423">
        <v>150</v>
      </c>
      <c r="P50" s="423"/>
      <c r="Q50" s="423"/>
      <c r="R50" s="423"/>
      <c r="S50" s="423"/>
      <c r="T50" s="423"/>
      <c r="U50" s="423"/>
      <c r="V50" s="423"/>
      <c r="W50" s="423"/>
      <c r="X50" s="135">
        <f t="shared" si="0"/>
        <v>375</v>
      </c>
      <c r="Y50" s="438"/>
      <c r="Z50" s="400">
        <v>0.5</v>
      </c>
      <c r="AA50" s="540">
        <f>+X52</f>
        <v>0.5</v>
      </c>
      <c r="AB50" s="135">
        <f t="shared" si="1"/>
        <v>375</v>
      </c>
      <c r="AC50" s="136">
        <f>+AD50+AB50</f>
        <v>11176</v>
      </c>
      <c r="AD50" s="136">
        <v>10801</v>
      </c>
      <c r="AE50" s="438"/>
      <c r="AF50" s="438"/>
      <c r="AG50" s="109"/>
      <c r="AH50" s="110"/>
      <c r="AI50" s="157"/>
      <c r="AJ50" s="161">
        <f t="shared" si="2"/>
        <v>0</v>
      </c>
      <c r="AK50" s="167">
        <f t="shared" si="3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12</v>
      </c>
      <c r="C51" s="371">
        <f>+B51</f>
        <v>12</v>
      </c>
      <c r="D51" s="372" t="s">
        <v>432</v>
      </c>
      <c r="E51" s="111"/>
      <c r="F51" s="111" t="s">
        <v>35</v>
      </c>
      <c r="G51" s="578" t="str">
        <f>+G50</f>
        <v>2843-709-800</v>
      </c>
      <c r="H51" s="450">
        <v>11080</v>
      </c>
      <c r="I51" s="111" t="s">
        <v>251</v>
      </c>
      <c r="J51" s="113">
        <v>50</v>
      </c>
      <c r="K51" s="130">
        <v>58</v>
      </c>
      <c r="L51" s="101" t="s">
        <v>17</v>
      </c>
      <c r="M51" s="214">
        <v>58</v>
      </c>
      <c r="N51" s="214">
        <v>58</v>
      </c>
      <c r="O51" s="214">
        <v>58</v>
      </c>
      <c r="P51" s="214">
        <v>58</v>
      </c>
      <c r="Q51" s="214">
        <v>58</v>
      </c>
      <c r="R51" s="214">
        <v>58</v>
      </c>
      <c r="S51" s="214">
        <v>58</v>
      </c>
      <c r="T51" s="214">
        <v>58</v>
      </c>
      <c r="U51" s="214">
        <v>44</v>
      </c>
      <c r="V51" s="214"/>
      <c r="W51" s="424"/>
      <c r="X51" s="123">
        <f>+IF(H52="s",0,IF(AB51=0,0,IF(COUNTA(M51:W51)=AN53+0.25,SUMIF($C:$C,B51,$AB:$AB)/AN53,SUMIF($C:$C,B51,$AB:$AB)/(COUNTA(M51:W51)))))</f>
        <v>58.057142857142857</v>
      </c>
      <c r="Y51" s="439"/>
      <c r="Z51" s="400"/>
      <c r="AA51" s="541"/>
      <c r="AB51" s="134">
        <f t="shared" si="1"/>
        <v>508</v>
      </c>
      <c r="AC51" s="137">
        <f>+AB51+AD51</f>
        <v>10257</v>
      </c>
      <c r="AD51" s="137">
        <v>9749</v>
      </c>
      <c r="AE51" s="439">
        <v>0</v>
      </c>
      <c r="AF51" s="439">
        <f>+AE51+Y51</f>
        <v>0</v>
      </c>
      <c r="AG51" s="140">
        <f>+AC50-AC51</f>
        <v>919</v>
      </c>
      <c r="AH51" s="131">
        <f>+IF(((AB52+(AB53/2))*60)=0,"",(J51*AB51)/((AB52+(AB53/2))*60))</f>
        <v>0.97739297739297737</v>
      </c>
      <c r="AI51" s="161">
        <f>+AB52+AB53/2</f>
        <v>433.125</v>
      </c>
      <c r="AJ51" s="161">
        <f t="shared" si="2"/>
        <v>433.07499999999999</v>
      </c>
      <c r="AK51" s="167">
        <f t="shared" si="3"/>
        <v>25987.5</v>
      </c>
      <c r="AL51" s="167">
        <f>+AB51*J51</f>
        <v>25400</v>
      </c>
      <c r="AM51" s="230">
        <f>+AB51-(AI51*K51/K53)</f>
        <v>42.791666666666686</v>
      </c>
      <c r="AN51" s="339"/>
      <c r="AO51" s="340"/>
      <c r="AP51" s="167"/>
      <c r="AQ51" s="167"/>
      <c r="AR51" s="167"/>
      <c r="AS51" s="167"/>
      <c r="AT51" s="433">
        <f t="shared" ref="AT51" si="26">IF(AU51=0,"",AW51-(($AT$3*K51)+($AT$3*K51)*AU51)+AB50)</f>
        <v>6</v>
      </c>
      <c r="AU51" s="393">
        <v>1.8</v>
      </c>
      <c r="AW51" s="356">
        <v>1052</v>
      </c>
      <c r="AY51" s="356">
        <f t="shared" ref="AY51" si="27">+AW51-AG51</f>
        <v>133</v>
      </c>
    </row>
    <row r="52" spans="2:51" s="98" customFormat="1" ht="62.25" customHeight="1" x14ac:dyDescent="0.9">
      <c r="B52" s="125">
        <f>B51</f>
        <v>12</v>
      </c>
      <c r="C52" s="373"/>
      <c r="D52" s="184"/>
      <c r="E52" s="111">
        <f>+B51</f>
        <v>12</v>
      </c>
      <c r="F52" s="377"/>
      <c r="G52" s="578" t="str">
        <f>+G50</f>
        <v>2843-709-800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>
        <v>1</v>
      </c>
      <c r="K52" s="114" t="s">
        <v>22</v>
      </c>
      <c r="L52" s="102" t="s">
        <v>18</v>
      </c>
      <c r="M52" s="425">
        <v>49</v>
      </c>
      <c r="N52" s="425">
        <v>49</v>
      </c>
      <c r="O52" s="425">
        <v>49</v>
      </c>
      <c r="P52" s="425">
        <v>49</v>
      </c>
      <c r="Q52" s="425">
        <v>49</v>
      </c>
      <c r="R52" s="425">
        <v>49</v>
      </c>
      <c r="S52" s="425">
        <v>49</v>
      </c>
      <c r="T52" s="425">
        <v>49</v>
      </c>
      <c r="U52" s="425">
        <v>49</v>
      </c>
      <c r="V52" s="426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0.5</v>
      </c>
      <c r="Y52" s="440"/>
      <c r="Z52" s="400"/>
      <c r="AA52" s="541"/>
      <c r="AB52" s="443">
        <f t="shared" si="6"/>
        <v>428.75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167">
        <f t="shared" si="3"/>
        <v>0</v>
      </c>
      <c r="AL52" s="167"/>
      <c r="AM52" s="230"/>
      <c r="AN52" s="339"/>
      <c r="AO52" s="340">
        <f>+IF(AN53=7.75,SUM(M52:S52)+T52*0.75,IF(AN53=8,SUM(M52:T52),IF(AN53=7.25,SUM(M52:S52)+T52*0.25,IF(AN53=8.25,SUM(M52:T52)+U52*0.25,IF(AN53=8.75,SUM(M52:T52)+U52*0.75,0)))))</f>
        <v>428.75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B51</f>
        <v>12</v>
      </c>
      <c r="C53" s="375"/>
      <c r="D53" s="174" t="s">
        <v>366</v>
      </c>
      <c r="E53" s="175">
        <f>+E52+100</f>
        <v>112</v>
      </c>
      <c r="F53" s="175"/>
      <c r="G53" s="579" t="str">
        <f>+G50</f>
        <v>2843-709-800</v>
      </c>
      <c r="H53" s="454">
        <f>+AC50-H51</f>
        <v>96</v>
      </c>
      <c r="I53" s="397" t="s">
        <v>182</v>
      </c>
      <c r="J53" s="165">
        <f>+IF(K53="","",IF(K51=0,"",(K51*J51)/(K53*60)))</f>
        <v>0.89506172839506171</v>
      </c>
      <c r="K53" s="118">
        <v>54</v>
      </c>
      <c r="L53" s="104" t="s">
        <v>19</v>
      </c>
      <c r="M53" s="427">
        <v>1</v>
      </c>
      <c r="N53" s="427">
        <v>1</v>
      </c>
      <c r="O53" s="427">
        <v>1</v>
      </c>
      <c r="P53" s="427">
        <v>1</v>
      </c>
      <c r="Q53" s="427">
        <v>1</v>
      </c>
      <c r="R53" s="427">
        <v>1</v>
      </c>
      <c r="S53" s="427">
        <v>1</v>
      </c>
      <c r="T53" s="427">
        <v>1</v>
      </c>
      <c r="U53" s="427">
        <v>1</v>
      </c>
      <c r="V53" s="428"/>
      <c r="W53" s="428"/>
      <c r="X53" s="173"/>
      <c r="Y53" s="441"/>
      <c r="Z53" s="401">
        <v>20.200641379310341</v>
      </c>
      <c r="AA53" s="401">
        <v>20.200641379310341</v>
      </c>
      <c r="AB53" s="444">
        <f t="shared" si="6"/>
        <v>8.75</v>
      </c>
      <c r="AC53" s="139"/>
      <c r="AD53" s="139"/>
      <c r="AE53" s="441"/>
      <c r="AF53" s="441"/>
      <c r="AG53" s="119">
        <f>+IFERROR(AG51/(K51*$AT$3),"")</f>
        <v>1.8108374384236454</v>
      </c>
      <c r="AH53" s="162"/>
      <c r="AI53" s="161"/>
      <c r="AJ53" s="161">
        <f t="shared" si="2"/>
        <v>0</v>
      </c>
      <c r="AK53" s="167">
        <f t="shared" si="3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8.75</v>
      </c>
      <c r="AP53" s="167">
        <f>+AO53-AB53</f>
        <v>0</v>
      </c>
      <c r="AQ53" s="167"/>
      <c r="AR53" s="167"/>
      <c r="AS53" s="167"/>
      <c r="AT53" s="435"/>
      <c r="AU53" s="393"/>
      <c r="AW53" s="356">
        <v>2.0729064039408867</v>
      </c>
      <c r="AY53" s="356"/>
    </row>
    <row r="54" spans="2:51" s="98" customFormat="1" ht="62.25" customHeight="1" thickTop="1" x14ac:dyDescent="0.9">
      <c r="B54" s="97">
        <f>+B55</f>
        <v>13</v>
      </c>
      <c r="C54" s="370"/>
      <c r="D54" s="106"/>
      <c r="E54" s="106"/>
      <c r="F54" s="106"/>
      <c r="G54" s="577" t="s">
        <v>442</v>
      </c>
      <c r="H54" s="106"/>
      <c r="I54" s="106"/>
      <c r="J54" s="107" t="s">
        <v>20</v>
      </c>
      <c r="K54" s="108" t="s">
        <v>23</v>
      </c>
      <c r="L54" s="100" t="s">
        <v>21</v>
      </c>
      <c r="M54" s="423">
        <v>50</v>
      </c>
      <c r="N54" s="423">
        <v>50</v>
      </c>
      <c r="O54" s="423">
        <v>50</v>
      </c>
      <c r="P54" s="423"/>
      <c r="Q54" s="423"/>
      <c r="R54" s="423"/>
      <c r="S54" s="423"/>
      <c r="T54" s="423"/>
      <c r="U54" s="423"/>
      <c r="V54" s="423"/>
      <c r="W54" s="423"/>
      <c r="X54" s="135">
        <f t="shared" si="0"/>
        <v>150</v>
      </c>
      <c r="Y54" s="438"/>
      <c r="Z54" s="400">
        <v>-12.25</v>
      </c>
      <c r="AA54" s="540">
        <f>+X56</f>
        <v>0.75</v>
      </c>
      <c r="AB54" s="135">
        <f t="shared" si="1"/>
        <v>150</v>
      </c>
      <c r="AC54" s="136">
        <f>+AD54+AB54</f>
        <v>2200</v>
      </c>
      <c r="AD54" s="136">
        <v>2050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13</v>
      </c>
      <c r="C55" s="371">
        <f>+B55</f>
        <v>13</v>
      </c>
      <c r="D55" s="372" t="s">
        <v>441</v>
      </c>
      <c r="E55" s="111"/>
      <c r="F55" s="111" t="s">
        <v>35</v>
      </c>
      <c r="G55" s="578" t="str">
        <f>+G54</f>
        <v>7741-793-052</v>
      </c>
      <c r="H55" s="450">
        <v>8500</v>
      </c>
      <c r="I55" s="111" t="s">
        <v>33</v>
      </c>
      <c r="J55" s="113">
        <v>55.14</v>
      </c>
      <c r="K55" s="130">
        <v>43</v>
      </c>
      <c r="L55" s="101" t="s">
        <v>17</v>
      </c>
      <c r="M55" s="214">
        <v>43</v>
      </c>
      <c r="N55" s="214">
        <v>43</v>
      </c>
      <c r="O55" s="214">
        <v>43</v>
      </c>
      <c r="P55" s="214">
        <v>43</v>
      </c>
      <c r="Q55" s="214">
        <v>43</v>
      </c>
      <c r="R55" s="214">
        <v>43</v>
      </c>
      <c r="S55" s="214">
        <v>43</v>
      </c>
      <c r="T55" s="214">
        <v>43</v>
      </c>
      <c r="U55" s="214">
        <v>33</v>
      </c>
      <c r="V55" s="214"/>
      <c r="W55" s="424"/>
      <c r="X55" s="123">
        <f>+IF(H56="s",0,IF(AB55=0,0,IF(COUNTA(M55:W55)=AN57+0.25,SUMIF($C:$C,B55,$AB:$AB)/AN57,SUMIF($C:$C,B55,$AB:$AB)/(COUNTA(M55:W55)))))</f>
        <v>43.085714285714289</v>
      </c>
      <c r="Y55" s="439"/>
      <c r="Z55" s="400"/>
      <c r="AA55" s="541"/>
      <c r="AB55" s="134">
        <f t="shared" si="1"/>
        <v>377</v>
      </c>
      <c r="AC55" s="137">
        <f>+AB55+AD55</f>
        <v>1292</v>
      </c>
      <c r="AD55" s="137">
        <v>915</v>
      </c>
      <c r="AE55" s="439"/>
      <c r="AF55" s="439">
        <f>+AE55+Y55</f>
        <v>0</v>
      </c>
      <c r="AG55" s="140">
        <f>+AC54-AC55</f>
        <v>908</v>
      </c>
      <c r="AH55" s="131">
        <f>+IF(((AB56+(AB57/2))*60)=0,"",(J55*AB55)/((AB56+(AB57/2))*60))</f>
        <v>0.85864436183395287</v>
      </c>
      <c r="AI55" s="161">
        <f>+AB56+AB57/2</f>
        <v>403.5</v>
      </c>
      <c r="AJ55" s="161">
        <f t="shared" si="2"/>
        <v>403.3</v>
      </c>
      <c r="AK55" s="167">
        <f t="shared" si="3"/>
        <v>24210</v>
      </c>
      <c r="AL55" s="167">
        <f>+AB55*J55</f>
        <v>20787.78</v>
      </c>
      <c r="AM55" s="230">
        <f>+AB55-(AI55*K55/K57)</f>
        <v>-0.18478260869562746</v>
      </c>
      <c r="AN55" s="339"/>
      <c r="AO55" s="340"/>
      <c r="AP55" s="167"/>
      <c r="AQ55" s="167"/>
      <c r="AR55" s="167"/>
      <c r="AS55" s="167"/>
      <c r="AT55" s="433">
        <f>-150+AB54</f>
        <v>0</v>
      </c>
      <c r="AU55" s="393">
        <v>1.5</v>
      </c>
      <c r="AW55" s="356">
        <v>1135</v>
      </c>
      <c r="AY55" s="356">
        <f t="shared" ref="AY55" si="28">+AW55-AG55</f>
        <v>227</v>
      </c>
    </row>
    <row r="56" spans="2:51" s="98" customFormat="1" ht="62.25" customHeight="1" x14ac:dyDescent="0.9">
      <c r="B56" s="125">
        <f>+B55</f>
        <v>13</v>
      </c>
      <c r="C56" s="373"/>
      <c r="D56" s="184"/>
      <c r="E56" s="111">
        <f>+B55</f>
        <v>13</v>
      </c>
      <c r="F56" s="374"/>
      <c r="G56" s="578" t="str">
        <f>+G55</f>
        <v>7741-793-052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47</v>
      </c>
      <c r="N56" s="425">
        <v>46</v>
      </c>
      <c r="O56" s="425">
        <v>46</v>
      </c>
      <c r="P56" s="425">
        <v>46</v>
      </c>
      <c r="Q56" s="425">
        <v>46</v>
      </c>
      <c r="R56" s="425">
        <v>46</v>
      </c>
      <c r="S56" s="425">
        <v>46</v>
      </c>
      <c r="T56" s="425">
        <v>46</v>
      </c>
      <c r="U56" s="425">
        <v>46</v>
      </c>
      <c r="V56" s="425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0.75</v>
      </c>
      <c r="Y56" s="440"/>
      <c r="Z56" s="400"/>
      <c r="AA56" s="541"/>
      <c r="AB56" s="443">
        <f t="shared" si="6"/>
        <v>403.5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167"/>
      <c r="AN56" s="339"/>
      <c r="AO56" s="340">
        <f>+IF(AN57=7.75,SUM(M56:S56)+T56*0.75,IF(AN57=8,SUM(M56:T56),IF(AN57=7.25,SUM(M56:S56)+T56*0.25,IF(AN57=8.25,SUM(M56:T56)+U56*0.25,IF(AN57=8.75,SUM(M56:T56)+U56*0.75,0)))))</f>
        <v>403.5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+B55</f>
        <v>13</v>
      </c>
      <c r="C57" s="375"/>
      <c r="D57" s="174" t="s">
        <v>468</v>
      </c>
      <c r="E57" s="175">
        <f>+E56+100</f>
        <v>113</v>
      </c>
      <c r="F57" s="175"/>
      <c r="G57" s="579" t="str">
        <f>+G56</f>
        <v>7741-793-052</v>
      </c>
      <c r="H57" s="454">
        <f>+AC54-H55</f>
        <v>-6300</v>
      </c>
      <c r="I57" s="397"/>
      <c r="J57" s="165">
        <f>+IF(K57="","",IF(K55=0,"",(K55*J55)/(K57*60)))</f>
        <v>0.85906521739130437</v>
      </c>
      <c r="K57" s="429">
        <v>46</v>
      </c>
      <c r="L57" s="104" t="s">
        <v>19</v>
      </c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8"/>
      <c r="X57" s="173"/>
      <c r="Y57" s="441"/>
      <c r="Z57" s="448">
        <v>31.370831243680485</v>
      </c>
      <c r="AA57" s="168">
        <f>+IF(COUNTA(M55:W55)=$AM$4+0.25,$AM$4-(AB55/K55),COUNTA(M55:W55)-(AB55/K55))+Z57</f>
        <v>31.353389383215369</v>
      </c>
      <c r="AB57" s="444">
        <f t="shared" si="6"/>
        <v>0</v>
      </c>
      <c r="AC57" s="139"/>
      <c r="AD57" s="139"/>
      <c r="AE57" s="441"/>
      <c r="AF57" s="441"/>
      <c r="AG57" s="119">
        <f>+IFERROR(AG55/(K55*$AT$3),"")</f>
        <v>2.4132890365448505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0</v>
      </c>
      <c r="AP57" s="167">
        <f>+AO57-AB57</f>
        <v>0</v>
      </c>
      <c r="AQ57" s="167"/>
      <c r="AR57" s="167"/>
      <c r="AS57" s="167"/>
      <c r="AT57" s="435"/>
      <c r="AU57" s="393"/>
      <c r="AW57" s="356">
        <v>3.0166112956810633</v>
      </c>
      <c r="AY57" s="356"/>
    </row>
    <row r="58" spans="2:51" s="98" customFormat="1" ht="58.5" customHeight="1" thickTop="1" x14ac:dyDescent="0.9">
      <c r="B58" s="127">
        <f>+B59</f>
        <v>14</v>
      </c>
      <c r="C58" s="370"/>
      <c r="D58" s="106"/>
      <c r="E58" s="106"/>
      <c r="F58" s="106"/>
      <c r="G58" s="577" t="s">
        <v>456</v>
      </c>
      <c r="H58" s="106"/>
      <c r="I58" s="106"/>
      <c r="J58" s="107" t="s">
        <v>20</v>
      </c>
      <c r="K58" s="108" t="s">
        <v>23</v>
      </c>
      <c r="L58" s="100" t="s">
        <v>21</v>
      </c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135" t="str">
        <f t="shared" si="0"/>
        <v/>
      </c>
      <c r="Y58" s="438"/>
      <c r="Z58" s="400">
        <v>42</v>
      </c>
      <c r="AA58" s="540">
        <f>+X60</f>
        <v>42</v>
      </c>
      <c r="AB58" s="135">
        <f t="shared" si="1"/>
        <v>0</v>
      </c>
      <c r="AC58" s="136">
        <f>+AD58+AB58</f>
        <v>6295</v>
      </c>
      <c r="AD58" s="136">
        <v>6295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58.5" customHeight="1" x14ac:dyDescent="0.9">
      <c r="B59" s="133">
        <v>14</v>
      </c>
      <c r="C59" s="371">
        <f>+B59</f>
        <v>14</v>
      </c>
      <c r="D59" s="372" t="s">
        <v>461</v>
      </c>
      <c r="E59" s="111"/>
      <c r="F59" s="111" t="s">
        <v>447</v>
      </c>
      <c r="G59" s="578" t="str">
        <f t="shared" ref="G59:G65" si="29">+G58</f>
        <v>DOT KEYHOLE</v>
      </c>
      <c r="H59" s="450">
        <v>6262</v>
      </c>
      <c r="I59" s="111" t="s">
        <v>252</v>
      </c>
      <c r="J59" s="113">
        <v>36.090000000000003</v>
      </c>
      <c r="K59" s="130">
        <v>80</v>
      </c>
      <c r="L59" s="101" t="s">
        <v>17</v>
      </c>
      <c r="M59" s="214">
        <v>85</v>
      </c>
      <c r="N59" s="214">
        <v>85</v>
      </c>
      <c r="O59" s="214">
        <v>85</v>
      </c>
      <c r="P59" s="214">
        <v>85</v>
      </c>
      <c r="Q59" s="214">
        <v>85</v>
      </c>
      <c r="R59" s="214">
        <v>85</v>
      </c>
      <c r="S59" s="214">
        <v>85</v>
      </c>
      <c r="T59" s="214">
        <v>85</v>
      </c>
      <c r="U59" s="214">
        <v>62</v>
      </c>
      <c r="V59" s="214"/>
      <c r="W59" s="214"/>
      <c r="X59" s="123">
        <f>+IF(H60="s",0,IF(AB59=0,0,IF(COUNTA(M59:W59)=AN61+0.25,SUMIF($C:$C,B59,$AB:$AB)/AN61,SUMIF($C:$C,B59,$AB:$AB)/(COUNTA(M59:W59)))))</f>
        <v>84.8</v>
      </c>
      <c r="Y59" s="439"/>
      <c r="Z59" s="400"/>
      <c r="AA59" s="541"/>
      <c r="AB59" s="134">
        <f t="shared" si="1"/>
        <v>742</v>
      </c>
      <c r="AC59" s="137">
        <f>+AB59+AD59</f>
        <v>5965</v>
      </c>
      <c r="AD59" s="137">
        <v>5223</v>
      </c>
      <c r="AE59" s="439"/>
      <c r="AF59" s="439">
        <f>+AE59+Y59</f>
        <v>0</v>
      </c>
      <c r="AG59" s="140">
        <f>+AC58-AC59</f>
        <v>330</v>
      </c>
      <c r="AH59" s="131">
        <f>+IF(((AB60+(AB61/2))*60)=0,"",(J59*AB59)/((AB60+(AB61/2))*60))</f>
        <v>0.90027836611195167</v>
      </c>
      <c r="AI59" s="161">
        <f>+AB60+AB61/2</f>
        <v>495.75</v>
      </c>
      <c r="AJ59" s="161">
        <f t="shared" si="2"/>
        <v>495.45</v>
      </c>
      <c r="AK59" s="167">
        <f t="shared" si="3"/>
        <v>29745</v>
      </c>
      <c r="AL59" s="167">
        <f>+AB59*J59</f>
        <v>26778.780000000002</v>
      </c>
      <c r="AM59" s="230">
        <f>+AB59-(AI59*K59/K61)</f>
        <v>33.785714285714334</v>
      </c>
      <c r="AN59" s="339"/>
      <c r="AO59" s="340"/>
      <c r="AP59" s="167"/>
      <c r="AQ59" s="167"/>
      <c r="AR59" s="167"/>
      <c r="AS59" s="167"/>
      <c r="AT59" s="433" t="str">
        <f t="shared" ref="AT59" si="30">IF(AU59=0,"",AW59-(($AT$3*K59)+($AT$3*K59)*AU59)+AB58)</f>
        <v/>
      </c>
      <c r="AU59" s="393"/>
      <c r="AW59" s="356">
        <v>1072</v>
      </c>
      <c r="AY59" s="356">
        <f t="shared" ref="AY59" si="31">+AW59-AG59</f>
        <v>742</v>
      </c>
    </row>
    <row r="60" spans="2:51" s="98" customFormat="1" ht="58.5" customHeight="1" x14ac:dyDescent="0.9">
      <c r="B60" s="125">
        <f>+B59</f>
        <v>14</v>
      </c>
      <c r="C60" s="373"/>
      <c r="D60" s="184"/>
      <c r="E60" s="111">
        <f>+B59</f>
        <v>14</v>
      </c>
      <c r="F60" s="374"/>
      <c r="G60" s="578" t="str">
        <f t="shared" si="29"/>
        <v>DOT KEYHOLE</v>
      </c>
      <c r="H60" s="376"/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59</v>
      </c>
      <c r="N60" s="425">
        <v>59</v>
      </c>
      <c r="O60" s="425">
        <v>59</v>
      </c>
      <c r="P60" s="425">
        <v>58</v>
      </c>
      <c r="Q60" s="425">
        <v>57</v>
      </c>
      <c r="R60" s="425">
        <v>56</v>
      </c>
      <c r="S60" s="425">
        <v>53</v>
      </c>
      <c r="T60" s="425">
        <v>53</v>
      </c>
      <c r="U60" s="425">
        <v>53</v>
      </c>
      <c r="V60" s="425"/>
      <c r="W60" s="425"/>
      <c r="X60" s="160">
        <f>+IF(H60="l",IF(COUNTA(M59:W59)=AN61+0.25,AB59-K59*AN61,AB59-(K59*COUNTA(M59:W59))),IF(H60="s",0,IF(COUNTA(M59:W59)=AN61+0.25,SUMIF($C:$C,B59,$AB:$AB)-K59*AN61,SUMIF($C:$C,B59,$AB:$AB)-K59*COUNTA(M59:W59))))</f>
        <v>42</v>
      </c>
      <c r="Y60" s="440"/>
      <c r="Z60" s="400"/>
      <c r="AA60" s="541"/>
      <c r="AB60" s="443">
        <f t="shared" si="6"/>
        <v>493.75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493.75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58.5" customHeight="1" thickBot="1" x14ac:dyDescent="0.95">
      <c r="B61" s="126">
        <f>+B59</f>
        <v>14</v>
      </c>
      <c r="C61" s="375"/>
      <c r="D61" s="174" t="s">
        <v>112</v>
      </c>
      <c r="E61" s="175">
        <f>+E60+100</f>
        <v>114</v>
      </c>
      <c r="F61" s="175"/>
      <c r="G61" s="579" t="str">
        <f t="shared" si="29"/>
        <v>DOT KEYHOLE</v>
      </c>
      <c r="H61" s="454">
        <f>+AC58-H59</f>
        <v>33</v>
      </c>
      <c r="I61" s="397"/>
      <c r="J61" s="165">
        <f>+IF(K61="","",IF(K59=0,"",(K59*J59)/(K61*60)))</f>
        <v>0.85928571428571432</v>
      </c>
      <c r="K61" s="118">
        <v>56</v>
      </c>
      <c r="L61" s="104" t="s">
        <v>19</v>
      </c>
      <c r="M61" s="427">
        <v>1</v>
      </c>
      <c r="N61" s="427">
        <v>1</v>
      </c>
      <c r="O61" s="427">
        <v>1</v>
      </c>
      <c r="P61" s="427">
        <v>1</v>
      </c>
      <c r="Q61" s="427"/>
      <c r="R61" s="427"/>
      <c r="S61" s="427"/>
      <c r="T61" s="427"/>
      <c r="U61" s="427"/>
      <c r="V61" s="427"/>
      <c r="W61" s="427"/>
      <c r="X61" s="173"/>
      <c r="Y61" s="441"/>
      <c r="Z61" s="401">
        <v>41.23</v>
      </c>
      <c r="AA61" s="401">
        <v>41.23</v>
      </c>
      <c r="AB61" s="444">
        <f t="shared" si="6"/>
        <v>4</v>
      </c>
      <c r="AC61" s="139"/>
      <c r="AD61" s="139"/>
      <c r="AE61" s="441"/>
      <c r="AF61" s="441"/>
      <c r="AG61" s="119">
        <f>+IFERROR(AG59/(K59*$AT$3),"")</f>
        <v>0.47142857142857142</v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4</v>
      </c>
      <c r="AP61" s="167">
        <f>+AO61-AB61</f>
        <v>0</v>
      </c>
      <c r="AQ61" s="167"/>
      <c r="AR61" s="167"/>
      <c r="AS61" s="167"/>
      <c r="AT61" s="435"/>
      <c r="AU61" s="393"/>
      <c r="AW61" s="356">
        <v>1.5314285714285714</v>
      </c>
      <c r="AY61" s="356"/>
    </row>
    <row r="62" spans="2:51" s="98" customFormat="1" ht="58.5" customHeight="1" thickTop="1" x14ac:dyDescent="0.9">
      <c r="B62" s="127">
        <f>+B63</f>
        <v>14</v>
      </c>
      <c r="C62" s="370"/>
      <c r="D62" s="106"/>
      <c r="E62" s="106"/>
      <c r="F62" s="106"/>
      <c r="G62" s="577" t="s">
        <v>489</v>
      </c>
      <c r="H62" s="106"/>
      <c r="I62" s="106"/>
      <c r="J62" s="107" t="s">
        <v>20</v>
      </c>
      <c r="K62" s="108" t="s">
        <v>23</v>
      </c>
      <c r="L62" s="100" t="s">
        <v>21</v>
      </c>
      <c r="M62" s="423"/>
      <c r="N62" s="423">
        <v>60</v>
      </c>
      <c r="O62" s="423"/>
      <c r="P62" s="423">
        <v>60</v>
      </c>
      <c r="Q62" s="423"/>
      <c r="R62" s="423">
        <v>60</v>
      </c>
      <c r="S62" s="423"/>
      <c r="T62" s="423"/>
      <c r="U62" s="423">
        <v>60</v>
      </c>
      <c r="V62" s="423"/>
      <c r="W62" s="423"/>
      <c r="X62" s="135">
        <f t="shared" ref="X62" si="32">IF(AT63="","",SUM(M62:W62)-(-(AT63-SUM(M62:W62))/$AT$3)*SUM($M$2:$W$2))</f>
        <v>240</v>
      </c>
      <c r="Y62" s="438"/>
      <c r="Z62" s="400">
        <v>0</v>
      </c>
      <c r="AA62" s="540">
        <f>+X64</f>
        <v>0</v>
      </c>
      <c r="AB62" s="135">
        <f t="shared" ref="AB62:AB63" si="33">+SUM(L62:W62)</f>
        <v>240</v>
      </c>
      <c r="AC62" s="136">
        <f>+AD62+AB62</f>
        <v>300</v>
      </c>
      <c r="AD62" s="136">
        <v>60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58.5" customHeight="1" x14ac:dyDescent="0.9">
      <c r="B63" s="133">
        <v>14</v>
      </c>
      <c r="C63" s="371">
        <f>+B63</f>
        <v>14</v>
      </c>
      <c r="D63" s="372" t="s">
        <v>487</v>
      </c>
      <c r="E63" s="111"/>
      <c r="F63" s="111" t="s">
        <v>488</v>
      </c>
      <c r="G63" s="578" t="str">
        <f t="shared" si="29"/>
        <v>BERGEN-302189</v>
      </c>
      <c r="H63" s="450"/>
      <c r="I63" s="111" t="s">
        <v>33</v>
      </c>
      <c r="J63" s="113"/>
      <c r="K63" s="130"/>
      <c r="L63" s="101" t="s">
        <v>17</v>
      </c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123">
        <f>+IF(H64="s",0,IF(AB63=0,0,IF(COUNTA(M63:W63)=AN65+0.25,SUMIF($C:$C,B63,$AB:$AB)/AN65,SUMIF($C:$C,B63,$AB:$AB)/(COUNTA(M63:W63)))))</f>
        <v>0</v>
      </c>
      <c r="Y63" s="439"/>
      <c r="Z63" s="400"/>
      <c r="AA63" s="541"/>
      <c r="AB63" s="134">
        <f t="shared" si="33"/>
        <v>0</v>
      </c>
      <c r="AC63" s="137">
        <f>+AB63+AD63</f>
        <v>0</v>
      </c>
      <c r="AD63" s="137">
        <v>0</v>
      </c>
      <c r="AE63" s="439"/>
      <c r="AF63" s="439">
        <f>+AE63+Y63</f>
        <v>0</v>
      </c>
      <c r="AG63" s="140">
        <f>+AC62-AC63</f>
        <v>300</v>
      </c>
      <c r="AH63" s="131">
        <f>+IF(((AB64+(AB65/2))*60)=0,"",(J63*AB63)/((AB64+(AB65/2))*60))</f>
        <v>0</v>
      </c>
      <c r="AI63" s="161">
        <f>+AB64+AB65/2</f>
        <v>19.375</v>
      </c>
      <c r="AJ63" s="161">
        <f t="shared" si="2"/>
        <v>19.225000000000001</v>
      </c>
      <c r="AK63" s="167">
        <f t="shared" si="3"/>
        <v>1162.5</v>
      </c>
      <c r="AL63" s="167">
        <f>+AB63*J63</f>
        <v>0</v>
      </c>
      <c r="AM63" s="230" t="e">
        <f>+AB63-(AI63*K63/K65)</f>
        <v>#DIV/0!</v>
      </c>
      <c r="AN63" s="339"/>
      <c r="AO63" s="340"/>
      <c r="AP63" s="167"/>
      <c r="AQ63" s="167"/>
      <c r="AR63" s="167"/>
      <c r="AS63" s="167"/>
      <c r="AT63" s="433">
        <f>-240+AB62</f>
        <v>0</v>
      </c>
      <c r="AU63" s="393">
        <v>1.5</v>
      </c>
      <c r="AW63" s="356">
        <v>60</v>
      </c>
      <c r="AY63" s="356">
        <f t="shared" ref="AY63" si="34">+AW63-AG63</f>
        <v>-240</v>
      </c>
    </row>
    <row r="64" spans="2:51" s="98" customFormat="1" ht="58.5" customHeight="1" x14ac:dyDescent="0.9">
      <c r="B64" s="125">
        <f>+B63</f>
        <v>14</v>
      </c>
      <c r="C64" s="373"/>
      <c r="D64" s="184"/>
      <c r="E64" s="111">
        <f>+B63</f>
        <v>14</v>
      </c>
      <c r="F64" s="374"/>
      <c r="G64" s="578" t="str">
        <f t="shared" si="29"/>
        <v>BERGEN-302189</v>
      </c>
      <c r="H64" s="376" t="s">
        <v>400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/>
      <c r="N64" s="425"/>
      <c r="O64" s="425"/>
      <c r="P64" s="425">
        <v>1</v>
      </c>
      <c r="Q64" s="425">
        <v>2</v>
      </c>
      <c r="R64" s="425">
        <v>3</v>
      </c>
      <c r="S64" s="425">
        <v>4</v>
      </c>
      <c r="T64" s="425">
        <v>4</v>
      </c>
      <c r="U64" s="425">
        <v>4</v>
      </c>
      <c r="V64" s="425"/>
      <c r="W64" s="425"/>
      <c r="X64" s="160">
        <f>+IF(H64="l",IF(COUNTA(M63:W63)=AN65+0.25,AB63-K63*AN65,AB63-(K63*COUNTA(M63:W63))),IF(H64="s",0,IF(COUNTA(M63:W63)=AN65+0.25,SUMIF($C:$C,B63,$AB:$AB)-K63*AN65,SUMIF($C:$C,B63,$AB:$AB)-K63*COUNTA(M63:W63))))</f>
        <v>0</v>
      </c>
      <c r="Y64" s="440"/>
      <c r="Z64" s="400"/>
      <c r="AA64" s="541"/>
      <c r="AB64" s="443">
        <f t="shared" ref="AB64:AB65" si="35">+SUM(M64:W64)-U64*0.25</f>
        <v>17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17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58.5" customHeight="1" thickBot="1" x14ac:dyDescent="0.95">
      <c r="B65" s="126">
        <f>+B63</f>
        <v>14</v>
      </c>
      <c r="C65" s="375"/>
      <c r="D65" s="174" t="s">
        <v>112</v>
      </c>
      <c r="E65" s="175">
        <f>+E64+100</f>
        <v>114</v>
      </c>
      <c r="F65" s="175"/>
      <c r="G65" s="579" t="str">
        <f t="shared" si="29"/>
        <v>BERGEN-302189</v>
      </c>
      <c r="H65" s="454">
        <f>+AC62-H63</f>
        <v>300</v>
      </c>
      <c r="I65" s="397"/>
      <c r="J65" s="165" t="str">
        <f>+IF(K65="","",IF(K63=0,"",(K63*J63)/(K65*60)))</f>
        <v/>
      </c>
      <c r="K65" s="118"/>
      <c r="L65" s="104" t="s">
        <v>19</v>
      </c>
      <c r="M65" s="427"/>
      <c r="N65" s="427"/>
      <c r="O65" s="427"/>
      <c r="P65" s="427"/>
      <c r="Q65" s="427">
        <v>1</v>
      </c>
      <c r="R65" s="427">
        <v>1</v>
      </c>
      <c r="S65" s="427">
        <v>1</v>
      </c>
      <c r="T65" s="427">
        <v>1</v>
      </c>
      <c r="U65" s="427">
        <v>1</v>
      </c>
      <c r="V65" s="427"/>
      <c r="W65" s="427"/>
      <c r="X65" s="173"/>
      <c r="Y65" s="441"/>
      <c r="Z65" s="401"/>
      <c r="AA65" s="401"/>
      <c r="AB65" s="444">
        <f t="shared" si="35"/>
        <v>4.75</v>
      </c>
      <c r="AC65" s="139"/>
      <c r="AD65" s="139"/>
      <c r="AE65" s="441"/>
      <c r="AF65" s="441"/>
      <c r="AG65" s="119" t="str">
        <f>+IFERROR(AG63/(K63*$AT$3),"")</f>
        <v/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4.75</v>
      </c>
      <c r="AP65" s="167">
        <f>+AO65-AB65</f>
        <v>0</v>
      </c>
      <c r="AQ65" s="167"/>
      <c r="AR65" s="167"/>
      <c r="AS65" s="167"/>
      <c r="AT65" s="435"/>
      <c r="AU65" s="393"/>
      <c r="AW65" s="356" t="s">
        <v>429</v>
      </c>
      <c r="AY65" s="356"/>
    </row>
    <row r="66" spans="2:62" s="98" customFormat="1" ht="62.25" customHeight="1" thickTop="1" x14ac:dyDescent="0.9">
      <c r="B66" s="97">
        <f>+B67</f>
        <v>15</v>
      </c>
      <c r="C66" s="370"/>
      <c r="D66" s="106"/>
      <c r="E66" s="106"/>
      <c r="F66" s="106"/>
      <c r="G66" s="577" t="s">
        <v>440</v>
      </c>
      <c r="H66" s="106"/>
      <c r="I66" s="106"/>
      <c r="J66" s="107" t="s">
        <v>20</v>
      </c>
      <c r="K66" s="108" t="s">
        <v>23</v>
      </c>
      <c r="L66" s="100" t="s">
        <v>21</v>
      </c>
      <c r="M66" s="423">
        <v>75</v>
      </c>
      <c r="N66" s="423">
        <v>150</v>
      </c>
      <c r="O66" s="423">
        <v>75</v>
      </c>
      <c r="P66" s="423"/>
      <c r="Q66" s="423"/>
      <c r="R66" s="423">
        <v>75</v>
      </c>
      <c r="S66" s="423">
        <v>75</v>
      </c>
      <c r="T66" s="423">
        <v>75</v>
      </c>
      <c r="U66" s="423">
        <v>75</v>
      </c>
      <c r="V66" s="423"/>
      <c r="W66" s="423"/>
      <c r="X66" s="135">
        <f t="shared" si="0"/>
        <v>600</v>
      </c>
      <c r="Y66" s="438"/>
      <c r="Z66" s="400">
        <v>0</v>
      </c>
      <c r="AA66" s="540">
        <f>+X68</f>
        <v>17</v>
      </c>
      <c r="AB66" s="135">
        <f t="shared" si="1"/>
        <v>600</v>
      </c>
      <c r="AC66" s="136">
        <f>+AD66+AB66</f>
        <v>4276</v>
      </c>
      <c r="AD66" s="136">
        <v>3676</v>
      </c>
      <c r="AE66" s="438"/>
      <c r="AF66" s="438"/>
      <c r="AG66" s="109"/>
      <c r="AH66" s="110"/>
      <c r="AI66" s="157"/>
      <c r="AJ66" s="161">
        <f t="shared" si="2"/>
        <v>0</v>
      </c>
      <c r="AK66" s="167">
        <f t="shared" si="3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1.35">
      <c r="B67" s="132">
        <v>15</v>
      </c>
      <c r="C67" s="371">
        <f>+B67</f>
        <v>15</v>
      </c>
      <c r="D67" s="372" t="s">
        <v>439</v>
      </c>
      <c r="E67" s="111"/>
      <c r="F67" s="111" t="s">
        <v>35</v>
      </c>
      <c r="G67" s="578" t="str">
        <f>+G66</f>
        <v>7740-876-052</v>
      </c>
      <c r="H67" s="450">
        <v>7700</v>
      </c>
      <c r="I67" s="111" t="s">
        <v>33</v>
      </c>
      <c r="J67" s="113">
        <v>55.78</v>
      </c>
      <c r="K67" s="130">
        <v>52</v>
      </c>
      <c r="L67" s="101" t="s">
        <v>17</v>
      </c>
      <c r="M67" s="214">
        <v>52</v>
      </c>
      <c r="N67" s="214">
        <v>52</v>
      </c>
      <c r="O67" s="214">
        <v>52</v>
      </c>
      <c r="P67" s="214">
        <v>52</v>
      </c>
      <c r="Q67" s="214">
        <v>52</v>
      </c>
      <c r="R67" s="214">
        <v>52</v>
      </c>
      <c r="S67" s="214">
        <v>52</v>
      </c>
      <c r="T67" s="214">
        <v>52</v>
      </c>
      <c r="U67" s="214">
        <v>56</v>
      </c>
      <c r="V67" s="424"/>
      <c r="W67" s="424"/>
      <c r="X67" s="123">
        <f>+IF(H68="s",0,IF(AB67=0,0,IF(COUNTA(M67:W67)=AN69+0.25,SUMIF($C:$C,B67,$AB:$AB)/AN69,SUMIF($C:$C,B67,$AB:$AB)/(COUNTA(M67:W67)))))</f>
        <v>53.942857142857143</v>
      </c>
      <c r="Y67" s="439"/>
      <c r="Z67" s="400"/>
      <c r="AA67" s="541"/>
      <c r="AB67" s="134">
        <f t="shared" si="1"/>
        <v>472</v>
      </c>
      <c r="AC67" s="137">
        <f>+AB67+AD67</f>
        <v>3191</v>
      </c>
      <c r="AD67" s="137">
        <v>2719</v>
      </c>
      <c r="AE67" s="439">
        <v>0</v>
      </c>
      <c r="AF67" s="439">
        <f>+AE67+Y67</f>
        <v>0</v>
      </c>
      <c r="AG67" s="140">
        <f>+AC66-AC67</f>
        <v>1085</v>
      </c>
      <c r="AH67" s="131">
        <f>+IF(((AB68+(AB69/2))*60)=0,"",(J67*AB67)/((AB68+(AB69/2))*60))</f>
        <v>0.95236606981370953</v>
      </c>
      <c r="AI67" s="161">
        <f>+AB68+AB69/2</f>
        <v>460.75</v>
      </c>
      <c r="AJ67" s="161">
        <f t="shared" si="2"/>
        <v>460.45</v>
      </c>
      <c r="AK67" s="167">
        <f t="shared" si="3"/>
        <v>27645</v>
      </c>
      <c r="AL67" s="167">
        <f>+AB67*J67</f>
        <v>26328.16</v>
      </c>
      <c r="AM67" s="230">
        <f>+AB67-(AI67*K67/K69)</f>
        <v>44.160714285714278</v>
      </c>
      <c r="AN67" s="339"/>
      <c r="AO67" s="340"/>
      <c r="AP67" s="167"/>
      <c r="AQ67" s="167"/>
      <c r="AR67" s="167"/>
      <c r="AS67" s="167"/>
      <c r="AT67" s="433">
        <f>-450+AB66</f>
        <v>150</v>
      </c>
      <c r="AU67" s="393">
        <v>1.5</v>
      </c>
      <c r="AW67" s="356">
        <v>957</v>
      </c>
      <c r="AY67" s="356">
        <f t="shared" ref="AY67" si="36">+AW67-AG67</f>
        <v>-128</v>
      </c>
      <c r="AZ67" s="581"/>
      <c r="BA67" s="581"/>
      <c r="BB67" s="581"/>
      <c r="BC67" s="581"/>
      <c r="BD67" s="581"/>
      <c r="BE67" s="581"/>
      <c r="BF67" s="581"/>
      <c r="BG67" s="581"/>
      <c r="BH67" s="581"/>
      <c r="BI67" s="581"/>
    </row>
    <row r="68" spans="2:62" s="98" customFormat="1" ht="62.25" customHeight="1" x14ac:dyDescent="0.9">
      <c r="B68" s="125">
        <f>+B67</f>
        <v>15</v>
      </c>
      <c r="C68" s="373"/>
      <c r="D68" s="184"/>
      <c r="E68" s="111">
        <f>+B67</f>
        <v>15</v>
      </c>
      <c r="F68" s="377"/>
      <c r="G68" s="578" t="str">
        <f>+G67</f>
        <v>7740-876-052</v>
      </c>
      <c r="H68" s="376" t="s">
        <v>399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>
        <v>50</v>
      </c>
      <c r="N68" s="425">
        <v>51</v>
      </c>
      <c r="O68" s="425">
        <v>52</v>
      </c>
      <c r="P68" s="425">
        <v>52</v>
      </c>
      <c r="Q68" s="425">
        <v>52</v>
      </c>
      <c r="R68" s="425">
        <v>52</v>
      </c>
      <c r="S68" s="425">
        <v>52</v>
      </c>
      <c r="T68" s="425">
        <v>52</v>
      </c>
      <c r="U68" s="425">
        <v>52</v>
      </c>
      <c r="V68" s="426"/>
      <c r="W68" s="426"/>
      <c r="X68" s="160">
        <f>+IF(H68="l",IF(COUNTA(M67:W67)=AN69+0.25,AB67-K67*AN69,AB67-(K67*COUNTA(M67:W67))),IF(H68="s",0,IF(COUNTA(M67:W67)=AN69+0.25,SUMIF($C:$C,B67,$AB:$AB)-K67*AN69,SUMIF($C:$C,B67,$AB:$AB)-K67*COUNTA(M67:W67))))</f>
        <v>17</v>
      </c>
      <c r="Y68" s="440"/>
      <c r="Z68" s="400"/>
      <c r="AA68" s="541"/>
      <c r="AB68" s="443">
        <f t="shared" si="6"/>
        <v>452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167">
        <f t="shared" si="3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452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126">
        <f>+B67</f>
        <v>15</v>
      </c>
      <c r="C69" s="375"/>
      <c r="D69" s="174" t="s">
        <v>93</v>
      </c>
      <c r="E69" s="175">
        <f>+E68+100</f>
        <v>115</v>
      </c>
      <c r="F69" s="175"/>
      <c r="G69" s="579" t="str">
        <f>+G68</f>
        <v>7740-876-052</v>
      </c>
      <c r="H69" s="454">
        <f>+AC66-H67</f>
        <v>-3424</v>
      </c>
      <c r="I69" s="397"/>
      <c r="J69" s="165">
        <f>+IF(K69="","",IF(K67=0,"",(K67*J67)/(K69*60)))</f>
        <v>0.86326190476190479</v>
      </c>
      <c r="K69" s="118">
        <v>56</v>
      </c>
      <c r="L69" s="104" t="s">
        <v>19</v>
      </c>
      <c r="M69" s="427">
        <v>2</v>
      </c>
      <c r="N69" s="427">
        <v>2</v>
      </c>
      <c r="O69" s="427">
        <v>2</v>
      </c>
      <c r="P69" s="427">
        <v>2</v>
      </c>
      <c r="Q69" s="427">
        <v>2</v>
      </c>
      <c r="R69" s="427">
        <v>2</v>
      </c>
      <c r="S69" s="427">
        <v>2</v>
      </c>
      <c r="T69" s="427">
        <v>2</v>
      </c>
      <c r="U69" s="427">
        <v>2</v>
      </c>
      <c r="V69" s="428"/>
      <c r="W69" s="428"/>
      <c r="X69" s="173"/>
      <c r="Y69" s="441"/>
      <c r="Z69" s="401">
        <v>11.961538461538462</v>
      </c>
      <c r="AA69" s="448">
        <v>11.961538461538462</v>
      </c>
      <c r="AB69" s="444">
        <f t="shared" si="6"/>
        <v>17.5</v>
      </c>
      <c r="AC69" s="139"/>
      <c r="AD69" s="139"/>
      <c r="AE69" s="441"/>
      <c r="AF69" s="441"/>
      <c r="AG69" s="119">
        <f>+IFERROR(AG67/(K67*$AT$3),"")</f>
        <v>2.3846153846153846</v>
      </c>
      <c r="AH69" s="162"/>
      <c r="AI69" s="161"/>
      <c r="AJ69" s="161">
        <f t="shared" si="2"/>
        <v>0</v>
      </c>
      <c r="AK69" s="167">
        <f t="shared" si="3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17.5</v>
      </c>
      <c r="AP69" s="167">
        <f>+AO69-AB69</f>
        <v>0</v>
      </c>
      <c r="AQ69" s="167"/>
      <c r="AR69" s="167"/>
      <c r="AS69" s="167"/>
      <c r="AT69" s="435"/>
      <c r="AU69" s="393"/>
      <c r="AW69" s="356">
        <v>2.1032967032967034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77" t="s">
        <v>463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ref="X70:X86" si="37">IF(AT71="","",SUM(M70:W70)-(-(AT71-SUM(M70:W70))/$AT$3)*SUM($M$2:$W$2))</f>
        <v/>
      </c>
      <c r="Y70" s="438"/>
      <c r="Z70" s="400">
        <v>-52</v>
      </c>
      <c r="AA70" s="540">
        <f>+X72</f>
        <v>0</v>
      </c>
      <c r="AB70" s="135">
        <f t="shared" ref="AB70:AB87" si="38">+SUM(L70:W70)</f>
        <v>0</v>
      </c>
      <c r="AC70" s="136">
        <f>+AD70+AB70</f>
        <v>2169</v>
      </c>
      <c r="AD70" s="136">
        <v>2169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462</v>
      </c>
      <c r="E71" s="111"/>
      <c r="F71" s="111" t="s">
        <v>422</v>
      </c>
      <c r="G71" s="578" t="str">
        <f>+G70</f>
        <v>PIANO-Turquaz</v>
      </c>
      <c r="H71" s="450">
        <v>2155</v>
      </c>
      <c r="I71" s="111" t="s">
        <v>451</v>
      </c>
      <c r="J71" s="113">
        <v>33.86</v>
      </c>
      <c r="K71" s="130">
        <v>75</v>
      </c>
      <c r="L71" s="101" t="s">
        <v>17</v>
      </c>
      <c r="M71" s="214"/>
      <c r="N71" s="214"/>
      <c r="O71" s="214"/>
      <c r="P71" s="214"/>
      <c r="Q71" s="214"/>
      <c r="R71" s="214"/>
      <c r="S71" s="214"/>
      <c r="T71" s="214"/>
      <c r="U71" s="214"/>
      <c r="V71" s="424"/>
      <c r="W71" s="424"/>
      <c r="X71" s="123">
        <f>+IF(H72="s",0,IF(AB71=0,0,IF(COUNTA(M71:W71)=AN73+0.25,SUMIF($C:$C,B71,$AB:$AB)/AN73,SUMIF($C:$C,B71,$AB:$AB)/(COUNTA(M71:W71)))))</f>
        <v>0</v>
      </c>
      <c r="Y71" s="439"/>
      <c r="Z71" s="400"/>
      <c r="AA71" s="541"/>
      <c r="AB71" s="134">
        <f t="shared" si="38"/>
        <v>0</v>
      </c>
      <c r="AC71" s="137">
        <f>+AB71+AD71</f>
        <v>2095</v>
      </c>
      <c r="AD71" s="137">
        <v>2095</v>
      </c>
      <c r="AE71" s="439"/>
      <c r="AF71" s="439">
        <f>+AE71+Y71</f>
        <v>0</v>
      </c>
      <c r="AG71" s="140">
        <f>+AC70-AC71</f>
        <v>74</v>
      </c>
      <c r="AH71" s="131" t="str">
        <f>+IF(((AB72+(AB73/2))*60)=0,"",(J71*AB71)/((AB72+(AB73/2))*60))</f>
        <v/>
      </c>
      <c r="AI71" s="161">
        <f>+AB72+AB73/2</f>
        <v>0</v>
      </c>
      <c r="AJ71" s="161">
        <f t="shared" si="2"/>
        <v>0</v>
      </c>
      <c r="AK71" s="167">
        <f t="shared" si="3"/>
        <v>0</v>
      </c>
      <c r="AL71" s="167">
        <f>+AB71*J71</f>
        <v>0</v>
      </c>
      <c r="AM71" s="230">
        <f>+AB71-(AI71*K71/K73)</f>
        <v>0</v>
      </c>
      <c r="AN71" s="339"/>
      <c r="AO71" s="340"/>
      <c r="AP71" s="167"/>
      <c r="AQ71" s="167"/>
      <c r="AR71" s="167"/>
      <c r="AS71" s="167"/>
      <c r="AT71" s="433" t="str">
        <f t="shared" ref="AT71" si="39">IF(AU71=0,"",AW71-(($AT$3*K71)+($AT$3*K71)*AU71)+AB70)</f>
        <v/>
      </c>
      <c r="AU71" s="393"/>
      <c r="AW71" s="356">
        <v>74</v>
      </c>
      <c r="AY71" s="356">
        <f t="shared" ref="AY71" si="40">+AW71-AG71</f>
        <v>0</v>
      </c>
      <c r="AZ71" s="580"/>
      <c r="BA71" s="580"/>
      <c r="BB71" s="580"/>
      <c r="BC71" s="580"/>
      <c r="BD71" s="580"/>
      <c r="BE71" s="580"/>
      <c r="BF71" s="580"/>
      <c r="BG71" s="580"/>
      <c r="BH71" s="580"/>
      <c r="BI71" s="580"/>
      <c r="BJ71" s="580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78" t="str">
        <f>+G70</f>
        <v>PIANO-Turquaz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/>
      <c r="N72" s="425"/>
      <c r="O72" s="425"/>
      <c r="P72" s="425"/>
      <c r="Q72" s="425"/>
      <c r="R72" s="425"/>
      <c r="S72" s="425"/>
      <c r="T72" s="425"/>
      <c r="U72" s="425"/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0</v>
      </c>
      <c r="Y72" s="440"/>
      <c r="Z72" s="400"/>
      <c r="AA72" s="541"/>
      <c r="AB72" s="443">
        <f t="shared" si="6"/>
        <v>0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0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79" t="str">
        <f>+G70</f>
        <v>PIANO-Turquaz</v>
      </c>
      <c r="H73" s="454">
        <f>+AC70-H71</f>
        <v>14</v>
      </c>
      <c r="I73" s="397"/>
      <c r="J73" s="165">
        <f>+IF(K73="","",IF(K71=0,"",(K71*J71)/(K73*60)))</f>
        <v>0.84650000000000003</v>
      </c>
      <c r="K73" s="118">
        <v>50</v>
      </c>
      <c r="L73" s="104" t="s">
        <v>19</v>
      </c>
      <c r="M73" s="427"/>
      <c r="N73" s="427"/>
      <c r="O73" s="427"/>
      <c r="P73" s="427"/>
      <c r="Q73" s="427"/>
      <c r="R73" s="427"/>
      <c r="S73" s="427"/>
      <c r="T73" s="427"/>
      <c r="U73" s="427"/>
      <c r="V73" s="428"/>
      <c r="W73" s="428"/>
      <c r="X73" s="173"/>
      <c r="Y73" s="441"/>
      <c r="Z73" s="169">
        <v>24.69</v>
      </c>
      <c r="AA73" s="169">
        <v>24.69</v>
      </c>
      <c r="AB73" s="444">
        <f t="shared" si="6"/>
        <v>0</v>
      </c>
      <c r="AC73" s="139"/>
      <c r="AD73" s="139"/>
      <c r="AE73" s="441"/>
      <c r="AF73" s="441"/>
      <c r="AG73" s="119">
        <f>+IFERROR(AG71/(K71*$AT$3),"")</f>
        <v>0.11276190476190476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0</v>
      </c>
      <c r="AQ73" s="167"/>
      <c r="AR73" s="167"/>
      <c r="AS73" s="167"/>
      <c r="AT73" s="435"/>
      <c r="AU73" s="393"/>
      <c r="AW73" s="356">
        <v>0.11276190476190476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77" t="s">
        <v>472</v>
      </c>
      <c r="H74" s="106"/>
      <c r="I74" s="106"/>
      <c r="J74" s="107" t="s">
        <v>20</v>
      </c>
      <c r="K74" s="108" t="s">
        <v>23</v>
      </c>
      <c r="L74" s="100" t="s">
        <v>21</v>
      </c>
      <c r="M74" s="423">
        <v>50</v>
      </c>
      <c r="N74" s="423">
        <v>50</v>
      </c>
      <c r="O74" s="423">
        <v>50</v>
      </c>
      <c r="P74" s="423">
        <v>50</v>
      </c>
      <c r="Q74" s="423">
        <v>50</v>
      </c>
      <c r="R74" s="423">
        <v>100</v>
      </c>
      <c r="S74" s="423">
        <v>50</v>
      </c>
      <c r="T74" s="423"/>
      <c r="U74" s="423"/>
      <c r="V74" s="423"/>
      <c r="W74" s="423"/>
      <c r="X74" s="135">
        <f t="shared" si="37"/>
        <v>400</v>
      </c>
      <c r="Y74" s="438"/>
      <c r="Z74" s="400">
        <v>-255</v>
      </c>
      <c r="AA74" s="540">
        <f>+X76</f>
        <v>-85</v>
      </c>
      <c r="AB74" s="135">
        <f t="shared" si="38"/>
        <v>400</v>
      </c>
      <c r="AC74" s="136">
        <f>+AD74+AB74</f>
        <v>1751</v>
      </c>
      <c r="AD74" s="136">
        <v>1351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473</v>
      </c>
      <c r="E75" s="111"/>
      <c r="F75" s="111" t="s">
        <v>35</v>
      </c>
      <c r="G75" s="578" t="str">
        <f>+G74</f>
        <v>7674-739-401</v>
      </c>
      <c r="H75" s="450">
        <v>8333</v>
      </c>
      <c r="I75" s="111" t="s">
        <v>251</v>
      </c>
      <c r="J75" s="113">
        <v>37.200000000000003</v>
      </c>
      <c r="K75" s="130">
        <v>60</v>
      </c>
      <c r="L75" s="101" t="s">
        <v>17</v>
      </c>
      <c r="M75" s="214">
        <v>50</v>
      </c>
      <c r="N75" s="214">
        <v>55</v>
      </c>
      <c r="O75" s="214">
        <v>55</v>
      </c>
      <c r="P75" s="214">
        <v>50</v>
      </c>
      <c r="Q75" s="214">
        <v>50</v>
      </c>
      <c r="R75" s="214">
        <v>50</v>
      </c>
      <c r="S75" s="214">
        <v>50</v>
      </c>
      <c r="T75" s="214">
        <v>50</v>
      </c>
      <c r="U75" s="214">
        <v>30</v>
      </c>
      <c r="V75" s="424"/>
      <c r="W75" s="424"/>
      <c r="X75" s="123">
        <f>+IF(H76="s",0,IF(AB75=0,0,IF(COUNTA(M75:W75)=AN77+0.25,SUMIF($C:$C,B75,$AB:$AB)/AN77,SUMIF($C:$C,B75,$AB:$AB)/(COUNTA(M75:W75)))))</f>
        <v>50.285714285714285</v>
      </c>
      <c r="Y75" s="439"/>
      <c r="Z75" s="400"/>
      <c r="AA75" s="541"/>
      <c r="AB75" s="134">
        <f t="shared" si="38"/>
        <v>440</v>
      </c>
      <c r="AC75" s="137">
        <f>+AB75+AD75</f>
        <v>710</v>
      </c>
      <c r="AD75" s="137">
        <v>270</v>
      </c>
      <c r="AE75" s="439"/>
      <c r="AF75" s="439">
        <f>+AE75+Y75</f>
        <v>0</v>
      </c>
      <c r="AG75" s="140">
        <f>+AC74-AC75</f>
        <v>1041</v>
      </c>
      <c r="AH75" s="131">
        <f>+IF(((AB76+(AB77/2))*60)=0,"",(J75*AB75)/((AB76+(AB77/2))*60))</f>
        <v>0.74231292517006808</v>
      </c>
      <c r="AI75" s="161">
        <f>+AB76+AB77/2</f>
        <v>367.5</v>
      </c>
      <c r="AJ75" s="161">
        <f t="shared" si="2"/>
        <v>367.3</v>
      </c>
      <c r="AK75" s="167">
        <f t="shared" si="3"/>
        <v>22050</v>
      </c>
      <c r="AL75" s="167">
        <f>+AB75*J75</f>
        <v>16368.000000000002</v>
      </c>
      <c r="AM75" s="230">
        <f>+AB75-(AI75*K75/K77)</f>
        <v>-72.790697674418652</v>
      </c>
      <c r="AN75" s="339"/>
      <c r="AO75" s="340"/>
      <c r="AP75" s="167"/>
      <c r="AQ75" s="167"/>
      <c r="AR75" s="167"/>
      <c r="AS75" s="167"/>
      <c r="AT75" s="433">
        <f t="shared" ref="AT75" si="41">IF(AU75=0,"",AW75-(($AT$3*K75)+($AT$3*K75)*AU75)+AB74)</f>
        <v>11</v>
      </c>
      <c r="AU75" s="393">
        <v>1.8</v>
      </c>
      <c r="AW75" s="356">
        <v>1081</v>
      </c>
      <c r="AY75" s="356">
        <f t="shared" ref="AY75" si="42">+AW75-AG75</f>
        <v>40</v>
      </c>
      <c r="AZ75" s="580"/>
      <c r="BA75" s="580"/>
      <c r="BB75" s="580"/>
      <c r="BC75" s="580"/>
      <c r="BD75" s="580"/>
      <c r="BE75" s="580"/>
      <c r="BF75" s="580"/>
      <c r="BG75" s="580"/>
      <c r="BH75" s="580"/>
      <c r="BI75" s="580"/>
      <c r="BJ75" s="580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78" t="str">
        <f>+G74</f>
        <v>7674-739-401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>
        <v>42</v>
      </c>
      <c r="N76" s="425">
        <v>42</v>
      </c>
      <c r="O76" s="425">
        <v>42</v>
      </c>
      <c r="P76" s="425">
        <v>42</v>
      </c>
      <c r="Q76" s="425">
        <v>42</v>
      </c>
      <c r="R76" s="425">
        <v>42</v>
      </c>
      <c r="S76" s="425">
        <v>42</v>
      </c>
      <c r="T76" s="425">
        <v>42</v>
      </c>
      <c r="U76" s="425">
        <v>42</v>
      </c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-85</v>
      </c>
      <c r="Y76" s="440"/>
      <c r="Z76" s="400"/>
      <c r="AA76" s="541"/>
      <c r="AB76" s="443">
        <f t="shared" ref="AB76:AB89" si="43">+SUM(M76:W76)-U76*0.25</f>
        <v>367.5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367.5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79" t="str">
        <f>+G74</f>
        <v>7674-739-401</v>
      </c>
      <c r="H77" s="454">
        <f>+AC74-H75</f>
        <v>-6582</v>
      </c>
      <c r="I77" s="397"/>
      <c r="J77" s="165">
        <f>+IF(K77="","",IF(K75=0,"",(K75*J75)/(K77*60)))</f>
        <v>0.8651162790697674</v>
      </c>
      <c r="K77" s="118">
        <v>43</v>
      </c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401">
        <v>6.2866999999999997</v>
      </c>
      <c r="AA77" s="168">
        <f>+IF(COUNTA(M75:W75)=$AM$4+0.25,$AM$4-(AB75/K75),COUNTA(M75:W75)-(AB75/K75))+Z77</f>
        <v>7.7033666666666667</v>
      </c>
      <c r="AB77" s="444">
        <f t="shared" si="43"/>
        <v>0</v>
      </c>
      <c r="AC77" s="139"/>
      <c r="AD77" s="139"/>
      <c r="AE77" s="441"/>
      <c r="AF77" s="441"/>
      <c r="AG77" s="119">
        <f>+IFERROR(AG75/(K75*$AT$3),"")</f>
        <v>1.9828571428571429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>
        <v>2.059047619047619</v>
      </c>
      <c r="AY77" s="356"/>
    </row>
    <row r="78" spans="2:62" s="98" customFormat="1" ht="62.25" customHeight="1" thickTop="1" x14ac:dyDescent="0.9">
      <c r="B78" s="97">
        <f>+B79</f>
        <v>17</v>
      </c>
      <c r="C78" s="370"/>
      <c r="D78" s="106"/>
      <c r="E78" s="106"/>
      <c r="F78" s="106"/>
      <c r="G78" s="577" t="s">
        <v>436</v>
      </c>
      <c r="H78" s="106"/>
      <c r="I78" s="111"/>
      <c r="J78" s="107" t="s">
        <v>20</v>
      </c>
      <c r="K78" s="108" t="s">
        <v>23</v>
      </c>
      <c r="L78" s="100" t="s">
        <v>21</v>
      </c>
      <c r="M78" s="423">
        <v>120</v>
      </c>
      <c r="N78" s="423">
        <v>60</v>
      </c>
      <c r="O78" s="423">
        <v>60</v>
      </c>
      <c r="P78" s="423">
        <v>60</v>
      </c>
      <c r="Q78" s="423">
        <v>60</v>
      </c>
      <c r="R78" s="423">
        <v>60</v>
      </c>
      <c r="S78" s="423">
        <v>60</v>
      </c>
      <c r="T78" s="423"/>
      <c r="U78" s="423"/>
      <c r="V78" s="423"/>
      <c r="W78" s="423"/>
      <c r="X78" s="135">
        <f t="shared" si="37"/>
        <v>480</v>
      </c>
      <c r="Y78" s="438"/>
      <c r="Z78" s="400">
        <v>3.25</v>
      </c>
      <c r="AA78" s="540">
        <f>+X80</f>
        <v>0.25</v>
      </c>
      <c r="AB78" s="135">
        <f t="shared" si="38"/>
        <v>480</v>
      </c>
      <c r="AC78" s="136">
        <f>+AD78+AB78</f>
        <v>8462</v>
      </c>
      <c r="AD78" s="136">
        <v>7982</v>
      </c>
      <c r="AE78" s="438"/>
      <c r="AF78" s="438"/>
      <c r="AG78" s="109"/>
      <c r="AH78" s="110"/>
      <c r="AI78" s="157"/>
      <c r="AJ78" s="161">
        <f t="shared" si="2"/>
        <v>0</v>
      </c>
      <c r="AK78" s="167">
        <f t="shared" si="3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2">
        <v>17</v>
      </c>
      <c r="C79" s="371">
        <f>+B79</f>
        <v>17</v>
      </c>
      <c r="D79" s="372" t="s">
        <v>435</v>
      </c>
      <c r="E79" s="111"/>
      <c r="F79" s="111" t="s">
        <v>35</v>
      </c>
      <c r="G79" s="578" t="str">
        <f>+G78</f>
        <v>2628-510-630</v>
      </c>
      <c r="H79" s="450">
        <v>10010</v>
      </c>
      <c r="I79" s="111" t="s">
        <v>33</v>
      </c>
      <c r="J79" s="113">
        <v>44.34</v>
      </c>
      <c r="K79" s="130">
        <v>53</v>
      </c>
      <c r="L79" s="101" t="s">
        <v>17</v>
      </c>
      <c r="M79" s="214">
        <v>53</v>
      </c>
      <c r="N79" s="214">
        <v>53</v>
      </c>
      <c r="O79" s="214">
        <v>53</v>
      </c>
      <c r="P79" s="214">
        <v>53</v>
      </c>
      <c r="Q79" s="214">
        <v>53</v>
      </c>
      <c r="R79" s="214">
        <v>53</v>
      </c>
      <c r="S79" s="214">
        <v>53</v>
      </c>
      <c r="T79" s="214">
        <v>53</v>
      </c>
      <c r="U79" s="214">
        <v>40</v>
      </c>
      <c r="V79" s="214"/>
      <c r="W79" s="424"/>
      <c r="X79" s="123">
        <f>+IF(H80="s",0,IF(AB79=0,0,IF(COUNTA(M79:W79)=AN81+0.25,SUMIF($C:$C,B79,$AB:$AB)/AN81,SUMIF($C:$C,B79,$AB:$AB)/(COUNTA(M79:W79)))))</f>
        <v>53.028571428571432</v>
      </c>
      <c r="Y79" s="439"/>
      <c r="Z79" s="400"/>
      <c r="AA79" s="541"/>
      <c r="AB79" s="134">
        <f t="shared" si="38"/>
        <v>464</v>
      </c>
      <c r="AC79" s="137">
        <f>+AB79+AD79</f>
        <v>7736</v>
      </c>
      <c r="AD79" s="137">
        <v>7272</v>
      </c>
      <c r="AE79" s="439">
        <v>0</v>
      </c>
      <c r="AF79" s="439">
        <f>+AE79+Y79</f>
        <v>0</v>
      </c>
      <c r="AG79" s="140">
        <f>+AC78-AC79</f>
        <v>726</v>
      </c>
      <c r="AH79" s="131">
        <f>+IF(((AB80+(AB81/2))*60)=0,"",(J79*AB79)/((AB80+(AB81/2))*60))</f>
        <v>0.84275514592933953</v>
      </c>
      <c r="AI79" s="161">
        <f>+AB80+AB81/2</f>
        <v>406.875</v>
      </c>
      <c r="AJ79" s="161">
        <f t="shared" si="2"/>
        <v>406.52499999999998</v>
      </c>
      <c r="AK79" s="167">
        <f t="shared" si="3"/>
        <v>24412.5</v>
      </c>
      <c r="AL79" s="167">
        <f>+AB79*J79</f>
        <v>20573.760000000002</v>
      </c>
      <c r="AM79" s="230">
        <f>+AB79-(AI79*K79/K81)</f>
        <v>-4.7907608695651902</v>
      </c>
      <c r="AN79" s="339"/>
      <c r="AO79" s="340"/>
      <c r="AP79" s="167"/>
      <c r="AQ79" s="167"/>
      <c r="AR79" s="167"/>
      <c r="AS79" s="167"/>
      <c r="AT79" s="433">
        <f t="shared" ref="AT79" si="44">IF(AU79=0,"",AW79-(($AT$3*K79)+($AT$3*K79)*AU79)+AB78)</f>
        <v>30.625</v>
      </c>
      <c r="AU79" s="393">
        <v>1.5</v>
      </c>
      <c r="AW79" s="356">
        <v>710</v>
      </c>
      <c r="AY79" s="356">
        <f t="shared" ref="AY79" si="45">+AW79-AG79</f>
        <v>-16</v>
      </c>
    </row>
    <row r="80" spans="2:62" s="98" customFormat="1" ht="62.25" customHeight="1" x14ac:dyDescent="0.9">
      <c r="B80" s="125">
        <f>+B79</f>
        <v>17</v>
      </c>
      <c r="C80" s="373"/>
      <c r="D80" s="184"/>
      <c r="E80" s="111">
        <f>+B79</f>
        <v>17</v>
      </c>
      <c r="F80" s="374"/>
      <c r="G80" s="578" t="str">
        <f>+G78</f>
        <v>2628-510-630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46</v>
      </c>
      <c r="N80" s="425">
        <v>46</v>
      </c>
      <c r="O80" s="425">
        <v>46</v>
      </c>
      <c r="P80" s="425">
        <v>46</v>
      </c>
      <c r="Q80" s="425">
        <v>46</v>
      </c>
      <c r="R80" s="425">
        <v>46</v>
      </c>
      <c r="S80" s="425">
        <v>46</v>
      </c>
      <c r="T80" s="425">
        <v>46</v>
      </c>
      <c r="U80" s="425">
        <v>46</v>
      </c>
      <c r="V80" s="426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0.25</v>
      </c>
      <c r="Y80" s="440"/>
      <c r="Z80" s="400"/>
      <c r="AA80" s="541"/>
      <c r="AB80" s="443">
        <f t="shared" si="43"/>
        <v>402.5</v>
      </c>
      <c r="AC80" s="341"/>
      <c r="AD80" s="341"/>
      <c r="AE80" s="440"/>
      <c r="AF80" s="440"/>
      <c r="AG80" s="115"/>
      <c r="AH80" s="116"/>
      <c r="AI80" s="157"/>
      <c r="AJ80" s="161">
        <f t="shared" si="2"/>
        <v>0</v>
      </c>
      <c r="AK80" s="167">
        <f t="shared" si="3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402.5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126">
        <f>+B79</f>
        <v>17</v>
      </c>
      <c r="C81" s="375"/>
      <c r="D81" s="174" t="s">
        <v>379</v>
      </c>
      <c r="E81" s="175">
        <f>+E80+100</f>
        <v>117</v>
      </c>
      <c r="F81" s="175"/>
      <c r="G81" s="579" t="str">
        <f>+G78</f>
        <v>2628-510-630</v>
      </c>
      <c r="H81" s="454">
        <f>+AC78-H79</f>
        <v>-1548</v>
      </c>
      <c r="I81" s="397"/>
      <c r="J81" s="165">
        <f>+IF(K81="","",IF(K79=0,"",(K79*J79)/(K81*60)))</f>
        <v>0.85145652173913045</v>
      </c>
      <c r="K81" s="118">
        <v>46</v>
      </c>
      <c r="L81" s="104" t="s">
        <v>19</v>
      </c>
      <c r="M81" s="427">
        <v>1</v>
      </c>
      <c r="N81" s="427">
        <v>1</v>
      </c>
      <c r="O81" s="427">
        <v>1</v>
      </c>
      <c r="P81" s="427">
        <v>1</v>
      </c>
      <c r="Q81" s="427">
        <v>1</v>
      </c>
      <c r="R81" s="427">
        <v>1</v>
      </c>
      <c r="S81" s="427">
        <v>1</v>
      </c>
      <c r="T81" s="427">
        <v>1</v>
      </c>
      <c r="U81" s="427">
        <v>1</v>
      </c>
      <c r="V81" s="428"/>
      <c r="W81" s="428"/>
      <c r="X81" s="173"/>
      <c r="Y81" s="441"/>
      <c r="Z81" s="401">
        <v>41.323268679526997</v>
      </c>
      <c r="AA81" s="169">
        <v>41.323268679526997</v>
      </c>
      <c r="AB81" s="444">
        <f t="shared" si="43"/>
        <v>8.75</v>
      </c>
      <c r="AC81" s="139"/>
      <c r="AD81" s="139"/>
      <c r="AE81" s="441"/>
      <c r="AF81" s="441"/>
      <c r="AG81" s="119">
        <f>+IFERROR(AG79/(K79*$AT$3),"")</f>
        <v>1.5654986522911052</v>
      </c>
      <c r="AH81" s="162"/>
      <c r="AI81" s="161"/>
      <c r="AJ81" s="161">
        <f t="shared" si="2"/>
        <v>0</v>
      </c>
      <c r="AK81" s="167">
        <f t="shared" si="3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8.75</v>
      </c>
      <c r="AP81" s="167">
        <f>+AO81-AB81</f>
        <v>0</v>
      </c>
      <c r="AQ81" s="167"/>
      <c r="AR81" s="167"/>
      <c r="AS81" s="167"/>
      <c r="AT81" s="435"/>
      <c r="AU81" s="393"/>
      <c r="AW81" s="356">
        <v>1.5309973045822103</v>
      </c>
      <c r="AY81" s="356"/>
    </row>
    <row r="82" spans="2:51" s="98" customFormat="1" ht="62.25" customHeight="1" thickTop="1" x14ac:dyDescent="0.9">
      <c r="B82" s="127">
        <f>+B83</f>
        <v>18</v>
      </c>
      <c r="C82" s="370"/>
      <c r="D82" s="106"/>
      <c r="E82" s="106"/>
      <c r="F82" s="106"/>
      <c r="G82" s="577" t="s">
        <v>436</v>
      </c>
      <c r="H82" s="106"/>
      <c r="I82" s="106"/>
      <c r="J82" s="107" t="s">
        <v>20</v>
      </c>
      <c r="K82" s="108" t="s">
        <v>23</v>
      </c>
      <c r="L82" s="100" t="s">
        <v>21</v>
      </c>
      <c r="M82" s="423"/>
      <c r="N82" s="423">
        <v>60</v>
      </c>
      <c r="O82" s="423">
        <v>60</v>
      </c>
      <c r="P82" s="423">
        <v>60</v>
      </c>
      <c r="Q82" s="423">
        <v>60</v>
      </c>
      <c r="R82" s="423">
        <v>60</v>
      </c>
      <c r="S82" s="423">
        <v>60</v>
      </c>
      <c r="T82" s="423"/>
      <c r="U82" s="423"/>
      <c r="V82" s="423"/>
      <c r="W82" s="423"/>
      <c r="X82" s="135">
        <f t="shared" si="37"/>
        <v>360</v>
      </c>
      <c r="Y82" s="438"/>
      <c r="Z82" s="400">
        <v>-7.75</v>
      </c>
      <c r="AA82" s="540">
        <f>+X84</f>
        <v>-22.75</v>
      </c>
      <c r="AB82" s="135">
        <f t="shared" si="38"/>
        <v>360</v>
      </c>
      <c r="AC82" s="136">
        <f>+AD82+AB82</f>
        <v>9385</v>
      </c>
      <c r="AD82" s="136">
        <v>9025</v>
      </c>
      <c r="AE82" s="438"/>
      <c r="AF82" s="438"/>
      <c r="AG82" s="109"/>
      <c r="AH82" s="110"/>
      <c r="AI82" s="157"/>
      <c r="AJ82" s="161">
        <f t="shared" ref="AJ82:AJ93" si="46">TRUNC(AI82)+(AI82-TRUNC(AI82))*60/100</f>
        <v>0</v>
      </c>
      <c r="AK82" s="167">
        <f t="shared" ref="AK82:AK93" si="47">+AI82*60</f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3">
        <v>18</v>
      </c>
      <c r="C83" s="371">
        <f>+B83</f>
        <v>18</v>
      </c>
      <c r="D83" s="372" t="s">
        <v>435</v>
      </c>
      <c r="E83" s="111"/>
      <c r="F83" s="111" t="s">
        <v>35</v>
      </c>
      <c r="G83" s="578" t="str">
        <f t="shared" ref="G83:G89" si="48">+G82</f>
        <v>2628-510-630</v>
      </c>
      <c r="H83" s="450">
        <v>10800</v>
      </c>
      <c r="I83" s="111" t="s">
        <v>33</v>
      </c>
      <c r="J83" s="113">
        <v>44.34</v>
      </c>
      <c r="K83" s="130">
        <v>53</v>
      </c>
      <c r="L83" s="101" t="s">
        <v>17</v>
      </c>
      <c r="M83" s="424">
        <v>53</v>
      </c>
      <c r="N83" s="424">
        <v>53</v>
      </c>
      <c r="O83" s="424">
        <v>53</v>
      </c>
      <c r="P83" s="424">
        <v>53</v>
      </c>
      <c r="Q83" s="424">
        <v>40</v>
      </c>
      <c r="R83" s="424">
        <v>53</v>
      </c>
      <c r="S83" s="424">
        <v>53</v>
      </c>
      <c r="T83" s="424">
        <v>53</v>
      </c>
      <c r="U83" s="424">
        <v>30</v>
      </c>
      <c r="V83" s="424"/>
      <c r="W83" s="424"/>
      <c r="X83" s="123">
        <f>+IF(H84="s",0,IF(AB83=0,0,IF(COUNTA(M83:W83)=AN85+0.25,SUMIF($C:$C,B83,$AB:$AB)/AN85,SUMIF($C:$C,B83,$AB:$AB)/(COUNTA(M83:W83)))))</f>
        <v>50.4</v>
      </c>
      <c r="Y83" s="439"/>
      <c r="Z83" s="400"/>
      <c r="AA83" s="541"/>
      <c r="AB83" s="134">
        <f t="shared" si="38"/>
        <v>441</v>
      </c>
      <c r="AC83" s="137">
        <f>+AB83+AD83</f>
        <v>8666</v>
      </c>
      <c r="AD83" s="137">
        <v>8225</v>
      </c>
      <c r="AE83" s="439">
        <v>0</v>
      </c>
      <c r="AF83" s="439">
        <f>+AE83+Y83</f>
        <v>0</v>
      </c>
      <c r="AG83" s="140">
        <f>+AC82-AC83</f>
        <v>719</v>
      </c>
      <c r="AH83" s="131">
        <f>+IF(((AB84+(AB85/2))*60)=0,"",(J83*AB83)/((AB84+(AB85/2))*60))</f>
        <v>0.81858461538461547</v>
      </c>
      <c r="AI83" s="161">
        <f>+AB84+AB85/2</f>
        <v>398.125</v>
      </c>
      <c r="AJ83" s="161">
        <f t="shared" si="46"/>
        <v>398.07499999999999</v>
      </c>
      <c r="AK83" s="167">
        <f t="shared" si="47"/>
        <v>23887.5</v>
      </c>
      <c r="AL83" s="167">
        <f>+AB83*J83</f>
        <v>19553.940000000002</v>
      </c>
      <c r="AM83" s="230">
        <f>+AB83-(AI83*K83/K85)</f>
        <v>-17.70923913043481</v>
      </c>
      <c r="AN83" s="339"/>
      <c r="AO83" s="340"/>
      <c r="AP83" s="167"/>
      <c r="AQ83" s="167"/>
      <c r="AR83" s="167"/>
      <c r="AS83" s="167"/>
      <c r="AT83" s="433">
        <f t="shared" ref="AT83" si="49">IF(AU83=0,"",AW83-(($AT$3*K83)+($AT$3*K83)*AU83)+AB82)</f>
        <v>8.625</v>
      </c>
      <c r="AU83" s="393">
        <v>1.5</v>
      </c>
      <c r="AW83" s="356">
        <v>808</v>
      </c>
      <c r="AY83" s="356">
        <f t="shared" ref="AY83" si="50">+AW83-AG83</f>
        <v>89</v>
      </c>
    </row>
    <row r="84" spans="2:51" s="98" customFormat="1" ht="62.25" customHeight="1" x14ac:dyDescent="0.9">
      <c r="B84" s="125">
        <f>+B83</f>
        <v>18</v>
      </c>
      <c r="C84" s="373"/>
      <c r="D84" s="184"/>
      <c r="E84" s="111">
        <f>+B83</f>
        <v>18</v>
      </c>
      <c r="F84" s="374"/>
      <c r="G84" s="578" t="str">
        <f t="shared" si="48"/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25">
        <v>45</v>
      </c>
      <c r="N84" s="425">
        <v>45</v>
      </c>
      <c r="O84" s="425">
        <v>45</v>
      </c>
      <c r="P84" s="425">
        <v>45</v>
      </c>
      <c r="Q84" s="425">
        <v>45</v>
      </c>
      <c r="R84" s="425">
        <v>45</v>
      </c>
      <c r="S84" s="425">
        <v>45</v>
      </c>
      <c r="T84" s="425">
        <v>45</v>
      </c>
      <c r="U84" s="425">
        <v>45</v>
      </c>
      <c r="V84" s="425"/>
      <c r="W84" s="425"/>
      <c r="X84" s="160">
        <f>+IF(H84="l",IF(COUNTA(M83:W83)=AN85+0.25,AB83-K83*AN85,AB83-(K83*COUNTA(M83:W83))),IF(H84="s",0,IF(COUNTA(M83:W83)=AN85+0.25,SUMIF($C:$C,B83,$AB:$AB)-K83*AN85,SUMIF($C:$C,B83,$AB:$AB)-K83*COUNTA(M83:W83))))</f>
        <v>-22.75</v>
      </c>
      <c r="Y84" s="440"/>
      <c r="Z84" s="400"/>
      <c r="AA84" s="541"/>
      <c r="AB84" s="443">
        <f t="shared" si="43"/>
        <v>393.75</v>
      </c>
      <c r="AC84" s="138"/>
      <c r="AD84" s="138"/>
      <c r="AE84" s="442"/>
      <c r="AF84" s="440"/>
      <c r="AG84" s="115"/>
      <c r="AH84" s="116"/>
      <c r="AI84" s="157"/>
      <c r="AJ84" s="161">
        <f t="shared" si="46"/>
        <v>0</v>
      </c>
      <c r="AK84" s="167">
        <f t="shared" si="47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393.75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343">
        <f>+B83</f>
        <v>18</v>
      </c>
      <c r="C85" s="375"/>
      <c r="D85" s="378" t="s">
        <v>406</v>
      </c>
      <c r="E85" s="175">
        <f>+E84+100</f>
        <v>118</v>
      </c>
      <c r="F85" s="175"/>
      <c r="G85" s="579" t="str">
        <f t="shared" si="48"/>
        <v>2628-510-630</v>
      </c>
      <c r="H85" s="454">
        <f>+AC82-H83</f>
        <v>-1415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8">
        <v>1</v>
      </c>
      <c r="N85" s="428">
        <v>1</v>
      </c>
      <c r="O85" s="428">
        <v>1</v>
      </c>
      <c r="P85" s="428">
        <v>1</v>
      </c>
      <c r="Q85" s="428">
        <v>1</v>
      </c>
      <c r="R85" s="428">
        <v>1</v>
      </c>
      <c r="S85" s="428">
        <v>1</v>
      </c>
      <c r="T85" s="428">
        <v>1</v>
      </c>
      <c r="U85" s="428">
        <v>1</v>
      </c>
      <c r="V85" s="428"/>
      <c r="W85" s="428"/>
      <c r="X85" s="173"/>
      <c r="Y85" s="441"/>
      <c r="Z85" s="401">
        <v>40.950645170328073</v>
      </c>
      <c r="AA85" s="401">
        <v>40.950645170328073</v>
      </c>
      <c r="AB85" s="444">
        <f t="shared" si="43"/>
        <v>8.75</v>
      </c>
      <c r="AC85" s="139"/>
      <c r="AD85" s="139"/>
      <c r="AE85" s="441"/>
      <c r="AF85" s="441"/>
      <c r="AG85" s="119">
        <f>+IFERROR(AG83/(K83*$AT$3),"")</f>
        <v>1.5504043126684637</v>
      </c>
      <c r="AH85" s="162"/>
      <c r="AI85" s="161"/>
      <c r="AJ85" s="161">
        <f t="shared" si="46"/>
        <v>0</v>
      </c>
      <c r="AK85" s="167">
        <f t="shared" si="47"/>
        <v>0</v>
      </c>
      <c r="AL85" s="167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8.75</v>
      </c>
      <c r="AP85" s="167">
        <f>+AO85-AB85</f>
        <v>0</v>
      </c>
      <c r="AQ85" s="167"/>
      <c r="AR85" s="167"/>
      <c r="AS85" s="167"/>
      <c r="AT85" s="435"/>
      <c r="AU85" s="393"/>
      <c r="AW85" s="356">
        <v>1.7423180592991914</v>
      </c>
      <c r="AY85" s="356"/>
    </row>
    <row r="86" spans="2:51" s="98" customFormat="1" ht="62.25" customHeight="1" thickTop="1" x14ac:dyDescent="0.9">
      <c r="B86" s="127">
        <f>+B87</f>
        <v>20</v>
      </c>
      <c r="C86" s="370"/>
      <c r="D86" s="106"/>
      <c r="E86" s="106"/>
      <c r="F86" s="106"/>
      <c r="G86" s="577" t="s">
        <v>477</v>
      </c>
      <c r="H86" s="106"/>
      <c r="I86" s="106"/>
      <c r="J86" s="107" t="s">
        <v>20</v>
      </c>
      <c r="K86" s="108" t="s">
        <v>23</v>
      </c>
      <c r="L86" s="100" t="s">
        <v>21</v>
      </c>
      <c r="M86" s="423"/>
      <c r="N86" s="423"/>
      <c r="O86" s="423"/>
      <c r="P86" s="423"/>
      <c r="Q86" s="423"/>
      <c r="R86" s="423"/>
      <c r="S86" s="423"/>
      <c r="T86" s="423"/>
      <c r="U86" s="423"/>
      <c r="V86" s="423"/>
      <c r="W86" s="423"/>
      <c r="X86" s="135" t="str">
        <f t="shared" si="37"/>
        <v/>
      </c>
      <c r="Y86" s="438"/>
      <c r="Z86" s="400">
        <v>4</v>
      </c>
      <c r="AA86" s="540">
        <f>+X88</f>
        <v>63</v>
      </c>
      <c r="AB86" s="135">
        <f t="shared" si="38"/>
        <v>0</v>
      </c>
      <c r="AC86" s="136">
        <f>+AD86+AB86</f>
        <v>2183</v>
      </c>
      <c r="AD86" s="136">
        <v>2183</v>
      </c>
      <c r="AE86" s="438"/>
      <c r="AF86" s="438"/>
      <c r="AG86" s="109"/>
      <c r="AH86" s="110"/>
      <c r="AI86" s="157"/>
      <c r="AJ86" s="161">
        <f t="shared" si="46"/>
        <v>0</v>
      </c>
      <c r="AK86" s="167">
        <f t="shared" si="47"/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20</v>
      </c>
      <c r="C87" s="371">
        <f>+B87</f>
        <v>20</v>
      </c>
      <c r="D87" s="372" t="s">
        <v>478</v>
      </c>
      <c r="E87" s="111"/>
      <c r="F87" s="111" t="s">
        <v>422</v>
      </c>
      <c r="G87" s="578" t="str">
        <f t="shared" si="48"/>
        <v>ADA-Turquaz</v>
      </c>
      <c r="H87" s="450">
        <v>2145</v>
      </c>
      <c r="I87" s="111" t="s">
        <v>252</v>
      </c>
      <c r="J87" s="113">
        <v>13.23</v>
      </c>
      <c r="K87" s="130">
        <v>40</v>
      </c>
      <c r="L87" s="101" t="s">
        <v>17</v>
      </c>
      <c r="M87" s="214">
        <v>40</v>
      </c>
      <c r="N87" s="214">
        <v>40</v>
      </c>
      <c r="O87" s="214">
        <v>45</v>
      </c>
      <c r="P87" s="214">
        <v>50</v>
      </c>
      <c r="Q87" s="214">
        <v>50</v>
      </c>
      <c r="R87" s="214">
        <v>50</v>
      </c>
      <c r="S87" s="214">
        <v>50</v>
      </c>
      <c r="T87" s="214">
        <v>50</v>
      </c>
      <c r="U87" s="214">
        <v>38</v>
      </c>
      <c r="V87" s="214"/>
      <c r="W87" s="214"/>
      <c r="X87" s="123">
        <f>+IF(H88="s",0,IF(AB87=0,0,IF(COUNTA(M87:W87)=AN89+0.25,SUMIF($C:$C,B87,$AB:$AB)/AN89,SUMIF($C:$C,B87,$AB:$AB)/(COUNTA(M87:W87)))))</f>
        <v>47.2</v>
      </c>
      <c r="Y87" s="439"/>
      <c r="Z87" s="400"/>
      <c r="AA87" s="541"/>
      <c r="AB87" s="134">
        <f t="shared" si="38"/>
        <v>413</v>
      </c>
      <c r="AC87" s="137">
        <f>+AB87+AD87</f>
        <v>966</v>
      </c>
      <c r="AD87" s="137">
        <v>553</v>
      </c>
      <c r="AE87" s="439">
        <v>0</v>
      </c>
      <c r="AF87" s="439">
        <f>+AE87+Y87</f>
        <v>0</v>
      </c>
      <c r="AG87" s="140">
        <f>+AC86-AC87</f>
        <v>1217</v>
      </c>
      <c r="AH87" s="131">
        <f>+IF(((AB88+(AB89/2))*60)=0,"",(J87*AB87)/((AB88+(AB89/2))*60))</f>
        <v>0.86729999999999996</v>
      </c>
      <c r="AI87" s="161">
        <f>+AB88+AB89/2</f>
        <v>105</v>
      </c>
      <c r="AJ87" s="161">
        <f t="shared" si="46"/>
        <v>105</v>
      </c>
      <c r="AK87" s="167">
        <f t="shared" si="47"/>
        <v>6300</v>
      </c>
      <c r="AL87" s="167">
        <f>+AB87*J87</f>
        <v>5463.99</v>
      </c>
      <c r="AM87" s="230">
        <f>+AB87-(AI87*K87/K89)</f>
        <v>31.181818181818187</v>
      </c>
      <c r="AN87" s="339"/>
      <c r="AO87" s="340"/>
      <c r="AP87" s="167"/>
      <c r="AQ87" s="167"/>
      <c r="AR87" s="167"/>
      <c r="AS87" s="167"/>
      <c r="AT87" s="433"/>
      <c r="AU87" s="393">
        <v>1.5</v>
      </c>
      <c r="AW87" s="356">
        <v>1630</v>
      </c>
      <c r="AY87" s="356">
        <f t="shared" ref="AY87" si="51">+AW87-AG87</f>
        <v>413</v>
      </c>
    </row>
    <row r="88" spans="2:51" s="98" customFormat="1" ht="62.25" customHeight="1" x14ac:dyDescent="0.9">
      <c r="B88" s="125">
        <f>+B87</f>
        <v>20</v>
      </c>
      <c r="C88" s="373"/>
      <c r="D88" s="184"/>
      <c r="E88" s="111">
        <f>+B87</f>
        <v>20</v>
      </c>
      <c r="F88" s="374"/>
      <c r="G88" s="578" t="str">
        <f t="shared" si="48"/>
        <v>ADA-Turquaz</v>
      </c>
      <c r="H88" s="376" t="s">
        <v>400</v>
      </c>
      <c r="I88" s="113">
        <f>+IFERROR(IF(K89=0,0,IF((LOOKUP(2,1/(M88:W88&lt;&gt;""),M88:W88)-K89)&lt;0,0,IF(K89=0,"",LOOKUP(2,1/(M88:W88&lt;&gt;""),M88:W88)-K89))),0)</f>
        <v>1</v>
      </c>
      <c r="J88" s="113"/>
      <c r="K88" s="114" t="s">
        <v>22</v>
      </c>
      <c r="L88" s="102" t="s">
        <v>18</v>
      </c>
      <c r="M88" s="451">
        <v>12</v>
      </c>
      <c r="N88" s="451">
        <v>12</v>
      </c>
      <c r="O88" s="451">
        <v>12</v>
      </c>
      <c r="P88" s="451">
        <v>12</v>
      </c>
      <c r="Q88" s="451">
        <v>12</v>
      </c>
      <c r="R88" s="451">
        <v>12</v>
      </c>
      <c r="S88" s="451">
        <v>12</v>
      </c>
      <c r="T88" s="451">
        <v>12</v>
      </c>
      <c r="U88" s="451">
        <v>12</v>
      </c>
      <c r="V88" s="451"/>
      <c r="W88" s="451"/>
      <c r="X88" s="160">
        <f>+IF(H88="l",IF(COUNTA(M87:W87)=AN89+0.25,AB87-K87*AN89,AB87-(K87*COUNTA(M87:W87))),IF(H88="s",0,IF(COUNTA(M87:W87)=AN89+0.25,SUMIF($C:$C,B87,$AB:$AB)-K87*AN89,SUMIF($C:$C,B87,$AB:$AB)-K87*COUNTA(M87:W87))))</f>
        <v>63</v>
      </c>
      <c r="Y88" s="440"/>
      <c r="Z88" s="400"/>
      <c r="AA88" s="541"/>
      <c r="AB88" s="443">
        <f t="shared" si="43"/>
        <v>105</v>
      </c>
      <c r="AC88" s="138"/>
      <c r="AD88" s="138"/>
      <c r="AE88" s="442"/>
      <c r="AF88" s="440"/>
      <c r="AG88" s="115"/>
      <c r="AH88" s="116"/>
      <c r="AI88" s="157"/>
      <c r="AJ88" s="161">
        <f t="shared" si="46"/>
        <v>0</v>
      </c>
      <c r="AK88" s="167">
        <f t="shared" si="47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105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20</v>
      </c>
      <c r="C89" s="375"/>
      <c r="D89" s="378" t="s">
        <v>78</v>
      </c>
      <c r="E89" s="175">
        <f>+E88+100</f>
        <v>120</v>
      </c>
      <c r="F89" s="175"/>
      <c r="G89" s="579" t="str">
        <f t="shared" si="48"/>
        <v>ADA-Turquaz</v>
      </c>
      <c r="H89" s="454">
        <f>+AC86-H87</f>
        <v>38</v>
      </c>
      <c r="I89" s="397"/>
      <c r="J89" s="165">
        <f>+IF(K89="","",IF(K87=0,"",(K87*J87)/(K89*60)))</f>
        <v>0.80181818181818187</v>
      </c>
      <c r="K89" s="118">
        <v>11</v>
      </c>
      <c r="L89" s="104" t="s">
        <v>19</v>
      </c>
      <c r="M89" s="428"/>
      <c r="N89" s="428"/>
      <c r="O89" s="428"/>
      <c r="P89" s="428"/>
      <c r="Q89" s="428"/>
      <c r="R89" s="428"/>
      <c r="S89" s="428"/>
      <c r="T89" s="428"/>
      <c r="U89" s="428"/>
      <c r="V89" s="428"/>
      <c r="W89" s="428"/>
      <c r="X89" s="173"/>
      <c r="Y89" s="441"/>
      <c r="Z89" s="401">
        <v>19.29</v>
      </c>
      <c r="AA89" s="169">
        <v>19.29</v>
      </c>
      <c r="AB89" s="444">
        <f t="shared" si="43"/>
        <v>0</v>
      </c>
      <c r="AC89" s="139"/>
      <c r="AD89" s="139"/>
      <c r="AE89" s="441"/>
      <c r="AF89" s="441"/>
      <c r="AG89" s="119">
        <f>+IFERROR(AG87/(K87*$AT$3),"")</f>
        <v>3.4771428571428573</v>
      </c>
      <c r="AH89" s="162"/>
      <c r="AI89" s="161"/>
      <c r="AJ89" s="161">
        <f t="shared" si="46"/>
        <v>0</v>
      </c>
      <c r="AK89" s="167">
        <f t="shared" si="47"/>
        <v>0</v>
      </c>
      <c r="AL89" s="167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0</v>
      </c>
      <c r="AP89" s="167">
        <f>+AO89-AB89</f>
        <v>0</v>
      </c>
      <c r="AQ89" s="167"/>
      <c r="AR89" s="167"/>
      <c r="AS89" s="167"/>
      <c r="AT89" s="435"/>
      <c r="AU89" s="393"/>
      <c r="AW89" s="356">
        <v>4.6571428571428575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77" t="s">
        <v>459</v>
      </c>
      <c r="H90" s="106"/>
      <c r="I90" s="106"/>
      <c r="J90" s="107" t="s">
        <v>20</v>
      </c>
      <c r="K90" s="108" t="s">
        <v>23</v>
      </c>
      <c r="L90" s="100" t="s">
        <v>21</v>
      </c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135" t="str">
        <f t="shared" ref="X90" si="52">IF(AT91="","",SUM(M90:W90)-(-(AT91-SUM(M90:W90))/$AT$3)*SUM($M$2:$W$2))</f>
        <v/>
      </c>
      <c r="Y90" s="438"/>
      <c r="Z90" s="400">
        <v>-7</v>
      </c>
      <c r="AA90" s="540">
        <f>+X92</f>
        <v>0</v>
      </c>
      <c r="AB90" s="135">
        <f t="shared" ref="AB90:AB91" si="53">+SUM(L90:W90)</f>
        <v>0</v>
      </c>
      <c r="AC90" s="136">
        <f>+AD90+AB90</f>
        <v>2869</v>
      </c>
      <c r="AD90" s="136">
        <v>2869</v>
      </c>
      <c r="AE90" s="438"/>
      <c r="AF90" s="438"/>
      <c r="AG90" s="109"/>
      <c r="AH90" s="110"/>
      <c r="AI90" s="157"/>
      <c r="AJ90" s="161">
        <f t="shared" si="46"/>
        <v>0</v>
      </c>
      <c r="AK90" s="167">
        <f t="shared" si="47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460</v>
      </c>
      <c r="E91" s="111"/>
      <c r="F91" s="111" t="s">
        <v>422</v>
      </c>
      <c r="G91" s="578" t="str">
        <f t="shared" ref="G91:G93" si="54">+G90</f>
        <v>ADA-PURPLE</v>
      </c>
      <c r="H91" s="450">
        <v>2869</v>
      </c>
      <c r="I91" s="111" t="s">
        <v>252</v>
      </c>
      <c r="J91" s="113">
        <v>13.23</v>
      </c>
      <c r="K91" s="130">
        <v>40</v>
      </c>
      <c r="L91" s="101" t="s">
        <v>17</v>
      </c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123">
        <f>+IF(H92="s",0,IF(AB91=0,0,IF(COUNTA(M91:W91)=AN93+0.25,SUMIF($C:$C,B91,$AB:$AB)/AN93,SUMIF($C:$C,B91,$AB:$AB)/(COUNTA(M91:W91)))))</f>
        <v>0</v>
      </c>
      <c r="Y91" s="439"/>
      <c r="Z91" s="400"/>
      <c r="AA91" s="541"/>
      <c r="AB91" s="134">
        <f t="shared" si="53"/>
        <v>0</v>
      </c>
      <c r="AC91" s="137">
        <f>+AB91+AD91</f>
        <v>2862</v>
      </c>
      <c r="AD91" s="137">
        <v>2862</v>
      </c>
      <c r="AE91" s="439">
        <v>0</v>
      </c>
      <c r="AF91" s="439">
        <f>+AE91+Y91</f>
        <v>0</v>
      </c>
      <c r="AG91" s="140">
        <f>+AC90-AC91</f>
        <v>7</v>
      </c>
      <c r="AH91" s="131" t="str">
        <f>+IF(((AB92+(AB93/2))*60)=0,"",(J91*AB91)/((AB92+(AB93/2))*60))</f>
        <v/>
      </c>
      <c r="AI91" s="161">
        <f>+AB92+AB93/2</f>
        <v>0</v>
      </c>
      <c r="AJ91" s="161">
        <f t="shared" si="46"/>
        <v>0</v>
      </c>
      <c r="AK91" s="167">
        <f t="shared" si="47"/>
        <v>0</v>
      </c>
      <c r="AL91" s="167">
        <f>+AB91*J91</f>
        <v>0</v>
      </c>
      <c r="AM91" s="230">
        <f>+AB91-(AI91*K91/K93)</f>
        <v>0</v>
      </c>
      <c r="AN91" s="339"/>
      <c r="AO91" s="340"/>
      <c r="AP91" s="167"/>
      <c r="AQ91" s="167"/>
      <c r="AR91" s="167"/>
      <c r="AS91" s="167"/>
      <c r="AT91" s="433" t="str">
        <f t="shared" ref="AT91" si="55">IF(AU91=0,"",AW91-(($AT$3*K91)+($AT$3*K91)*AU91)+AB90)</f>
        <v/>
      </c>
      <c r="AU91" s="393"/>
      <c r="AW91" s="356">
        <v>7</v>
      </c>
      <c r="AY91" s="356">
        <f t="shared" ref="AY91" si="56">+AW91-AG91</f>
        <v>0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78" t="str">
        <f t="shared" si="54"/>
        <v>ADA-PURPLE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160">
        <f>+IF(H92="l",IF(COUNTA(M91:W91)=AN93+0.25,AB91-K91*AN93,AB91-(K91*COUNTA(M91:W91))),IF(H92="s",0,IF(COUNTA(M91:W91)=AN93+0.25,SUMIF($C:$C,B91,$AB:$AB)-K91*AN93,SUMIF($C:$C,B91,$AB:$AB)-K91*COUNTA(M91:W91))))</f>
        <v>0</v>
      </c>
      <c r="Y92" s="440"/>
      <c r="Z92" s="400"/>
      <c r="AA92" s="541"/>
      <c r="AB92" s="443">
        <f t="shared" ref="AB92:AB93" si="57">+SUM(M92:W92)-U92*0.25</f>
        <v>0</v>
      </c>
      <c r="AC92" s="138"/>
      <c r="AD92" s="138"/>
      <c r="AE92" s="442"/>
      <c r="AF92" s="440"/>
      <c r="AG92" s="115"/>
      <c r="AH92" s="116"/>
      <c r="AI92" s="157"/>
      <c r="AJ92" s="161">
        <f t="shared" si="46"/>
        <v>0</v>
      </c>
      <c r="AK92" s="167">
        <f t="shared" si="47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0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79" t="str">
        <f t="shared" si="54"/>
        <v>ADA-PURPLE</v>
      </c>
      <c r="H93" s="454">
        <f>+AC90-H91</f>
        <v>0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57"/>
        <v>0</v>
      </c>
      <c r="AC93" s="139"/>
      <c r="AD93" s="139"/>
      <c r="AE93" s="441"/>
      <c r="AF93" s="441"/>
      <c r="AG93" s="119">
        <f>+IFERROR(AG91/(K91*$AT$3),"")</f>
        <v>0.02</v>
      </c>
      <c r="AH93" s="162"/>
      <c r="AI93" s="161"/>
      <c r="AJ93" s="161">
        <f t="shared" si="46"/>
        <v>0</v>
      </c>
      <c r="AK93" s="167">
        <f t="shared" si="47"/>
        <v>0</v>
      </c>
      <c r="AL93" s="167"/>
      <c r="AM93" s="230"/>
      <c r="AN93" s="342">
        <f>+$AM$4</f>
        <v>8.75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0.02</v>
      </c>
      <c r="AY93" s="356"/>
    </row>
    <row r="94" spans="2:51" s="384" customFormat="1" ht="91.5" customHeight="1" thickTop="1" thickBot="1" x14ac:dyDescent="0.95">
      <c r="B94" s="379"/>
      <c r="C94" s="379"/>
      <c r="D94" s="380"/>
      <c r="E94" s="380"/>
      <c r="F94" s="380"/>
      <c r="G94" s="380"/>
      <c r="H94" s="380"/>
      <c r="I94" s="380"/>
      <c r="J94" s="380"/>
      <c r="K94" s="380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0"/>
      <c r="Y94" s="381"/>
      <c r="Z94" s="380"/>
      <c r="AA94" s="380"/>
      <c r="AB94" s="380"/>
      <c r="AC94" s="380"/>
      <c r="AD94" s="380"/>
      <c r="AE94" s="380"/>
      <c r="AF94" s="380"/>
      <c r="AG94" s="380"/>
      <c r="AH94" s="382"/>
      <c r="AI94" s="383"/>
      <c r="AJ94" s="383"/>
      <c r="AN94" s="385"/>
      <c r="AO94" s="386"/>
      <c r="AU94" s="394"/>
    </row>
    <row r="95" spans="2:51" s="384" customFormat="1" ht="91.5" customHeight="1" thickTop="1" thickBot="1" x14ac:dyDescent="0.95">
      <c r="B95" s="379"/>
      <c r="C95" s="379"/>
      <c r="D95" s="380"/>
      <c r="E95" s="380"/>
      <c r="F95" s="380"/>
      <c r="G95" s="380"/>
      <c r="H95" s="380"/>
      <c r="I95" s="380"/>
      <c r="J95" s="380"/>
      <c r="K95" s="380"/>
      <c r="L95" s="346" t="s">
        <v>21</v>
      </c>
      <c r="M95" s="166">
        <f t="shared" ref="M95:W95" si="58">+SUMIF($L$6:$L$94,$L$95,M6:M94)</f>
        <v>1005</v>
      </c>
      <c r="N95" s="166">
        <f t="shared" si="58"/>
        <v>1065</v>
      </c>
      <c r="O95" s="166">
        <f t="shared" si="58"/>
        <v>870</v>
      </c>
      <c r="P95" s="166">
        <f t="shared" si="58"/>
        <v>630</v>
      </c>
      <c r="Q95" s="166">
        <f t="shared" si="58"/>
        <v>731</v>
      </c>
      <c r="R95" s="166">
        <f t="shared" si="58"/>
        <v>405</v>
      </c>
      <c r="S95" s="166">
        <f t="shared" si="58"/>
        <v>597</v>
      </c>
      <c r="T95" s="166">
        <f t="shared" si="58"/>
        <v>375</v>
      </c>
      <c r="U95" s="166">
        <f t="shared" si="58"/>
        <v>385</v>
      </c>
      <c r="V95" s="166">
        <f t="shared" si="58"/>
        <v>0</v>
      </c>
      <c r="W95" s="166">
        <f t="shared" si="58"/>
        <v>0</v>
      </c>
      <c r="X95" s="332"/>
      <c r="Y95" s="223"/>
      <c r="Z95" s="332"/>
      <c r="AA95" s="575">
        <f>+SUM(M95:W95)</f>
        <v>6063</v>
      </c>
      <c r="AB95" s="576"/>
      <c r="AC95" s="380"/>
      <c r="AD95" s="380"/>
      <c r="AE95" s="380"/>
      <c r="AF95" s="380"/>
      <c r="AG95" s="380"/>
      <c r="AH95" s="382"/>
      <c r="AI95" s="383"/>
      <c r="AJ95" s="383"/>
      <c r="AN95" s="385"/>
      <c r="AU95" s="394"/>
    </row>
    <row r="96" spans="2:51" s="384" customFormat="1" ht="91.5" customHeight="1" thickTop="1" thickBot="1" x14ac:dyDescent="0.95">
      <c r="B96" s="379"/>
      <c r="C96" s="379"/>
      <c r="D96" s="380"/>
      <c r="E96" s="380"/>
      <c r="F96" s="380"/>
      <c r="G96" s="380"/>
      <c r="H96" s="380"/>
      <c r="I96" s="380"/>
      <c r="J96" s="380"/>
      <c r="K96" s="380"/>
      <c r="L96" s="347"/>
      <c r="M96" s="344"/>
      <c r="N96" s="344"/>
      <c r="O96" s="344"/>
      <c r="P96" s="344"/>
      <c r="Q96" s="344"/>
      <c r="R96" s="344"/>
      <c r="S96" s="344"/>
      <c r="T96" s="344"/>
      <c r="U96" s="344"/>
      <c r="V96" s="344"/>
      <c r="W96" s="344"/>
      <c r="X96" s="332"/>
      <c r="Y96" s="344"/>
      <c r="Z96" s="332"/>
      <c r="AA96" s="332"/>
      <c r="AB96" s="332"/>
      <c r="AC96" s="380"/>
      <c r="AD96" s="380"/>
      <c r="AE96" s="380"/>
      <c r="AF96" s="380"/>
      <c r="AG96" s="380"/>
      <c r="AH96" s="382"/>
      <c r="AI96" s="383"/>
      <c r="AJ96" s="383"/>
      <c r="AN96" s="385"/>
      <c r="AU96" s="394"/>
    </row>
    <row r="97" spans="2:47" s="384" customFormat="1" ht="91.5" customHeight="1" thickTop="1" thickBot="1" x14ac:dyDescent="0.95">
      <c r="B97" s="379"/>
      <c r="C97" s="379"/>
      <c r="D97" s="380"/>
      <c r="E97" s="380"/>
      <c r="F97" s="380"/>
      <c r="G97" s="380"/>
      <c r="H97" s="380"/>
      <c r="I97" s="380"/>
      <c r="J97" s="380"/>
      <c r="K97" s="380"/>
      <c r="L97" s="346" t="s">
        <v>17</v>
      </c>
      <c r="M97" s="166">
        <f t="shared" ref="M97:W97" si="59">+SUMIF($L$6:$L$94,$L$97,M6:M94)</f>
        <v>812</v>
      </c>
      <c r="N97" s="166">
        <f t="shared" si="59"/>
        <v>846</v>
      </c>
      <c r="O97" s="166">
        <f t="shared" si="59"/>
        <v>795</v>
      </c>
      <c r="P97" s="166">
        <f t="shared" si="59"/>
        <v>852</v>
      </c>
      <c r="Q97" s="166">
        <f t="shared" si="59"/>
        <v>863</v>
      </c>
      <c r="R97" s="166">
        <f t="shared" si="59"/>
        <v>875</v>
      </c>
      <c r="S97" s="166">
        <f t="shared" si="59"/>
        <v>885</v>
      </c>
      <c r="T97" s="166">
        <f t="shared" si="59"/>
        <v>870</v>
      </c>
      <c r="U97" s="166">
        <f t="shared" si="59"/>
        <v>651</v>
      </c>
      <c r="V97" s="166">
        <f t="shared" si="59"/>
        <v>0</v>
      </c>
      <c r="W97" s="166">
        <f t="shared" si="59"/>
        <v>0</v>
      </c>
      <c r="X97" s="332"/>
      <c r="Y97" s="223"/>
      <c r="Z97" s="332"/>
      <c r="AA97" s="575">
        <f>+SUM(M97:W97)</f>
        <v>7449</v>
      </c>
      <c r="AB97" s="576"/>
      <c r="AC97" s="380"/>
      <c r="AD97" s="380"/>
      <c r="AE97" s="380"/>
      <c r="AF97" s="380"/>
      <c r="AG97" s="380"/>
      <c r="AH97" s="382"/>
      <c r="AI97" s="383"/>
      <c r="AJ97" s="383"/>
      <c r="AN97" s="385"/>
      <c r="AU97" s="394"/>
    </row>
    <row r="98" spans="2:47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47"/>
      <c r="M98" s="344"/>
      <c r="N98" s="344"/>
      <c r="O98" s="344"/>
      <c r="P98" s="344"/>
      <c r="Q98" s="344"/>
      <c r="R98" s="344"/>
      <c r="S98" s="344"/>
      <c r="T98" s="344"/>
      <c r="U98" s="344"/>
      <c r="V98" s="344"/>
      <c r="W98" s="344"/>
      <c r="X98" s="332"/>
      <c r="Y98" s="344"/>
      <c r="Z98" s="332"/>
      <c r="AA98" s="332"/>
      <c r="AB98" s="332"/>
      <c r="AC98" s="380"/>
      <c r="AD98" s="380"/>
      <c r="AE98" s="380"/>
      <c r="AF98" s="380"/>
      <c r="AG98" s="380"/>
      <c r="AH98" s="382"/>
      <c r="AI98" s="383"/>
      <c r="AJ98" s="383"/>
      <c r="AN98" s="385"/>
      <c r="AU98" s="394"/>
    </row>
    <row r="99" spans="2:47" s="384" customFormat="1" ht="91.5" customHeight="1" thickTop="1" thickBot="1" x14ac:dyDescent="0.95">
      <c r="B99" s="379"/>
      <c r="C99" s="379"/>
      <c r="D99" s="387"/>
      <c r="E99" s="387"/>
      <c r="F99" s="387"/>
      <c r="G99" s="387"/>
      <c r="H99" s="387"/>
      <c r="I99" s="387"/>
      <c r="J99" s="388"/>
      <c r="K99" s="387"/>
      <c r="L99" s="346" t="s">
        <v>19</v>
      </c>
      <c r="M99" s="166">
        <f t="shared" ref="M99:W99" si="60">+SUMIF($L$6:$L$94,$L$99,M6:M94)</f>
        <v>14</v>
      </c>
      <c r="N99" s="166">
        <f t="shared" si="60"/>
        <v>14</v>
      </c>
      <c r="O99" s="166">
        <f t="shared" si="60"/>
        <v>14</v>
      </c>
      <c r="P99" s="166">
        <f t="shared" si="60"/>
        <v>14</v>
      </c>
      <c r="Q99" s="166">
        <f t="shared" si="60"/>
        <v>14</v>
      </c>
      <c r="R99" s="166">
        <f t="shared" si="60"/>
        <v>14</v>
      </c>
      <c r="S99" s="166">
        <f t="shared" si="60"/>
        <v>14</v>
      </c>
      <c r="T99" s="166">
        <f t="shared" si="60"/>
        <v>14</v>
      </c>
      <c r="U99" s="166">
        <f t="shared" si="60"/>
        <v>14</v>
      </c>
      <c r="V99" s="166">
        <f t="shared" si="60"/>
        <v>0</v>
      </c>
      <c r="W99" s="166">
        <f t="shared" si="60"/>
        <v>0</v>
      </c>
      <c r="X99" s="348"/>
      <c r="Y99" s="223"/>
      <c r="Z99" s="348"/>
      <c r="AA99" s="332"/>
      <c r="AB99" s="332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47" s="384" customFormat="1" ht="62.25" customHeight="1" thickTop="1" x14ac:dyDescent="0.9">
      <c r="B100" s="379"/>
      <c r="C100" s="379"/>
      <c r="D100" s="387"/>
      <c r="E100" s="387"/>
      <c r="F100" s="387"/>
      <c r="G100" s="387"/>
      <c r="H100" s="387"/>
      <c r="I100" s="389"/>
      <c r="J100" s="388"/>
      <c r="K100" s="387"/>
      <c r="L100" s="347"/>
      <c r="M100" s="349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32"/>
      <c r="Y100" s="345"/>
      <c r="Z100" s="332"/>
      <c r="AA100" s="332"/>
      <c r="AB100" s="332"/>
      <c r="AC100" s="380"/>
      <c r="AD100" s="380"/>
      <c r="AE100" s="380"/>
      <c r="AF100" s="380"/>
      <c r="AG100" s="390"/>
      <c r="AH100" s="382"/>
      <c r="AI100" s="383"/>
      <c r="AJ100" s="383"/>
      <c r="AN100" s="385"/>
      <c r="AU100" s="394"/>
    </row>
    <row r="101" spans="2:47" s="98" customFormat="1" ht="62.25" customHeight="1" thickBot="1" x14ac:dyDescent="0.95">
      <c r="B101" s="94"/>
      <c r="C101" s="94"/>
      <c r="D101" s="92"/>
      <c r="E101" s="92"/>
      <c r="F101" s="92"/>
      <c r="G101" s="92"/>
      <c r="H101" s="92"/>
      <c r="I101" s="91"/>
      <c r="J101" s="93"/>
      <c r="K101" s="92"/>
      <c r="L101" s="35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91"/>
      <c r="AD101" s="91"/>
      <c r="AE101" s="91"/>
      <c r="AF101" s="91"/>
      <c r="AG101" s="91"/>
      <c r="AH101" s="95"/>
      <c r="AI101" s="158"/>
      <c r="AJ101" s="158"/>
      <c r="AN101" s="183"/>
      <c r="AU101" s="393"/>
    </row>
    <row r="102" spans="2:47" s="98" customFormat="1" ht="88.5" customHeight="1" thickTop="1" thickBot="1" x14ac:dyDescent="0.95">
      <c r="B102" s="94"/>
      <c r="C102" s="94"/>
      <c r="D102" s="92"/>
      <c r="E102" s="92"/>
      <c r="F102" s="92"/>
      <c r="G102" s="92"/>
      <c r="H102" s="92"/>
      <c r="I102" s="91"/>
      <c r="J102" s="93"/>
      <c r="K102" s="212" t="s">
        <v>18</v>
      </c>
      <c r="L102" s="351" t="s">
        <v>180</v>
      </c>
      <c r="M102" s="166">
        <f t="shared" ref="M102:W102" si="61">+IF(M105=0,0,SUMIFS($J$6:$J$94,$L$6:$L$94,$K$102))</f>
        <v>3</v>
      </c>
      <c r="N102" s="166">
        <f t="shared" si="61"/>
        <v>3</v>
      </c>
      <c r="O102" s="166">
        <f t="shared" si="61"/>
        <v>3</v>
      </c>
      <c r="P102" s="166">
        <f t="shared" si="61"/>
        <v>3</v>
      </c>
      <c r="Q102" s="166">
        <f t="shared" si="61"/>
        <v>3</v>
      </c>
      <c r="R102" s="166">
        <f t="shared" si="61"/>
        <v>3</v>
      </c>
      <c r="S102" s="166">
        <f t="shared" si="61"/>
        <v>3</v>
      </c>
      <c r="T102" s="166">
        <f t="shared" si="61"/>
        <v>3</v>
      </c>
      <c r="U102" s="166">
        <f t="shared" si="61"/>
        <v>3</v>
      </c>
      <c r="V102" s="166">
        <f t="shared" si="61"/>
        <v>0</v>
      </c>
      <c r="W102" s="166">
        <f t="shared" si="61"/>
        <v>0</v>
      </c>
      <c r="X102" s="2"/>
      <c r="Y102" s="223"/>
      <c r="Z102" s="2"/>
      <c r="AA102" s="1"/>
      <c r="AB102" s="1"/>
      <c r="AC102" s="91"/>
      <c r="AD102" s="91"/>
      <c r="AE102" s="91"/>
      <c r="AF102" s="91"/>
      <c r="AG102" s="91"/>
      <c r="AH102" s="95"/>
      <c r="AI102" s="158"/>
      <c r="AJ102" s="158"/>
      <c r="AN102" s="183"/>
      <c r="AU102" s="393"/>
    </row>
    <row r="103" spans="2:47" s="98" customFormat="1" ht="62.25" customHeight="1" thickTop="1" x14ac:dyDescent="0.9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50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1"/>
      <c r="Y103" s="352"/>
      <c r="Z103" s="1"/>
      <c r="AA103" s="1"/>
      <c r="AB103" s="1"/>
      <c r="AC103" s="91"/>
      <c r="AD103" s="91"/>
      <c r="AE103" s="91"/>
      <c r="AF103" s="91"/>
      <c r="AG103" s="91"/>
      <c r="AH103" s="95"/>
      <c r="AI103" s="158"/>
      <c r="AJ103" s="158"/>
      <c r="AN103" s="183"/>
      <c r="AU103" s="393"/>
    </row>
    <row r="104" spans="2:47" s="98" customFormat="1" ht="62.25" customHeight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212"/>
      <c r="L104" s="350"/>
      <c r="M104" s="1"/>
      <c r="N104" s="1"/>
      <c r="O104" s="1"/>
      <c r="P104" s="1"/>
      <c r="Q104" s="353"/>
      <c r="R104" s="353"/>
      <c r="S104" s="353"/>
      <c r="T104" s="353"/>
      <c r="U104" s="353"/>
      <c r="V104" s="353"/>
      <c r="W104" s="353"/>
      <c r="X104" s="1"/>
      <c r="Y104" s="353"/>
      <c r="Z104" s="1"/>
      <c r="AA104" s="1"/>
      <c r="AB104" s="1"/>
      <c r="AC104" s="91"/>
      <c r="AD104" s="91"/>
      <c r="AE104" s="91"/>
      <c r="AF104" s="91"/>
      <c r="AG104" s="91"/>
      <c r="AH104" s="95"/>
      <c r="AI104" s="158"/>
      <c r="AJ104" s="158"/>
      <c r="AN104" s="183"/>
      <c r="AU104" s="393"/>
    </row>
    <row r="105" spans="2:47" s="98" customFormat="1" ht="98.25" customHeight="1" thickTop="1" thickBot="1" x14ac:dyDescent="0.95">
      <c r="B105" s="94"/>
      <c r="C105" s="94"/>
      <c r="D105" s="92"/>
      <c r="E105" s="92"/>
      <c r="F105" s="92"/>
      <c r="G105" s="92"/>
      <c r="H105" s="92"/>
      <c r="I105" s="92"/>
      <c r="J105" s="93"/>
      <c r="K105" s="212"/>
      <c r="L105" s="351" t="s">
        <v>18</v>
      </c>
      <c r="M105" s="166">
        <f t="shared" ref="M105:W105" si="62">+SUMIF($L$6:$L$94,$L$105,M6:M94)</f>
        <v>736</v>
      </c>
      <c r="N105" s="166">
        <f t="shared" si="62"/>
        <v>736</v>
      </c>
      <c r="O105" s="166">
        <f t="shared" si="62"/>
        <v>737</v>
      </c>
      <c r="P105" s="166">
        <f t="shared" si="62"/>
        <v>737</v>
      </c>
      <c r="Q105" s="166">
        <f t="shared" si="62"/>
        <v>737</v>
      </c>
      <c r="R105" s="166">
        <f t="shared" si="62"/>
        <v>737</v>
      </c>
      <c r="S105" s="166">
        <f t="shared" si="62"/>
        <v>735</v>
      </c>
      <c r="T105" s="166">
        <f t="shared" si="62"/>
        <v>735</v>
      </c>
      <c r="U105" s="166">
        <f t="shared" si="62"/>
        <v>735</v>
      </c>
      <c r="V105" s="166">
        <f t="shared" si="62"/>
        <v>0</v>
      </c>
      <c r="W105" s="166">
        <f t="shared" si="62"/>
        <v>0</v>
      </c>
      <c r="X105" s="1"/>
      <c r="Y105" s="223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47" s="98" customFormat="1" ht="62.25" customHeight="1" thickTop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212"/>
      <c r="L106" s="350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1"/>
      <c r="Y106" s="354"/>
      <c r="Z106" s="1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47" s="98" customFormat="1" ht="62.25" customHeight="1" thickBot="1" x14ac:dyDescent="0.95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1"/>
      <c r="N107" s="1"/>
      <c r="O107" s="1"/>
      <c r="P107" s="1"/>
      <c r="Q107" s="353"/>
      <c r="R107" s="353"/>
      <c r="S107" s="353"/>
      <c r="T107" s="353"/>
      <c r="U107" s="353"/>
      <c r="V107" s="353"/>
      <c r="W107" s="353"/>
      <c r="X107" s="1"/>
      <c r="Y107" s="353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47" s="98" customFormat="1" ht="94.5" customHeight="1" thickTop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351" t="s">
        <v>13</v>
      </c>
      <c r="M108" s="166">
        <f>+M105+M102+M99</f>
        <v>753</v>
      </c>
      <c r="N108" s="166">
        <f t="shared" ref="N108:W108" si="63">+N105+N102+N99</f>
        <v>753</v>
      </c>
      <c r="O108" s="166">
        <f t="shared" si="63"/>
        <v>754</v>
      </c>
      <c r="P108" s="166">
        <f t="shared" si="63"/>
        <v>754</v>
      </c>
      <c r="Q108" s="166">
        <f t="shared" si="63"/>
        <v>754</v>
      </c>
      <c r="R108" s="166">
        <f t="shared" si="63"/>
        <v>754</v>
      </c>
      <c r="S108" s="166">
        <f t="shared" si="63"/>
        <v>752</v>
      </c>
      <c r="T108" s="166">
        <f t="shared" si="63"/>
        <v>752</v>
      </c>
      <c r="U108" s="166">
        <f t="shared" si="63"/>
        <v>752</v>
      </c>
      <c r="V108" s="166">
        <f t="shared" si="63"/>
        <v>0</v>
      </c>
      <c r="W108" s="166">
        <f t="shared" si="63"/>
        <v>0</v>
      </c>
      <c r="X108" s="1"/>
      <c r="Y108" s="223"/>
      <c r="Z108" s="1"/>
      <c r="AA108" s="1"/>
      <c r="AB108" s="1"/>
      <c r="AC108" s="91"/>
      <c r="AD108" s="91"/>
      <c r="AE108" s="91"/>
      <c r="AF108" s="91"/>
      <c r="AG108" s="91"/>
      <c r="AH108" s="95"/>
      <c r="AI108" s="155"/>
      <c r="AJ108" s="155"/>
      <c r="AN108" s="183"/>
      <c r="AU108" s="393"/>
    </row>
    <row r="109" spans="2:47" s="98" customFormat="1" ht="62.25" thickTop="1" x14ac:dyDescent="0.9">
      <c r="B109" s="94"/>
      <c r="C109" s="94"/>
      <c r="D109" s="92"/>
      <c r="E109" s="92"/>
      <c r="F109" s="92"/>
      <c r="G109" s="92"/>
      <c r="H109" s="92"/>
      <c r="I109" s="92"/>
      <c r="J109" s="93"/>
      <c r="K109" s="92"/>
      <c r="L109" s="35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47" x14ac:dyDescent="0.9">
      <c r="J110" s="91"/>
      <c r="K110" s="91"/>
      <c r="T110" s="544"/>
      <c r="U110" s="544"/>
      <c r="V110" s="544"/>
      <c r="AI110" s="158"/>
      <c r="AJ110" s="158"/>
    </row>
    <row r="111" spans="2:47" ht="105" customHeight="1" x14ac:dyDescent="0.9">
      <c r="B111" s="391"/>
      <c r="AI111" s="158"/>
      <c r="AJ111" s="158"/>
    </row>
    <row r="112" spans="2:47" s="98" customFormat="1" x14ac:dyDescent="0.9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5"/>
      <c r="AI112" s="158"/>
      <c r="AJ112" s="158"/>
      <c r="AN112" s="183"/>
      <c r="AU112" s="393"/>
    </row>
    <row r="113" spans="2:47" s="98" customFormat="1" x14ac:dyDescent="0.9">
      <c r="B113" s="94"/>
      <c r="C113" s="94"/>
      <c r="D113" s="92"/>
      <c r="E113" s="92"/>
      <c r="F113" s="92"/>
      <c r="G113" s="92"/>
      <c r="H113" s="92"/>
      <c r="I113" s="91"/>
      <c r="J113" s="93"/>
      <c r="K113" s="92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s="98" customFormat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92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5"/>
      <c r="AI114" s="158"/>
      <c r="AJ114" s="158"/>
      <c r="AN114" s="183"/>
      <c r="AU114" s="393"/>
    </row>
    <row r="115" spans="2:47" s="98" customFormat="1" ht="66" customHeight="1" x14ac:dyDescent="0.9">
      <c r="B115" s="94"/>
      <c r="C115" s="94"/>
      <c r="D115" s="92"/>
      <c r="E115" s="92"/>
      <c r="F115" s="92"/>
      <c r="G115" s="92"/>
      <c r="H115" s="92"/>
      <c r="I115" s="92"/>
      <c r="J115" s="93"/>
      <c r="K115" s="92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5"/>
      <c r="AI115" s="158"/>
      <c r="AJ115" s="158"/>
      <c r="AN115" s="183"/>
      <c r="AU115" s="393"/>
    </row>
    <row r="117" spans="2:47" s="92" customFormat="1" x14ac:dyDescent="0.7">
      <c r="B117" s="94"/>
      <c r="C117" s="94"/>
      <c r="D117" s="92">
        <v>2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5"/>
      <c r="AJ117" s="155"/>
      <c r="AK117" s="98"/>
      <c r="AL117" s="98"/>
      <c r="AM117" s="98"/>
      <c r="AN117" s="183"/>
      <c r="AO117" s="91"/>
      <c r="AP117" s="91"/>
      <c r="AU117" s="243"/>
    </row>
    <row r="118" spans="2:47" s="92" customFormat="1" x14ac:dyDescent="0.7">
      <c r="B118" s="94"/>
      <c r="C118" s="94"/>
      <c r="H118" s="92">
        <v>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5"/>
      <c r="AJ118" s="155"/>
      <c r="AK118" s="98"/>
      <c r="AL118" s="98"/>
      <c r="AM118" s="98"/>
      <c r="AN118" s="183"/>
      <c r="AO118" s="91"/>
      <c r="AP118" s="91"/>
      <c r="AU118" s="243"/>
    </row>
    <row r="119" spans="2:47" s="92" customFormat="1" x14ac:dyDescent="0.7">
      <c r="B119" s="94"/>
      <c r="C119" s="94"/>
      <c r="H119" s="92">
        <v>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5"/>
      <c r="AJ119" s="155"/>
      <c r="AK119" s="98"/>
      <c r="AL119" s="98"/>
      <c r="AM119" s="98"/>
      <c r="AN119" s="183"/>
      <c r="AO119" s="91"/>
      <c r="AP119" s="91"/>
      <c r="AU119" s="243"/>
    </row>
    <row r="120" spans="2:47" s="92" customFormat="1" x14ac:dyDescent="0.7">
      <c r="B120" s="94"/>
      <c r="C120" s="94"/>
      <c r="H120" s="92">
        <v>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5"/>
      <c r="AJ120" s="155"/>
      <c r="AK120" s="98"/>
      <c r="AL120" s="98"/>
      <c r="AM120" s="98"/>
      <c r="AN120" s="183"/>
      <c r="AO120" s="91"/>
      <c r="AP120" s="91"/>
      <c r="AU120" s="243"/>
    </row>
    <row r="121" spans="2:47" s="92" customFormat="1" x14ac:dyDescent="0.7">
      <c r="B121" s="94"/>
      <c r="C121" s="94"/>
      <c r="H121" s="92">
        <v>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6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7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8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11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12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13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14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17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18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19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89" spans="2:47" s="92" customFormat="1" x14ac:dyDescent="0.7">
      <c r="B189" s="94"/>
      <c r="C189" s="94"/>
      <c r="G189" s="92">
        <v>1</v>
      </c>
      <c r="J189" s="93"/>
      <c r="L189" s="99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5"/>
      <c r="AI189" s="155"/>
      <c r="AJ189" s="155"/>
      <c r="AK189" s="98"/>
      <c r="AL189" s="98"/>
      <c r="AM189" s="98"/>
      <c r="AN189" s="183"/>
      <c r="AO189" s="91"/>
      <c r="AP189" s="91"/>
      <c r="AU189" s="243"/>
    </row>
  </sheetData>
  <autoFilter ref="A5:CT89">
    <filterColumn colId="9" showButton="0"/>
  </autoFilter>
  <mergeCells count="62">
    <mergeCell ref="T110:V110"/>
    <mergeCell ref="G78:G81"/>
    <mergeCell ref="AA78:AA80"/>
    <mergeCell ref="G82:G85"/>
    <mergeCell ref="AA82:AA84"/>
    <mergeCell ref="G86:G89"/>
    <mergeCell ref="AA86:AA88"/>
    <mergeCell ref="G90:G93"/>
    <mergeCell ref="AA90:AA92"/>
    <mergeCell ref="G74:G77"/>
    <mergeCell ref="AA74:AA76"/>
    <mergeCell ref="AZ75:BJ75"/>
    <mergeCell ref="AA95:AB95"/>
    <mergeCell ref="AA97:AB97"/>
    <mergeCell ref="G66:G69"/>
    <mergeCell ref="AA66:AA68"/>
    <mergeCell ref="AZ67:BI67"/>
    <mergeCell ref="G70:G73"/>
    <mergeCell ref="AA70:AA72"/>
    <mergeCell ref="AZ71:BJ71"/>
    <mergeCell ref="G54:G57"/>
    <mergeCell ref="AA54:AA56"/>
    <mergeCell ref="G58:G61"/>
    <mergeCell ref="AA58:AA60"/>
    <mergeCell ref="G62:G65"/>
    <mergeCell ref="AA62:AA64"/>
    <mergeCell ref="G42:G45"/>
    <mergeCell ref="AA42:AA44"/>
    <mergeCell ref="G46:G49"/>
    <mergeCell ref="AA46:AA48"/>
    <mergeCell ref="G50:G53"/>
    <mergeCell ref="AA50:AA52"/>
    <mergeCell ref="G34:G37"/>
    <mergeCell ref="AA34:AA36"/>
    <mergeCell ref="G38:G41"/>
    <mergeCell ref="AA38:AA40"/>
    <mergeCell ref="AZ39:BI39"/>
    <mergeCell ref="G26:G29"/>
    <mergeCell ref="AA26:AA28"/>
    <mergeCell ref="G22:G25"/>
    <mergeCell ref="AA22:AA24"/>
    <mergeCell ref="G30:G33"/>
    <mergeCell ref="AA30:AA32"/>
    <mergeCell ref="G14:G17"/>
    <mergeCell ref="AA14:AA16"/>
    <mergeCell ref="AZ15:BI15"/>
    <mergeCell ref="G18:G21"/>
    <mergeCell ref="AA18:AA20"/>
    <mergeCell ref="AZ7:BI7"/>
    <mergeCell ref="G10:G13"/>
    <mergeCell ref="AA10:AA12"/>
    <mergeCell ref="AZ11:BI11"/>
    <mergeCell ref="AG1:AH1"/>
    <mergeCell ref="AG2:AH3"/>
    <mergeCell ref="H3:I3"/>
    <mergeCell ref="K3:L3"/>
    <mergeCell ref="B4:G4"/>
    <mergeCell ref="K4:L4"/>
    <mergeCell ref="AG4:AH4"/>
    <mergeCell ref="J5:K5"/>
    <mergeCell ref="G6:G9"/>
    <mergeCell ref="AA6:AA8"/>
  </mergeCells>
  <conditionalFormatting sqref="I8">
    <cfRule type="cellIs" dxfId="1004" priority="98" operator="greaterThan">
      <formula>0</formula>
    </cfRule>
  </conditionalFormatting>
  <conditionalFormatting sqref="I12">
    <cfRule type="cellIs" dxfId="1003" priority="82" operator="greaterThan">
      <formula>0</formula>
    </cfRule>
  </conditionalFormatting>
  <conditionalFormatting sqref="I16">
    <cfRule type="cellIs" dxfId="1002" priority="133" operator="greaterThan">
      <formula>0</formula>
    </cfRule>
  </conditionalFormatting>
  <conditionalFormatting sqref="I20">
    <cfRule type="cellIs" dxfId="1001" priority="150" operator="greaterThan">
      <formula>0</formula>
    </cfRule>
  </conditionalFormatting>
  <conditionalFormatting sqref="I28">
    <cfRule type="cellIs" dxfId="1000" priority="159" operator="greaterThan">
      <formula>0</formula>
    </cfRule>
  </conditionalFormatting>
  <conditionalFormatting sqref="I36">
    <cfRule type="cellIs" dxfId="999" priority="129" operator="greaterThan">
      <formula>0</formula>
    </cfRule>
  </conditionalFormatting>
  <conditionalFormatting sqref="I40">
    <cfRule type="cellIs" dxfId="998" priority="118" operator="greaterThan">
      <formula>0</formula>
    </cfRule>
  </conditionalFormatting>
  <conditionalFormatting sqref="I44">
    <cfRule type="cellIs" dxfId="997" priority="138" operator="greaterThan">
      <formula>0</formula>
    </cfRule>
  </conditionalFormatting>
  <conditionalFormatting sqref="I52">
    <cfRule type="cellIs" dxfId="996" priority="155" operator="greaterThan">
      <formula>0</formula>
    </cfRule>
  </conditionalFormatting>
  <conditionalFormatting sqref="I56">
    <cfRule type="cellIs" dxfId="995" priority="87" operator="greaterThan">
      <formula>0</formula>
    </cfRule>
  </conditionalFormatting>
  <conditionalFormatting sqref="I60">
    <cfRule type="cellIs" dxfId="994" priority="107" operator="greaterThan">
      <formula>0</formula>
    </cfRule>
  </conditionalFormatting>
  <conditionalFormatting sqref="I68">
    <cfRule type="cellIs" dxfId="993" priority="100" operator="greaterThan">
      <formula>0</formula>
    </cfRule>
  </conditionalFormatting>
  <conditionalFormatting sqref="I72">
    <cfRule type="cellIs" dxfId="992" priority="92" operator="greaterThan">
      <formula>0</formula>
    </cfRule>
  </conditionalFormatting>
  <conditionalFormatting sqref="I80">
    <cfRule type="cellIs" dxfId="991" priority="142" operator="greaterThan">
      <formula>0</formula>
    </cfRule>
  </conditionalFormatting>
  <conditionalFormatting sqref="I84">
    <cfRule type="cellIs" dxfId="990" priority="148" operator="greaterThan">
      <formula>0</formula>
    </cfRule>
  </conditionalFormatting>
  <conditionalFormatting sqref="J8">
    <cfRule type="cellIs" dxfId="989" priority="78" operator="greaterThan">
      <formula>0</formula>
    </cfRule>
  </conditionalFormatting>
  <conditionalFormatting sqref="J16">
    <cfRule type="cellIs" dxfId="988" priority="132" operator="greaterThan">
      <formula>0</formula>
    </cfRule>
  </conditionalFormatting>
  <conditionalFormatting sqref="J20">
    <cfRule type="cellIs" dxfId="987" priority="151" operator="greaterThan">
      <formula>0</formula>
    </cfRule>
  </conditionalFormatting>
  <conditionalFormatting sqref="J28">
    <cfRule type="cellIs" dxfId="986" priority="125" operator="greaterThan">
      <formula>0</formula>
    </cfRule>
  </conditionalFormatting>
  <conditionalFormatting sqref="J36">
    <cfRule type="cellIs" dxfId="985" priority="126" operator="greaterThan">
      <formula>0</formula>
    </cfRule>
  </conditionalFormatting>
  <conditionalFormatting sqref="J40">
    <cfRule type="cellIs" dxfId="984" priority="115" operator="greaterThan">
      <formula>0</formula>
    </cfRule>
  </conditionalFormatting>
  <conditionalFormatting sqref="J44">
    <cfRule type="cellIs" dxfId="983" priority="136" operator="greaterThan">
      <formula>0</formula>
    </cfRule>
  </conditionalFormatting>
  <conditionalFormatting sqref="J52">
    <cfRule type="cellIs" dxfId="982" priority="124" operator="greaterThan">
      <formula>0</formula>
    </cfRule>
  </conditionalFormatting>
  <conditionalFormatting sqref="J56">
    <cfRule type="cellIs" dxfId="981" priority="85" operator="greaterThan">
      <formula>0</formula>
    </cfRule>
  </conditionalFormatting>
  <conditionalFormatting sqref="J60">
    <cfRule type="cellIs" dxfId="980" priority="104" operator="greaterThan">
      <formula>0</formula>
    </cfRule>
  </conditionalFormatting>
  <conditionalFormatting sqref="J68">
    <cfRule type="cellIs" dxfId="979" priority="99" operator="greaterThan">
      <formula>0</formula>
    </cfRule>
  </conditionalFormatting>
  <conditionalFormatting sqref="J72">
    <cfRule type="cellIs" dxfId="978" priority="90" operator="greaterThan">
      <formula>0</formula>
    </cfRule>
  </conditionalFormatting>
  <conditionalFormatting sqref="J80">
    <cfRule type="cellIs" dxfId="977" priority="75" operator="greaterThan">
      <formula>0</formula>
    </cfRule>
  </conditionalFormatting>
  <conditionalFormatting sqref="J84">
    <cfRule type="cellIs" dxfId="976" priority="145" operator="greaterThan">
      <formula>0</formula>
    </cfRule>
  </conditionalFormatting>
  <conditionalFormatting sqref="Z6:Z21 Z50:Z61 Z66:Z72 X66:X89 Z94 X34:X61 X94">
    <cfRule type="cellIs" dxfId="975" priority="168" operator="lessThan">
      <formula>0</formula>
    </cfRule>
  </conditionalFormatting>
  <conditionalFormatting sqref="Z26:Z29 Z34:Z45">
    <cfRule type="cellIs" dxfId="974" priority="80" operator="lessThan">
      <formula>0</formula>
    </cfRule>
  </conditionalFormatting>
  <conditionalFormatting sqref="Z7">
    <cfRule type="iconSet" priority="96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973" priority="95" operator="lessThan">
      <formula>0</formula>
    </cfRule>
  </conditionalFormatting>
  <conditionalFormatting sqref="Z11">
    <cfRule type="iconSet" priority="83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972" priority="79" operator="lessThan">
      <formula>0</formula>
    </cfRule>
  </conditionalFormatting>
  <conditionalFormatting sqref="Z15">
    <cfRule type="iconSet" priority="135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971" priority="131" operator="lessThan">
      <formula>0</formula>
    </cfRule>
  </conditionalFormatting>
  <conditionalFormatting sqref="Z19">
    <cfRule type="iconSet" priority="154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970" priority="152" operator="lessThan">
      <formula>0</formula>
    </cfRule>
  </conditionalFormatting>
  <conditionalFormatting sqref="Z27">
    <cfRule type="iconSet" priority="161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969" priority="160" operator="lessThan">
      <formula>0</formula>
    </cfRule>
  </conditionalFormatting>
  <conditionalFormatting sqref="Z35">
    <cfRule type="iconSet" priority="128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968" priority="127" operator="lessThan">
      <formula>0</formula>
    </cfRule>
  </conditionalFormatting>
  <conditionalFormatting sqref="Z39">
    <cfRule type="iconSet" priority="117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967" priority="116" operator="lessThan">
      <formula>0</formula>
    </cfRule>
  </conditionalFormatting>
  <conditionalFormatting sqref="Z43">
    <cfRule type="iconSet" priority="140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966" priority="137" operator="lessThan">
      <formula>0</formula>
    </cfRule>
  </conditionalFormatting>
  <conditionalFormatting sqref="Z51">
    <cfRule type="iconSet" priority="157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965" priority="156" operator="lessThan">
      <formula>0</formula>
    </cfRule>
  </conditionalFormatting>
  <conditionalFormatting sqref="Z55">
    <cfRule type="iconSet" priority="88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964" priority="86" operator="lessThan">
      <formula>0</formula>
    </cfRule>
  </conditionalFormatting>
  <conditionalFormatting sqref="Z59">
    <cfRule type="iconSet" priority="106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963" priority="105" operator="lessThan">
      <formula>0</formula>
    </cfRule>
  </conditionalFormatting>
  <conditionalFormatting sqref="Z67">
    <cfRule type="iconSet" priority="103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962" priority="101" operator="lessThan">
      <formula>0</formula>
    </cfRule>
  </conditionalFormatting>
  <conditionalFormatting sqref="Z71">
    <cfRule type="iconSet" priority="94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961" priority="91" operator="lessThan">
      <formula>0</formula>
    </cfRule>
  </conditionalFormatting>
  <conditionalFormatting sqref="Z78:Z85">
    <cfRule type="cellIs" dxfId="960" priority="111" operator="lessThan">
      <formula>0</formula>
    </cfRule>
  </conditionalFormatting>
  <conditionalFormatting sqref="Z79">
    <cfRule type="iconSet" priority="144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959" priority="141" operator="lessThan">
      <formula>0</formula>
    </cfRule>
  </conditionalFormatting>
  <conditionalFormatting sqref="Z83">
    <cfRule type="iconSet" priority="147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958" priority="146" operator="lessThan">
      <formula>0</formula>
    </cfRule>
  </conditionalFormatting>
  <conditionalFormatting sqref="AA17">
    <cfRule type="cellIs" dxfId="957" priority="121" operator="lessThan">
      <formula>0</formula>
    </cfRule>
  </conditionalFormatting>
  <conditionalFormatting sqref="AA29">
    <cfRule type="cellIs" dxfId="956" priority="123" operator="lessThan">
      <formula>0</formula>
    </cfRule>
  </conditionalFormatting>
  <conditionalFormatting sqref="AA53">
    <cfRule type="cellIs" dxfId="955" priority="122" operator="lessThan">
      <formula>0</formula>
    </cfRule>
  </conditionalFormatting>
  <conditionalFormatting sqref="AA61">
    <cfRule type="cellIs" dxfId="954" priority="77" operator="lessThan">
      <formula>0</formula>
    </cfRule>
  </conditionalFormatting>
  <conditionalFormatting sqref="AG2:AH3">
    <cfRule type="cellIs" dxfId="953" priority="169" operator="lessThan">
      <formula>0.85</formula>
    </cfRule>
  </conditionalFormatting>
  <conditionalFormatting sqref="AP26:AP29 AP78:AP85 AP1:AP21 AP34:AP45 AP50:AP61 AP66:AP73 AP94:AP1048576">
    <cfRule type="cellIs" dxfId="952" priority="81" operator="notEqual">
      <formula>0</formula>
    </cfRule>
  </conditionalFormatting>
  <conditionalFormatting sqref="AT6:AT89 AT94:AT96">
    <cfRule type="cellIs" dxfId="951" priority="76" operator="lessThan">
      <formula>0</formula>
    </cfRule>
  </conditionalFormatting>
  <conditionalFormatting sqref="AA69">
    <cfRule type="cellIs" dxfId="950" priority="74" operator="lessThan">
      <formula>0</formula>
    </cfRule>
  </conditionalFormatting>
  <conditionalFormatting sqref="AA85">
    <cfRule type="cellIs" dxfId="949" priority="73" operator="lessThan">
      <formula>0</formula>
    </cfRule>
  </conditionalFormatting>
  <conditionalFormatting sqref="I24">
    <cfRule type="cellIs" dxfId="948" priority="69" operator="greaterThan">
      <formula>0</formula>
    </cfRule>
  </conditionalFormatting>
  <conditionalFormatting sqref="Z22:Z24">
    <cfRule type="cellIs" dxfId="947" priority="67" operator="lessThan">
      <formula>0</formula>
    </cfRule>
  </conditionalFormatting>
  <conditionalFormatting sqref="Z23">
    <cfRule type="iconSet" priority="72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946" priority="70" operator="lessThan">
      <formula>0</formula>
    </cfRule>
  </conditionalFormatting>
  <conditionalFormatting sqref="AP22:AP25">
    <cfRule type="cellIs" dxfId="945" priority="68" operator="notEqual">
      <formula>0</formula>
    </cfRule>
  </conditionalFormatting>
  <conditionalFormatting sqref="I48">
    <cfRule type="cellIs" dxfId="944" priority="64" operator="greaterThan">
      <formula>0</formula>
    </cfRule>
  </conditionalFormatting>
  <conditionalFormatting sqref="J48">
    <cfRule type="cellIs" dxfId="943" priority="62" operator="greaterThan">
      <formula>0</formula>
    </cfRule>
  </conditionalFormatting>
  <conditionalFormatting sqref="Z46:Z49">
    <cfRule type="cellIs" dxfId="942" priority="60" operator="lessThan">
      <formula>0</formula>
    </cfRule>
  </conditionalFormatting>
  <conditionalFormatting sqref="Z47">
    <cfRule type="iconSet" priority="66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941" priority="63" operator="lessThan">
      <formula>0</formula>
    </cfRule>
  </conditionalFormatting>
  <conditionalFormatting sqref="Z86:Z88">
    <cfRule type="cellIs" dxfId="940" priority="56" operator="lessThan">
      <formula>0</formula>
    </cfRule>
  </conditionalFormatting>
  <conditionalFormatting sqref="AP46:AP49">
    <cfRule type="cellIs" dxfId="939" priority="61" operator="notEqual">
      <formula>0</formula>
    </cfRule>
  </conditionalFormatting>
  <conditionalFormatting sqref="I88">
    <cfRule type="cellIs" dxfId="938" priority="58" operator="greaterThan">
      <formula>0</formula>
    </cfRule>
  </conditionalFormatting>
  <conditionalFormatting sqref="J88">
    <cfRule type="cellIs" dxfId="937" priority="54" operator="greaterThan">
      <formula>0</formula>
    </cfRule>
  </conditionalFormatting>
  <conditionalFormatting sqref="Z87">
    <cfRule type="iconSet" priority="57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936" priority="55" operator="lessThan">
      <formula>0</formula>
    </cfRule>
  </conditionalFormatting>
  <conditionalFormatting sqref="AP86:AP89">
    <cfRule type="cellIs" dxfId="935" priority="53" operator="notEqual">
      <formula>0</formula>
    </cfRule>
  </conditionalFormatting>
  <conditionalFormatting sqref="Z89">
    <cfRule type="cellIs" dxfId="934" priority="52" operator="lessThan">
      <formula>0</formula>
    </cfRule>
  </conditionalFormatting>
  <conditionalFormatting sqref="I76">
    <cfRule type="cellIs" dxfId="933" priority="48" operator="greaterThan">
      <formula>0</formula>
    </cfRule>
  </conditionalFormatting>
  <conditionalFormatting sqref="J76">
    <cfRule type="cellIs" dxfId="932" priority="46" operator="greaterThan">
      <formula>0</formula>
    </cfRule>
  </conditionalFormatting>
  <conditionalFormatting sqref="Z74:Z77">
    <cfRule type="cellIs" dxfId="931" priority="51" operator="lessThan">
      <formula>0</formula>
    </cfRule>
  </conditionalFormatting>
  <conditionalFormatting sqref="Z75">
    <cfRule type="iconSet" priority="50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930" priority="47" operator="lessThan">
      <formula>0</formula>
    </cfRule>
  </conditionalFormatting>
  <conditionalFormatting sqref="AP74:AP77">
    <cfRule type="cellIs" dxfId="929" priority="45" operator="notEqual">
      <formula>0</formula>
    </cfRule>
  </conditionalFormatting>
  <conditionalFormatting sqref="AA37">
    <cfRule type="cellIs" dxfId="928" priority="43" operator="lessThan">
      <formula>0</formula>
    </cfRule>
  </conditionalFormatting>
  <conditionalFormatting sqref="Z25">
    <cfRule type="cellIs" dxfId="927" priority="44" operator="lessThan">
      <formula>0</formula>
    </cfRule>
  </conditionalFormatting>
  <conditionalFormatting sqref="X6:X9">
    <cfRule type="cellIs" dxfId="926" priority="42" operator="lessThan">
      <formula>0</formula>
    </cfRule>
  </conditionalFormatting>
  <conditionalFormatting sqref="X8">
    <cfRule type="cellIs" dxfId="925" priority="40" operator="lessThan">
      <formula>0</formula>
    </cfRule>
  </conditionalFormatting>
  <conditionalFormatting sqref="X7">
    <cfRule type="iconSet" priority="41">
      <iconSet>
        <cfvo type="percent" val="0"/>
        <cfvo type="percent" val="&quot;$I$6&quot;"/>
        <cfvo type="percent" val="#REF!"/>
      </iconSet>
    </cfRule>
  </conditionalFormatting>
  <conditionalFormatting sqref="X10:X29">
    <cfRule type="cellIs" dxfId="924" priority="39" operator="lessThan">
      <formula>0</formula>
    </cfRule>
  </conditionalFormatting>
  <conditionalFormatting sqref="X12 X16 X20 X24 X28 X36 X40 X44 X48 X52 X56 X60 X68 X72 X76 X80 X84 X88">
    <cfRule type="cellIs" dxfId="923" priority="37" operator="lessThan">
      <formula>0</formula>
    </cfRule>
  </conditionalFormatting>
  <conditionalFormatting sqref="I32">
    <cfRule type="cellIs" dxfId="922" priority="33" operator="greaterThan">
      <formula>0</formula>
    </cfRule>
  </conditionalFormatting>
  <conditionalFormatting sqref="J32">
    <cfRule type="cellIs" dxfId="921" priority="32" operator="greaterThan">
      <formula>0</formula>
    </cfRule>
  </conditionalFormatting>
  <conditionalFormatting sqref="Z30:Z33">
    <cfRule type="cellIs" dxfId="920" priority="30" operator="lessThan">
      <formula>0</formula>
    </cfRule>
  </conditionalFormatting>
  <conditionalFormatting sqref="Z31">
    <cfRule type="iconSet" priority="35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919" priority="34" operator="lessThan">
      <formula>0</formula>
    </cfRule>
  </conditionalFormatting>
  <conditionalFormatting sqref="AP30:AP33">
    <cfRule type="cellIs" dxfId="918" priority="31" operator="notEqual">
      <formula>0</formula>
    </cfRule>
  </conditionalFormatting>
  <conditionalFormatting sqref="X30:X33">
    <cfRule type="cellIs" dxfId="917" priority="29" operator="lessThan">
      <formula>0</formula>
    </cfRule>
  </conditionalFormatting>
  <conditionalFormatting sqref="X32">
    <cfRule type="cellIs" dxfId="916" priority="27" operator="lessThan">
      <formula>0</formula>
    </cfRule>
  </conditionalFormatting>
  <conditionalFormatting sqref="X31">
    <cfRule type="iconSet" priority="28">
      <iconSet>
        <cfvo type="percent" val="0"/>
        <cfvo type="percent" val="&quot;$I$6&quot;"/>
        <cfvo type="percent" val="#REF!"/>
      </iconSet>
    </cfRule>
  </conditionalFormatting>
  <conditionalFormatting sqref="J12">
    <cfRule type="cellIs" dxfId="915" priority="26" operator="greaterThan">
      <formula>0</formula>
    </cfRule>
  </conditionalFormatting>
  <conditionalFormatting sqref="I64">
    <cfRule type="cellIs" dxfId="914" priority="23" operator="greaterThan">
      <formula>0</formula>
    </cfRule>
  </conditionalFormatting>
  <conditionalFormatting sqref="J64">
    <cfRule type="cellIs" dxfId="913" priority="20" operator="greaterThan">
      <formula>0</formula>
    </cfRule>
  </conditionalFormatting>
  <conditionalFormatting sqref="Z62:Z65 X62:X65">
    <cfRule type="cellIs" dxfId="912" priority="25" operator="lessThan">
      <formula>0</formula>
    </cfRule>
  </conditionalFormatting>
  <conditionalFormatting sqref="Z63">
    <cfRule type="iconSet" priority="22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911" priority="21" operator="lessThan">
      <formula>0</formula>
    </cfRule>
  </conditionalFormatting>
  <conditionalFormatting sqref="AA65">
    <cfRule type="cellIs" dxfId="910" priority="18" operator="lessThan">
      <formula>0</formula>
    </cfRule>
  </conditionalFormatting>
  <conditionalFormatting sqref="AP62:AP65">
    <cfRule type="cellIs" dxfId="909" priority="19" operator="notEqual">
      <formula>0</formula>
    </cfRule>
  </conditionalFormatting>
  <conditionalFormatting sqref="X64">
    <cfRule type="cellIs" dxfId="908" priority="15" operator="lessThan">
      <formula>0</formula>
    </cfRule>
  </conditionalFormatting>
  <conditionalFormatting sqref="X63">
    <cfRule type="iconSet" priority="16">
      <iconSet>
        <cfvo type="percent" val="0"/>
        <cfvo type="percent" val="&quot;$I$6&quot;"/>
        <cfvo type="percent" val="#REF!"/>
      </iconSet>
    </cfRule>
  </conditionalFormatting>
  <conditionalFormatting sqref="J24">
    <cfRule type="cellIs" dxfId="907" priority="13" operator="greaterThan">
      <formula>0</formula>
    </cfRule>
  </conditionalFormatting>
  <conditionalFormatting sqref="X71 X11 X15 X19 X23 X27 X35 X39 X43 X47 X51 X55 X59 X67 X75 X79 X83 X87">
    <cfRule type="iconSet" priority="3009">
      <iconSet>
        <cfvo type="percent" val="0"/>
        <cfvo type="percent" val="&quot;$I$6&quot;"/>
        <cfvo type="percent" val="#REF!"/>
      </iconSet>
    </cfRule>
  </conditionalFormatting>
  <conditionalFormatting sqref="I92">
    <cfRule type="cellIs" dxfId="906" priority="9" operator="greaterThan">
      <formula>0</formula>
    </cfRule>
  </conditionalFormatting>
  <conditionalFormatting sqref="J92">
    <cfRule type="cellIs" dxfId="905" priority="5" operator="greaterThan">
      <formula>0</formula>
    </cfRule>
  </conditionalFormatting>
  <conditionalFormatting sqref="X90:X93">
    <cfRule type="cellIs" dxfId="904" priority="11" operator="lessThan">
      <formula>0</formula>
    </cfRule>
  </conditionalFormatting>
  <conditionalFormatting sqref="Z90:Z93">
    <cfRule type="cellIs" dxfId="903" priority="7" operator="lessThan">
      <formula>0</formula>
    </cfRule>
  </conditionalFormatting>
  <conditionalFormatting sqref="Z92">
    <cfRule type="cellIs" dxfId="902" priority="6" operator="lessThan">
      <formula>0</formula>
    </cfRule>
  </conditionalFormatting>
  <conditionalFormatting sqref="AP90:AP93">
    <cfRule type="cellIs" dxfId="901" priority="4" operator="notEqual">
      <formula>0</formula>
    </cfRule>
  </conditionalFormatting>
  <conditionalFormatting sqref="AT90:AT93">
    <cfRule type="cellIs" dxfId="900" priority="3" operator="lessThan">
      <formula>0</formula>
    </cfRule>
  </conditionalFormatting>
  <conditionalFormatting sqref="X92">
    <cfRule type="cellIs" dxfId="899" priority="1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7" id="{7F9FEB0A-A6F9-4BB1-92EA-D2254E4957E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84" id="{A1556E03-A240-4B61-8A30-E7D75E25083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134" id="{24D341B0-11E9-4C25-B76E-8A8B54D8D87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53" id="{26793110-3A6C-4E3B-8F6B-4BAF373FF4B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62" id="{E2B5B718-178B-4103-AD8E-DC35A2C6B13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130" id="{A5809BBA-3F34-4E47-A2F4-4B42EA2F863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119" id="{1B1AD125-713F-4FCC-8257-EDAFA9B2ED6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39" id="{0A308CC3-DC87-4378-A2C8-6F19D2D0CB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58" id="{8290CEA7-E0E2-42EF-ACC6-D38C9FEC4A1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89" id="{6BF02B03-51A2-4E87-B530-AA6D95E43AC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108" id="{3B09D899-462B-471C-A721-B92D60BC07A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102" id="{FFE2D3E8-BA84-4CD6-921C-3C8CE58D8DE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93" id="{6BF1A98E-462C-45A0-B9E7-366AC7D1AA5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143" id="{6249105E-8FBE-496B-9762-E336B72BA6B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149" id="{479D4EC5-967E-468D-9BE3-9594D81335E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71" id="{399411D2-09BC-4A82-B254-8DBD62E5136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65" id="{9EE7AF66-BCA7-41E3-82E2-AB3A8791927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59" id="{9BE2D856-8255-450A-9CDB-2330C4A2EB5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49" id="{CBDEC061-3EC6-4EE3-B25B-0EC0D44DFEE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36" id="{9AE57EBB-A12F-4990-AA5D-7D3F415ADDA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24" id="{EC7C40EE-E408-4489-B4C4-9089D9F61FF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8" id="{BD2C98F1-3F8D-4E34-B888-370E0D6DA534}">
            <x14:iconSet>
              <x14:cfvo type="percent">
                <xm:f>0</xm:f>
              </x14:cfvo>
              <x14:cfvo type="percent">
                <xm:f>"$I$6"</xm:f>
              </x14:cfvo>
              <x14:cfvo type="percent">
                <xm:f>'11-05-2026'!#REF!</xm:f>
              </x14:cfvo>
            </x14:iconSet>
          </x14:cfRule>
          <xm:sqref>Z91</xm:sqref>
        </x14:conditionalFormatting>
        <x14:conditionalFormatting xmlns:xm="http://schemas.microsoft.com/office/excel/2006/main">
          <x14:cfRule type="iconSet" priority="2" id="{E8892646-67BD-400A-9BD3-224E85742375}">
            <x14:iconSet>
              <x14:cfvo type="percent">
                <xm:f>0</xm:f>
              </x14:cfvo>
              <x14:cfvo type="percent">
                <xm:f>"$I$6"</xm:f>
              </x14:cfvo>
              <x14:cfvo type="percent">
                <xm:f>'11-05-2026'!#REF!</xm:f>
              </x14:cfvo>
            </x14:iconSet>
          </x14:cfRule>
          <xm:sqref>X91</xm:sqref>
        </x14:conditionalFormatting>
        <x14:conditionalFormatting xmlns:xm="http://schemas.microsoft.com/office/excel/2006/main">
          <x14:cfRule type="iconSet" priority="10" id="{52B905EF-2CE9-4C2E-9419-E6DA051E3F6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CC189"/>
  <sheetViews>
    <sheetView zoomScale="18" zoomScaleNormal="18" zoomScaleSheetLayoutView="18" workbookViewId="0">
      <pane xSplit="11" ySplit="4" topLeftCell="O47" activePane="bottomRight" state="frozen"/>
      <selection pane="topRight" activeCell="L1" sqref="L1"/>
      <selection pane="bottomLeft" activeCell="A5" sqref="A5"/>
      <selection pane="bottomRight" activeCell="J41" sqref="J41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hidden="1" customWidth="1"/>
    <col min="53" max="53" width="20.42578125" style="91" hidden="1" customWidth="1"/>
    <col min="54" max="59" width="20.42578125" style="91" customWidth="1"/>
    <col min="60" max="60" width="20.42578125" style="91" hidden="1" customWidth="1"/>
    <col min="61" max="62" width="9.140625" style="91" hidden="1" customWidth="1"/>
    <col min="63" max="63" width="35.28515625" style="91" hidden="1" customWidth="1"/>
    <col min="64" max="64" width="4" style="91" hidden="1" customWidth="1"/>
    <col min="65" max="66" width="9.140625" style="91" hidden="1" customWidth="1"/>
    <col min="67" max="98" width="9.140625" style="91" customWidth="1"/>
    <col min="99" max="16384" width="11.42578125" style="91"/>
  </cols>
  <sheetData>
    <row r="1" spans="2:81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81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0.74524184051570985</v>
      </c>
      <c r="AH2" s="535"/>
      <c r="AK2" s="183">
        <f>+SUBTOTAL(9,AK6:AK111)</f>
        <v>394020</v>
      </c>
      <c r="AL2" s="183">
        <f>+SUBTOTAL(9,AL6:AL111)</f>
        <v>293640.19</v>
      </c>
      <c r="AW2" s="91">
        <v>0.59793648334624327</v>
      </c>
    </row>
    <row r="3" spans="2:81" ht="94.5" customHeight="1" x14ac:dyDescent="0.9">
      <c r="B3" s="363">
        <f>+AM4</f>
        <v>8.75</v>
      </c>
      <c r="C3" s="472"/>
      <c r="D3" s="472"/>
      <c r="E3" s="472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72"/>
      <c r="AD3" s="96"/>
      <c r="AE3" s="96"/>
      <c r="AF3" s="96"/>
      <c r="AG3" s="535"/>
      <c r="AH3" s="535"/>
      <c r="AK3" s="183"/>
      <c r="AL3" s="183"/>
      <c r="AT3" s="91">
        <v>8.75</v>
      </c>
    </row>
    <row r="4" spans="2:81" s="141" customFormat="1" ht="79.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+SUMIF($L$6:$L$94,AB3,$AB$6:$AB$94)</f>
        <v>7099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13-05-2026</v>
      </c>
      <c r="AH4" s="539"/>
      <c r="AI4" s="362">
        <f>+SUM(AI6:AI99)</f>
        <v>6567</v>
      </c>
      <c r="AJ4" s="362"/>
      <c r="AK4" s="98"/>
      <c r="AL4" s="98"/>
      <c r="AM4" s="363">
        <v>8.75</v>
      </c>
      <c r="AT4" s="396">
        <f>+SUBTOTAL(9,AT6:AT95)</f>
        <v>-56.108750000000555</v>
      </c>
      <c r="AU4" s="243"/>
      <c r="AW4" s="364">
        <v>46014</v>
      </c>
      <c r="AZ4" s="91"/>
    </row>
    <row r="5" spans="2:81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81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77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>
        <v>50</v>
      </c>
      <c r="P6" s="423"/>
      <c r="Q6" s="423">
        <v>50</v>
      </c>
      <c r="R6" s="423">
        <v>50</v>
      </c>
      <c r="S6" s="423">
        <v>100</v>
      </c>
      <c r="T6" s="423"/>
      <c r="U6" s="423"/>
      <c r="V6" s="423"/>
      <c r="W6" s="423"/>
      <c r="X6" s="135">
        <f t="shared" ref="X6:X66" si="0">IF(AT7="","",SUM(M6:W6)-(-(AT7-SUM(M6:W6))/$AT$3)*SUM($M$2:$W$2))</f>
        <v>350</v>
      </c>
      <c r="Y6" s="438"/>
      <c r="Z6" s="400">
        <v>0</v>
      </c>
      <c r="AA6" s="540">
        <f>+X8</f>
        <v>0</v>
      </c>
      <c r="AB6" s="135">
        <f t="shared" ref="AB6:AB67" si="1">+SUM(L6:W6)</f>
        <v>350</v>
      </c>
      <c r="AC6" s="136">
        <f>+AD6+AB6</f>
        <v>4610</v>
      </c>
      <c r="AD6" s="136">
        <v>4260</v>
      </c>
      <c r="AE6" s="438"/>
      <c r="AF6" s="438"/>
      <c r="AG6" s="109"/>
      <c r="AH6" s="110"/>
      <c r="AI6" s="157"/>
      <c r="AJ6" s="161">
        <f t="shared" ref="AJ6:AJ81" si="2">TRUNC(AI6)+(AI6-TRUNC(AI6))*60/100</f>
        <v>0</v>
      </c>
      <c r="AK6" s="167">
        <f t="shared" ref="AK6:AK81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81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78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424"/>
      <c r="X7" s="123">
        <f>+IF(H8="s",0,IF(AB7=0,0,IF(COUNTA(M7:W7)=AN9+0.25,SUMIF($C:$C,B7,$AB:$AB)/AN9,SUMIF($C:$C,B7,$AB:$AB)/(COUNTA(M7:W7)))))</f>
        <v>60</v>
      </c>
      <c r="Y7" s="439"/>
      <c r="Z7" s="400"/>
      <c r="AA7" s="541"/>
      <c r="AB7" s="134">
        <f t="shared" si="1"/>
        <v>525</v>
      </c>
      <c r="AC7" s="137">
        <f>+AB7+AD7</f>
        <v>4130</v>
      </c>
      <c r="AD7" s="137">
        <v>3605</v>
      </c>
      <c r="AE7" s="439">
        <v>0</v>
      </c>
      <c r="AF7" s="439">
        <f>+AE7+Y7</f>
        <v>0</v>
      </c>
      <c r="AG7" s="140">
        <f>+AC6-AC7</f>
        <v>480</v>
      </c>
      <c r="AH7" s="131">
        <f>+IF(((AB8+(AB9/2))*60)=0,"",(J7*AB7)/((AB8+(AB9/2))*60))</f>
        <v>0.89249999999999996</v>
      </c>
      <c r="AI7" s="161">
        <f>+AB8+AB9/2</f>
        <v>420</v>
      </c>
      <c r="AJ7" s="161">
        <f t="shared" si="2"/>
        <v>420</v>
      </c>
      <c r="AK7" s="167">
        <f t="shared" si="3"/>
        <v>25200</v>
      </c>
      <c r="AL7" s="167">
        <f>+AB7*J7</f>
        <v>22491</v>
      </c>
      <c r="AM7" s="230">
        <f>+AB7-(AI7*K7/K9)</f>
        <v>10.714285714285666</v>
      </c>
      <c r="AN7" s="339"/>
      <c r="AO7" s="340"/>
      <c r="AP7" s="167"/>
      <c r="AQ7" s="167"/>
      <c r="AR7" s="167"/>
      <c r="AS7" s="167"/>
      <c r="AT7" s="433">
        <f t="shared" ref="AT7" si="4">IF(AU7=0,"",AW7-(($AT$3*K7)+($AT$3*K7)*AU7)+AB6)</f>
        <v>-300.15000000000009</v>
      </c>
      <c r="AU7" s="393">
        <v>1.486</v>
      </c>
      <c r="AW7" s="356">
        <v>655</v>
      </c>
      <c r="AY7" s="356">
        <f>+AW7-AG7</f>
        <v>175</v>
      </c>
      <c r="AZ7" s="581" t="s">
        <v>482</v>
      </c>
      <c r="BA7" s="581"/>
      <c r="BB7" s="581"/>
      <c r="BC7" s="581"/>
      <c r="BD7" s="581"/>
      <c r="BE7" s="581"/>
      <c r="BF7" s="581"/>
      <c r="BG7" s="581"/>
      <c r="BH7" s="581"/>
      <c r="BI7" s="581"/>
      <c r="BJ7" s="581"/>
      <c r="BK7" s="581"/>
      <c r="BL7" s="581"/>
      <c r="BM7" s="581"/>
      <c r="BN7" s="581"/>
      <c r="BO7" s="581"/>
      <c r="BP7" s="581"/>
      <c r="BQ7" s="581"/>
      <c r="BR7" s="581"/>
      <c r="BS7" s="581"/>
      <c r="BT7" s="581"/>
      <c r="BU7" s="581"/>
      <c r="BV7" s="581"/>
      <c r="BW7" s="581"/>
      <c r="BX7" s="581"/>
      <c r="BY7" s="581"/>
      <c r="BZ7" s="581"/>
      <c r="CA7" s="581"/>
      <c r="CB7" s="581"/>
      <c r="CC7" s="581"/>
    </row>
    <row r="8" spans="2:81" s="98" customFormat="1" ht="62.25" customHeight="1" x14ac:dyDescent="1.35">
      <c r="B8" s="125">
        <f>+B7</f>
        <v>1</v>
      </c>
      <c r="C8" s="373"/>
      <c r="D8" s="184"/>
      <c r="E8" s="111">
        <f>+B7</f>
        <v>1</v>
      </c>
      <c r="F8" s="374"/>
      <c r="G8" s="578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47</v>
      </c>
      <c r="N8" s="215">
        <v>47</v>
      </c>
      <c r="O8" s="215">
        <v>47</v>
      </c>
      <c r="P8" s="215">
        <v>47</v>
      </c>
      <c r="Q8" s="215">
        <v>47</v>
      </c>
      <c r="R8" s="215">
        <v>47</v>
      </c>
      <c r="S8" s="215">
        <v>47</v>
      </c>
      <c r="T8" s="215">
        <v>47</v>
      </c>
      <c r="U8" s="215">
        <v>47</v>
      </c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541"/>
      <c r="AB8" s="443">
        <f t="shared" ref="AB8:AB9" si="5">+SUM(M8:W8)-U8*0.25</f>
        <v>411.25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411.25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  <c r="BF8" s="581"/>
      <c r="BG8" s="581"/>
      <c r="BH8" s="581"/>
      <c r="BI8" s="581"/>
      <c r="BJ8" s="581"/>
      <c r="BK8" s="581"/>
      <c r="BL8" s="581"/>
      <c r="BM8" s="581"/>
      <c r="BN8" s="581"/>
      <c r="BO8" s="581"/>
    </row>
    <row r="9" spans="2:81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79" t="str">
        <f>+G6</f>
        <v>2917-496-712</v>
      </c>
      <c r="H9" s="454">
        <f>+AC6-H7</f>
        <v>-1390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si="5"/>
        <v>17.5</v>
      </c>
      <c r="AC9" s="139"/>
      <c r="AD9" s="139"/>
      <c r="AE9" s="441"/>
      <c r="AF9" s="441"/>
      <c r="AG9" s="119">
        <f>+IFERROR(AG7/(K7*$AT$3),"")</f>
        <v>0.91428571428571426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17.5</v>
      </c>
      <c r="AP9" s="167">
        <f>+AO9-AB9</f>
        <v>0</v>
      </c>
      <c r="AQ9" s="167"/>
      <c r="AR9" s="167"/>
      <c r="AS9" s="167"/>
      <c r="AT9" s="435"/>
      <c r="AU9" s="393"/>
      <c r="AW9" s="356">
        <v>1.2476190476190476</v>
      </c>
      <c r="AY9" s="356"/>
    </row>
    <row r="10" spans="2:81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77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23">
        <v>75</v>
      </c>
      <c r="N10" s="423">
        <v>75</v>
      </c>
      <c r="O10" s="423">
        <v>75</v>
      </c>
      <c r="P10" s="423">
        <v>75</v>
      </c>
      <c r="Q10" s="423">
        <v>75</v>
      </c>
      <c r="R10" s="423"/>
      <c r="S10" s="423"/>
      <c r="T10" s="423"/>
      <c r="U10" s="423"/>
      <c r="V10" s="423"/>
      <c r="W10" s="423"/>
      <c r="X10" s="135">
        <f t="shared" si="0"/>
        <v>375</v>
      </c>
      <c r="Y10" s="438"/>
      <c r="Z10" s="400">
        <v>-136</v>
      </c>
      <c r="AA10" s="540">
        <f>+X12</f>
        <v>-116</v>
      </c>
      <c r="AB10" s="135">
        <f t="shared" si="1"/>
        <v>375</v>
      </c>
      <c r="AC10" s="136">
        <f>+AD10+AB10</f>
        <v>2251</v>
      </c>
      <c r="AD10" s="136">
        <v>1876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81" s="98" customFormat="1" ht="62.25" customHeight="1" x14ac:dyDescent="1.35">
      <c r="B11" s="132">
        <v>2</v>
      </c>
      <c r="C11" s="371">
        <f>+B11</f>
        <v>2</v>
      </c>
      <c r="D11" s="372" t="s">
        <v>439</v>
      </c>
      <c r="E11" s="111"/>
      <c r="F11" s="111" t="s">
        <v>35</v>
      </c>
      <c r="G11" s="578" t="str">
        <f>+G10</f>
        <v>7740-876-052</v>
      </c>
      <c r="H11" s="450">
        <v>7000</v>
      </c>
      <c r="I11" s="111" t="s">
        <v>33</v>
      </c>
      <c r="J11" s="113">
        <v>55.78</v>
      </c>
      <c r="K11" s="130">
        <v>52</v>
      </c>
      <c r="L11" s="101" t="s">
        <v>17</v>
      </c>
      <c r="M11" s="214">
        <v>40</v>
      </c>
      <c r="N11" s="214">
        <v>42</v>
      </c>
      <c r="O11" s="214">
        <v>45</v>
      </c>
      <c r="P11" s="214">
        <v>45</v>
      </c>
      <c r="Q11" s="214">
        <v>32</v>
      </c>
      <c r="R11" s="214">
        <v>50</v>
      </c>
      <c r="S11" s="214">
        <v>50</v>
      </c>
      <c r="T11" s="214">
        <v>23</v>
      </c>
      <c r="U11" s="214">
        <v>12</v>
      </c>
      <c r="V11" s="214"/>
      <c r="W11" s="424"/>
      <c r="X11" s="123">
        <f>+IF(H12="s",0,IF(AB11=0,0,IF(COUNTA(M11:W11)=AN13+0.25,SUMIF($C:$C,B11,$AB:$AB)/AN13,SUMIF($C:$C,B11,$AB:$AB)/(COUNTA(M11:W11)))))</f>
        <v>38.74285714285714</v>
      </c>
      <c r="Y11" s="439"/>
      <c r="Z11" s="400"/>
      <c r="AA11" s="541"/>
      <c r="AB11" s="134">
        <f>+SUM(L11:W11)</f>
        <v>339</v>
      </c>
      <c r="AC11" s="137">
        <f>+AB11+AD11</f>
        <v>1417</v>
      </c>
      <c r="AD11" s="137">
        <v>1078</v>
      </c>
      <c r="AE11" s="439">
        <v>0</v>
      </c>
      <c r="AF11" s="439">
        <f>+AE11+Y11</f>
        <v>0</v>
      </c>
      <c r="AG11" s="140">
        <f>+AC10-AC11</f>
        <v>834</v>
      </c>
      <c r="AH11" s="131">
        <f>+IF(((AB12+(AB13/2))*60)=0,"",(J11*AB11)/((AB12+(AB13/2))*60))</f>
        <v>0.66699894179894181</v>
      </c>
      <c r="AI11" s="161">
        <f>+AB12+AB13/2</f>
        <v>472.5</v>
      </c>
      <c r="AJ11" s="161">
        <f t="shared" si="2"/>
        <v>472.3</v>
      </c>
      <c r="AK11" s="167">
        <f t="shared" si="3"/>
        <v>28350</v>
      </c>
      <c r="AL11" s="167">
        <f>+AB11*J11</f>
        <v>18909.420000000002</v>
      </c>
      <c r="AM11" s="230">
        <f>+AB11-(AI11*K11/K13)</f>
        <v>-99.75</v>
      </c>
      <c r="AN11" s="339"/>
      <c r="AO11" s="340"/>
      <c r="AP11" s="167"/>
      <c r="AQ11" s="167"/>
      <c r="AR11" s="167"/>
      <c r="AS11" s="167"/>
      <c r="AT11" s="433">
        <f t="shared" ref="AT11" si="6">IF(AU11=0,"",AW11-(($AT$3*K11)+($AT$3*K11)*AU11)+AB10)</f>
        <v>8.1999999999998181</v>
      </c>
      <c r="AU11" s="393">
        <v>1.56</v>
      </c>
      <c r="AW11" s="356">
        <v>798</v>
      </c>
      <c r="AY11" s="356">
        <f>+AW11-AG11</f>
        <v>-36</v>
      </c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</row>
    <row r="12" spans="2:81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78" t="str">
        <f>+G10</f>
        <v>7740-876-052</v>
      </c>
      <c r="H12" s="376" t="s">
        <v>400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54</v>
      </c>
      <c r="N12" s="215">
        <v>54</v>
      </c>
      <c r="O12" s="215">
        <v>54</v>
      </c>
      <c r="P12" s="215">
        <v>54</v>
      </c>
      <c r="Q12" s="215">
        <v>54</v>
      </c>
      <c r="R12" s="215">
        <v>54</v>
      </c>
      <c r="S12" s="215">
        <v>54</v>
      </c>
      <c r="T12" s="215">
        <v>54</v>
      </c>
      <c r="U12" s="215">
        <v>54</v>
      </c>
      <c r="V12" s="215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-116</v>
      </c>
      <c r="Y12" s="440"/>
      <c r="Z12" s="400"/>
      <c r="AA12" s="541"/>
      <c r="AB12" s="443">
        <f t="shared" ref="AB12:AB73" si="7">+SUM(M12:W12)-U12*0.25</f>
        <v>472.5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472.5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81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79" t="str">
        <f>+G10</f>
        <v>7740-876-052</v>
      </c>
      <c r="H13" s="454">
        <f>+AC10-H11</f>
        <v>-4749</v>
      </c>
      <c r="I13" s="397"/>
      <c r="J13" s="165">
        <f>+IF(K13="","",IF(K11=0,"",(K11*J11)/(K13*60)))</f>
        <v>0.86326190476190479</v>
      </c>
      <c r="K13" s="118">
        <v>56</v>
      </c>
      <c r="L13" s="104" t="s">
        <v>19</v>
      </c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8"/>
      <c r="X13" s="173"/>
      <c r="Y13" s="441"/>
      <c r="Z13" s="401">
        <v>39.917802197802189</v>
      </c>
      <c r="AA13" s="168">
        <f>+IF(COUNTA(M11:W11)=$AM$4+0.25,$AM$4-(AB11/K11),COUNTA(M11:W11)-(AB11/K11))+Z13</f>
        <v>42.148571428571422</v>
      </c>
      <c r="AB13" s="444">
        <f t="shared" si="7"/>
        <v>0</v>
      </c>
      <c r="AC13" s="139"/>
      <c r="AD13" s="139"/>
      <c r="AE13" s="441"/>
      <c r="AF13" s="441"/>
      <c r="AG13" s="119">
        <f>+IFERROR(AG11/(K11*$AT$3),"")</f>
        <v>1.8329670329670329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0</v>
      </c>
      <c r="AP13" s="167">
        <f>+AO13-AB13</f>
        <v>0</v>
      </c>
      <c r="AQ13" s="167"/>
      <c r="AR13" s="167"/>
      <c r="AS13" s="167"/>
      <c r="AT13" s="435"/>
      <c r="AU13" s="393"/>
      <c r="AW13" s="356">
        <v>1.7538461538461538</v>
      </c>
      <c r="AY13" s="356"/>
    </row>
    <row r="14" spans="2:81" s="98" customFormat="1" ht="62.25" customHeight="1" thickTop="1" x14ac:dyDescent="0.9">
      <c r="B14" s="97">
        <f>+B15</f>
        <v>3</v>
      </c>
      <c r="C14" s="370"/>
      <c r="D14" s="106"/>
      <c r="E14" s="106"/>
      <c r="F14" s="106"/>
      <c r="G14" s="577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>
        <v>75</v>
      </c>
      <c r="N14" s="423">
        <v>75</v>
      </c>
      <c r="O14" s="423">
        <v>75</v>
      </c>
      <c r="P14" s="423">
        <v>150</v>
      </c>
      <c r="Q14" s="423">
        <v>75</v>
      </c>
      <c r="R14" s="423"/>
      <c r="S14" s="423"/>
      <c r="T14" s="423"/>
      <c r="U14" s="423"/>
      <c r="V14" s="423"/>
      <c r="W14" s="423"/>
      <c r="X14" s="135">
        <f t="shared" si="0"/>
        <v>450</v>
      </c>
      <c r="Y14" s="438"/>
      <c r="Z14" s="400">
        <v>0</v>
      </c>
      <c r="AA14" s="540">
        <f>+X16</f>
        <v>0</v>
      </c>
      <c r="AB14" s="135">
        <f t="shared" si="1"/>
        <v>450</v>
      </c>
      <c r="AC14" s="136">
        <f>+AD14+AB14</f>
        <v>7914</v>
      </c>
      <c r="AD14" s="136">
        <v>7464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81" s="98" customFormat="1" ht="62.25" customHeight="1" x14ac:dyDescent="1.35">
      <c r="B15" s="132">
        <v>3</v>
      </c>
      <c r="C15" s="371">
        <v>3</v>
      </c>
      <c r="D15" s="372" t="s">
        <v>439</v>
      </c>
      <c r="E15" s="111"/>
      <c r="F15" s="111" t="s">
        <v>35</v>
      </c>
      <c r="G15" s="578" t="str">
        <f>+G14</f>
        <v>7740-876-052</v>
      </c>
      <c r="H15" s="450">
        <v>12000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52</v>
      </c>
      <c r="N15" s="214">
        <v>52</v>
      </c>
      <c r="O15" s="214">
        <v>52</v>
      </c>
      <c r="P15" s="214">
        <v>52</v>
      </c>
      <c r="Q15" s="214">
        <v>52</v>
      </c>
      <c r="R15" s="214">
        <v>52</v>
      </c>
      <c r="S15" s="214">
        <v>52</v>
      </c>
      <c r="T15" s="214">
        <v>52</v>
      </c>
      <c r="U15" s="214">
        <v>39</v>
      </c>
      <c r="V15" s="214"/>
      <c r="W15" s="424"/>
      <c r="X15" s="123">
        <f>+IF(H16="s",0,IF(AB15=0,0,IF(COUNTA(M15:W15)=AN17+0.25,SUMIF($C:$C,B15,$AB:$AB)/AN17,SUMIF($C:$C,B15,$AB:$AB)/(COUNTA(M15:W15)))))</f>
        <v>52</v>
      </c>
      <c r="Y15" s="439"/>
      <c r="Z15" s="400"/>
      <c r="AA15" s="541"/>
      <c r="AB15" s="134">
        <f t="shared" si="1"/>
        <v>455</v>
      </c>
      <c r="AC15" s="137">
        <f>+AB15+AD15</f>
        <v>7238</v>
      </c>
      <c r="AD15" s="137">
        <v>6783</v>
      </c>
      <c r="AE15" s="439"/>
      <c r="AF15" s="439">
        <f>+AE15+Y15</f>
        <v>0</v>
      </c>
      <c r="AG15" s="140">
        <f>+AC14-AC15</f>
        <v>676</v>
      </c>
      <c r="AH15" s="131">
        <f>+IF(((AB16+(AB17/2))*60)=0,"",(J15*AB15)/((AB16+(AB17/2))*60))</f>
        <v>0.90360124610591908</v>
      </c>
      <c r="AI15" s="161">
        <f>+AB16+AB17/2</f>
        <v>468.125</v>
      </c>
      <c r="AJ15" s="161">
        <f t="shared" si="2"/>
        <v>468.07499999999999</v>
      </c>
      <c r="AK15" s="167">
        <f t="shared" si="3"/>
        <v>28087.5</v>
      </c>
      <c r="AL15" s="167">
        <f>+AB15*J15</f>
        <v>25379.9</v>
      </c>
      <c r="AM15" s="230">
        <f>+AB15-(AI15*K15/K17)</f>
        <v>20.3125</v>
      </c>
      <c r="AN15" s="339"/>
      <c r="AO15" s="340"/>
      <c r="AP15" s="167"/>
      <c r="AQ15" s="167"/>
      <c r="AR15" s="167"/>
      <c r="AS15" s="167"/>
      <c r="AT15" s="433">
        <f t="shared" ref="AT15" si="8">IF(AU15=0,"",AW15-(($AT$3*K15)+($AT$3*K15)*AU15)+AB14)</f>
        <v>9.7499999999854481E-2</v>
      </c>
      <c r="AU15" s="393">
        <v>1.4855</v>
      </c>
      <c r="AW15" s="356">
        <v>681</v>
      </c>
      <c r="AY15" s="356">
        <f t="shared" ref="AY15" si="9">+AW15-AG15</f>
        <v>5</v>
      </c>
      <c r="AZ15" s="581"/>
      <c r="BA15" s="581"/>
      <c r="BB15" s="581"/>
      <c r="BC15" s="581"/>
      <c r="BD15" s="581"/>
      <c r="BE15" s="581"/>
      <c r="BF15" s="581"/>
      <c r="BG15" s="581"/>
      <c r="BH15" s="581"/>
      <c r="BI15" s="581"/>
    </row>
    <row r="16" spans="2:81" s="98" customFormat="1" ht="62.25" customHeight="1" x14ac:dyDescent="0.9">
      <c r="B16" s="125">
        <f>+B15</f>
        <v>3</v>
      </c>
      <c r="C16" s="373"/>
      <c r="D16" s="184"/>
      <c r="E16" s="111">
        <f>+B15</f>
        <v>3</v>
      </c>
      <c r="F16" s="374"/>
      <c r="G16" s="578" t="str">
        <f>+G14</f>
        <v>7740-876-052</v>
      </c>
      <c r="H16" s="376"/>
      <c r="I16" s="113">
        <f>+IFERROR(IF(K17=0,0,IF((LOOKUP(2,1/(M16:W16&lt;&gt;""),M16:W16)-K17)&lt;0,0,IF(K17=0,"",LOOKUP(2,1/(M16:W16&lt;&gt;""),M16:W16)-K17))),0)</f>
        <v>0</v>
      </c>
      <c r="J16" s="113">
        <v>2</v>
      </c>
      <c r="K16" s="114" t="s">
        <v>22</v>
      </c>
      <c r="L16" s="102" t="s">
        <v>18</v>
      </c>
      <c r="M16" s="215">
        <v>53</v>
      </c>
      <c r="N16" s="215">
        <v>53</v>
      </c>
      <c r="O16" s="215">
        <v>53</v>
      </c>
      <c r="P16" s="215">
        <v>53</v>
      </c>
      <c r="Q16" s="215">
        <v>53</v>
      </c>
      <c r="R16" s="215">
        <v>53</v>
      </c>
      <c r="S16" s="215">
        <v>53</v>
      </c>
      <c r="T16" s="215">
        <v>53</v>
      </c>
      <c r="U16" s="215">
        <v>53</v>
      </c>
      <c r="V16" s="426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0</v>
      </c>
      <c r="Y16" s="440"/>
      <c r="Z16" s="400"/>
      <c r="AA16" s="541"/>
      <c r="AB16" s="443">
        <f t="shared" si="7"/>
        <v>463.75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463.75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51" s="98" customFormat="1" ht="62.25" customHeight="1" thickBot="1" x14ac:dyDescent="0.95">
      <c r="B17" s="126">
        <f>+B15</f>
        <v>3</v>
      </c>
      <c r="C17" s="375"/>
      <c r="D17" s="174" t="s">
        <v>423</v>
      </c>
      <c r="E17" s="175">
        <f>+E16+100</f>
        <v>103</v>
      </c>
      <c r="F17" s="175"/>
      <c r="G17" s="579" t="str">
        <f>+G14</f>
        <v>7740-876-052</v>
      </c>
      <c r="H17" s="454">
        <f>+AC14-H15</f>
        <v>-4086</v>
      </c>
      <c r="I17" s="397"/>
      <c r="J17" s="165">
        <f>+IF(K17="","",IF(K15=0,"",(K15*J15)/(K17*60)))</f>
        <v>0.86326190476190479</v>
      </c>
      <c r="K17" s="118">
        <v>56</v>
      </c>
      <c r="L17" s="104" t="s">
        <v>19</v>
      </c>
      <c r="M17" s="427">
        <v>1</v>
      </c>
      <c r="N17" s="427">
        <v>1</v>
      </c>
      <c r="O17" s="427">
        <v>1</v>
      </c>
      <c r="P17" s="427">
        <v>1</v>
      </c>
      <c r="Q17" s="427">
        <v>1</v>
      </c>
      <c r="R17" s="427">
        <v>1</v>
      </c>
      <c r="S17" s="427">
        <v>1</v>
      </c>
      <c r="T17" s="427">
        <v>1</v>
      </c>
      <c r="U17" s="427">
        <v>1</v>
      </c>
      <c r="V17" s="428"/>
      <c r="W17" s="428"/>
      <c r="X17" s="173"/>
      <c r="Y17" s="441"/>
      <c r="Z17" s="401">
        <v>37.057412587412585</v>
      </c>
      <c r="AA17" s="401">
        <v>37.057412587412585</v>
      </c>
      <c r="AB17" s="444">
        <f t="shared" si="7"/>
        <v>8.75</v>
      </c>
      <c r="AC17" s="139"/>
      <c r="AD17" s="139"/>
      <c r="AE17" s="441"/>
      <c r="AF17" s="441"/>
      <c r="AG17" s="119">
        <f>+IFERROR(AG15/(K15*$AT$3),"")</f>
        <v>1.4857142857142858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8.75</v>
      </c>
      <c r="AP17" s="167">
        <f>+AO17-AB17</f>
        <v>0</v>
      </c>
      <c r="AQ17" s="167"/>
      <c r="AR17" s="167"/>
      <c r="AS17" s="167"/>
      <c r="AT17" s="435"/>
      <c r="AU17" s="393"/>
      <c r="AW17" s="356">
        <v>1.4967032967032967</v>
      </c>
      <c r="AY17" s="356"/>
    </row>
    <row r="18" spans="2:51" s="98" customFormat="1" ht="62.25" customHeight="1" thickTop="1" x14ac:dyDescent="0.9">
      <c r="B18" s="97">
        <f>+B19</f>
        <v>4</v>
      </c>
      <c r="C18" s="370"/>
      <c r="D18" s="106"/>
      <c r="E18" s="106"/>
      <c r="F18" s="106"/>
      <c r="G18" s="582" t="s">
        <v>431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135" t="str">
        <f t="shared" si="0"/>
        <v/>
      </c>
      <c r="Y18" s="438"/>
      <c r="Z18" s="400">
        <v>0</v>
      </c>
      <c r="AA18" s="540">
        <f>+X20</f>
        <v>0</v>
      </c>
      <c r="AB18" s="135">
        <f t="shared" si="1"/>
        <v>0</v>
      </c>
      <c r="AC18" s="136">
        <f>+AD18+AB18</f>
        <v>9585</v>
      </c>
      <c r="AD18" s="136">
        <v>9585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51" s="98" customFormat="1" ht="62.25" customHeight="1" x14ac:dyDescent="0.9">
      <c r="B19" s="132">
        <v>4</v>
      </c>
      <c r="C19" s="371">
        <f>+B19</f>
        <v>4</v>
      </c>
      <c r="D19" s="372" t="s">
        <v>430</v>
      </c>
      <c r="E19" s="111"/>
      <c r="F19" s="111" t="s">
        <v>35</v>
      </c>
      <c r="G19" s="582" t="str">
        <f>+G18</f>
        <v xml:space="preserve">2878-556-700 </v>
      </c>
      <c r="H19" s="450">
        <v>9585</v>
      </c>
      <c r="I19" s="111" t="s">
        <v>251</v>
      </c>
      <c r="J19" s="113">
        <v>36.65</v>
      </c>
      <c r="K19" s="130">
        <v>75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424"/>
      <c r="X19" s="123">
        <f>+IF(H20="s",0,IF(AB19=0,0,IF(COUNTA(M19:W19)=AN21+0.25,SUMIF($C:$C,B19,$AB:$AB)/AN21,SUMIF($C:$C,B19,$AB:$AB)/(COUNTA(M19:W19)))))</f>
        <v>0</v>
      </c>
      <c r="Y19" s="439"/>
      <c r="Z19" s="400"/>
      <c r="AA19" s="541"/>
      <c r="AB19" s="134">
        <f t="shared" si="1"/>
        <v>0</v>
      </c>
      <c r="AC19" s="137">
        <f>+AB19+AD19</f>
        <v>9549</v>
      </c>
      <c r="AD19" s="137">
        <v>9549</v>
      </c>
      <c r="AE19" s="439">
        <v>0</v>
      </c>
      <c r="AF19" s="439">
        <f>+AE19+Y19</f>
        <v>0</v>
      </c>
      <c r="AG19" s="140">
        <f>+AC18-AC19</f>
        <v>36</v>
      </c>
      <c r="AH19" s="131" t="str">
        <f>+IF(((AB20+(AB21/2))*60)=0,"",(J19*AB19)/((AB20+(AB21/2))*60))</f>
        <v/>
      </c>
      <c r="AI19" s="161">
        <f>+AB20+AB21/2</f>
        <v>0</v>
      </c>
      <c r="AJ19" s="161">
        <f t="shared" si="2"/>
        <v>0</v>
      </c>
      <c r="AK19" s="167">
        <f t="shared" si="3"/>
        <v>0</v>
      </c>
      <c r="AL19" s="167">
        <f>+AB19*J19</f>
        <v>0</v>
      </c>
      <c r="AM19" s="230">
        <f>+AB19-(AI19*K19/K21)</f>
        <v>0</v>
      </c>
      <c r="AN19" s="339"/>
      <c r="AO19" s="340"/>
      <c r="AP19" s="167"/>
      <c r="AQ19" s="167"/>
      <c r="AR19" s="167"/>
      <c r="AS19" s="167"/>
      <c r="AT19" s="433" t="str">
        <f t="shared" ref="AT19" si="10">IF(AU19=0,"",AW19-(($AT$3*K19)+($AT$3*K19)*AU19)+AB18)</f>
        <v/>
      </c>
      <c r="AU19" s="393"/>
      <c r="AW19" s="356">
        <v>36</v>
      </c>
      <c r="AY19" s="356">
        <f t="shared" ref="AY19" si="11">+AW19-AG19</f>
        <v>0</v>
      </c>
    </row>
    <row r="20" spans="2:51" s="98" customFormat="1" ht="62.25" customHeight="1" x14ac:dyDescent="0.9">
      <c r="B20" s="125">
        <f>+B19</f>
        <v>4</v>
      </c>
      <c r="C20" s="373"/>
      <c r="D20" s="184"/>
      <c r="E20" s="111">
        <f>+B19</f>
        <v>4</v>
      </c>
      <c r="F20" s="374"/>
      <c r="G20" s="582" t="str">
        <f>+G19</f>
        <v xml:space="preserve">2878-556-700 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25"/>
      <c r="N20" s="425"/>
      <c r="O20" s="425"/>
      <c r="P20" s="425"/>
      <c r="Q20" s="425"/>
      <c r="R20" s="425"/>
      <c r="S20" s="425"/>
      <c r="T20" s="425"/>
      <c r="U20" s="425"/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0</v>
      </c>
      <c r="Y20" s="440"/>
      <c r="Z20" s="400"/>
      <c r="AA20" s="541"/>
      <c r="AB20" s="443">
        <f t="shared" si="7"/>
        <v>0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51" s="98" customFormat="1" ht="62.25" customHeight="1" thickBot="1" x14ac:dyDescent="0.95">
      <c r="B21" s="126">
        <f>+B19</f>
        <v>4</v>
      </c>
      <c r="C21" s="375"/>
      <c r="D21" s="174" t="s">
        <v>445</v>
      </c>
      <c r="E21" s="175">
        <f>+E20+100</f>
        <v>104</v>
      </c>
      <c r="F21" s="175"/>
      <c r="G21" s="582" t="str">
        <f>+G20</f>
        <v xml:space="preserve">2878-556-700 </v>
      </c>
      <c r="H21" s="454">
        <f>+AC18-H19</f>
        <v>0</v>
      </c>
      <c r="I21" s="397"/>
      <c r="J21" s="165">
        <f>+IF(K21="","",IF(K19=0,"",(K19*J19)/(K21*60)))</f>
        <v>0.91625000000000001</v>
      </c>
      <c r="K21" s="118">
        <v>50</v>
      </c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8"/>
      <c r="W21" s="428"/>
      <c r="X21" s="173"/>
      <c r="Y21" s="441"/>
      <c r="Z21" s="401">
        <v>29.116666666666667</v>
      </c>
      <c r="AA21" s="169">
        <v>29.116666666666667</v>
      </c>
      <c r="AB21" s="444">
        <f t="shared" si="7"/>
        <v>0</v>
      </c>
      <c r="AC21" s="139"/>
      <c r="AD21" s="139"/>
      <c r="AE21" s="441"/>
      <c r="AF21" s="441"/>
      <c r="AG21" s="119">
        <f>+IFERROR(AG19/(K19*$AT$3),"")</f>
        <v>5.4857142857142854E-2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+IF(AN21=7.75,SUM(N21:S21)+T21*0.75,IF(AN21=8,SUM(N21:T21),IF(AN21=7.25,SUM(N21:S21)+T21*0.25,IF(AN21=8.25,SUM(N21:T21)+U21*0.25,IF(AN21=8.75,SUM(N21:T21)+U21*0.75,0)))))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5.4857142857142854E-2</v>
      </c>
      <c r="AY21" s="356"/>
    </row>
    <row r="22" spans="2:5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77" t="s">
        <v>472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50</v>
      </c>
      <c r="N22" s="423">
        <v>50</v>
      </c>
      <c r="O22" s="423">
        <v>50</v>
      </c>
      <c r="P22" s="423">
        <v>50</v>
      </c>
      <c r="Q22" s="423">
        <v>50</v>
      </c>
      <c r="R22" s="423">
        <v>50</v>
      </c>
      <c r="S22" s="423">
        <v>50</v>
      </c>
      <c r="T22" s="423">
        <v>50</v>
      </c>
      <c r="U22" s="423"/>
      <c r="V22" s="423"/>
      <c r="W22" s="423"/>
      <c r="X22" s="135">
        <f t="shared" si="0"/>
        <v>400</v>
      </c>
      <c r="Y22" s="438"/>
      <c r="Z22" s="400">
        <v>-85</v>
      </c>
      <c r="AA22" s="540">
        <f>+X24</f>
        <v>-114</v>
      </c>
      <c r="AB22" s="135">
        <f t="shared" si="1"/>
        <v>400</v>
      </c>
      <c r="AC22" s="136">
        <f>+AD22+AB22</f>
        <v>2101</v>
      </c>
      <c r="AD22" s="136">
        <v>1701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51" s="98" customFormat="1" ht="62.25" customHeight="1" x14ac:dyDescent="0.9">
      <c r="B23" s="132">
        <v>4</v>
      </c>
      <c r="C23" s="371">
        <f>+B23</f>
        <v>4</v>
      </c>
      <c r="D23" s="372" t="s">
        <v>473</v>
      </c>
      <c r="E23" s="111"/>
      <c r="F23" s="111" t="s">
        <v>35</v>
      </c>
      <c r="G23" s="578" t="s">
        <v>472</v>
      </c>
      <c r="H23" s="450">
        <v>8333</v>
      </c>
      <c r="I23" s="111" t="s">
        <v>251</v>
      </c>
      <c r="J23" s="113">
        <v>34.549999999999997</v>
      </c>
      <c r="K23" s="130">
        <v>60</v>
      </c>
      <c r="L23" s="101" t="s">
        <v>17</v>
      </c>
      <c r="M23" s="214">
        <v>60</v>
      </c>
      <c r="N23" s="214">
        <v>60</v>
      </c>
      <c r="O23" s="214">
        <v>40</v>
      </c>
      <c r="P23" s="214">
        <v>60</v>
      </c>
      <c r="Q23" s="214">
        <v>30</v>
      </c>
      <c r="R23" s="214">
        <v>30</v>
      </c>
      <c r="S23" s="214">
        <v>30</v>
      </c>
      <c r="T23" s="214">
        <v>60</v>
      </c>
      <c r="U23" s="214">
        <v>41</v>
      </c>
      <c r="V23" s="214"/>
      <c r="W23" s="424"/>
      <c r="X23" s="123">
        <f>+IF(H24="s",0,IF(AB23=0,0,IF(COUNTA(M23:W23)=AN25+0.25,SUMIF($C:$C,B23,$AB:$AB)/AN25,SUMIF($C:$C,B23,$AB:$AB)/(COUNTA(M23:W23)))))</f>
        <v>46.971428571428568</v>
      </c>
      <c r="Y23" s="439"/>
      <c r="Z23" s="400"/>
      <c r="AA23" s="541"/>
      <c r="AB23" s="134">
        <f t="shared" si="1"/>
        <v>411</v>
      </c>
      <c r="AC23" s="137">
        <f>+AB23+AD23</f>
        <v>1219</v>
      </c>
      <c r="AD23" s="137">
        <v>808</v>
      </c>
      <c r="AE23" s="439">
        <v>0</v>
      </c>
      <c r="AF23" s="439">
        <f>+AE23+Y23</f>
        <v>0</v>
      </c>
      <c r="AG23" s="140">
        <f>+AC22-AC23</f>
        <v>882</v>
      </c>
      <c r="AH23" s="131">
        <f>+IF(((AB24+(AB25/2))*60)=0,"",(J23*AB23)/((AB24+(AB25/2))*60))</f>
        <v>0.65970034843205572</v>
      </c>
      <c r="AI23" s="161">
        <f>+AB24+AB25/2</f>
        <v>358.75</v>
      </c>
      <c r="AJ23" s="161">
        <f t="shared" si="2"/>
        <v>358.45</v>
      </c>
      <c r="AK23" s="167">
        <f t="shared" si="3"/>
        <v>21525</v>
      </c>
      <c r="AL23" s="167">
        <f>+AB23*J23</f>
        <v>14200.05</v>
      </c>
      <c r="AM23" s="230">
        <f>+AB23-(AI23*K23/K25)</f>
        <v>-127.125</v>
      </c>
      <c r="AN23" s="339"/>
      <c r="AO23" s="340"/>
      <c r="AP23" s="167"/>
      <c r="AQ23" s="167"/>
      <c r="AR23" s="167"/>
      <c r="AS23" s="167"/>
      <c r="AT23" s="433">
        <f t="shared" ref="AT23" si="12">IF(AU23=0,"",AW23-(($AT$3*K23)+($AT$3*K23)*AU23)+AB22)</f>
        <v>0.45000000000004547</v>
      </c>
      <c r="AU23" s="393">
        <v>1.462</v>
      </c>
      <c r="AW23" s="356">
        <v>893</v>
      </c>
      <c r="AY23" s="356">
        <f t="shared" ref="AY23" si="13">+AW23-AG23</f>
        <v>11</v>
      </c>
    </row>
    <row r="24" spans="2:5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78" t="s">
        <v>472</v>
      </c>
      <c r="H24" s="376" t="s">
        <v>400</v>
      </c>
      <c r="I24" s="113">
        <f>+IFERROR(IF(K25=0,0,IF((LOOKUP(2,1/(M24:W24&lt;&gt;""),M24:W24)-K25)&lt;0,0,IF(K25=0,"",LOOKUP(2,1/(M24:W24&lt;&gt;""),M24:W24)-K25))),0)</f>
        <v>1</v>
      </c>
      <c r="J24" s="113"/>
      <c r="K24" s="114" t="s">
        <v>22</v>
      </c>
      <c r="L24" s="102" t="s">
        <v>18</v>
      </c>
      <c r="M24" s="425">
        <v>41</v>
      </c>
      <c r="N24" s="425">
        <v>41</v>
      </c>
      <c r="O24" s="425">
        <v>41</v>
      </c>
      <c r="P24" s="425">
        <v>41</v>
      </c>
      <c r="Q24" s="425">
        <v>41</v>
      </c>
      <c r="R24" s="425">
        <v>41</v>
      </c>
      <c r="S24" s="425">
        <v>41</v>
      </c>
      <c r="T24" s="425">
        <v>41</v>
      </c>
      <c r="U24" s="425">
        <v>41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-114</v>
      </c>
      <c r="Y24" s="440"/>
      <c r="Z24" s="400"/>
      <c r="AA24" s="541"/>
      <c r="AB24" s="443">
        <f t="shared" si="7"/>
        <v>358.75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358.75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5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79" t="s">
        <v>472</v>
      </c>
      <c r="H25" s="454">
        <f>+AC22-H23</f>
        <v>-6232</v>
      </c>
      <c r="I25" s="397"/>
      <c r="J25" s="165">
        <f>+IF(K25="","",IF(K23=0,"",(K23*J23)/(K25*60)))</f>
        <v>0.86375000000000002</v>
      </c>
      <c r="K25" s="118">
        <v>40</v>
      </c>
      <c r="L25" s="104" t="s">
        <v>19</v>
      </c>
      <c r="M25" s="427"/>
      <c r="N25" s="427"/>
      <c r="O25" s="427"/>
      <c r="P25" s="427"/>
      <c r="Q25" s="427"/>
      <c r="R25" s="427"/>
      <c r="S25" s="427"/>
      <c r="T25" s="427"/>
      <c r="U25" s="427"/>
      <c r="V25" s="428"/>
      <c r="W25" s="428"/>
      <c r="X25" s="173"/>
      <c r="Y25" s="441"/>
      <c r="Z25" s="401">
        <v>18.59</v>
      </c>
      <c r="AA25" s="168">
        <f>+IF(COUNTA(M23:W23)=$AM$4+0.25,$AM$4-(AB23/K23),COUNTA(M23:W23)-(AB23/K23))+Z25</f>
        <v>20.490000000000002</v>
      </c>
      <c r="AB25" s="444">
        <f t="shared" si="7"/>
        <v>0</v>
      </c>
      <c r="AC25" s="139"/>
      <c r="AD25" s="139"/>
      <c r="AE25" s="441"/>
      <c r="AF25" s="441"/>
      <c r="AG25" s="119">
        <f>+IFERROR(AG23/(K23*$AT$3),"")</f>
        <v>1.68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0</v>
      </c>
      <c r="AP25" s="167">
        <f>+AO25-AB25</f>
        <v>0</v>
      </c>
      <c r="AQ25" s="167"/>
      <c r="AR25" s="167"/>
      <c r="AS25" s="167"/>
      <c r="AT25" s="435"/>
      <c r="AU25" s="393"/>
      <c r="AW25" s="356">
        <v>1.700952380952381</v>
      </c>
      <c r="AY25" s="356"/>
    </row>
    <row r="26" spans="2:5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77" t="s">
        <v>433</v>
      </c>
      <c r="H26" s="106"/>
      <c r="I26" s="111"/>
      <c r="J26" s="107" t="s">
        <v>20</v>
      </c>
      <c r="K26" s="108" t="s">
        <v>23</v>
      </c>
      <c r="L26" s="100" t="s">
        <v>21</v>
      </c>
      <c r="M26" s="423"/>
      <c r="N26" s="423"/>
      <c r="O26" s="423"/>
      <c r="P26" s="423"/>
      <c r="Q26" s="423"/>
      <c r="R26" s="423"/>
      <c r="S26" s="423"/>
      <c r="T26" s="423"/>
      <c r="U26" s="423"/>
      <c r="V26" s="423"/>
      <c r="W26" s="423"/>
      <c r="X26" s="135" t="str">
        <f t="shared" si="0"/>
        <v/>
      </c>
      <c r="Y26" s="438"/>
      <c r="Z26" s="400">
        <v>0.5</v>
      </c>
      <c r="AA26" s="540">
        <f>+X28</f>
        <v>0</v>
      </c>
      <c r="AB26" s="135">
        <f t="shared" si="1"/>
        <v>0</v>
      </c>
      <c r="AC26" s="136">
        <f>+AD26+AB26</f>
        <v>11679</v>
      </c>
      <c r="AD26" s="136">
        <v>11679</v>
      </c>
      <c r="AE26" s="438"/>
      <c r="AF26" s="438"/>
      <c r="AG26" s="109"/>
      <c r="AH26" s="110"/>
      <c r="AI26" s="157"/>
      <c r="AJ26" s="161">
        <f t="shared" si="2"/>
        <v>0</v>
      </c>
      <c r="AK26" s="167">
        <f t="shared" si="3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51" s="98" customFormat="1" ht="62.25" customHeight="1" x14ac:dyDescent="0.9">
      <c r="B27" s="132">
        <v>5</v>
      </c>
      <c r="C27" s="371">
        <f>+B27</f>
        <v>5</v>
      </c>
      <c r="D27" s="372" t="s">
        <v>432</v>
      </c>
      <c r="E27" s="111"/>
      <c r="F27" s="111" t="s">
        <v>35</v>
      </c>
      <c r="G27" s="578" t="str">
        <f>+G26</f>
        <v>2843-709-800</v>
      </c>
      <c r="H27" s="450">
        <v>11700</v>
      </c>
      <c r="I27" s="111" t="s">
        <v>251</v>
      </c>
      <c r="J27" s="113">
        <v>50</v>
      </c>
      <c r="K27" s="130">
        <v>58</v>
      </c>
      <c r="L27" s="101" t="s">
        <v>17</v>
      </c>
      <c r="M27" s="214">
        <v>58</v>
      </c>
      <c r="N27" s="214">
        <v>58</v>
      </c>
      <c r="O27" s="214">
        <v>40</v>
      </c>
      <c r="P27" s="214">
        <v>60</v>
      </c>
      <c r="Q27" s="214">
        <v>60</v>
      </c>
      <c r="R27" s="214"/>
      <c r="S27" s="214"/>
      <c r="T27" s="214"/>
      <c r="U27" s="214"/>
      <c r="V27" s="214"/>
      <c r="W27" s="424"/>
      <c r="X27" s="123">
        <f>+IF(H28="s",0,IF(AB27=0,0,IF(COUNTA(M27:W27)=AN29+0.25,SUMIF($C:$C,B27,$AB:$AB)/AN29,SUMIF($C:$C,B27,$AB:$AB)/(COUNTA(M27:W27)))))</f>
        <v>0</v>
      </c>
      <c r="Y27" s="439"/>
      <c r="Z27" s="400"/>
      <c r="AA27" s="541"/>
      <c r="AB27" s="134">
        <f t="shared" si="1"/>
        <v>276</v>
      </c>
      <c r="AC27" s="137">
        <f>+AB27+AD27</f>
        <v>11674</v>
      </c>
      <c r="AD27" s="137">
        <v>11398</v>
      </c>
      <c r="AE27" s="439">
        <v>0</v>
      </c>
      <c r="AF27" s="439">
        <f>+AE27+Y27</f>
        <v>0</v>
      </c>
      <c r="AG27" s="140">
        <f>+AC26-AC27</f>
        <v>5</v>
      </c>
      <c r="AH27" s="131">
        <f>+IF(((AB28+(AB29/2))*60)=0,"",(J27*AB27)/((AB28+(AB29/2))*60))</f>
        <v>2.9487179487179489</v>
      </c>
      <c r="AI27" s="161">
        <f>+AB28+AB29/2</f>
        <v>78</v>
      </c>
      <c r="AJ27" s="161">
        <f t="shared" si="2"/>
        <v>78</v>
      </c>
      <c r="AK27" s="167">
        <f t="shared" si="3"/>
        <v>4680</v>
      </c>
      <c r="AL27" s="167">
        <f>+AB27*J27</f>
        <v>13800</v>
      </c>
      <c r="AM27" s="230">
        <f>+AB27-(AI27*K27/K29)</f>
        <v>192.22222222222223</v>
      </c>
      <c r="AN27" s="339"/>
      <c r="AO27" s="340"/>
      <c r="AP27" s="167"/>
      <c r="AQ27" s="167"/>
      <c r="AR27" s="167"/>
      <c r="AS27" s="167"/>
      <c r="AT27" s="433" t="str">
        <f t="shared" ref="AT27" si="14">IF(AU27=0,"",AW27-(($AT$3*K27)+($AT$3*K27)*AU27)+AB26)</f>
        <v/>
      </c>
      <c r="AU27" s="393"/>
      <c r="AW27" s="356">
        <v>281</v>
      </c>
      <c r="AY27" s="356">
        <f t="shared" ref="AY27" si="15">+AW27-AG27</f>
        <v>276</v>
      </c>
    </row>
    <row r="28" spans="2:5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78" t="str">
        <f>+G26</f>
        <v>2843-709-800</v>
      </c>
      <c r="H28" s="376" t="s">
        <v>465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30</v>
      </c>
      <c r="N28" s="425">
        <v>20</v>
      </c>
      <c r="O28" s="425">
        <v>10</v>
      </c>
      <c r="P28" s="425">
        <v>10</v>
      </c>
      <c r="Q28" s="425">
        <v>8</v>
      </c>
      <c r="R28" s="425"/>
      <c r="S28" s="425"/>
      <c r="T28" s="425"/>
      <c r="U28" s="425"/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0</v>
      </c>
      <c r="Y28" s="440"/>
      <c r="Z28" s="400"/>
      <c r="AA28" s="541"/>
      <c r="AB28" s="443">
        <f t="shared" si="7"/>
        <v>78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167">
        <f t="shared" si="3"/>
        <v>0</v>
      </c>
      <c r="AL28" s="167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78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5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79" t="str">
        <f>+G26</f>
        <v>2843-709-800</v>
      </c>
      <c r="H29" s="454">
        <f>+AC26-H27</f>
        <v>-21</v>
      </c>
      <c r="I29" s="397" t="s">
        <v>182</v>
      </c>
      <c r="J29" s="165">
        <f>+IF(K29="","",IF(K27=0,"",(K27*J27)/(K29*60)))</f>
        <v>0.89506172839506171</v>
      </c>
      <c r="K29" s="118">
        <v>54</v>
      </c>
      <c r="L29" s="104" t="s">
        <v>19</v>
      </c>
      <c r="M29" s="427"/>
      <c r="N29" s="427"/>
      <c r="O29" s="427"/>
      <c r="P29" s="427"/>
      <c r="Q29" s="427"/>
      <c r="R29" s="427"/>
      <c r="S29" s="427"/>
      <c r="T29" s="427"/>
      <c r="U29" s="427"/>
      <c r="V29" s="428"/>
      <c r="W29" s="428"/>
      <c r="X29" s="173"/>
      <c r="Y29" s="441"/>
      <c r="Z29" s="401">
        <v>36.370689655172413</v>
      </c>
      <c r="AA29" s="401">
        <v>36.370689655172413</v>
      </c>
      <c r="AB29" s="444">
        <f t="shared" si="7"/>
        <v>0</v>
      </c>
      <c r="AC29" s="139"/>
      <c r="AD29" s="139"/>
      <c r="AE29" s="441"/>
      <c r="AF29" s="441"/>
      <c r="AG29" s="119">
        <f>+IFERROR(AG27/(K27*$AT$3),"")</f>
        <v>9.852216748768473E-3</v>
      </c>
      <c r="AH29" s="162"/>
      <c r="AI29" s="161"/>
      <c r="AJ29" s="161">
        <f t="shared" si="2"/>
        <v>0</v>
      </c>
      <c r="AK29" s="167">
        <f t="shared" si="3"/>
        <v>0</v>
      </c>
      <c r="AL29" s="167"/>
      <c r="AM29" s="230"/>
      <c r="AN29" s="342">
        <f>+$AM$4</f>
        <v>8.75</v>
      </c>
      <c r="AO29" s="340">
        <f>+IF(AN29=7.75,SUM(M29:S29)+T29*0.75,IF(AN29=8,SUM(M29:T29),IF(AN29=7.25,SUM(M29:S29)+T29*0.25,IF(AN29=8.25,SUM(M29:T29)+U29*0.25,IF(AN29=8.75,SUM(M29:T29)+U29*0.75,0)))))</f>
        <v>0</v>
      </c>
      <c r="AP29" s="167">
        <f>+AO29-AB29</f>
        <v>0</v>
      </c>
      <c r="AQ29" s="167"/>
      <c r="AR29" s="167"/>
      <c r="AS29" s="167"/>
      <c r="AT29" s="435"/>
      <c r="AU29" s="393"/>
      <c r="AW29" s="356">
        <v>0.55369458128078819</v>
      </c>
      <c r="AY29" s="356"/>
    </row>
    <row r="30" spans="2:51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77" t="s">
        <v>472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50</v>
      </c>
      <c r="N30" s="423">
        <v>50</v>
      </c>
      <c r="O30" s="423">
        <v>50</v>
      </c>
      <c r="P30" s="423">
        <v>50</v>
      </c>
      <c r="Q30" s="423">
        <v>50</v>
      </c>
      <c r="R30" s="423">
        <v>50</v>
      </c>
      <c r="S30" s="423">
        <v>100</v>
      </c>
      <c r="T30" s="423"/>
      <c r="U30" s="423"/>
      <c r="V30" s="423"/>
      <c r="W30" s="423"/>
      <c r="X30" s="135">
        <f t="shared" ref="X30" si="16">IF(AT31="","",SUM(M30:W30)-(-(AT31-SUM(M30:W30))/$AT$3)*SUM($M$2:$W$2))</f>
        <v>400</v>
      </c>
      <c r="Y30" s="438"/>
      <c r="Z30" s="400">
        <v>0</v>
      </c>
      <c r="AA30" s="540">
        <f>+X32</f>
        <v>-240</v>
      </c>
      <c r="AB30" s="135">
        <f t="shared" ref="AB30:AB31" si="17">+SUM(L30:W30)</f>
        <v>400</v>
      </c>
      <c r="AC30" s="136">
        <f>+AD30+AB30</f>
        <v>1050</v>
      </c>
      <c r="AD30" s="136">
        <v>650</v>
      </c>
      <c r="AE30" s="438"/>
      <c r="AF30" s="438"/>
      <c r="AG30" s="109"/>
      <c r="AH30" s="110"/>
      <c r="AI30" s="157"/>
      <c r="AJ30" s="161">
        <f t="shared" si="2"/>
        <v>0</v>
      </c>
      <c r="AK30" s="167">
        <f t="shared" si="3"/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51" s="98" customFormat="1" ht="62.25" customHeight="1" x14ac:dyDescent="0.9">
      <c r="B31" s="132">
        <v>5</v>
      </c>
      <c r="C31" s="371">
        <f>+B31</f>
        <v>5</v>
      </c>
      <c r="D31" s="372" t="s">
        <v>473</v>
      </c>
      <c r="E31" s="111"/>
      <c r="F31" s="111" t="s">
        <v>35</v>
      </c>
      <c r="G31" s="578" t="str">
        <f>+G30</f>
        <v>7674-739-401</v>
      </c>
      <c r="H31" s="450">
        <v>8333</v>
      </c>
      <c r="I31" s="111" t="s">
        <v>251</v>
      </c>
      <c r="J31" s="113">
        <v>34.549999999999997</v>
      </c>
      <c r="K31" s="130">
        <v>60</v>
      </c>
      <c r="L31" s="101" t="s">
        <v>17</v>
      </c>
      <c r="M31" s="214"/>
      <c r="N31" s="214"/>
      <c r="O31" s="214"/>
      <c r="P31" s="214"/>
      <c r="Q31" s="214"/>
      <c r="R31" s="214">
        <v>0</v>
      </c>
      <c r="S31" s="214">
        <v>0</v>
      </c>
      <c r="T31" s="214">
        <v>0</v>
      </c>
      <c r="U31" s="214">
        <v>0</v>
      </c>
      <c r="V31" s="214"/>
      <c r="W31" s="424"/>
      <c r="X31" s="123">
        <f>+IF(H32="s",0,IF(AB31=0,0,IF(COUNTA(M31:W31)=AN33+0.25,SUMIF($C:$C,B31,$AB:$AB)/AN33,SUMIF($C:$C,B31,$AB:$AB)/(COUNTA(M31:W31)))))</f>
        <v>0</v>
      </c>
      <c r="Y31" s="439"/>
      <c r="Z31" s="400"/>
      <c r="AA31" s="541"/>
      <c r="AB31" s="134">
        <f t="shared" si="17"/>
        <v>0</v>
      </c>
      <c r="AC31" s="137">
        <f>+AB31+AD31</f>
        <v>0</v>
      </c>
      <c r="AD31" s="137">
        <v>0</v>
      </c>
      <c r="AE31" s="439">
        <v>0</v>
      </c>
      <c r="AF31" s="439">
        <f>+AE31+Y31</f>
        <v>0</v>
      </c>
      <c r="AG31" s="140">
        <f>+AC30-AC31</f>
        <v>1050</v>
      </c>
      <c r="AH31" s="131">
        <f>+IF(((AB32+(AB33/2))*60)=0,"",(J31*AB31)/((AB32+(AB33/2))*60))</f>
        <v>0</v>
      </c>
      <c r="AI31" s="161">
        <f>+AB32+AB33/2</f>
        <v>359.5</v>
      </c>
      <c r="AJ31" s="161">
        <f t="shared" si="2"/>
        <v>359.3</v>
      </c>
      <c r="AK31" s="167">
        <f t="shared" si="3"/>
        <v>21570</v>
      </c>
      <c r="AL31" s="167">
        <f>+AB31*J31</f>
        <v>0</v>
      </c>
      <c r="AM31" s="230">
        <f>+AB31-(AI31*K31/K33)</f>
        <v>-539.25</v>
      </c>
      <c r="AN31" s="339"/>
      <c r="AO31" s="340"/>
      <c r="AP31" s="167"/>
      <c r="AQ31" s="167"/>
      <c r="AR31" s="167"/>
      <c r="AS31" s="167"/>
      <c r="AT31" s="433">
        <f t="shared" ref="AT31" si="18">IF(AU31=0,"",AW31-(($AT$3*K31)+($AT$3*K31)*AU31)+AB30)</f>
        <v>131.25</v>
      </c>
      <c r="AU31" s="393">
        <v>0.75</v>
      </c>
      <c r="AW31" s="356">
        <v>650</v>
      </c>
      <c r="AY31" s="356">
        <f t="shared" ref="AY31" si="19">+AW31-AG31</f>
        <v>-400</v>
      </c>
    </row>
    <row r="32" spans="2:51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78" t="str">
        <f>+G30</f>
        <v>7674-739-401</v>
      </c>
      <c r="H32" s="376" t="s">
        <v>400</v>
      </c>
      <c r="I32" s="113">
        <f>+IFERROR(IF(K33=0,0,IF((LOOKUP(2,1/(M32:W32&lt;&gt;""),M32:W32)-K33)&lt;0,0,IF(K33=0,"",LOOKUP(2,1/(M32:W32&lt;&gt;""),M32:W32)-K33))),0)</f>
        <v>10</v>
      </c>
      <c r="J32" s="113"/>
      <c r="K32" s="114" t="s">
        <v>22</v>
      </c>
      <c r="L32" s="102" t="s">
        <v>18</v>
      </c>
      <c r="M32" s="425">
        <v>20</v>
      </c>
      <c r="N32" s="425">
        <v>30</v>
      </c>
      <c r="O32" s="425">
        <v>40</v>
      </c>
      <c r="P32" s="425">
        <v>40</v>
      </c>
      <c r="Q32" s="425">
        <v>42</v>
      </c>
      <c r="R32" s="425">
        <v>50</v>
      </c>
      <c r="S32" s="425">
        <v>50</v>
      </c>
      <c r="T32" s="425">
        <v>50</v>
      </c>
      <c r="U32" s="425">
        <v>50</v>
      </c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-240</v>
      </c>
      <c r="Y32" s="440"/>
      <c r="Z32" s="400"/>
      <c r="AA32" s="541"/>
      <c r="AB32" s="443">
        <f t="shared" ref="AB32:AB33" si="20">+SUM(M32:W32)-U32*0.25</f>
        <v>359.5</v>
      </c>
      <c r="AC32" s="341"/>
      <c r="AD32" s="341"/>
      <c r="AE32" s="440"/>
      <c r="AF32" s="440"/>
      <c r="AG32" s="115"/>
      <c r="AH32" s="116"/>
      <c r="AI32" s="157"/>
      <c r="AJ32" s="161">
        <f t="shared" si="2"/>
        <v>0</v>
      </c>
      <c r="AK32" s="167">
        <f t="shared" si="3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359.5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3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79" t="str">
        <f>+G30</f>
        <v>7674-739-401</v>
      </c>
      <c r="H33" s="454">
        <f>+AC30-H31</f>
        <v>-7283</v>
      </c>
      <c r="I33" s="397" t="s">
        <v>182</v>
      </c>
      <c r="J33" s="165">
        <f>+IF(K33="","",IF(K31=0,"",(K31*J31)/(K33*60)))</f>
        <v>0.86375000000000002</v>
      </c>
      <c r="K33" s="118">
        <v>40</v>
      </c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>
        <v>0</v>
      </c>
      <c r="AA33" s="168">
        <f>+IF(COUNTA(M31:W31)=$AM$4+0.25,$AM$4-(AB31/K31),COUNTA(M31:W31)-(AB31/K31))+Z33</f>
        <v>4</v>
      </c>
      <c r="AB33" s="444">
        <f t="shared" si="20"/>
        <v>0</v>
      </c>
      <c r="AC33" s="139"/>
      <c r="AD33" s="139"/>
      <c r="AE33" s="441"/>
      <c r="AF33" s="441"/>
      <c r="AG33" s="119">
        <f>+IFERROR(AG31/(K31*$AT$3),"")</f>
        <v>2</v>
      </c>
      <c r="AH33" s="162"/>
      <c r="AI33" s="161"/>
      <c r="AJ33" s="161">
        <f t="shared" si="2"/>
        <v>0</v>
      </c>
      <c r="AK33" s="167">
        <f t="shared" si="3"/>
        <v>0</v>
      </c>
      <c r="AL33" s="167"/>
      <c r="AM33" s="230"/>
      <c r="AN33" s="342">
        <f>+$AM$4</f>
        <v>8.75</v>
      </c>
      <c r="AO33" s="340">
        <f>+IF(AN33=7.75,SUM(M33:S33)+T33*0.75,IF(AN33=8,SUM(M33:T33),IF(AN33=7.25,SUM(M33:S33)+T33*0.25,IF(AN33=8.25,SUM(M33:T33)+U33*0.25,IF(AN33=8.75,SUM(M33:T33)+U33*0.75,0)))))</f>
        <v>0</v>
      </c>
      <c r="AP33" s="167">
        <f>+AO33-AB33</f>
        <v>0</v>
      </c>
      <c r="AQ33" s="167"/>
      <c r="AR33" s="167"/>
      <c r="AS33" s="167"/>
      <c r="AT33" s="435"/>
      <c r="AU33" s="393"/>
      <c r="AW33" s="356">
        <v>0.99047619047619051</v>
      </c>
      <c r="AY33" s="356"/>
    </row>
    <row r="34" spans="2:63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77" t="s">
        <v>444</v>
      </c>
      <c r="H34" s="106"/>
      <c r="I34" s="111"/>
      <c r="J34" s="107" t="s">
        <v>20</v>
      </c>
      <c r="K34" s="108">
        <v>0</v>
      </c>
      <c r="L34" s="100" t="s">
        <v>21</v>
      </c>
      <c r="M34" s="423">
        <v>50</v>
      </c>
      <c r="N34" s="423">
        <v>50</v>
      </c>
      <c r="O34" s="423">
        <v>50</v>
      </c>
      <c r="P34" s="423"/>
      <c r="Q34" s="423">
        <v>50</v>
      </c>
      <c r="R34" s="423">
        <v>50</v>
      </c>
      <c r="S34" s="423"/>
      <c r="T34" s="423">
        <v>50</v>
      </c>
      <c r="U34" s="423"/>
      <c r="V34" s="423"/>
      <c r="W34" s="423"/>
      <c r="X34" s="135">
        <f t="shared" si="0"/>
        <v>300</v>
      </c>
      <c r="Y34" s="438"/>
      <c r="Z34" s="400">
        <v>-76.25</v>
      </c>
      <c r="AA34" s="540">
        <f>+X36</f>
        <v>-67.25</v>
      </c>
      <c r="AB34" s="135">
        <f t="shared" si="1"/>
        <v>300</v>
      </c>
      <c r="AC34" s="136">
        <f>+AD34+AB34</f>
        <v>6701</v>
      </c>
      <c r="AD34" s="136">
        <v>6401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3" s="98" customFormat="1" ht="62.25" customHeight="1" x14ac:dyDescent="1.35">
      <c r="B35" s="132">
        <v>6</v>
      </c>
      <c r="C35" s="371">
        <f>+B35</f>
        <v>6</v>
      </c>
      <c r="D35" s="372" t="s">
        <v>443</v>
      </c>
      <c r="E35" s="111"/>
      <c r="F35" s="111" t="s">
        <v>35</v>
      </c>
      <c r="G35" s="578" t="str">
        <f t="shared" ref="G35:G37" si="21">+G34</f>
        <v>2917-496-712</v>
      </c>
      <c r="H35" s="450">
        <v>7000</v>
      </c>
      <c r="I35" s="111" t="s">
        <v>33</v>
      </c>
      <c r="J35" s="113"/>
      <c r="K35" s="130">
        <v>55</v>
      </c>
      <c r="L35" s="101" t="s">
        <v>17</v>
      </c>
      <c r="M35" s="214">
        <v>40</v>
      </c>
      <c r="N35" s="214">
        <v>40</v>
      </c>
      <c r="O35" s="214">
        <v>50</v>
      </c>
      <c r="P35" s="214">
        <v>50</v>
      </c>
      <c r="Q35" s="214">
        <v>50</v>
      </c>
      <c r="R35" s="214">
        <v>50</v>
      </c>
      <c r="S35" s="214">
        <v>50</v>
      </c>
      <c r="T35" s="214">
        <v>50</v>
      </c>
      <c r="U35" s="214">
        <v>34</v>
      </c>
      <c r="V35" s="424"/>
      <c r="W35" s="424"/>
      <c r="X35" s="123">
        <f>+IF(H36="s",0,IF(AB35=0,0,IF(COUNTA(M35:W35)=AN37+0.25,SUMIF($C:$C,B35,$AB:$AB)/AN37,SUMIF($C:$C,B35,$AB:$AB)/(COUNTA(M35:W35)))))</f>
        <v>47.314285714285717</v>
      </c>
      <c r="Y35" s="439"/>
      <c r="Z35" s="400"/>
      <c r="AA35" s="541"/>
      <c r="AB35" s="134">
        <f t="shared" si="1"/>
        <v>414</v>
      </c>
      <c r="AC35" s="137">
        <f>+AB35+AD35</f>
        <v>5430</v>
      </c>
      <c r="AD35" s="137">
        <v>5016</v>
      </c>
      <c r="AE35" s="439"/>
      <c r="AF35" s="439">
        <f>+AE35+Y35</f>
        <v>0</v>
      </c>
      <c r="AG35" s="140">
        <f>+AC34-AC35</f>
        <v>1271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>
        <f>-400+AB34</f>
        <v>-100</v>
      </c>
      <c r="AU35" s="393">
        <v>1.5</v>
      </c>
      <c r="AW35" s="356">
        <v>1385</v>
      </c>
      <c r="AY35" s="356">
        <f t="shared" ref="AY35" si="22">+AW35-AG35</f>
        <v>114</v>
      </c>
      <c r="BB35" s="581" t="s">
        <v>482</v>
      </c>
      <c r="BC35" s="581"/>
      <c r="BD35" s="581"/>
      <c r="BE35" s="581"/>
      <c r="BF35" s="581"/>
      <c r="BG35" s="581"/>
      <c r="BH35" s="581"/>
      <c r="BI35" s="581"/>
      <c r="BJ35" s="581"/>
      <c r="BK35" s="581"/>
    </row>
    <row r="36" spans="2:63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78" t="str">
        <f t="shared" si="21"/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-67.25</v>
      </c>
      <c r="Y36" s="440"/>
      <c r="Z36" s="400"/>
      <c r="AA36" s="541"/>
      <c r="AB36" s="443">
        <f t="shared" si="7"/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3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79" t="str">
        <f t="shared" si="21"/>
        <v>2917-496-712</v>
      </c>
      <c r="H37" s="454">
        <f>+AC34-H35</f>
        <v>-299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68.483636363636364</v>
      </c>
      <c r="AA37" s="401">
        <v>68.483636363636364</v>
      </c>
      <c r="AB37" s="444">
        <f t="shared" si="7"/>
        <v>0</v>
      </c>
      <c r="AC37" s="139"/>
      <c r="AD37" s="139"/>
      <c r="AE37" s="441"/>
      <c r="AF37" s="441"/>
      <c r="AG37" s="119">
        <f>+IFERROR(AG35/(K35*$AT$3),"")</f>
        <v>2.6410389610389609</v>
      </c>
      <c r="AH37" s="162"/>
      <c r="AI37" s="161"/>
      <c r="AJ37" s="161"/>
      <c r="AK37" s="167"/>
      <c r="AL37" s="167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2.877922077922078</v>
      </c>
      <c r="AY37" s="356"/>
    </row>
    <row r="38" spans="2:63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77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>
        <v>50</v>
      </c>
      <c r="P38" s="423">
        <v>50</v>
      </c>
      <c r="Q38" s="423">
        <v>50</v>
      </c>
      <c r="R38" s="423">
        <v>50</v>
      </c>
      <c r="S38" s="423"/>
      <c r="T38" s="423">
        <v>50</v>
      </c>
      <c r="U38" s="423"/>
      <c r="V38" s="423"/>
      <c r="W38" s="423"/>
      <c r="X38" s="135">
        <f t="shared" si="0"/>
        <v>350</v>
      </c>
      <c r="Y38" s="438"/>
      <c r="Z38" s="400">
        <v>-27</v>
      </c>
      <c r="AA38" s="540">
        <f>+X40</f>
        <v>-31</v>
      </c>
      <c r="AB38" s="135">
        <f t="shared" si="1"/>
        <v>350</v>
      </c>
      <c r="AC38" s="136">
        <f>+AD38+AB38</f>
        <v>5306</v>
      </c>
      <c r="AD38" s="136">
        <v>4956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3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78" t="str">
        <f>+G38</f>
        <v>2917-496-712</v>
      </c>
      <c r="H39" s="450">
        <v>7000</v>
      </c>
      <c r="I39" s="111" t="s">
        <v>33</v>
      </c>
      <c r="J39" s="113">
        <v>42.84</v>
      </c>
      <c r="K39" s="130">
        <v>60</v>
      </c>
      <c r="L39" s="101" t="s">
        <v>17</v>
      </c>
      <c r="M39" s="214">
        <v>40</v>
      </c>
      <c r="N39" s="214">
        <v>60</v>
      </c>
      <c r="O39" s="214">
        <v>60</v>
      </c>
      <c r="P39" s="214">
        <v>60</v>
      </c>
      <c r="Q39" s="214">
        <v>60</v>
      </c>
      <c r="R39" s="214">
        <v>60</v>
      </c>
      <c r="S39" s="214">
        <v>60</v>
      </c>
      <c r="T39" s="214">
        <v>60</v>
      </c>
      <c r="U39" s="214">
        <v>34</v>
      </c>
      <c r="V39" s="424"/>
      <c r="W39" s="424"/>
      <c r="X39" s="123">
        <f>+IF(H40="s",0,IF(AB39=0,0,IF(COUNTA(M39:W39)=AN41+0.25,SUMIF($C:$C,B39,$AB:$AB)/AN41,SUMIF($C:$C,B39,$AB:$AB)/(COUNTA(M39:W39)))))</f>
        <v>56.457142857142856</v>
      </c>
      <c r="Y39" s="439"/>
      <c r="Z39" s="400"/>
      <c r="AA39" s="541"/>
      <c r="AB39" s="134">
        <f t="shared" si="1"/>
        <v>494</v>
      </c>
      <c r="AC39" s="137">
        <f>+AB39+AD39</f>
        <v>4684</v>
      </c>
      <c r="AD39" s="137">
        <v>4190</v>
      </c>
      <c r="AE39" s="439">
        <v>0</v>
      </c>
      <c r="AF39" s="439">
        <f>+AE39+Y39</f>
        <v>0</v>
      </c>
      <c r="AG39" s="140">
        <f>+AC38-AC39</f>
        <v>622</v>
      </c>
      <c r="AH39" s="131">
        <f>+IF(((AB40+(AB41/2))*60)=0,"",(J39*AB39)/((AB40+(AB41/2))*60))</f>
        <v>0.80620800000000015</v>
      </c>
      <c r="AI39" s="161">
        <f>+AB40+AB41/2</f>
        <v>437.5</v>
      </c>
      <c r="AJ39" s="161">
        <f t="shared" si="2"/>
        <v>437.3</v>
      </c>
      <c r="AK39" s="167">
        <f t="shared" si="3"/>
        <v>26250</v>
      </c>
      <c r="AL39" s="167">
        <f>+AB39*J39</f>
        <v>21162.960000000003</v>
      </c>
      <c r="AM39" s="230">
        <f>+AB39-(AI39*K39/K41)</f>
        <v>-41.714285714285666</v>
      </c>
      <c r="AN39" s="339"/>
      <c r="AO39" s="340"/>
      <c r="AP39" s="167"/>
      <c r="AQ39" s="167"/>
      <c r="AR39" s="167"/>
      <c r="AS39" s="167"/>
      <c r="AT39" s="433">
        <f>-450+AB38</f>
        <v>-100</v>
      </c>
      <c r="AU39" s="393">
        <v>1.5</v>
      </c>
      <c r="AW39" s="356">
        <v>766</v>
      </c>
      <c r="AY39" s="356">
        <f t="shared" ref="AY39" si="23">+AW39-AG39</f>
        <v>144</v>
      </c>
      <c r="AZ39" s="581" t="s">
        <v>482</v>
      </c>
      <c r="BA39" s="581"/>
      <c r="BB39" s="581"/>
      <c r="BC39" s="581"/>
      <c r="BD39" s="581"/>
      <c r="BE39" s="581"/>
      <c r="BF39" s="581"/>
      <c r="BG39" s="581"/>
      <c r="BH39" s="581"/>
      <c r="BI39" s="581"/>
    </row>
    <row r="40" spans="2:63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78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49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-31</v>
      </c>
      <c r="Y40" s="440"/>
      <c r="Z40" s="400"/>
      <c r="AA40" s="541"/>
      <c r="AB40" s="443">
        <f t="shared" si="7"/>
        <v>428.75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428.75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3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79" t="str">
        <f>+G38</f>
        <v>2917-496-712</v>
      </c>
      <c r="H41" s="454">
        <f>+AC38-H39</f>
        <v>-1694</v>
      </c>
      <c r="I41" s="397"/>
      <c r="J41" s="165">
        <v>0.91625000000000001</v>
      </c>
      <c r="K41" s="118">
        <v>49</v>
      </c>
      <c r="L41" s="104" t="s">
        <v>19</v>
      </c>
      <c r="M41" s="427">
        <v>2</v>
      </c>
      <c r="N41" s="427">
        <v>2</v>
      </c>
      <c r="O41" s="427">
        <v>2</v>
      </c>
      <c r="P41" s="427">
        <v>2</v>
      </c>
      <c r="Q41" s="427">
        <v>2</v>
      </c>
      <c r="R41" s="427">
        <v>2</v>
      </c>
      <c r="S41" s="427">
        <v>2</v>
      </c>
      <c r="T41" s="427">
        <v>2</v>
      </c>
      <c r="U41" s="427">
        <v>2</v>
      </c>
      <c r="V41" s="428"/>
      <c r="W41" s="428"/>
      <c r="X41" s="173"/>
      <c r="Y41" s="441"/>
      <c r="Z41" s="401">
        <v>32.263333333333335</v>
      </c>
      <c r="AA41" s="168">
        <f>+IF(COUNTA(M39:W39)=$AM$4+0.25,$AM$4-(AB39/K39),COUNTA(M39:W39)-(AB39/K39))+Z41</f>
        <v>32.78</v>
      </c>
      <c r="AB41" s="444">
        <f t="shared" si="7"/>
        <v>17.5</v>
      </c>
      <c r="AC41" s="139"/>
      <c r="AD41" s="139"/>
      <c r="AE41" s="441"/>
      <c r="AF41" s="441"/>
      <c r="AG41" s="119">
        <f>+IFERROR(AG39/(K39*$AT$3),"")</f>
        <v>1.1847619047619047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17.5</v>
      </c>
      <c r="AP41" s="167">
        <f>+AO41-AB41</f>
        <v>0</v>
      </c>
      <c r="AQ41" s="167"/>
      <c r="AR41" s="167"/>
      <c r="AS41" s="167"/>
      <c r="AT41" s="435"/>
      <c r="AU41" s="393"/>
      <c r="AW41" s="356">
        <v>1.4590476190476191</v>
      </c>
      <c r="AY41" s="356"/>
    </row>
    <row r="42" spans="2:63" s="98" customFormat="1" ht="62.25" customHeight="1" thickTop="1" x14ac:dyDescent="0.9">
      <c r="B42" s="97">
        <f>+B43</f>
        <v>8</v>
      </c>
      <c r="C42" s="370"/>
      <c r="D42" s="106"/>
      <c r="E42" s="106"/>
      <c r="F42" s="106"/>
      <c r="G42" s="582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100</v>
      </c>
      <c r="N42" s="423">
        <v>100</v>
      </c>
      <c r="O42" s="423">
        <v>100</v>
      </c>
      <c r="P42" s="423">
        <v>50</v>
      </c>
      <c r="Q42" s="423"/>
      <c r="R42" s="423">
        <v>50</v>
      </c>
      <c r="S42" s="423"/>
      <c r="T42" s="423"/>
      <c r="U42" s="423"/>
      <c r="V42" s="423"/>
      <c r="W42" s="423"/>
      <c r="X42" s="135">
        <f t="shared" si="0"/>
        <v>400</v>
      </c>
      <c r="Y42" s="438"/>
      <c r="Z42" s="400">
        <v>9.5</v>
      </c>
      <c r="AA42" s="540">
        <f>+X44</f>
        <v>0.5</v>
      </c>
      <c r="AB42" s="135">
        <f t="shared" si="1"/>
        <v>400</v>
      </c>
      <c r="AC42" s="136">
        <f>+AD42+AB42</f>
        <v>7735</v>
      </c>
      <c r="AD42" s="136">
        <v>7335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3" s="98" customFormat="1" ht="62.25" customHeight="1" x14ac:dyDescent="0.9">
      <c r="B43" s="132">
        <v>8</v>
      </c>
      <c r="C43" s="371">
        <f>+B43</f>
        <v>8</v>
      </c>
      <c r="D43" s="372" t="s">
        <v>441</v>
      </c>
      <c r="E43" s="111"/>
      <c r="F43" s="111" t="s">
        <v>35</v>
      </c>
      <c r="G43" s="582" t="str">
        <f>+G42</f>
        <v>7741-793-052</v>
      </c>
      <c r="H43" s="450">
        <v>11500</v>
      </c>
      <c r="I43" s="111" t="s">
        <v>33</v>
      </c>
      <c r="J43" s="113">
        <v>55.14</v>
      </c>
      <c r="K43" s="130">
        <v>46</v>
      </c>
      <c r="L43" s="101" t="s">
        <v>17</v>
      </c>
      <c r="M43" s="214">
        <v>46</v>
      </c>
      <c r="N43" s="214">
        <v>46</v>
      </c>
      <c r="O43" s="214">
        <v>46</v>
      </c>
      <c r="P43" s="214">
        <v>46</v>
      </c>
      <c r="Q43" s="214">
        <v>46</v>
      </c>
      <c r="R43" s="214">
        <v>46</v>
      </c>
      <c r="S43" s="214">
        <v>46</v>
      </c>
      <c r="T43" s="214">
        <v>46</v>
      </c>
      <c r="U43" s="214">
        <v>35</v>
      </c>
      <c r="V43" s="424"/>
      <c r="W43" s="424"/>
      <c r="X43" s="123">
        <f>+IF(H44="s",0,IF(AB43=0,0,IF(COUNTA(M43:W43)=AN45+0.25,SUMIF($C:$C,B43,$AB:$AB)/AN45,SUMIF($C:$C,B43,$AB:$AB)/(COUNTA(M43:W43)))))</f>
        <v>46.057142857142857</v>
      </c>
      <c r="Y43" s="439"/>
      <c r="Z43" s="400"/>
      <c r="AA43" s="541"/>
      <c r="AB43" s="134">
        <f t="shared" si="1"/>
        <v>403</v>
      </c>
      <c r="AC43" s="137">
        <f>+AB43+AD43</f>
        <v>6882</v>
      </c>
      <c r="AD43" s="137">
        <v>6479</v>
      </c>
      <c r="AE43" s="439">
        <v>0</v>
      </c>
      <c r="AF43" s="439">
        <f>+AE43+Y43</f>
        <v>0</v>
      </c>
      <c r="AG43" s="140">
        <f>+AC42-AC43</f>
        <v>853</v>
      </c>
      <c r="AH43" s="131">
        <f>+IF(((AB44+(AB45/2))*60)=0,"",(J43*AB43)/((AB44+(AB45/2))*60))</f>
        <v>0.87271163475699565</v>
      </c>
      <c r="AI43" s="161">
        <f>+AB44+AB45/2</f>
        <v>424.375</v>
      </c>
      <c r="AJ43" s="161">
        <f t="shared" si="2"/>
        <v>424.22500000000002</v>
      </c>
      <c r="AK43" s="167">
        <f t="shared" si="3"/>
        <v>25462.5</v>
      </c>
      <c r="AL43" s="167">
        <f>+AB43*J43</f>
        <v>22221.420000000002</v>
      </c>
      <c r="AM43" s="230">
        <f>+AB43-(AI43*K43/K45)</f>
        <v>4.6071428571428328</v>
      </c>
      <c r="AN43" s="339"/>
      <c r="AO43" s="340"/>
      <c r="AP43" s="167"/>
      <c r="AQ43" s="167"/>
      <c r="AR43" s="167"/>
      <c r="AS43" s="167"/>
      <c r="AT43" s="433">
        <f t="shared" ref="AT43" si="24">IF(AU43=0,"",AW43-(($AT$3*K43)+($AT$3*K43)*AU43)+AB42)</f>
        <v>8.25</v>
      </c>
      <c r="AU43" s="393">
        <v>2.1</v>
      </c>
      <c r="AW43" s="356">
        <v>856</v>
      </c>
      <c r="AY43" s="356">
        <f t="shared" ref="AY43" si="25">+AW43-AG43</f>
        <v>3</v>
      </c>
    </row>
    <row r="44" spans="2:63" s="98" customFormat="1" ht="62.25" customHeight="1" x14ac:dyDescent="0.9">
      <c r="B44" s="125">
        <f>+B43</f>
        <v>8</v>
      </c>
      <c r="C44" s="373"/>
      <c r="D44" s="184"/>
      <c r="E44" s="111">
        <f>+B43</f>
        <v>8</v>
      </c>
      <c r="F44" s="374"/>
      <c r="G44" s="582" t="str">
        <f>+G43</f>
        <v>7741-793-052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48</v>
      </c>
      <c r="N44" s="425">
        <v>48</v>
      </c>
      <c r="O44" s="425">
        <v>48</v>
      </c>
      <c r="P44" s="425">
        <v>48</v>
      </c>
      <c r="Q44" s="425">
        <v>48</v>
      </c>
      <c r="R44" s="425">
        <v>48</v>
      </c>
      <c r="S44" s="425">
        <v>48</v>
      </c>
      <c r="T44" s="425">
        <v>48</v>
      </c>
      <c r="U44" s="425">
        <v>48</v>
      </c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0.5</v>
      </c>
      <c r="Y44" s="440"/>
      <c r="Z44" s="400"/>
      <c r="AA44" s="541"/>
      <c r="AB44" s="443">
        <f t="shared" si="7"/>
        <v>420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420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3" s="98" customFormat="1" ht="62.25" customHeight="1" thickBot="1" x14ac:dyDescent="0.95">
      <c r="B45" s="126">
        <f>+B43</f>
        <v>8</v>
      </c>
      <c r="C45" s="375"/>
      <c r="D45" s="174" t="s">
        <v>373</v>
      </c>
      <c r="E45" s="175">
        <f>+E44+100</f>
        <v>108</v>
      </c>
      <c r="F45" s="175"/>
      <c r="G45" s="582" t="str">
        <f>+G44</f>
        <v>7741-793-052</v>
      </c>
      <c r="H45" s="454">
        <f>+AC42-H43</f>
        <v>-3765</v>
      </c>
      <c r="I45" s="397"/>
      <c r="J45" s="165">
        <f>+IF(K45="","",IF(K43=0,"",(K43*J43)/(K45*60)))</f>
        <v>0.86273469387755108</v>
      </c>
      <c r="K45" s="118">
        <v>49</v>
      </c>
      <c r="L45" s="104" t="s">
        <v>19</v>
      </c>
      <c r="M45" s="427">
        <v>1</v>
      </c>
      <c r="N45" s="427">
        <v>1</v>
      </c>
      <c r="O45" s="427">
        <v>1</v>
      </c>
      <c r="P45" s="427">
        <v>1</v>
      </c>
      <c r="Q45" s="427">
        <v>1</v>
      </c>
      <c r="R45" s="427">
        <v>1</v>
      </c>
      <c r="S45" s="427">
        <v>1</v>
      </c>
      <c r="T45" s="427">
        <v>1</v>
      </c>
      <c r="U45" s="427">
        <v>1</v>
      </c>
      <c r="V45" s="428"/>
      <c r="W45" s="428"/>
      <c r="X45" s="173"/>
      <c r="Y45" s="441"/>
      <c r="Z45" s="401">
        <v>24.299090909090911</v>
      </c>
      <c r="AA45" s="169">
        <v>24.299090909090911</v>
      </c>
      <c r="AB45" s="444">
        <f t="shared" si="7"/>
        <v>8.75</v>
      </c>
      <c r="AC45" s="139"/>
      <c r="AD45" s="139"/>
      <c r="AE45" s="441"/>
      <c r="AF45" s="441"/>
      <c r="AG45" s="119">
        <f>+IFERROR(AG43/(K43*$AT$3),"")</f>
        <v>2.1192546583850933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8.75</v>
      </c>
      <c r="AP45" s="167">
        <f>+AO45-AB45</f>
        <v>0</v>
      </c>
      <c r="AQ45" s="167"/>
      <c r="AR45" s="167"/>
      <c r="AS45" s="167"/>
      <c r="AT45" s="435"/>
      <c r="AU45" s="393"/>
      <c r="AW45" s="356">
        <v>2.1267080745341613</v>
      </c>
      <c r="AY45" s="356"/>
    </row>
    <row r="46" spans="2:63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77" t="s">
        <v>474</v>
      </c>
      <c r="H46" s="106"/>
      <c r="I46" s="106"/>
      <c r="J46" s="107" t="s">
        <v>20</v>
      </c>
      <c r="K46" s="108" t="s">
        <v>23</v>
      </c>
      <c r="L46" s="100" t="s">
        <v>21</v>
      </c>
      <c r="M46" s="423"/>
      <c r="N46" s="423">
        <v>60</v>
      </c>
      <c r="O46" s="423">
        <v>68</v>
      </c>
      <c r="P46" s="423">
        <v>60</v>
      </c>
      <c r="Q46" s="423"/>
      <c r="R46" s="423"/>
      <c r="S46" s="423"/>
      <c r="T46" s="423"/>
      <c r="U46" s="423"/>
      <c r="V46" s="423"/>
      <c r="W46" s="423"/>
      <c r="X46" s="135">
        <f t="shared" si="0"/>
        <v>188</v>
      </c>
      <c r="Y46" s="438"/>
      <c r="Z46" s="400">
        <v>-538.75</v>
      </c>
      <c r="AA46" s="540">
        <f>+X48</f>
        <v>-326.75</v>
      </c>
      <c r="AB46" s="135">
        <f t="shared" si="1"/>
        <v>188</v>
      </c>
      <c r="AC46" s="136">
        <f>+AD46+AB46</f>
        <v>1261</v>
      </c>
      <c r="AD46" s="136">
        <v>1073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3" s="98" customFormat="1" ht="62.25" customHeight="1" x14ac:dyDescent="0.9">
      <c r="B47" s="132">
        <v>11</v>
      </c>
      <c r="C47" s="371">
        <v>11</v>
      </c>
      <c r="D47" s="372" t="s">
        <v>475</v>
      </c>
      <c r="E47" s="111"/>
      <c r="F47" s="111" t="s">
        <v>447</v>
      </c>
      <c r="G47" s="578" t="s">
        <v>474</v>
      </c>
      <c r="H47" s="450">
        <v>3360</v>
      </c>
      <c r="I47" s="111" t="s">
        <v>476</v>
      </c>
      <c r="J47" s="113">
        <v>38.65</v>
      </c>
      <c r="K47" s="130">
        <v>65</v>
      </c>
      <c r="L47" s="101" t="s">
        <v>17</v>
      </c>
      <c r="M47" s="214">
        <v>15</v>
      </c>
      <c r="N47" s="214">
        <v>25</v>
      </c>
      <c r="O47" s="214">
        <v>35</v>
      </c>
      <c r="P47" s="214">
        <v>35</v>
      </c>
      <c r="Q47" s="214">
        <v>35</v>
      </c>
      <c r="R47" s="214">
        <v>35</v>
      </c>
      <c r="S47" s="214">
        <v>30</v>
      </c>
      <c r="T47" s="214">
        <v>16</v>
      </c>
      <c r="U47" s="214">
        <v>16</v>
      </c>
      <c r="V47" s="214"/>
      <c r="W47" s="424"/>
      <c r="X47" s="123">
        <f>+IF(H48="s",0,IF(AB47=0,0,IF(COUNTA(M47:W47)=AN49+0.25,SUMIF($C:$C,B47,$AB:$AB)/AN49,SUMIF($C:$C,B47,$AB:$AB)/(COUNTA(M47:W47)))))</f>
        <v>27.657142857142858</v>
      </c>
      <c r="Y47" s="439"/>
      <c r="Z47" s="400"/>
      <c r="AA47" s="541"/>
      <c r="AB47" s="134">
        <f t="shared" si="1"/>
        <v>242</v>
      </c>
      <c r="AC47" s="137">
        <f>+AB47+AD47</f>
        <v>272</v>
      </c>
      <c r="AD47" s="137">
        <v>30</v>
      </c>
      <c r="AE47" s="439">
        <v>0</v>
      </c>
      <c r="AF47" s="439">
        <f>+AE47+Y47</f>
        <v>0</v>
      </c>
      <c r="AG47" s="140">
        <f>+AC46-AC47</f>
        <v>989</v>
      </c>
      <c r="AH47" s="131">
        <f>+IF(((AB48+(AB49/2))*60)=0,"",(J47*AB47)/((AB48+(AB49/2))*60))</f>
        <v>0.3239238095238095</v>
      </c>
      <c r="AI47" s="161">
        <f>+AB48+AB49/2</f>
        <v>481.25</v>
      </c>
      <c r="AJ47" s="161">
        <f t="shared" si="2"/>
        <v>481.15</v>
      </c>
      <c r="AK47" s="167">
        <f t="shared" si="3"/>
        <v>28875</v>
      </c>
      <c r="AL47" s="167">
        <f>+AB47*J47</f>
        <v>9353.2999999999993</v>
      </c>
      <c r="AM47" s="230">
        <f>+AB47-(AI47*K47/K49)</f>
        <v>-383.625</v>
      </c>
      <c r="AN47" s="339"/>
      <c r="AO47" s="340"/>
      <c r="AP47" s="167"/>
      <c r="AQ47" s="167"/>
      <c r="AR47" s="167"/>
      <c r="AS47" s="167"/>
      <c r="AT47" s="433">
        <f>-188+AB46</f>
        <v>0</v>
      </c>
      <c r="AU47" s="393">
        <v>1.5</v>
      </c>
      <c r="AW47" s="356">
        <v>1043</v>
      </c>
      <c r="AY47" s="356">
        <f t="shared" ref="AY47" si="26">+AW47-AG47</f>
        <v>54</v>
      </c>
    </row>
    <row r="48" spans="2:63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78" t="s">
        <v>474</v>
      </c>
      <c r="H48" s="376" t="s">
        <v>400</v>
      </c>
      <c r="I48" s="113">
        <f>+IFERROR(IF(K49=0,0,IF((LOOKUP(2,1/(M48:W48&lt;&gt;""),M48:W48)-K49)&lt;0,0,IF(K49=0,"",LOOKUP(2,1/(M48:W48&lt;&gt;""),M48:W48)-K49))),0)</f>
        <v>5</v>
      </c>
      <c r="J48" s="113"/>
      <c r="K48" s="114" t="s">
        <v>22</v>
      </c>
      <c r="L48" s="102" t="s">
        <v>18</v>
      </c>
      <c r="M48" s="425">
        <v>55</v>
      </c>
      <c r="N48" s="425">
        <v>55</v>
      </c>
      <c r="O48" s="425">
        <v>55</v>
      </c>
      <c r="P48" s="425">
        <v>55</v>
      </c>
      <c r="Q48" s="425">
        <v>55</v>
      </c>
      <c r="R48" s="425">
        <v>55</v>
      </c>
      <c r="S48" s="425">
        <v>55</v>
      </c>
      <c r="T48" s="425">
        <v>55</v>
      </c>
      <c r="U48" s="425">
        <v>55</v>
      </c>
      <c r="V48" s="425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-326.75</v>
      </c>
      <c r="Y48" s="440"/>
      <c r="Z48" s="400"/>
      <c r="AA48" s="541"/>
      <c r="AB48" s="443">
        <f t="shared" si="7"/>
        <v>481.25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481.25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79" t="s">
        <v>474</v>
      </c>
      <c r="H49" s="454">
        <f>+AC46-H47</f>
        <v>-2099</v>
      </c>
      <c r="I49" s="397"/>
      <c r="J49" s="165">
        <f>+IF(K49="","",IF(K47=0,"",(K47*J47)/(K49*60)))</f>
        <v>0.8374166666666667</v>
      </c>
      <c r="K49" s="118">
        <v>50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28.471561538461536</v>
      </c>
      <c r="AA49" s="168">
        <f>+IF(COUNTA(M47:W47)=$AM$4+0.25,$AM$4-(AB47/K47),COUNTA(M47:W47)-(AB47/K47))+Z49</f>
        <v>33.498484615384612</v>
      </c>
      <c r="AB49" s="444">
        <f t="shared" si="7"/>
        <v>0</v>
      </c>
      <c r="AC49" s="139"/>
      <c r="AD49" s="139"/>
      <c r="AE49" s="441"/>
      <c r="AF49" s="441"/>
      <c r="AG49" s="119">
        <f>+IFERROR(AG47/(K47*$AT$3),"")</f>
        <v>1.7389010989010989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1.8338461538461539</v>
      </c>
      <c r="AY49" s="356"/>
    </row>
    <row r="50" spans="2:51" s="98" customFormat="1" ht="62.25" customHeight="1" thickTop="1" x14ac:dyDescent="0.9">
      <c r="B50" s="97">
        <f>+B51</f>
        <v>12</v>
      </c>
      <c r="C50" s="370"/>
      <c r="D50" s="106"/>
      <c r="E50" s="106"/>
      <c r="F50" s="106"/>
      <c r="G50" s="577" t="s">
        <v>433</v>
      </c>
      <c r="H50" s="106"/>
      <c r="I50" s="111"/>
      <c r="J50" s="107" t="s">
        <v>20</v>
      </c>
      <c r="K50" s="108" t="s">
        <v>23</v>
      </c>
      <c r="L50" s="100" t="s">
        <v>21</v>
      </c>
      <c r="M50" s="423">
        <v>150</v>
      </c>
      <c r="N50" s="423">
        <v>75</v>
      </c>
      <c r="O50" s="423">
        <v>150</v>
      </c>
      <c r="P50" s="423"/>
      <c r="Q50" s="423">
        <v>75</v>
      </c>
      <c r="R50" s="423">
        <v>90</v>
      </c>
      <c r="S50" s="423">
        <v>25</v>
      </c>
      <c r="T50" s="423"/>
      <c r="U50" s="423"/>
      <c r="V50" s="423"/>
      <c r="W50" s="423"/>
      <c r="X50" s="135">
        <f t="shared" si="0"/>
        <v>565</v>
      </c>
      <c r="Y50" s="438"/>
      <c r="Z50" s="400">
        <v>0.5</v>
      </c>
      <c r="AA50" s="540">
        <f>+X52</f>
        <v>0.5</v>
      </c>
      <c r="AB50" s="135">
        <f t="shared" si="1"/>
        <v>565</v>
      </c>
      <c r="AC50" s="136">
        <f>+AD50+AB50</f>
        <v>11741</v>
      </c>
      <c r="AD50" s="136">
        <v>11176</v>
      </c>
      <c r="AE50" s="438"/>
      <c r="AF50" s="438"/>
      <c r="AG50" s="109"/>
      <c r="AH50" s="110"/>
      <c r="AI50" s="157"/>
      <c r="AJ50" s="161">
        <f t="shared" si="2"/>
        <v>0</v>
      </c>
      <c r="AK50" s="167">
        <f t="shared" si="3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12</v>
      </c>
      <c r="C51" s="371">
        <f>+B51</f>
        <v>12</v>
      </c>
      <c r="D51" s="372" t="s">
        <v>432</v>
      </c>
      <c r="E51" s="111"/>
      <c r="F51" s="111" t="s">
        <v>35</v>
      </c>
      <c r="G51" s="578" t="str">
        <f>+G50</f>
        <v>2843-709-800</v>
      </c>
      <c r="H51" s="450">
        <v>11080</v>
      </c>
      <c r="I51" s="111" t="s">
        <v>251</v>
      </c>
      <c r="J51" s="113">
        <v>50</v>
      </c>
      <c r="K51" s="130">
        <v>58</v>
      </c>
      <c r="L51" s="101" t="s">
        <v>17</v>
      </c>
      <c r="M51" s="214">
        <v>58</v>
      </c>
      <c r="N51" s="214">
        <v>58</v>
      </c>
      <c r="O51" s="214">
        <v>58</v>
      </c>
      <c r="P51" s="214">
        <v>58</v>
      </c>
      <c r="Q51" s="214">
        <v>58</v>
      </c>
      <c r="R51" s="214">
        <v>58</v>
      </c>
      <c r="S51" s="214">
        <v>58</v>
      </c>
      <c r="T51" s="214">
        <v>58</v>
      </c>
      <c r="U51" s="214">
        <v>44</v>
      </c>
      <c r="V51" s="214"/>
      <c r="W51" s="424"/>
      <c r="X51" s="123">
        <f>+IF(H52="s",0,IF(AB51=0,0,IF(COUNTA(M51:W51)=AN53+0.25,SUMIF($C:$C,B51,$AB:$AB)/AN53,SUMIF($C:$C,B51,$AB:$AB)/(COUNTA(M51:W51)))))</f>
        <v>58.057142857142857</v>
      </c>
      <c r="Y51" s="439"/>
      <c r="Z51" s="400"/>
      <c r="AA51" s="541"/>
      <c r="AB51" s="134">
        <f t="shared" si="1"/>
        <v>508</v>
      </c>
      <c r="AC51" s="137">
        <f>+AB51+AD51</f>
        <v>10765</v>
      </c>
      <c r="AD51" s="137">
        <v>10257</v>
      </c>
      <c r="AE51" s="439">
        <v>0</v>
      </c>
      <c r="AF51" s="439">
        <f>+AE51+Y51</f>
        <v>0</v>
      </c>
      <c r="AG51" s="140">
        <f>+AC50-AC51</f>
        <v>976</v>
      </c>
      <c r="AH51" s="131">
        <f>+IF(((AB52+(AB53/2))*60)=0,"",(J51*AB51)/((AB52+(AB53/2))*60))</f>
        <v>0.97739297739297737</v>
      </c>
      <c r="AI51" s="161">
        <f>+AB52+AB53/2</f>
        <v>433.125</v>
      </c>
      <c r="AJ51" s="161">
        <f t="shared" si="2"/>
        <v>433.07499999999999</v>
      </c>
      <c r="AK51" s="167">
        <f t="shared" si="3"/>
        <v>25987.5</v>
      </c>
      <c r="AL51" s="167">
        <f>+AB51*J51</f>
        <v>25400</v>
      </c>
      <c r="AM51" s="230">
        <f>+AB51-(AI51*K51/K53)</f>
        <v>42.791666666666686</v>
      </c>
      <c r="AN51" s="339"/>
      <c r="AO51" s="340"/>
      <c r="AP51" s="167"/>
      <c r="AQ51" s="167"/>
      <c r="AR51" s="167"/>
      <c r="AS51" s="167"/>
      <c r="AT51" s="433">
        <f>-400+AB50</f>
        <v>165</v>
      </c>
      <c r="AU51" s="393">
        <v>1.5</v>
      </c>
      <c r="AW51" s="356">
        <v>919</v>
      </c>
      <c r="AY51" s="356">
        <f t="shared" ref="AY51" si="27">+AW51-AG51</f>
        <v>-57</v>
      </c>
    </row>
    <row r="52" spans="2:51" s="98" customFormat="1" ht="62.25" customHeight="1" x14ac:dyDescent="0.9">
      <c r="B52" s="125">
        <f>B51</f>
        <v>12</v>
      </c>
      <c r="C52" s="373"/>
      <c r="D52" s="184"/>
      <c r="E52" s="111">
        <f>+B51</f>
        <v>12</v>
      </c>
      <c r="F52" s="377"/>
      <c r="G52" s="578" t="str">
        <f>+G50</f>
        <v>2843-709-800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>
        <v>1</v>
      </c>
      <c r="K52" s="114" t="s">
        <v>22</v>
      </c>
      <c r="L52" s="102" t="s">
        <v>18</v>
      </c>
      <c r="M52" s="425">
        <v>49</v>
      </c>
      <c r="N52" s="425">
        <v>49</v>
      </c>
      <c r="O52" s="425">
        <v>49</v>
      </c>
      <c r="P52" s="425">
        <v>49</v>
      </c>
      <c r="Q52" s="425">
        <v>49</v>
      </c>
      <c r="R52" s="425">
        <v>49</v>
      </c>
      <c r="S52" s="425">
        <v>49</v>
      </c>
      <c r="T52" s="425">
        <v>49</v>
      </c>
      <c r="U52" s="425">
        <v>49</v>
      </c>
      <c r="V52" s="426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0.5</v>
      </c>
      <c r="Y52" s="440"/>
      <c r="Z52" s="400"/>
      <c r="AA52" s="541"/>
      <c r="AB52" s="443">
        <f t="shared" si="7"/>
        <v>428.75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167">
        <f t="shared" si="3"/>
        <v>0</v>
      </c>
      <c r="AL52" s="167"/>
      <c r="AM52" s="230"/>
      <c r="AN52" s="339"/>
      <c r="AO52" s="340">
        <f>+IF(AN53=7.75,SUM(M52:S52)+T52*0.75,IF(AN53=8,SUM(M52:T52),IF(AN53=7.25,SUM(M52:S52)+T52*0.25,IF(AN53=8.25,SUM(M52:T52)+U52*0.25,IF(AN53=8.75,SUM(M52:T52)+U52*0.75,0)))))</f>
        <v>428.75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B51</f>
        <v>12</v>
      </c>
      <c r="C53" s="375"/>
      <c r="D53" s="174" t="s">
        <v>366</v>
      </c>
      <c r="E53" s="175">
        <f>+E52+100</f>
        <v>112</v>
      </c>
      <c r="F53" s="175"/>
      <c r="G53" s="579" t="str">
        <f>+G50</f>
        <v>2843-709-800</v>
      </c>
      <c r="H53" s="454">
        <f>+AC50-H51</f>
        <v>661</v>
      </c>
      <c r="I53" s="397" t="s">
        <v>182</v>
      </c>
      <c r="J53" s="165">
        <f>+IF(K53="","",IF(K51=0,"",(K51*J51)/(K53*60)))</f>
        <v>0.89506172839506171</v>
      </c>
      <c r="K53" s="118">
        <v>54</v>
      </c>
      <c r="L53" s="104" t="s">
        <v>19</v>
      </c>
      <c r="M53" s="427">
        <v>1</v>
      </c>
      <c r="N53" s="427">
        <v>1</v>
      </c>
      <c r="O53" s="427">
        <v>1</v>
      </c>
      <c r="P53" s="427">
        <v>1</v>
      </c>
      <c r="Q53" s="427">
        <v>1</v>
      </c>
      <c r="R53" s="427">
        <v>1</v>
      </c>
      <c r="S53" s="427">
        <v>1</v>
      </c>
      <c r="T53" s="427">
        <v>1</v>
      </c>
      <c r="U53" s="427">
        <v>1</v>
      </c>
      <c r="V53" s="428"/>
      <c r="W53" s="428"/>
      <c r="X53" s="173"/>
      <c r="Y53" s="441"/>
      <c r="Z53" s="401">
        <v>20.200641379310341</v>
      </c>
      <c r="AA53" s="401">
        <v>20.200641379310341</v>
      </c>
      <c r="AB53" s="444">
        <f t="shared" si="7"/>
        <v>8.75</v>
      </c>
      <c r="AC53" s="139"/>
      <c r="AD53" s="139"/>
      <c r="AE53" s="441"/>
      <c r="AF53" s="441"/>
      <c r="AG53" s="119">
        <f>+IFERROR(AG51/(K51*$AT$3),"")</f>
        <v>1.9231527093596059</v>
      </c>
      <c r="AH53" s="162"/>
      <c r="AI53" s="161"/>
      <c r="AJ53" s="161">
        <f t="shared" si="2"/>
        <v>0</v>
      </c>
      <c r="AK53" s="167">
        <f t="shared" si="3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8.75</v>
      </c>
      <c r="AP53" s="167">
        <f>+AO53-AB53</f>
        <v>0</v>
      </c>
      <c r="AQ53" s="167"/>
      <c r="AR53" s="167"/>
      <c r="AS53" s="167"/>
      <c r="AT53" s="435"/>
      <c r="AU53" s="393"/>
      <c r="AW53" s="356">
        <v>1.8108374384236454</v>
      </c>
      <c r="AY53" s="356"/>
    </row>
    <row r="54" spans="2:51" s="98" customFormat="1" ht="62.25" customHeight="1" thickTop="1" x14ac:dyDescent="0.9">
      <c r="B54" s="97">
        <f>+B55</f>
        <v>13</v>
      </c>
      <c r="C54" s="370"/>
      <c r="D54" s="106"/>
      <c r="E54" s="106"/>
      <c r="F54" s="106"/>
      <c r="G54" s="577" t="s">
        <v>442</v>
      </c>
      <c r="H54" s="106"/>
      <c r="I54" s="106"/>
      <c r="J54" s="107" t="s">
        <v>20</v>
      </c>
      <c r="K54" s="108" t="s">
        <v>23</v>
      </c>
      <c r="L54" s="100" t="s">
        <v>21</v>
      </c>
      <c r="M54" s="423">
        <v>100</v>
      </c>
      <c r="N54" s="423">
        <v>50</v>
      </c>
      <c r="O54" s="423">
        <v>50</v>
      </c>
      <c r="P54" s="423">
        <v>50</v>
      </c>
      <c r="Q54" s="423">
        <v>50</v>
      </c>
      <c r="R54" s="423"/>
      <c r="S54" s="423"/>
      <c r="T54" s="423"/>
      <c r="U54" s="423"/>
      <c r="V54" s="423"/>
      <c r="W54" s="423"/>
      <c r="X54" s="135">
        <f t="shared" si="0"/>
        <v>300</v>
      </c>
      <c r="Y54" s="438"/>
      <c r="Z54" s="400">
        <v>0.75</v>
      </c>
      <c r="AA54" s="540">
        <f>+X56</f>
        <v>0.75</v>
      </c>
      <c r="AB54" s="135">
        <f t="shared" si="1"/>
        <v>300</v>
      </c>
      <c r="AC54" s="136">
        <f>+AD54+AB54</f>
        <v>2500</v>
      </c>
      <c r="AD54" s="136">
        <v>2200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13</v>
      </c>
      <c r="C55" s="371">
        <f>+B55</f>
        <v>13</v>
      </c>
      <c r="D55" s="372" t="s">
        <v>441</v>
      </c>
      <c r="E55" s="111"/>
      <c r="F55" s="111" t="s">
        <v>35</v>
      </c>
      <c r="G55" s="578" t="str">
        <f>+G54</f>
        <v>7741-793-052</v>
      </c>
      <c r="H55" s="450">
        <v>8500</v>
      </c>
      <c r="I55" s="111" t="s">
        <v>33</v>
      </c>
      <c r="J55" s="113">
        <v>55.14</v>
      </c>
      <c r="K55" s="130">
        <v>43</v>
      </c>
      <c r="L55" s="101" t="s">
        <v>17</v>
      </c>
      <c r="M55" s="214">
        <v>33</v>
      </c>
      <c r="N55" s="214">
        <v>43</v>
      </c>
      <c r="O55" s="214">
        <v>43</v>
      </c>
      <c r="P55" s="214">
        <v>43</v>
      </c>
      <c r="Q55" s="214">
        <v>43</v>
      </c>
      <c r="R55" s="214">
        <v>43</v>
      </c>
      <c r="S55" s="214">
        <v>48</v>
      </c>
      <c r="T55" s="214">
        <v>48</v>
      </c>
      <c r="U55" s="214">
        <v>33</v>
      </c>
      <c r="V55" s="214"/>
      <c r="W55" s="424"/>
      <c r="X55" s="123">
        <f>+IF(H56="s",0,IF(AB55=0,0,IF(COUNTA(M55:W55)=AN57+0.25,SUMIF($C:$C,B55,$AB:$AB)/AN57,SUMIF($C:$C,B55,$AB:$AB)/(COUNTA(M55:W55)))))</f>
        <v>43.085714285714289</v>
      </c>
      <c r="Y55" s="439"/>
      <c r="Z55" s="400"/>
      <c r="AA55" s="541"/>
      <c r="AB55" s="134">
        <f t="shared" si="1"/>
        <v>377</v>
      </c>
      <c r="AC55" s="137">
        <f>+AB55+AD55</f>
        <v>1669</v>
      </c>
      <c r="AD55" s="137">
        <v>1292</v>
      </c>
      <c r="AE55" s="439"/>
      <c r="AF55" s="439">
        <f>+AE55+Y55</f>
        <v>0</v>
      </c>
      <c r="AG55" s="140">
        <f>+AC54-AC55</f>
        <v>831</v>
      </c>
      <c r="AH55" s="131">
        <f>+IF(((AB56+(AB57/2))*60)=0,"",(J55*AB55)/((AB56+(AB57/2))*60))</f>
        <v>0.86077763975155275</v>
      </c>
      <c r="AI55" s="161">
        <f>+AB56+AB57/2</f>
        <v>402.5</v>
      </c>
      <c r="AJ55" s="161">
        <f t="shared" si="2"/>
        <v>402.3</v>
      </c>
      <c r="AK55" s="167">
        <f t="shared" si="3"/>
        <v>24150</v>
      </c>
      <c r="AL55" s="167">
        <f>+AB55*J55</f>
        <v>20787.78</v>
      </c>
      <c r="AM55" s="230">
        <f>+AB55-(AI55*K55/K57)</f>
        <v>0.75</v>
      </c>
      <c r="AN55" s="339"/>
      <c r="AO55" s="340"/>
      <c r="AP55" s="167"/>
      <c r="AQ55" s="167"/>
      <c r="AR55" s="167"/>
      <c r="AS55" s="167"/>
      <c r="AT55" s="433">
        <f t="shared" ref="AT55" si="28">IF(AU55=0,"",AW55-(($AT$3*K55)+($AT$3*K55)*AU55)+AB54)</f>
        <v>41.625</v>
      </c>
      <c r="AU55" s="393">
        <v>2.1</v>
      </c>
      <c r="AW55" s="356">
        <v>908</v>
      </c>
      <c r="AY55" s="356">
        <f t="shared" ref="AY55" si="29">+AW55-AG55</f>
        <v>77</v>
      </c>
    </row>
    <row r="56" spans="2:51" s="98" customFormat="1" ht="62.25" customHeight="1" x14ac:dyDescent="0.9">
      <c r="B56" s="125">
        <f>+B55</f>
        <v>13</v>
      </c>
      <c r="C56" s="373"/>
      <c r="D56" s="184"/>
      <c r="E56" s="111">
        <f>+B55</f>
        <v>13</v>
      </c>
      <c r="F56" s="374"/>
      <c r="G56" s="578" t="str">
        <f>+G55</f>
        <v>7741-793-052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46</v>
      </c>
      <c r="N56" s="425">
        <v>46</v>
      </c>
      <c r="O56" s="425">
        <v>46</v>
      </c>
      <c r="P56" s="425">
        <v>46</v>
      </c>
      <c r="Q56" s="425">
        <v>46</v>
      </c>
      <c r="R56" s="425">
        <v>46</v>
      </c>
      <c r="S56" s="425">
        <v>46</v>
      </c>
      <c r="T56" s="425">
        <v>46</v>
      </c>
      <c r="U56" s="425">
        <v>46</v>
      </c>
      <c r="V56" s="425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0.75</v>
      </c>
      <c r="Y56" s="440"/>
      <c r="Z56" s="400"/>
      <c r="AA56" s="541"/>
      <c r="AB56" s="443">
        <f t="shared" si="7"/>
        <v>402.5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167"/>
      <c r="AN56" s="339"/>
      <c r="AO56" s="340">
        <f>+IF(AN57=7.75,SUM(M56:S56)+T56*0.75,IF(AN57=8,SUM(M56:T56),IF(AN57=7.25,SUM(M56:S56)+T56*0.25,IF(AN57=8.25,SUM(M56:T56)+U56*0.25,IF(AN57=8.75,SUM(M56:T56)+U56*0.75,0)))))</f>
        <v>402.5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+B55</f>
        <v>13</v>
      </c>
      <c r="C57" s="375"/>
      <c r="D57" s="174" t="s">
        <v>468</v>
      </c>
      <c r="E57" s="175">
        <f>+E56+100</f>
        <v>113</v>
      </c>
      <c r="F57" s="175"/>
      <c r="G57" s="579" t="str">
        <f>+G56</f>
        <v>7741-793-052</v>
      </c>
      <c r="H57" s="454">
        <f>+AC54-H55</f>
        <v>-6000</v>
      </c>
      <c r="I57" s="397"/>
      <c r="J57" s="165">
        <f>+IF(K57="","",IF(K55=0,"",(K55*J55)/(K57*60)))</f>
        <v>0.85906521739130437</v>
      </c>
      <c r="K57" s="429">
        <v>46</v>
      </c>
      <c r="L57" s="104" t="s">
        <v>19</v>
      </c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8"/>
      <c r="X57" s="173"/>
      <c r="Y57" s="441"/>
      <c r="Z57" s="448">
        <v>31.353389383215369</v>
      </c>
      <c r="AA57" s="168">
        <f>+IF(COUNTA(M55:W55)=$AM$4+0.25,$AM$4-(AB55/K55),COUNTA(M55:W55)-(AB55/K55))+Z57</f>
        <v>31.335947522750253</v>
      </c>
      <c r="AB57" s="444">
        <f t="shared" si="7"/>
        <v>0</v>
      </c>
      <c r="AC57" s="139"/>
      <c r="AD57" s="139"/>
      <c r="AE57" s="441"/>
      <c r="AF57" s="441"/>
      <c r="AG57" s="119">
        <f>+IFERROR(AG55/(K55*$AT$3),"")</f>
        <v>2.208637873754153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0</v>
      </c>
      <c r="AP57" s="167">
        <f>+AO57-AB57</f>
        <v>0</v>
      </c>
      <c r="AQ57" s="167"/>
      <c r="AR57" s="167"/>
      <c r="AS57" s="167"/>
      <c r="AT57" s="435"/>
      <c r="AU57" s="393"/>
      <c r="AW57" s="356">
        <v>2.4132890365448505</v>
      </c>
      <c r="AY57" s="356"/>
    </row>
    <row r="58" spans="2:51" s="98" customFormat="1" ht="58.5" customHeight="1" thickTop="1" x14ac:dyDescent="0.9">
      <c r="B58" s="127">
        <f>+B59</f>
        <v>14</v>
      </c>
      <c r="C58" s="370"/>
      <c r="D58" s="106"/>
      <c r="E58" s="106"/>
      <c r="F58" s="106"/>
      <c r="G58" s="577" t="s">
        <v>456</v>
      </c>
      <c r="H58" s="106"/>
      <c r="I58" s="106"/>
      <c r="J58" s="107" t="s">
        <v>20</v>
      </c>
      <c r="K58" s="108" t="s">
        <v>23</v>
      </c>
      <c r="L58" s="100" t="s">
        <v>21</v>
      </c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135" t="str">
        <f t="shared" si="0"/>
        <v/>
      </c>
      <c r="Y58" s="438"/>
      <c r="Z58" s="400">
        <v>42</v>
      </c>
      <c r="AA58" s="540">
        <f>+X60</f>
        <v>0</v>
      </c>
      <c r="AB58" s="135">
        <f t="shared" si="1"/>
        <v>0</v>
      </c>
      <c r="AC58" s="136">
        <f>+AD58+AB58</f>
        <v>6295</v>
      </c>
      <c r="AD58" s="136">
        <v>6295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58.5" customHeight="1" x14ac:dyDescent="0.9">
      <c r="B59" s="133">
        <v>14</v>
      </c>
      <c r="C59" s="371">
        <f>+B59</f>
        <v>14</v>
      </c>
      <c r="D59" s="372" t="s">
        <v>461</v>
      </c>
      <c r="E59" s="111"/>
      <c r="F59" s="111" t="s">
        <v>447</v>
      </c>
      <c r="G59" s="578" t="str">
        <f t="shared" ref="G59:G65" si="30">+G58</f>
        <v>DOT KEYHOLE</v>
      </c>
      <c r="H59" s="450">
        <v>6262</v>
      </c>
      <c r="I59" s="111" t="s">
        <v>252</v>
      </c>
      <c r="J59" s="113">
        <v>36.090000000000003</v>
      </c>
      <c r="K59" s="130">
        <v>80</v>
      </c>
      <c r="L59" s="101" t="s">
        <v>17</v>
      </c>
      <c r="M59" s="214">
        <v>80</v>
      </c>
      <c r="N59" s="214">
        <v>80</v>
      </c>
      <c r="O59" s="214">
        <v>70</v>
      </c>
      <c r="P59" s="214">
        <v>70</v>
      </c>
      <c r="Q59" s="214">
        <v>30</v>
      </c>
      <c r="R59" s="214"/>
      <c r="S59" s="214"/>
      <c r="T59" s="214"/>
      <c r="U59" s="214"/>
      <c r="V59" s="214"/>
      <c r="W59" s="214"/>
      <c r="X59" s="123">
        <f>+IF(H60="s",0,IF(AB59=0,0,IF(COUNTA(M59:W59)=AN61+0.25,SUMIF($C:$C,B59,$AB:$AB)/AN61,SUMIF($C:$C,B59,$AB:$AB)/(COUNTA(M59:W59)))))</f>
        <v>0</v>
      </c>
      <c r="Y59" s="439"/>
      <c r="Z59" s="400"/>
      <c r="AA59" s="541"/>
      <c r="AB59" s="134">
        <f t="shared" si="1"/>
        <v>330</v>
      </c>
      <c r="AC59" s="137">
        <f>+AB59+AD59</f>
        <v>6295</v>
      </c>
      <c r="AD59" s="137">
        <v>5965</v>
      </c>
      <c r="AE59" s="439"/>
      <c r="AF59" s="439">
        <f>+AE59+Y59</f>
        <v>0</v>
      </c>
      <c r="AG59" s="140">
        <f>+AC58-AC59</f>
        <v>0</v>
      </c>
      <c r="AH59" s="131">
        <f>+IF(((AB60+(AB61/2))*60)=0,"",(J59*AB59)/((AB60+(AB61/2))*60))</f>
        <v>1.4813059701492539</v>
      </c>
      <c r="AI59" s="161">
        <f>+AB60+AB61/2</f>
        <v>134</v>
      </c>
      <c r="AJ59" s="161">
        <f t="shared" si="2"/>
        <v>134</v>
      </c>
      <c r="AK59" s="167">
        <f t="shared" si="3"/>
        <v>8040</v>
      </c>
      <c r="AL59" s="167">
        <f>+AB59*J59</f>
        <v>11909.7</v>
      </c>
      <c r="AM59" s="230">
        <f>+AB59-(AI59*K59/K61)</f>
        <v>138.57142857142858</v>
      </c>
      <c r="AN59" s="339"/>
      <c r="AO59" s="340"/>
      <c r="AP59" s="167"/>
      <c r="AQ59" s="167"/>
      <c r="AR59" s="167"/>
      <c r="AS59" s="167"/>
      <c r="AT59" s="433" t="str">
        <f t="shared" ref="AT59" si="31">IF(AU59=0,"",AW59-(($AT$3*K59)+($AT$3*K59)*AU59)+AB58)</f>
        <v/>
      </c>
      <c r="AU59" s="393"/>
      <c r="AW59" s="356">
        <v>330</v>
      </c>
      <c r="AY59" s="356">
        <f t="shared" ref="AY59" si="32">+AW59-AG59</f>
        <v>330</v>
      </c>
    </row>
    <row r="60" spans="2:51" s="98" customFormat="1" ht="58.5" customHeight="1" x14ac:dyDescent="0.9">
      <c r="B60" s="125">
        <f>+B59</f>
        <v>14</v>
      </c>
      <c r="C60" s="373"/>
      <c r="D60" s="184"/>
      <c r="E60" s="111">
        <f>+B59</f>
        <v>14</v>
      </c>
      <c r="F60" s="374"/>
      <c r="G60" s="578" t="str">
        <f t="shared" si="30"/>
        <v>DOT KEYHOLE</v>
      </c>
      <c r="H60" s="376" t="s">
        <v>465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40</v>
      </c>
      <c r="N60" s="425">
        <v>40</v>
      </c>
      <c r="O60" s="425">
        <v>30</v>
      </c>
      <c r="P60" s="425">
        <v>20</v>
      </c>
      <c r="Q60" s="425">
        <v>4</v>
      </c>
      <c r="R60" s="425"/>
      <c r="S60" s="425"/>
      <c r="T60" s="425"/>
      <c r="U60" s="425"/>
      <c r="V60" s="425"/>
      <c r="W60" s="425"/>
      <c r="X60" s="160">
        <f>+IF(H60="l",IF(COUNTA(M59:W59)=AN61+0.25,AB59-K59*AN61,AB59-(K59*COUNTA(M59:W59))),IF(H60="s",0,IF(COUNTA(M59:W59)=AN61+0.25,SUMIF($C:$C,B59,$AB:$AB)-K59*AN61,SUMIF($C:$C,B59,$AB:$AB)-K59*COUNTA(M59:W59))))</f>
        <v>0</v>
      </c>
      <c r="Y60" s="440"/>
      <c r="Z60" s="400"/>
      <c r="AA60" s="541"/>
      <c r="AB60" s="443">
        <f t="shared" si="7"/>
        <v>134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134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58.5" customHeight="1" thickBot="1" x14ac:dyDescent="0.95">
      <c r="B61" s="126">
        <f>+B59</f>
        <v>14</v>
      </c>
      <c r="C61" s="375"/>
      <c r="D61" s="174" t="s">
        <v>112</v>
      </c>
      <c r="E61" s="175">
        <f>+E60+100</f>
        <v>114</v>
      </c>
      <c r="F61" s="175"/>
      <c r="G61" s="579" t="str">
        <f t="shared" si="30"/>
        <v>DOT KEYHOLE</v>
      </c>
      <c r="H61" s="454">
        <f>+AC58-H59</f>
        <v>33</v>
      </c>
      <c r="I61" s="397"/>
      <c r="J61" s="165">
        <f>+IF(K61="","",IF(K59=0,"",(K59*J59)/(K61*60)))</f>
        <v>0.85928571428571432</v>
      </c>
      <c r="K61" s="118">
        <v>56</v>
      </c>
      <c r="L61" s="104" t="s">
        <v>19</v>
      </c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7"/>
      <c r="X61" s="173"/>
      <c r="Y61" s="441"/>
      <c r="Z61" s="401">
        <v>41.23</v>
      </c>
      <c r="AA61" s="401">
        <v>41.23</v>
      </c>
      <c r="AB61" s="444">
        <f t="shared" si="7"/>
        <v>0</v>
      </c>
      <c r="AC61" s="139"/>
      <c r="AD61" s="139"/>
      <c r="AE61" s="441"/>
      <c r="AF61" s="441"/>
      <c r="AG61" s="119">
        <f>+IFERROR(AG59/(K59*$AT$3),"")</f>
        <v>0</v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0</v>
      </c>
      <c r="AQ61" s="167"/>
      <c r="AR61" s="167"/>
      <c r="AS61" s="167"/>
      <c r="AT61" s="435"/>
      <c r="AU61" s="393"/>
      <c r="AW61" s="356">
        <v>0.47142857142857142</v>
      </c>
      <c r="AY61" s="356"/>
    </row>
    <row r="62" spans="2:51" s="98" customFormat="1" ht="58.5" customHeight="1" thickTop="1" x14ac:dyDescent="0.9">
      <c r="B62" s="127">
        <f>+B63</f>
        <v>14</v>
      </c>
      <c r="C62" s="370"/>
      <c r="D62" s="106"/>
      <c r="E62" s="106"/>
      <c r="F62" s="106"/>
      <c r="G62" s="577" t="s">
        <v>489</v>
      </c>
      <c r="H62" s="106"/>
      <c r="I62" s="106"/>
      <c r="J62" s="107" t="s">
        <v>20</v>
      </c>
      <c r="K62" s="108" t="s">
        <v>23</v>
      </c>
      <c r="L62" s="100" t="s">
        <v>21</v>
      </c>
      <c r="M62" s="423"/>
      <c r="N62" s="423">
        <v>60</v>
      </c>
      <c r="O62" s="423">
        <v>60</v>
      </c>
      <c r="P62" s="423">
        <v>60</v>
      </c>
      <c r="Q62" s="423">
        <v>60</v>
      </c>
      <c r="R62" s="423">
        <v>60</v>
      </c>
      <c r="S62" s="423">
        <v>60</v>
      </c>
      <c r="T62" s="423"/>
      <c r="U62" s="423"/>
      <c r="V62" s="423"/>
      <c r="W62" s="423"/>
      <c r="X62" s="135">
        <f t="shared" ref="X62" si="33">IF(AT63="","",SUM(M62:W62)-(-(AT63-SUM(M62:W62))/$AT$3)*SUM($M$2:$W$2))</f>
        <v>360</v>
      </c>
      <c r="Y62" s="438"/>
      <c r="Z62" s="400">
        <v>0</v>
      </c>
      <c r="AA62" s="540">
        <f>+X64</f>
        <v>0</v>
      </c>
      <c r="AB62" s="135">
        <f t="shared" ref="AB62:AB63" si="34">+SUM(L62:W62)</f>
        <v>360</v>
      </c>
      <c r="AC62" s="136">
        <f>+AD62+AB62</f>
        <v>660</v>
      </c>
      <c r="AD62" s="136">
        <v>300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58.5" customHeight="1" x14ac:dyDescent="0.9">
      <c r="B63" s="133">
        <v>14</v>
      </c>
      <c r="C63" s="371">
        <f>+B63</f>
        <v>14</v>
      </c>
      <c r="D63" s="372" t="s">
        <v>487</v>
      </c>
      <c r="E63" s="111"/>
      <c r="F63" s="111" t="s">
        <v>488</v>
      </c>
      <c r="G63" s="578" t="str">
        <f t="shared" si="30"/>
        <v>BERGEN-302189</v>
      </c>
      <c r="H63" s="450"/>
      <c r="I63" s="111" t="s">
        <v>33</v>
      </c>
      <c r="J63" s="113"/>
      <c r="K63" s="130"/>
      <c r="L63" s="101" t="s">
        <v>17</v>
      </c>
      <c r="M63" s="214"/>
      <c r="N63" s="214"/>
      <c r="O63" s="214"/>
      <c r="P63" s="214"/>
      <c r="Q63" s="214"/>
      <c r="R63" s="214">
        <v>0</v>
      </c>
      <c r="S63" s="214">
        <v>0</v>
      </c>
      <c r="T63" s="214">
        <v>0</v>
      </c>
      <c r="U63" s="214">
        <v>0</v>
      </c>
      <c r="V63" s="214"/>
      <c r="W63" s="214"/>
      <c r="X63" s="123">
        <f>+IF(H64="s",0,IF(AB63=0,0,IF(COUNTA(M63:W63)=AN65+0.25,SUMIF($C:$C,B63,$AB:$AB)/AN65,SUMIF($C:$C,B63,$AB:$AB)/(COUNTA(M63:W63)))))</f>
        <v>0</v>
      </c>
      <c r="Y63" s="439"/>
      <c r="Z63" s="400"/>
      <c r="AA63" s="541"/>
      <c r="AB63" s="134">
        <f t="shared" si="34"/>
        <v>0</v>
      </c>
      <c r="AC63" s="137">
        <f>+AB63+AD63</f>
        <v>0</v>
      </c>
      <c r="AD63" s="137">
        <v>0</v>
      </c>
      <c r="AE63" s="439"/>
      <c r="AF63" s="439">
        <f>+AE63+Y63</f>
        <v>0</v>
      </c>
      <c r="AG63" s="140">
        <f>+AC62-AC63</f>
        <v>660</v>
      </c>
      <c r="AH63" s="131">
        <f>+IF(((AB64+(AB65/2))*60)=0,"",(J63*AB63)/((AB64+(AB65/2))*60))</f>
        <v>0</v>
      </c>
      <c r="AI63" s="161">
        <f>+AB64+AB65/2</f>
        <v>338.5</v>
      </c>
      <c r="AJ63" s="161">
        <f t="shared" si="2"/>
        <v>338.3</v>
      </c>
      <c r="AK63" s="167">
        <f t="shared" si="3"/>
        <v>20310</v>
      </c>
      <c r="AL63" s="167">
        <f>+AB63*J63</f>
        <v>0</v>
      </c>
      <c r="AM63" s="230" t="e">
        <f>+AB63-(AI63*K63/K65)</f>
        <v>#DIV/0!</v>
      </c>
      <c r="AN63" s="339"/>
      <c r="AO63" s="340"/>
      <c r="AP63" s="167"/>
      <c r="AQ63" s="167"/>
      <c r="AR63" s="167"/>
      <c r="AS63" s="167"/>
      <c r="AT63" s="433">
        <f>-350+AB62</f>
        <v>10</v>
      </c>
      <c r="AU63" s="393">
        <v>1.5</v>
      </c>
      <c r="AW63" s="356">
        <v>300</v>
      </c>
      <c r="AY63" s="356">
        <f t="shared" ref="AY63" si="35">+AW63-AG63</f>
        <v>-360</v>
      </c>
    </row>
    <row r="64" spans="2:51" s="98" customFormat="1" ht="58.5" customHeight="1" x14ac:dyDescent="0.9">
      <c r="B64" s="125">
        <f>+B63</f>
        <v>14</v>
      </c>
      <c r="C64" s="373"/>
      <c r="D64" s="184"/>
      <c r="E64" s="111">
        <f>+B63</f>
        <v>14</v>
      </c>
      <c r="F64" s="374"/>
      <c r="G64" s="578" t="str">
        <f t="shared" si="30"/>
        <v>BERGEN-302189</v>
      </c>
      <c r="H64" s="376" t="s">
        <v>400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>
        <v>14</v>
      </c>
      <c r="N64" s="425">
        <v>14</v>
      </c>
      <c r="O64" s="425">
        <v>24</v>
      </c>
      <c r="P64" s="425">
        <v>34</v>
      </c>
      <c r="Q64" s="425">
        <v>50</v>
      </c>
      <c r="R64" s="425">
        <v>54</v>
      </c>
      <c r="S64" s="425">
        <v>54</v>
      </c>
      <c r="T64" s="425">
        <v>54</v>
      </c>
      <c r="U64" s="425">
        <v>54</v>
      </c>
      <c r="V64" s="425"/>
      <c r="W64" s="425"/>
      <c r="X64" s="160">
        <f>+IF(H64="l",IF(COUNTA(M63:W63)=AN65+0.25,AB63-K63*AN65,AB63-(K63*COUNTA(M63:W63))),IF(H64="s",0,IF(COUNTA(M63:W63)=AN65+0.25,SUMIF($C:$C,B63,$AB:$AB)-K63*AN65,SUMIF($C:$C,B63,$AB:$AB)-K63*COUNTA(M63:W63))))</f>
        <v>0</v>
      </c>
      <c r="Y64" s="440"/>
      <c r="Z64" s="400"/>
      <c r="AA64" s="541"/>
      <c r="AB64" s="443">
        <f t="shared" ref="AB64:AB65" si="36">+SUM(M64:W64)-U64*0.25</f>
        <v>338.5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338.5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58.5" customHeight="1" thickBot="1" x14ac:dyDescent="0.95">
      <c r="B65" s="126">
        <f>+B63</f>
        <v>14</v>
      </c>
      <c r="C65" s="375"/>
      <c r="D65" s="174" t="s">
        <v>112</v>
      </c>
      <c r="E65" s="175">
        <f>+E64+100</f>
        <v>114</v>
      </c>
      <c r="F65" s="175"/>
      <c r="G65" s="579" t="str">
        <f t="shared" si="30"/>
        <v>BERGEN-302189</v>
      </c>
      <c r="H65" s="454">
        <f>+AC62-H63</f>
        <v>660</v>
      </c>
      <c r="I65" s="397"/>
      <c r="J65" s="165" t="str">
        <f>+IF(K65="","",IF(K63=0,"",(K63*J63)/(K65*60)))</f>
        <v/>
      </c>
      <c r="K65" s="118"/>
      <c r="L65" s="104" t="s">
        <v>19</v>
      </c>
      <c r="M65" s="427"/>
      <c r="N65" s="427"/>
      <c r="O65" s="427"/>
      <c r="P65" s="427"/>
      <c r="Q65" s="427"/>
      <c r="R65" s="427"/>
      <c r="S65" s="427"/>
      <c r="T65" s="427"/>
      <c r="U65" s="427"/>
      <c r="V65" s="427"/>
      <c r="W65" s="427"/>
      <c r="X65" s="173"/>
      <c r="Y65" s="441"/>
      <c r="Z65" s="401"/>
      <c r="AA65" s="401"/>
      <c r="AB65" s="444">
        <f t="shared" si="36"/>
        <v>0</v>
      </c>
      <c r="AC65" s="139"/>
      <c r="AD65" s="139"/>
      <c r="AE65" s="441"/>
      <c r="AF65" s="441"/>
      <c r="AG65" s="119" t="str">
        <f>+IFERROR(AG63/(K63*$AT$3),"")</f>
        <v/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0</v>
      </c>
      <c r="AP65" s="167">
        <f>+AO65-AB65</f>
        <v>0</v>
      </c>
      <c r="AQ65" s="167"/>
      <c r="AR65" s="167"/>
      <c r="AS65" s="167"/>
      <c r="AT65" s="435"/>
      <c r="AU65" s="393"/>
      <c r="AW65" s="356" t="s">
        <v>429</v>
      </c>
      <c r="AY65" s="356"/>
    </row>
    <row r="66" spans="2:62" s="98" customFormat="1" ht="62.25" customHeight="1" thickTop="1" x14ac:dyDescent="0.9">
      <c r="B66" s="97">
        <f>+B67</f>
        <v>15</v>
      </c>
      <c r="C66" s="370"/>
      <c r="D66" s="106"/>
      <c r="E66" s="106"/>
      <c r="F66" s="106"/>
      <c r="G66" s="577" t="s">
        <v>440</v>
      </c>
      <c r="H66" s="106"/>
      <c r="I66" s="106"/>
      <c r="J66" s="107" t="s">
        <v>20</v>
      </c>
      <c r="K66" s="108" t="s">
        <v>23</v>
      </c>
      <c r="L66" s="100" t="s">
        <v>21</v>
      </c>
      <c r="M66" s="423">
        <v>150</v>
      </c>
      <c r="N66" s="423">
        <v>75</v>
      </c>
      <c r="O66" s="423">
        <v>150</v>
      </c>
      <c r="P66" s="423"/>
      <c r="Q66" s="423"/>
      <c r="R66" s="423">
        <v>75</v>
      </c>
      <c r="S66" s="423"/>
      <c r="T66" s="423"/>
      <c r="U66" s="423"/>
      <c r="V66" s="423"/>
      <c r="W66" s="423"/>
      <c r="X66" s="135">
        <f t="shared" si="0"/>
        <v>450</v>
      </c>
      <c r="Y66" s="438"/>
      <c r="Z66" s="400">
        <v>17</v>
      </c>
      <c r="AA66" s="540">
        <f>+X68</f>
        <v>18</v>
      </c>
      <c r="AB66" s="135">
        <f t="shared" si="1"/>
        <v>450</v>
      </c>
      <c r="AC66" s="136">
        <f>+AD66+AB66</f>
        <v>4726</v>
      </c>
      <c r="AD66" s="136">
        <v>4276</v>
      </c>
      <c r="AE66" s="438"/>
      <c r="AF66" s="438"/>
      <c r="AG66" s="109"/>
      <c r="AH66" s="110"/>
      <c r="AI66" s="157"/>
      <c r="AJ66" s="161">
        <f t="shared" si="2"/>
        <v>0</v>
      </c>
      <c r="AK66" s="167">
        <f t="shared" si="3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1.35">
      <c r="B67" s="132">
        <v>15</v>
      </c>
      <c r="C67" s="371">
        <f>+B67</f>
        <v>15</v>
      </c>
      <c r="D67" s="372" t="s">
        <v>439</v>
      </c>
      <c r="E67" s="111"/>
      <c r="F67" s="111" t="s">
        <v>35</v>
      </c>
      <c r="G67" s="578" t="str">
        <f>+G66</f>
        <v>7740-876-052</v>
      </c>
      <c r="H67" s="450">
        <v>7700</v>
      </c>
      <c r="I67" s="111" t="s">
        <v>33</v>
      </c>
      <c r="J67" s="113">
        <v>55.78</v>
      </c>
      <c r="K67" s="130">
        <v>52</v>
      </c>
      <c r="L67" s="101" t="s">
        <v>17</v>
      </c>
      <c r="M67" s="214">
        <v>52</v>
      </c>
      <c r="N67" s="214">
        <v>52</v>
      </c>
      <c r="O67" s="214">
        <v>52</v>
      </c>
      <c r="P67" s="214">
        <v>52</v>
      </c>
      <c r="Q67" s="214">
        <v>52</v>
      </c>
      <c r="R67" s="214">
        <v>52</v>
      </c>
      <c r="S67" s="214">
        <v>52</v>
      </c>
      <c r="T67" s="214">
        <v>52</v>
      </c>
      <c r="U67" s="214">
        <v>57</v>
      </c>
      <c r="V67" s="424"/>
      <c r="W67" s="424"/>
      <c r="X67" s="123">
        <f>+IF(H68="s",0,IF(AB67=0,0,IF(COUNTA(M67:W67)=AN69+0.25,SUMIF($C:$C,B67,$AB:$AB)/AN69,SUMIF($C:$C,B67,$AB:$AB)/(COUNTA(M67:W67)))))</f>
        <v>54.057142857142857</v>
      </c>
      <c r="Y67" s="439"/>
      <c r="Z67" s="400"/>
      <c r="AA67" s="541"/>
      <c r="AB67" s="134">
        <f t="shared" si="1"/>
        <v>473</v>
      </c>
      <c r="AC67" s="137">
        <f>+AB67+AD67</f>
        <v>3664</v>
      </c>
      <c r="AD67" s="137">
        <v>3191</v>
      </c>
      <c r="AE67" s="439">
        <v>0</v>
      </c>
      <c r="AF67" s="439">
        <f>+AE67+Y67</f>
        <v>0</v>
      </c>
      <c r="AG67" s="140">
        <f>+AC66-AC67</f>
        <v>1062</v>
      </c>
      <c r="AH67" s="131">
        <f>+IF(((AB68+(AB69/2))*60)=0,"",(J67*AB67)/((AB68+(AB69/2))*60))</f>
        <v>0.97071155261221498</v>
      </c>
      <c r="AI67" s="161">
        <f>+AB68+AB69/2</f>
        <v>453</v>
      </c>
      <c r="AJ67" s="161">
        <f t="shared" si="2"/>
        <v>453</v>
      </c>
      <c r="AK67" s="167">
        <f t="shared" si="3"/>
        <v>27180</v>
      </c>
      <c r="AL67" s="167">
        <f>+AB67*J67</f>
        <v>26383.940000000002</v>
      </c>
      <c r="AM67" s="230">
        <f>+AB67-(AI67*K67/K69)</f>
        <v>52.357142857142833</v>
      </c>
      <c r="AN67" s="339"/>
      <c r="AO67" s="340"/>
      <c r="AP67" s="167"/>
      <c r="AQ67" s="167"/>
      <c r="AR67" s="167"/>
      <c r="AS67" s="167"/>
      <c r="AT67" s="433">
        <f>-400+AB66</f>
        <v>50</v>
      </c>
      <c r="AU67" s="393">
        <v>1.5</v>
      </c>
      <c r="AW67" s="356">
        <v>1085</v>
      </c>
      <c r="AY67" s="356">
        <f t="shared" ref="AY67" si="37">+AW67-AG67</f>
        <v>23</v>
      </c>
      <c r="AZ67" s="581"/>
      <c r="BA67" s="581"/>
      <c r="BB67" s="581"/>
      <c r="BC67" s="581"/>
      <c r="BD67" s="581"/>
      <c r="BE67" s="581"/>
      <c r="BF67" s="581"/>
      <c r="BG67" s="581"/>
      <c r="BH67" s="581"/>
      <c r="BI67" s="581"/>
    </row>
    <row r="68" spans="2:62" s="98" customFormat="1" ht="62.25" customHeight="1" x14ac:dyDescent="0.9">
      <c r="B68" s="125">
        <f>+B67</f>
        <v>15</v>
      </c>
      <c r="C68" s="373"/>
      <c r="D68" s="184"/>
      <c r="E68" s="111">
        <f>+B67</f>
        <v>15</v>
      </c>
      <c r="F68" s="377"/>
      <c r="G68" s="578" t="str">
        <f>+G67</f>
        <v>7740-876-052</v>
      </c>
      <c r="H68" s="376" t="s">
        <v>399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>
        <v>49</v>
      </c>
      <c r="N68" s="425">
        <v>51</v>
      </c>
      <c r="O68" s="425">
        <v>51</v>
      </c>
      <c r="P68" s="425">
        <v>51</v>
      </c>
      <c r="Q68" s="425">
        <v>51</v>
      </c>
      <c r="R68" s="425">
        <v>51</v>
      </c>
      <c r="S68" s="425">
        <v>51</v>
      </c>
      <c r="T68" s="425">
        <v>51</v>
      </c>
      <c r="U68" s="425">
        <v>51</v>
      </c>
      <c r="V68" s="426"/>
      <c r="W68" s="426"/>
      <c r="X68" s="160">
        <f>+IF(H68="l",IF(COUNTA(M67:W67)=AN69+0.25,AB67-K67*AN69,AB67-(K67*COUNTA(M67:W67))),IF(H68="s",0,IF(COUNTA(M67:W67)=AN69+0.25,SUMIF($C:$C,B67,$AB:$AB)-K67*AN69,SUMIF($C:$C,B67,$AB:$AB)-K67*COUNTA(M67:W67))))</f>
        <v>18</v>
      </c>
      <c r="Y68" s="440"/>
      <c r="Z68" s="400"/>
      <c r="AA68" s="541"/>
      <c r="AB68" s="443">
        <f t="shared" si="7"/>
        <v>444.25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167">
        <f t="shared" si="3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444.25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126">
        <f>+B67</f>
        <v>15</v>
      </c>
      <c r="C69" s="375"/>
      <c r="D69" s="174" t="s">
        <v>93</v>
      </c>
      <c r="E69" s="175">
        <f>+E68+100</f>
        <v>115</v>
      </c>
      <c r="F69" s="175"/>
      <c r="G69" s="579" t="str">
        <f>+G68</f>
        <v>7740-876-052</v>
      </c>
      <c r="H69" s="454">
        <f>+AC66-H67</f>
        <v>-2974</v>
      </c>
      <c r="I69" s="397"/>
      <c r="J69" s="165">
        <f>+IF(K69="","",IF(K67=0,"",(K67*J67)/(K69*60)))</f>
        <v>0.86326190476190479</v>
      </c>
      <c r="K69" s="118">
        <v>56</v>
      </c>
      <c r="L69" s="104" t="s">
        <v>19</v>
      </c>
      <c r="M69" s="427">
        <v>2</v>
      </c>
      <c r="N69" s="427">
        <v>2</v>
      </c>
      <c r="O69" s="427">
        <v>2</v>
      </c>
      <c r="P69" s="427">
        <v>2</v>
      </c>
      <c r="Q69" s="427">
        <v>2</v>
      </c>
      <c r="R69" s="427">
        <v>2</v>
      </c>
      <c r="S69" s="427">
        <v>2</v>
      </c>
      <c r="T69" s="427">
        <v>2</v>
      </c>
      <c r="U69" s="427">
        <v>2</v>
      </c>
      <c r="V69" s="428"/>
      <c r="W69" s="428"/>
      <c r="X69" s="173"/>
      <c r="Y69" s="441"/>
      <c r="Z69" s="401">
        <v>11.961538461538462</v>
      </c>
      <c r="AA69" s="448">
        <v>11.961538461538462</v>
      </c>
      <c r="AB69" s="444">
        <f t="shared" si="7"/>
        <v>17.5</v>
      </c>
      <c r="AC69" s="139"/>
      <c r="AD69" s="139"/>
      <c r="AE69" s="441"/>
      <c r="AF69" s="441"/>
      <c r="AG69" s="119">
        <f>+IFERROR(AG67/(K67*$AT$3),"")</f>
        <v>2.3340659340659342</v>
      </c>
      <c r="AH69" s="162"/>
      <c r="AI69" s="161"/>
      <c r="AJ69" s="161">
        <f t="shared" si="2"/>
        <v>0</v>
      </c>
      <c r="AK69" s="167">
        <f t="shared" si="3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17.5</v>
      </c>
      <c r="AP69" s="167">
        <f>+AO69-AB69</f>
        <v>0</v>
      </c>
      <c r="AQ69" s="167"/>
      <c r="AR69" s="167"/>
      <c r="AS69" s="167"/>
      <c r="AT69" s="435"/>
      <c r="AU69" s="393"/>
      <c r="AW69" s="356">
        <v>2.3846153846153846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77" t="s">
        <v>463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ref="X70:X86" si="38">IF(AT71="","",SUM(M70:W70)-(-(AT71-SUM(M70:W70))/$AT$3)*SUM($M$2:$W$2))</f>
        <v/>
      </c>
      <c r="Y70" s="438"/>
      <c r="Z70" s="400">
        <v>0</v>
      </c>
      <c r="AA70" s="540">
        <f>+X72</f>
        <v>0</v>
      </c>
      <c r="AB70" s="135">
        <f t="shared" ref="AB70:AB87" si="39">+SUM(L70:W70)</f>
        <v>0</v>
      </c>
      <c r="AC70" s="136">
        <f>+AD70+AB70</f>
        <v>2169</v>
      </c>
      <c r="AD70" s="136">
        <v>2169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462</v>
      </c>
      <c r="E71" s="111"/>
      <c r="F71" s="111" t="s">
        <v>422</v>
      </c>
      <c r="G71" s="578" t="str">
        <f>+G70</f>
        <v>PIANO-Turquaz</v>
      </c>
      <c r="H71" s="450">
        <v>2155</v>
      </c>
      <c r="I71" s="111" t="s">
        <v>451</v>
      </c>
      <c r="J71" s="113">
        <v>33.86</v>
      </c>
      <c r="K71" s="130">
        <v>75</v>
      </c>
      <c r="L71" s="101" t="s">
        <v>17</v>
      </c>
      <c r="M71" s="214"/>
      <c r="N71" s="214"/>
      <c r="O71" s="214"/>
      <c r="P71" s="214"/>
      <c r="Q71" s="214"/>
      <c r="R71" s="214"/>
      <c r="S71" s="214"/>
      <c r="T71" s="214"/>
      <c r="U71" s="214"/>
      <c r="V71" s="424"/>
      <c r="W71" s="424"/>
      <c r="X71" s="123">
        <f>+IF(H72="s",0,IF(AB71=0,0,IF(COUNTA(M71:W71)=AN73+0.25,SUMIF($C:$C,B71,$AB:$AB)/AN73,SUMIF($C:$C,B71,$AB:$AB)/(COUNTA(M71:W71)))))</f>
        <v>0</v>
      </c>
      <c r="Y71" s="439"/>
      <c r="Z71" s="400"/>
      <c r="AA71" s="541"/>
      <c r="AB71" s="134">
        <f t="shared" si="39"/>
        <v>0</v>
      </c>
      <c r="AC71" s="137">
        <f>+AB71+AD71</f>
        <v>2095</v>
      </c>
      <c r="AD71" s="137">
        <v>2095</v>
      </c>
      <c r="AE71" s="439"/>
      <c r="AF71" s="439">
        <f>+AE71+Y71</f>
        <v>0</v>
      </c>
      <c r="AG71" s="140">
        <f>+AC70-AC71</f>
        <v>74</v>
      </c>
      <c r="AH71" s="131" t="str">
        <f>+IF(((AB72+(AB73/2))*60)=0,"",(J71*AB71)/((AB72+(AB73/2))*60))</f>
        <v/>
      </c>
      <c r="AI71" s="161">
        <f>+AB72+AB73/2</f>
        <v>0</v>
      </c>
      <c r="AJ71" s="161">
        <f t="shared" si="2"/>
        <v>0</v>
      </c>
      <c r="AK71" s="167">
        <f t="shared" si="3"/>
        <v>0</v>
      </c>
      <c r="AL71" s="167">
        <f>+AB71*J71</f>
        <v>0</v>
      </c>
      <c r="AM71" s="230">
        <f>+AB71-(AI71*K71/K73)</f>
        <v>0</v>
      </c>
      <c r="AN71" s="339"/>
      <c r="AO71" s="340"/>
      <c r="AP71" s="167"/>
      <c r="AQ71" s="167"/>
      <c r="AR71" s="167"/>
      <c r="AS71" s="167"/>
      <c r="AT71" s="433" t="str">
        <f t="shared" ref="AT71" si="40">IF(AU71=0,"",AW71-(($AT$3*K71)+($AT$3*K71)*AU71)+AB70)</f>
        <v/>
      </c>
      <c r="AU71" s="393"/>
      <c r="AW71" s="356">
        <v>74</v>
      </c>
      <c r="AY71" s="356">
        <f t="shared" ref="AY71" si="41">+AW71-AG71</f>
        <v>0</v>
      </c>
      <c r="AZ71" s="580"/>
      <c r="BA71" s="580"/>
      <c r="BB71" s="580"/>
      <c r="BC71" s="580"/>
      <c r="BD71" s="580"/>
      <c r="BE71" s="580"/>
      <c r="BF71" s="580"/>
      <c r="BG71" s="580"/>
      <c r="BH71" s="580"/>
      <c r="BI71" s="580"/>
      <c r="BJ71" s="580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78" t="str">
        <f>+G70</f>
        <v>PIANO-Turquaz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/>
      <c r="N72" s="425"/>
      <c r="O72" s="425"/>
      <c r="P72" s="425"/>
      <c r="Q72" s="425"/>
      <c r="R72" s="425"/>
      <c r="S72" s="425"/>
      <c r="T72" s="425"/>
      <c r="U72" s="425"/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0</v>
      </c>
      <c r="Y72" s="440"/>
      <c r="Z72" s="400"/>
      <c r="AA72" s="541"/>
      <c r="AB72" s="443">
        <f t="shared" si="7"/>
        <v>0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0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79" t="str">
        <f>+G70</f>
        <v>PIANO-Turquaz</v>
      </c>
      <c r="H73" s="454">
        <f>+AC70-H71</f>
        <v>14</v>
      </c>
      <c r="I73" s="397"/>
      <c r="J73" s="165">
        <f>+IF(K73="","",IF(K71=0,"",(K71*J71)/(K73*60)))</f>
        <v>0.84650000000000003</v>
      </c>
      <c r="K73" s="118">
        <v>50</v>
      </c>
      <c r="L73" s="104" t="s">
        <v>19</v>
      </c>
      <c r="M73" s="427"/>
      <c r="N73" s="427"/>
      <c r="O73" s="427"/>
      <c r="P73" s="427"/>
      <c r="Q73" s="427"/>
      <c r="R73" s="427"/>
      <c r="S73" s="427"/>
      <c r="T73" s="427"/>
      <c r="U73" s="427"/>
      <c r="V73" s="428"/>
      <c r="W73" s="428"/>
      <c r="X73" s="173"/>
      <c r="Y73" s="441"/>
      <c r="Z73" s="169">
        <v>24.69</v>
      </c>
      <c r="AA73" s="169">
        <v>24.69</v>
      </c>
      <c r="AB73" s="444">
        <f t="shared" si="7"/>
        <v>0</v>
      </c>
      <c r="AC73" s="139"/>
      <c r="AD73" s="139"/>
      <c r="AE73" s="441"/>
      <c r="AF73" s="441"/>
      <c r="AG73" s="119">
        <f>+IFERROR(AG71/(K71*$AT$3),"")</f>
        <v>0.11276190476190476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0</v>
      </c>
      <c r="AQ73" s="167"/>
      <c r="AR73" s="167"/>
      <c r="AS73" s="167"/>
      <c r="AT73" s="435"/>
      <c r="AU73" s="393"/>
      <c r="AW73" s="356">
        <v>0.11276190476190476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77" t="s">
        <v>472</v>
      </c>
      <c r="H74" s="106"/>
      <c r="I74" s="106"/>
      <c r="J74" s="107" t="s">
        <v>20</v>
      </c>
      <c r="K74" s="108" t="s">
        <v>23</v>
      </c>
      <c r="L74" s="100" t="s">
        <v>21</v>
      </c>
      <c r="M74" s="423">
        <v>100</v>
      </c>
      <c r="N74" s="423">
        <v>50</v>
      </c>
      <c r="O74" s="423">
        <v>100</v>
      </c>
      <c r="P74" s="423">
        <v>50</v>
      </c>
      <c r="Q74" s="423"/>
      <c r="R74" s="423"/>
      <c r="S74" s="423"/>
      <c r="T74" s="423"/>
      <c r="U74" s="423"/>
      <c r="V74" s="423"/>
      <c r="W74" s="423"/>
      <c r="X74" s="135">
        <f t="shared" si="38"/>
        <v>300</v>
      </c>
      <c r="Y74" s="438"/>
      <c r="Z74" s="400">
        <v>-85</v>
      </c>
      <c r="AA74" s="540">
        <f>+X76</f>
        <v>-143</v>
      </c>
      <c r="AB74" s="135">
        <f t="shared" si="39"/>
        <v>300</v>
      </c>
      <c r="AC74" s="136">
        <f>+AD74+AB74</f>
        <v>2051</v>
      </c>
      <c r="AD74" s="136">
        <v>1751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473</v>
      </c>
      <c r="E75" s="111"/>
      <c r="F75" s="111" t="s">
        <v>35</v>
      </c>
      <c r="G75" s="578" t="str">
        <f>+G74</f>
        <v>7674-739-401</v>
      </c>
      <c r="H75" s="450">
        <v>8333</v>
      </c>
      <c r="I75" s="111" t="s">
        <v>251</v>
      </c>
      <c r="J75" s="113">
        <v>34.549999999999997</v>
      </c>
      <c r="K75" s="130">
        <v>60</v>
      </c>
      <c r="L75" s="101" t="s">
        <v>17</v>
      </c>
      <c r="M75" s="214">
        <v>45</v>
      </c>
      <c r="N75" s="214">
        <v>40</v>
      </c>
      <c r="O75" s="214">
        <v>27</v>
      </c>
      <c r="P75" s="214">
        <v>40</v>
      </c>
      <c r="Q75" s="214">
        <v>45</v>
      </c>
      <c r="R75" s="214">
        <v>45</v>
      </c>
      <c r="S75" s="214">
        <v>50</v>
      </c>
      <c r="T75" s="214">
        <v>50</v>
      </c>
      <c r="U75" s="214">
        <v>40</v>
      </c>
      <c r="V75" s="424"/>
      <c r="W75" s="424"/>
      <c r="X75" s="123">
        <f>+IF(H76="s",0,IF(AB75=0,0,IF(COUNTA(M75:W75)=AN77+0.25,SUMIF($C:$C,B75,$AB:$AB)/AN77,SUMIF($C:$C,B75,$AB:$AB)/(COUNTA(M75:W75)))))</f>
        <v>43.657142857142858</v>
      </c>
      <c r="Y75" s="439"/>
      <c r="Z75" s="400"/>
      <c r="AA75" s="541"/>
      <c r="AB75" s="134">
        <f t="shared" si="39"/>
        <v>382</v>
      </c>
      <c r="AC75" s="137">
        <f>+AB75+AD75</f>
        <v>1092</v>
      </c>
      <c r="AD75" s="137">
        <v>710</v>
      </c>
      <c r="AE75" s="439"/>
      <c r="AF75" s="439">
        <f>+AE75+Y75</f>
        <v>0</v>
      </c>
      <c r="AG75" s="140">
        <f>+AC74-AC75</f>
        <v>959</v>
      </c>
      <c r="AH75" s="131">
        <f>+IF(((AB76+(AB77/2))*60)=0,"",(J75*AB75)/((AB76+(AB77/2))*60))</f>
        <v>0.59151148459383751</v>
      </c>
      <c r="AI75" s="161">
        <f>+AB76+AB77/2</f>
        <v>371.875</v>
      </c>
      <c r="AJ75" s="161">
        <f t="shared" si="2"/>
        <v>371.52499999999998</v>
      </c>
      <c r="AK75" s="167">
        <f t="shared" si="3"/>
        <v>22312.5</v>
      </c>
      <c r="AL75" s="167">
        <f>+AB75*J75</f>
        <v>13198.099999999999</v>
      </c>
      <c r="AM75" s="230">
        <f>+AB75-(AI75*K75/K77)</f>
        <v>-175.8125</v>
      </c>
      <c r="AN75" s="339"/>
      <c r="AO75" s="340"/>
      <c r="AP75" s="167"/>
      <c r="AQ75" s="167"/>
      <c r="AR75" s="167"/>
      <c r="AS75" s="167"/>
      <c r="AT75" s="433">
        <f t="shared" ref="AT75" si="42">IF(AU75=0,"",AW75-(($AT$3*K75)+($AT$3*K75)*AU75)+AB74)</f>
        <v>28.5</v>
      </c>
      <c r="AU75" s="393">
        <v>1.5</v>
      </c>
      <c r="AW75" s="356">
        <v>1041</v>
      </c>
      <c r="AY75" s="356">
        <f t="shared" ref="AY75" si="43">+AW75-AG75</f>
        <v>82</v>
      </c>
      <c r="AZ75" s="580"/>
      <c r="BA75" s="580"/>
      <c r="BB75" s="580"/>
      <c r="BC75" s="580"/>
      <c r="BD75" s="580"/>
      <c r="BE75" s="580"/>
      <c r="BF75" s="580"/>
      <c r="BG75" s="580"/>
      <c r="BH75" s="580"/>
      <c r="BI75" s="580"/>
      <c r="BJ75" s="580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78" t="str">
        <f>+G74</f>
        <v>7674-739-401</v>
      </c>
      <c r="H76" s="376" t="s">
        <v>400</v>
      </c>
      <c r="I76" s="113">
        <f>+IFERROR(IF(K77=0,0,IF((LOOKUP(2,1/(M76:W76&lt;&gt;""),M76:W76)-K77)&lt;0,0,IF(K77=0,"",LOOKUP(2,1/(M76:W76&lt;&gt;""),M76:W76)-K77))),0)</f>
        <v>2</v>
      </c>
      <c r="J76" s="113"/>
      <c r="K76" s="114" t="s">
        <v>22</v>
      </c>
      <c r="L76" s="102" t="s">
        <v>18</v>
      </c>
      <c r="M76" s="425">
        <v>42</v>
      </c>
      <c r="N76" s="425">
        <v>42</v>
      </c>
      <c r="O76" s="425">
        <v>42</v>
      </c>
      <c r="P76" s="425">
        <v>42</v>
      </c>
      <c r="Q76" s="425">
        <v>42</v>
      </c>
      <c r="R76" s="425">
        <v>42</v>
      </c>
      <c r="S76" s="425">
        <v>42</v>
      </c>
      <c r="T76" s="425">
        <v>42</v>
      </c>
      <c r="U76" s="425">
        <v>42</v>
      </c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-143</v>
      </c>
      <c r="Y76" s="440"/>
      <c r="Z76" s="400"/>
      <c r="AA76" s="541"/>
      <c r="AB76" s="443">
        <f t="shared" ref="AB76:AB89" si="44">+SUM(M76:W76)-U76*0.25</f>
        <v>367.5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367.5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79" t="str">
        <f>+G74</f>
        <v>7674-739-401</v>
      </c>
      <c r="H77" s="454">
        <f>+AC74-H75</f>
        <v>-6282</v>
      </c>
      <c r="I77" s="397"/>
      <c r="J77" s="165">
        <f>+IF(K77="","",IF(K75=0,"",(K75*J75)/(K77*60)))</f>
        <v>0.86375000000000002</v>
      </c>
      <c r="K77" s="118">
        <v>40</v>
      </c>
      <c r="L77" s="104" t="s">
        <v>19</v>
      </c>
      <c r="M77" s="427">
        <v>1</v>
      </c>
      <c r="N77" s="427">
        <v>1</v>
      </c>
      <c r="O77" s="427">
        <v>1</v>
      </c>
      <c r="P77" s="427">
        <v>1</v>
      </c>
      <c r="Q77" s="427">
        <v>1</v>
      </c>
      <c r="R77" s="427">
        <v>1</v>
      </c>
      <c r="S77" s="427">
        <v>1</v>
      </c>
      <c r="T77" s="427">
        <v>1</v>
      </c>
      <c r="U77" s="427">
        <v>1</v>
      </c>
      <c r="V77" s="428"/>
      <c r="W77" s="428"/>
      <c r="X77" s="173"/>
      <c r="Y77" s="441"/>
      <c r="Z77" s="401">
        <v>7.7033666666666667</v>
      </c>
      <c r="AA77" s="168">
        <f>+IF(COUNTA(M75:W75)=$AM$4+0.25,$AM$4-(AB75/K75),COUNTA(M75:W75)-(AB75/K75))+Z77</f>
        <v>10.0867</v>
      </c>
      <c r="AB77" s="444">
        <f t="shared" si="44"/>
        <v>8.75</v>
      </c>
      <c r="AC77" s="139"/>
      <c r="AD77" s="139"/>
      <c r="AE77" s="441"/>
      <c r="AF77" s="441"/>
      <c r="AG77" s="119">
        <f>+IFERROR(AG75/(K75*$AT$3),"")</f>
        <v>1.8266666666666667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8.75</v>
      </c>
      <c r="AP77" s="167">
        <f>+AO77-AB77</f>
        <v>0</v>
      </c>
      <c r="AQ77" s="167"/>
      <c r="AR77" s="167"/>
      <c r="AS77" s="167"/>
      <c r="AT77" s="435"/>
      <c r="AU77" s="393"/>
      <c r="AW77" s="356">
        <v>1.9828571428571429</v>
      </c>
      <c r="AY77" s="356"/>
    </row>
    <row r="78" spans="2:62" s="98" customFormat="1" ht="62.25" customHeight="1" thickTop="1" x14ac:dyDescent="0.9">
      <c r="B78" s="97">
        <f>+B79</f>
        <v>17</v>
      </c>
      <c r="C78" s="370"/>
      <c r="D78" s="106"/>
      <c r="E78" s="106"/>
      <c r="F78" s="106"/>
      <c r="G78" s="577" t="s">
        <v>436</v>
      </c>
      <c r="H78" s="106"/>
      <c r="I78" s="111"/>
      <c r="J78" s="107" t="s">
        <v>20</v>
      </c>
      <c r="K78" s="108" t="s">
        <v>23</v>
      </c>
      <c r="L78" s="100" t="s">
        <v>21</v>
      </c>
      <c r="M78" s="423">
        <v>60</v>
      </c>
      <c r="N78" s="423">
        <v>120</v>
      </c>
      <c r="O78" s="423">
        <v>60</v>
      </c>
      <c r="P78" s="423">
        <v>120</v>
      </c>
      <c r="Q78" s="423"/>
      <c r="R78" s="423">
        <v>60</v>
      </c>
      <c r="S78" s="423"/>
      <c r="T78" s="423"/>
      <c r="U78" s="423"/>
      <c r="V78" s="423"/>
      <c r="W78" s="423"/>
      <c r="X78" s="135">
        <f t="shared" si="38"/>
        <v>420</v>
      </c>
      <c r="Y78" s="438"/>
      <c r="Z78" s="400">
        <v>0.25</v>
      </c>
      <c r="AA78" s="540">
        <f>+X80</f>
        <v>0.25</v>
      </c>
      <c r="AB78" s="135">
        <f t="shared" si="39"/>
        <v>420</v>
      </c>
      <c r="AC78" s="136">
        <f>+AD78+AB78</f>
        <v>8882</v>
      </c>
      <c r="AD78" s="136">
        <v>8462</v>
      </c>
      <c r="AE78" s="438"/>
      <c r="AF78" s="438"/>
      <c r="AG78" s="109"/>
      <c r="AH78" s="110"/>
      <c r="AI78" s="157"/>
      <c r="AJ78" s="161">
        <f t="shared" si="2"/>
        <v>0</v>
      </c>
      <c r="AK78" s="167">
        <f t="shared" si="3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2">
        <v>17</v>
      </c>
      <c r="C79" s="371">
        <f>+B79</f>
        <v>17</v>
      </c>
      <c r="D79" s="372" t="s">
        <v>435</v>
      </c>
      <c r="E79" s="111"/>
      <c r="F79" s="111" t="s">
        <v>35</v>
      </c>
      <c r="G79" s="578" t="str">
        <f>+G78</f>
        <v>2628-510-630</v>
      </c>
      <c r="H79" s="450">
        <v>10010</v>
      </c>
      <c r="I79" s="111" t="s">
        <v>33</v>
      </c>
      <c r="J79" s="113">
        <v>44.34</v>
      </c>
      <c r="K79" s="130">
        <v>53</v>
      </c>
      <c r="L79" s="101" t="s">
        <v>17</v>
      </c>
      <c r="M79" s="214">
        <v>53</v>
      </c>
      <c r="N79" s="214">
        <v>45</v>
      </c>
      <c r="O79" s="214">
        <v>53</v>
      </c>
      <c r="P79" s="214">
        <v>53</v>
      </c>
      <c r="Q79" s="214">
        <v>53</v>
      </c>
      <c r="R79" s="214">
        <v>53</v>
      </c>
      <c r="S79" s="214">
        <v>53</v>
      </c>
      <c r="T79" s="214">
        <v>53</v>
      </c>
      <c r="U79" s="214">
        <v>48</v>
      </c>
      <c r="V79" s="214"/>
      <c r="W79" s="424"/>
      <c r="X79" s="123">
        <f>+IF(H80="s",0,IF(AB79=0,0,IF(COUNTA(M79:W79)=AN81+0.25,SUMIF($C:$C,B79,$AB:$AB)/AN81,SUMIF($C:$C,B79,$AB:$AB)/(COUNTA(M79:W79)))))</f>
        <v>53.028571428571432</v>
      </c>
      <c r="Y79" s="439"/>
      <c r="Z79" s="400"/>
      <c r="AA79" s="541"/>
      <c r="AB79" s="134">
        <f t="shared" si="39"/>
        <v>464</v>
      </c>
      <c r="AC79" s="137">
        <f>+AB79+AD79</f>
        <v>8200</v>
      </c>
      <c r="AD79" s="137">
        <v>7736</v>
      </c>
      <c r="AE79" s="439">
        <v>0</v>
      </c>
      <c r="AF79" s="439">
        <f>+AE79+Y79</f>
        <v>0</v>
      </c>
      <c r="AG79" s="140">
        <f>+AC78-AC79</f>
        <v>682</v>
      </c>
      <c r="AH79" s="131">
        <f>+IF(((AB80+(AB81/2))*60)=0,"",(J79*AB79)/((AB80+(AB81/2))*60))</f>
        <v>0.84275514592933953</v>
      </c>
      <c r="AI79" s="161">
        <f>+AB80+AB81/2</f>
        <v>406.875</v>
      </c>
      <c r="AJ79" s="161">
        <f t="shared" si="2"/>
        <v>406.52499999999998</v>
      </c>
      <c r="AK79" s="167">
        <f t="shared" si="3"/>
        <v>24412.5</v>
      </c>
      <c r="AL79" s="167">
        <f>+AB79*J79</f>
        <v>20573.760000000002</v>
      </c>
      <c r="AM79" s="230">
        <f>+AB79-(AI79*K79/K81)</f>
        <v>-4.7907608695651902</v>
      </c>
      <c r="AN79" s="339"/>
      <c r="AO79" s="340"/>
      <c r="AP79" s="167"/>
      <c r="AQ79" s="167"/>
      <c r="AR79" s="167"/>
      <c r="AS79" s="167"/>
      <c r="AT79" s="433">
        <f t="shared" ref="AT79" si="45">IF(AU79=0,"",AW79-(($AT$3*K79)+($AT$3*K79)*AU79)+AB78)</f>
        <v>0.53749999999990905</v>
      </c>
      <c r="AU79" s="393">
        <v>1.47</v>
      </c>
      <c r="AW79" s="356">
        <v>726</v>
      </c>
      <c r="AY79" s="356">
        <f t="shared" ref="AY79" si="46">+AW79-AG79</f>
        <v>44</v>
      </c>
    </row>
    <row r="80" spans="2:62" s="98" customFormat="1" ht="62.25" customHeight="1" x14ac:dyDescent="0.9">
      <c r="B80" s="125">
        <f>+B79</f>
        <v>17</v>
      </c>
      <c r="C80" s="373"/>
      <c r="D80" s="184"/>
      <c r="E80" s="111">
        <f>+B79</f>
        <v>17</v>
      </c>
      <c r="F80" s="374"/>
      <c r="G80" s="578" t="str">
        <f>+G78</f>
        <v>2628-510-630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46</v>
      </c>
      <c r="N80" s="425">
        <v>46</v>
      </c>
      <c r="O80" s="425">
        <v>46</v>
      </c>
      <c r="P80" s="425">
        <v>46</v>
      </c>
      <c r="Q80" s="425">
        <v>46</v>
      </c>
      <c r="R80" s="425">
        <v>46</v>
      </c>
      <c r="S80" s="425">
        <v>46</v>
      </c>
      <c r="T80" s="425">
        <v>46</v>
      </c>
      <c r="U80" s="425">
        <v>46</v>
      </c>
      <c r="V80" s="426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0.25</v>
      </c>
      <c r="Y80" s="440"/>
      <c r="Z80" s="400"/>
      <c r="AA80" s="541"/>
      <c r="AB80" s="443">
        <f t="shared" si="44"/>
        <v>402.5</v>
      </c>
      <c r="AC80" s="341"/>
      <c r="AD80" s="341"/>
      <c r="AE80" s="440"/>
      <c r="AF80" s="440"/>
      <c r="AG80" s="115"/>
      <c r="AH80" s="116"/>
      <c r="AI80" s="157"/>
      <c r="AJ80" s="161">
        <f t="shared" si="2"/>
        <v>0</v>
      </c>
      <c r="AK80" s="167">
        <f t="shared" si="3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402.5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126">
        <f>+B79</f>
        <v>17</v>
      </c>
      <c r="C81" s="375"/>
      <c r="D81" s="174" t="s">
        <v>379</v>
      </c>
      <c r="E81" s="175">
        <f>+E80+100</f>
        <v>117</v>
      </c>
      <c r="F81" s="175"/>
      <c r="G81" s="579" t="str">
        <f>+G78</f>
        <v>2628-510-630</v>
      </c>
      <c r="H81" s="454">
        <f>+AC78-H79</f>
        <v>-1128</v>
      </c>
      <c r="I81" s="397"/>
      <c r="J81" s="165">
        <f>+IF(K81="","",IF(K79=0,"",(K79*J79)/(K81*60)))</f>
        <v>0.85145652173913045</v>
      </c>
      <c r="K81" s="118">
        <v>46</v>
      </c>
      <c r="L81" s="104" t="s">
        <v>19</v>
      </c>
      <c r="M81" s="427">
        <v>1</v>
      </c>
      <c r="N81" s="427">
        <v>1</v>
      </c>
      <c r="O81" s="427">
        <v>1</v>
      </c>
      <c r="P81" s="427">
        <v>1</v>
      </c>
      <c r="Q81" s="427">
        <v>1</v>
      </c>
      <c r="R81" s="427">
        <v>1</v>
      </c>
      <c r="S81" s="427">
        <v>1</v>
      </c>
      <c r="T81" s="427">
        <v>1</v>
      </c>
      <c r="U81" s="427">
        <v>1</v>
      </c>
      <c r="V81" s="428"/>
      <c r="W81" s="428"/>
      <c r="X81" s="173"/>
      <c r="Y81" s="441"/>
      <c r="Z81" s="401">
        <v>41.323268679526997</v>
      </c>
      <c r="AA81" s="169">
        <v>41.323268679526997</v>
      </c>
      <c r="AB81" s="444">
        <f t="shared" si="44"/>
        <v>8.75</v>
      </c>
      <c r="AC81" s="139"/>
      <c r="AD81" s="139"/>
      <c r="AE81" s="441"/>
      <c r="AF81" s="441"/>
      <c r="AG81" s="119">
        <f>+IFERROR(AG79/(K79*$AT$3),"")</f>
        <v>1.4706199460916443</v>
      </c>
      <c r="AH81" s="162"/>
      <c r="AI81" s="161"/>
      <c r="AJ81" s="161">
        <f t="shared" si="2"/>
        <v>0</v>
      </c>
      <c r="AK81" s="167">
        <f t="shared" si="3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8.75</v>
      </c>
      <c r="AP81" s="167">
        <f>+AO81-AB81</f>
        <v>0</v>
      </c>
      <c r="AQ81" s="167"/>
      <c r="AR81" s="167"/>
      <c r="AS81" s="167"/>
      <c r="AT81" s="435"/>
      <c r="AU81" s="393"/>
      <c r="AW81" s="356">
        <v>1.5654986522911052</v>
      </c>
      <c r="AY81" s="356"/>
    </row>
    <row r="82" spans="2:51" s="98" customFormat="1" ht="62.25" customHeight="1" thickTop="1" x14ac:dyDescent="0.9">
      <c r="B82" s="127">
        <f>+B83</f>
        <v>18</v>
      </c>
      <c r="C82" s="370"/>
      <c r="D82" s="106"/>
      <c r="E82" s="106"/>
      <c r="F82" s="106"/>
      <c r="G82" s="577" t="s">
        <v>436</v>
      </c>
      <c r="H82" s="106"/>
      <c r="I82" s="106"/>
      <c r="J82" s="107" t="s">
        <v>20</v>
      </c>
      <c r="K82" s="108" t="s">
        <v>23</v>
      </c>
      <c r="L82" s="100" t="s">
        <v>21</v>
      </c>
      <c r="M82" s="423">
        <v>55</v>
      </c>
      <c r="N82" s="423">
        <v>60</v>
      </c>
      <c r="O82" s="423">
        <v>60</v>
      </c>
      <c r="P82" s="423">
        <v>120</v>
      </c>
      <c r="Q82" s="423"/>
      <c r="R82" s="423">
        <v>60</v>
      </c>
      <c r="S82" s="423">
        <v>60</v>
      </c>
      <c r="T82" s="423"/>
      <c r="U82" s="423"/>
      <c r="V82" s="423"/>
      <c r="W82" s="423"/>
      <c r="X82" s="135">
        <f t="shared" si="38"/>
        <v>415</v>
      </c>
      <c r="Y82" s="438"/>
      <c r="Z82" s="400">
        <v>-22.75</v>
      </c>
      <c r="AA82" s="540">
        <f>+X84</f>
        <v>4.25</v>
      </c>
      <c r="AB82" s="135">
        <f t="shared" si="39"/>
        <v>415</v>
      </c>
      <c r="AC82" s="136">
        <f>+AD82+AB82</f>
        <v>9800</v>
      </c>
      <c r="AD82" s="136">
        <v>9385</v>
      </c>
      <c r="AE82" s="438"/>
      <c r="AF82" s="438"/>
      <c r="AG82" s="109"/>
      <c r="AH82" s="110"/>
      <c r="AI82" s="157"/>
      <c r="AJ82" s="161">
        <f t="shared" ref="AJ82:AJ93" si="47">TRUNC(AI82)+(AI82-TRUNC(AI82))*60/100</f>
        <v>0</v>
      </c>
      <c r="AK82" s="167">
        <f t="shared" ref="AK82:AK93" si="48">+AI82*60</f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3">
        <v>18</v>
      </c>
      <c r="C83" s="371">
        <f>+B83</f>
        <v>18</v>
      </c>
      <c r="D83" s="372" t="s">
        <v>435</v>
      </c>
      <c r="E83" s="111"/>
      <c r="F83" s="111" t="s">
        <v>35</v>
      </c>
      <c r="G83" s="578" t="str">
        <f t="shared" ref="G83:G89" si="49">+G82</f>
        <v>2628-510-630</v>
      </c>
      <c r="H83" s="450">
        <v>10800</v>
      </c>
      <c r="I83" s="111" t="s">
        <v>33</v>
      </c>
      <c r="J83" s="113">
        <v>44.34</v>
      </c>
      <c r="K83" s="130">
        <v>53</v>
      </c>
      <c r="L83" s="101" t="s">
        <v>17</v>
      </c>
      <c r="M83" s="424">
        <v>55</v>
      </c>
      <c r="N83" s="424">
        <v>53</v>
      </c>
      <c r="O83" s="424">
        <v>51</v>
      </c>
      <c r="P83" s="424">
        <v>56</v>
      </c>
      <c r="Q83" s="424">
        <v>56</v>
      </c>
      <c r="R83" s="424">
        <v>59</v>
      </c>
      <c r="S83" s="424">
        <v>53</v>
      </c>
      <c r="T83" s="424">
        <v>40</v>
      </c>
      <c r="U83" s="424">
        <v>45</v>
      </c>
      <c r="V83" s="424"/>
      <c r="W83" s="424"/>
      <c r="X83" s="123">
        <f>+IF(H84="s",0,IF(AB83=0,0,IF(COUNTA(M83:W83)=AN85+0.25,SUMIF($C:$C,B83,$AB:$AB)/AN85,SUMIF($C:$C,B83,$AB:$AB)/(COUNTA(M83:W83)))))</f>
        <v>53.485714285714288</v>
      </c>
      <c r="Y83" s="439"/>
      <c r="Z83" s="400"/>
      <c r="AA83" s="541"/>
      <c r="AB83" s="134">
        <f t="shared" si="39"/>
        <v>468</v>
      </c>
      <c r="AC83" s="137">
        <f>+AB83+AD83</f>
        <v>9134</v>
      </c>
      <c r="AD83" s="137">
        <v>8666</v>
      </c>
      <c r="AE83" s="439">
        <v>0</v>
      </c>
      <c r="AF83" s="439">
        <f>+AE83+Y83</f>
        <v>0</v>
      </c>
      <c r="AG83" s="140">
        <f>+AC82-AC83</f>
        <v>666</v>
      </c>
      <c r="AH83" s="131">
        <f>+IF(((AB84+(AB85/2))*60)=0,"",(J83*AB83)/((AB84+(AB85/2))*60))</f>
        <v>0.86870204081632663</v>
      </c>
      <c r="AI83" s="161">
        <f>+AB84+AB85/2</f>
        <v>398.125</v>
      </c>
      <c r="AJ83" s="161">
        <f t="shared" si="47"/>
        <v>398.07499999999999</v>
      </c>
      <c r="AK83" s="167">
        <f t="shared" si="48"/>
        <v>23887.5</v>
      </c>
      <c r="AL83" s="167">
        <f>+AB83*J83</f>
        <v>20751.120000000003</v>
      </c>
      <c r="AM83" s="230">
        <f>+AB83-(AI83*K83/K85)</f>
        <v>9.2907608695651902</v>
      </c>
      <c r="AN83" s="339"/>
      <c r="AO83" s="340"/>
      <c r="AP83" s="167"/>
      <c r="AQ83" s="167"/>
      <c r="AR83" s="167"/>
      <c r="AS83" s="167"/>
      <c r="AT83" s="433">
        <f t="shared" ref="AT83" si="50">IF(AU83=0,"",AW83-(($AT$3*K83)+($AT$3*K83)*AU83)+AB82)</f>
        <v>0.13124999999990905</v>
      </c>
      <c r="AU83" s="393">
        <v>1.4450000000000001</v>
      </c>
      <c r="AW83" s="356">
        <v>719</v>
      </c>
      <c r="AY83" s="356">
        <f t="shared" ref="AY83" si="51">+AW83-AG83</f>
        <v>53</v>
      </c>
    </row>
    <row r="84" spans="2:51" s="98" customFormat="1" ht="62.25" customHeight="1" x14ac:dyDescent="0.9">
      <c r="B84" s="125">
        <f>+B83</f>
        <v>18</v>
      </c>
      <c r="C84" s="373"/>
      <c r="D84" s="184"/>
      <c r="E84" s="111">
        <f>+B83</f>
        <v>18</v>
      </c>
      <c r="F84" s="374"/>
      <c r="G84" s="578" t="str">
        <f t="shared" si="49"/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25">
        <v>45</v>
      </c>
      <c r="N84" s="425">
        <v>45</v>
      </c>
      <c r="O84" s="425">
        <v>45</v>
      </c>
      <c r="P84" s="425">
        <v>45</v>
      </c>
      <c r="Q84" s="425">
        <v>45</v>
      </c>
      <c r="R84" s="425">
        <v>45</v>
      </c>
      <c r="S84" s="425">
        <v>45</v>
      </c>
      <c r="T84" s="425">
        <v>45</v>
      </c>
      <c r="U84" s="425">
        <v>45</v>
      </c>
      <c r="V84" s="425"/>
      <c r="W84" s="425"/>
      <c r="X84" s="160">
        <f>+IF(H84="l",IF(COUNTA(M83:W83)=AN85+0.25,AB83-K83*AN85,AB83-(K83*COUNTA(M83:W83))),IF(H84="s",0,IF(COUNTA(M83:W83)=AN85+0.25,SUMIF($C:$C,B83,$AB:$AB)-K83*AN85,SUMIF($C:$C,B83,$AB:$AB)-K83*COUNTA(M83:W83))))</f>
        <v>4.25</v>
      </c>
      <c r="Y84" s="440"/>
      <c r="Z84" s="400"/>
      <c r="AA84" s="541"/>
      <c r="AB84" s="443">
        <f t="shared" si="44"/>
        <v>393.75</v>
      </c>
      <c r="AC84" s="138"/>
      <c r="AD84" s="138"/>
      <c r="AE84" s="442"/>
      <c r="AF84" s="440"/>
      <c r="AG84" s="115"/>
      <c r="AH84" s="116"/>
      <c r="AI84" s="157"/>
      <c r="AJ84" s="161">
        <f t="shared" si="47"/>
        <v>0</v>
      </c>
      <c r="AK84" s="167">
        <f t="shared" si="48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393.75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343">
        <f>+B83</f>
        <v>18</v>
      </c>
      <c r="C85" s="375"/>
      <c r="D85" s="378" t="s">
        <v>406</v>
      </c>
      <c r="E85" s="175">
        <f>+E84+100</f>
        <v>118</v>
      </c>
      <c r="F85" s="175"/>
      <c r="G85" s="579" t="str">
        <f t="shared" si="49"/>
        <v>2628-510-630</v>
      </c>
      <c r="H85" s="454">
        <f>+AC82-H83</f>
        <v>-1000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8">
        <v>1</v>
      </c>
      <c r="N85" s="428">
        <v>1</v>
      </c>
      <c r="O85" s="428">
        <v>1</v>
      </c>
      <c r="P85" s="428">
        <v>1</v>
      </c>
      <c r="Q85" s="428">
        <v>1</v>
      </c>
      <c r="R85" s="428">
        <v>1</v>
      </c>
      <c r="S85" s="428">
        <v>1</v>
      </c>
      <c r="T85" s="428">
        <v>1</v>
      </c>
      <c r="U85" s="428">
        <v>1</v>
      </c>
      <c r="V85" s="428"/>
      <c r="W85" s="428"/>
      <c r="X85" s="173"/>
      <c r="Y85" s="441"/>
      <c r="Z85" s="401">
        <v>40.950645170328073</v>
      </c>
      <c r="AA85" s="401">
        <v>40.950645170328073</v>
      </c>
      <c r="AB85" s="444">
        <f t="shared" si="44"/>
        <v>8.75</v>
      </c>
      <c r="AC85" s="139"/>
      <c r="AD85" s="139"/>
      <c r="AE85" s="441"/>
      <c r="AF85" s="441"/>
      <c r="AG85" s="119">
        <f>+IFERROR(AG83/(K83*$AT$3),"")</f>
        <v>1.4361185983827494</v>
      </c>
      <c r="AH85" s="162"/>
      <c r="AI85" s="161"/>
      <c r="AJ85" s="161">
        <f t="shared" si="47"/>
        <v>0</v>
      </c>
      <c r="AK85" s="167">
        <f t="shared" si="48"/>
        <v>0</v>
      </c>
      <c r="AL85" s="167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8.75</v>
      </c>
      <c r="AP85" s="167">
        <f>+AO85-AB85</f>
        <v>0</v>
      </c>
      <c r="AQ85" s="167"/>
      <c r="AR85" s="167"/>
      <c r="AS85" s="167"/>
      <c r="AT85" s="435"/>
      <c r="AU85" s="393"/>
      <c r="AW85" s="356">
        <v>1.5504043126684637</v>
      </c>
      <c r="AY85" s="356"/>
    </row>
    <row r="86" spans="2:51" s="98" customFormat="1" ht="62.25" customHeight="1" thickTop="1" x14ac:dyDescent="0.9">
      <c r="B86" s="127">
        <f>+B87</f>
        <v>20</v>
      </c>
      <c r="C86" s="370"/>
      <c r="D86" s="106"/>
      <c r="E86" s="106"/>
      <c r="F86" s="106"/>
      <c r="G86" s="577" t="s">
        <v>477</v>
      </c>
      <c r="H86" s="106"/>
      <c r="I86" s="106"/>
      <c r="J86" s="107" t="s">
        <v>20</v>
      </c>
      <c r="K86" s="108" t="s">
        <v>23</v>
      </c>
      <c r="L86" s="100" t="s">
        <v>21</v>
      </c>
      <c r="M86" s="423"/>
      <c r="N86" s="423"/>
      <c r="O86" s="423"/>
      <c r="P86" s="423"/>
      <c r="Q86" s="423"/>
      <c r="R86" s="423"/>
      <c r="S86" s="423"/>
      <c r="T86" s="423"/>
      <c r="U86" s="423"/>
      <c r="V86" s="423"/>
      <c r="W86" s="423"/>
      <c r="X86" s="135" t="str">
        <f t="shared" si="38"/>
        <v/>
      </c>
      <c r="Y86" s="438"/>
      <c r="Z86" s="400">
        <v>63</v>
      </c>
      <c r="AA86" s="540">
        <f>+X88</f>
        <v>98</v>
      </c>
      <c r="AB86" s="135">
        <f t="shared" si="39"/>
        <v>0</v>
      </c>
      <c r="AC86" s="136">
        <f>+AD86+AB86</f>
        <v>2183</v>
      </c>
      <c r="AD86" s="136">
        <v>2183</v>
      </c>
      <c r="AE86" s="438"/>
      <c r="AF86" s="438"/>
      <c r="AG86" s="109"/>
      <c r="AH86" s="110"/>
      <c r="AI86" s="157"/>
      <c r="AJ86" s="161">
        <f t="shared" si="47"/>
        <v>0</v>
      </c>
      <c r="AK86" s="167">
        <f t="shared" si="48"/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20</v>
      </c>
      <c r="C87" s="371">
        <f>+B87</f>
        <v>20</v>
      </c>
      <c r="D87" s="372" t="s">
        <v>478</v>
      </c>
      <c r="E87" s="111"/>
      <c r="F87" s="111" t="s">
        <v>422</v>
      </c>
      <c r="G87" s="578" t="str">
        <f t="shared" si="49"/>
        <v>ADA-Turquaz</v>
      </c>
      <c r="H87" s="450">
        <v>2145</v>
      </c>
      <c r="I87" s="111" t="s">
        <v>252</v>
      </c>
      <c r="J87" s="113">
        <v>13.23</v>
      </c>
      <c r="K87" s="130">
        <v>40</v>
      </c>
      <c r="L87" s="101" t="s">
        <v>17</v>
      </c>
      <c r="M87" s="214">
        <v>50</v>
      </c>
      <c r="N87" s="214">
        <v>50</v>
      </c>
      <c r="O87" s="214">
        <v>50</v>
      </c>
      <c r="P87" s="214">
        <v>50</v>
      </c>
      <c r="Q87" s="214">
        <v>50</v>
      </c>
      <c r="R87" s="214">
        <v>50</v>
      </c>
      <c r="S87" s="214">
        <v>50</v>
      </c>
      <c r="T87" s="214">
        <v>50</v>
      </c>
      <c r="U87" s="214">
        <v>50</v>
      </c>
      <c r="V87" s="214">
        <v>50</v>
      </c>
      <c r="W87" s="214">
        <v>38</v>
      </c>
      <c r="X87" s="123">
        <f>+IF(H88="s",0,IF(AB87=0,0,IF(COUNTA(M87:W87)=AN89+0.25,SUMIF($C:$C,B87,$AB:$AB)/AN89,SUMIF($C:$C,B87,$AB:$AB)/(COUNTA(M87:W87)))))</f>
        <v>48.909090909090907</v>
      </c>
      <c r="Y87" s="439"/>
      <c r="Z87" s="400"/>
      <c r="AA87" s="541"/>
      <c r="AB87" s="134">
        <f t="shared" si="39"/>
        <v>538</v>
      </c>
      <c r="AC87" s="137">
        <f>+AB87+AD87</f>
        <v>1504</v>
      </c>
      <c r="AD87" s="137">
        <v>966</v>
      </c>
      <c r="AE87" s="439">
        <v>0</v>
      </c>
      <c r="AF87" s="439">
        <f>+AE87+Y87</f>
        <v>0</v>
      </c>
      <c r="AG87" s="140">
        <f>+AC86-AC87</f>
        <v>679</v>
      </c>
      <c r="AH87" s="131">
        <f>+IF(((AB88+(AB89/2))*60)=0,"",(J87*AB87)/((AB88+(AB89/2))*60))</f>
        <v>0.91960465116279066</v>
      </c>
      <c r="AI87" s="161">
        <f>+AB88+AB89/2</f>
        <v>129</v>
      </c>
      <c r="AJ87" s="161">
        <f t="shared" si="47"/>
        <v>129</v>
      </c>
      <c r="AK87" s="167">
        <f t="shared" si="48"/>
        <v>7740</v>
      </c>
      <c r="AL87" s="167">
        <f>+AB87*J87</f>
        <v>7117.74</v>
      </c>
      <c r="AM87" s="230">
        <f>+AB87-(AI87*K87/K89)</f>
        <v>68.909090909090935</v>
      </c>
      <c r="AN87" s="339"/>
      <c r="AO87" s="340"/>
      <c r="AP87" s="167"/>
      <c r="AQ87" s="167"/>
      <c r="AR87" s="167"/>
      <c r="AS87" s="167"/>
      <c r="AT87" s="433"/>
      <c r="AU87" s="393">
        <v>1.5</v>
      </c>
      <c r="AW87" s="356">
        <v>1217</v>
      </c>
      <c r="AY87" s="356">
        <f t="shared" ref="AY87" si="52">+AW87-AG87</f>
        <v>538</v>
      </c>
    </row>
    <row r="88" spans="2:51" s="98" customFormat="1" ht="62.25" customHeight="1" x14ac:dyDescent="0.9">
      <c r="B88" s="125">
        <f>+B87</f>
        <v>20</v>
      </c>
      <c r="C88" s="373"/>
      <c r="D88" s="184"/>
      <c r="E88" s="111">
        <f>+B87</f>
        <v>20</v>
      </c>
      <c r="F88" s="374"/>
      <c r="G88" s="578" t="str">
        <f t="shared" si="49"/>
        <v>ADA-Turquaz</v>
      </c>
      <c r="H88" s="376" t="s">
        <v>400</v>
      </c>
      <c r="I88" s="113">
        <f>+IFERROR(IF(K89=0,0,IF((LOOKUP(2,1/(M88:W88&lt;&gt;""),M88:W88)-K89)&lt;0,0,IF(K89=0,"",LOOKUP(2,1/(M88:W88&lt;&gt;""),M88:W88)-K89))),0)</f>
        <v>1</v>
      </c>
      <c r="J88" s="113"/>
      <c r="K88" s="114" t="s">
        <v>22</v>
      </c>
      <c r="L88" s="102" t="s">
        <v>18</v>
      </c>
      <c r="M88" s="451">
        <v>12</v>
      </c>
      <c r="N88" s="451">
        <v>12</v>
      </c>
      <c r="O88" s="451">
        <v>12</v>
      </c>
      <c r="P88" s="451">
        <v>12</v>
      </c>
      <c r="Q88" s="451">
        <v>12</v>
      </c>
      <c r="R88" s="451">
        <v>12</v>
      </c>
      <c r="S88" s="451">
        <v>12</v>
      </c>
      <c r="T88" s="451">
        <v>12</v>
      </c>
      <c r="U88" s="451">
        <v>12</v>
      </c>
      <c r="V88" s="451">
        <v>12</v>
      </c>
      <c r="W88" s="451">
        <v>12</v>
      </c>
      <c r="X88" s="160">
        <f>+IF(H88="l",IF(COUNTA(M87:W87)=AN89+0.25,AB87-K87*AN89,AB87-(K87*COUNTA(M87:W87))),IF(H88="s",0,IF(COUNTA(M87:W87)=AN89+0.25,SUMIF($C:$C,B87,$AB:$AB)-K87*AN89,SUMIF($C:$C,B87,$AB:$AB)-K87*COUNTA(M87:W87))))</f>
        <v>98</v>
      </c>
      <c r="Y88" s="440"/>
      <c r="Z88" s="400"/>
      <c r="AA88" s="541"/>
      <c r="AB88" s="443">
        <f t="shared" si="44"/>
        <v>129</v>
      </c>
      <c r="AC88" s="138"/>
      <c r="AD88" s="138"/>
      <c r="AE88" s="442"/>
      <c r="AF88" s="440"/>
      <c r="AG88" s="115"/>
      <c r="AH88" s="116"/>
      <c r="AI88" s="157"/>
      <c r="AJ88" s="161">
        <f t="shared" si="47"/>
        <v>0</v>
      </c>
      <c r="AK88" s="167">
        <f t="shared" si="48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105</v>
      </c>
      <c r="AP88" s="167">
        <f>+AO88-AB88</f>
        <v>-24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20</v>
      </c>
      <c r="C89" s="375"/>
      <c r="D89" s="378" t="s">
        <v>78</v>
      </c>
      <c r="E89" s="175">
        <f>+E88+100</f>
        <v>120</v>
      </c>
      <c r="F89" s="175"/>
      <c r="G89" s="579" t="str">
        <f t="shared" si="49"/>
        <v>ADA-Turquaz</v>
      </c>
      <c r="H89" s="454">
        <f>+AC86-H87</f>
        <v>38</v>
      </c>
      <c r="I89" s="397"/>
      <c r="J89" s="165">
        <f>+IF(K89="","",IF(K87=0,"",(K87*J87)/(K89*60)))</f>
        <v>0.80181818181818187</v>
      </c>
      <c r="K89" s="118">
        <v>11</v>
      </c>
      <c r="L89" s="104" t="s">
        <v>19</v>
      </c>
      <c r="M89" s="428"/>
      <c r="N89" s="428"/>
      <c r="O89" s="428"/>
      <c r="P89" s="428"/>
      <c r="Q89" s="428"/>
      <c r="R89" s="428"/>
      <c r="S89" s="428"/>
      <c r="T89" s="428"/>
      <c r="U89" s="428"/>
      <c r="V89" s="428"/>
      <c r="W89" s="428"/>
      <c r="X89" s="173"/>
      <c r="Y89" s="441"/>
      <c r="Z89" s="401">
        <v>19.29</v>
      </c>
      <c r="AA89" s="169">
        <v>19.29</v>
      </c>
      <c r="AB89" s="444">
        <f t="shared" si="44"/>
        <v>0</v>
      </c>
      <c r="AC89" s="139"/>
      <c r="AD89" s="139"/>
      <c r="AE89" s="441"/>
      <c r="AF89" s="441"/>
      <c r="AG89" s="119">
        <f>+IFERROR(AG87/(K87*$AT$3),"")</f>
        <v>1.94</v>
      </c>
      <c r="AH89" s="162"/>
      <c r="AI89" s="161"/>
      <c r="AJ89" s="161">
        <f t="shared" si="47"/>
        <v>0</v>
      </c>
      <c r="AK89" s="167">
        <f t="shared" si="48"/>
        <v>0</v>
      </c>
      <c r="AL89" s="167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0</v>
      </c>
      <c r="AP89" s="167">
        <f>+AO89-AB89</f>
        <v>0</v>
      </c>
      <c r="AQ89" s="167"/>
      <c r="AR89" s="167"/>
      <c r="AS89" s="167"/>
      <c r="AT89" s="435"/>
      <c r="AU89" s="393"/>
      <c r="AW89" s="356">
        <v>3.4771428571428573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77" t="s">
        <v>459</v>
      </c>
      <c r="H90" s="106"/>
      <c r="I90" s="106"/>
      <c r="J90" s="107" t="s">
        <v>20</v>
      </c>
      <c r="K90" s="108" t="s">
        <v>23</v>
      </c>
      <c r="L90" s="100" t="s">
        <v>21</v>
      </c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135" t="str">
        <f t="shared" ref="X90" si="53">IF(AT91="","",SUM(M90:W90)-(-(AT91-SUM(M90:W90))/$AT$3)*SUM($M$2:$W$2))</f>
        <v/>
      </c>
      <c r="Y90" s="438"/>
      <c r="Z90" s="400">
        <v>0</v>
      </c>
      <c r="AA90" s="540">
        <f>+X92</f>
        <v>0</v>
      </c>
      <c r="AB90" s="135">
        <f t="shared" ref="AB90:AB91" si="54">+SUM(L90:W90)</f>
        <v>0</v>
      </c>
      <c r="AC90" s="136">
        <f>+AD90+AB90</f>
        <v>2869</v>
      </c>
      <c r="AD90" s="136">
        <v>2869</v>
      </c>
      <c r="AE90" s="438"/>
      <c r="AF90" s="438"/>
      <c r="AG90" s="109"/>
      <c r="AH90" s="110"/>
      <c r="AI90" s="157"/>
      <c r="AJ90" s="161">
        <f t="shared" si="47"/>
        <v>0</v>
      </c>
      <c r="AK90" s="167">
        <f t="shared" si="48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460</v>
      </c>
      <c r="E91" s="111"/>
      <c r="F91" s="111" t="s">
        <v>422</v>
      </c>
      <c r="G91" s="578" t="str">
        <f t="shared" ref="G91:G93" si="55">+G90</f>
        <v>ADA-PURPLE</v>
      </c>
      <c r="H91" s="450">
        <v>2869</v>
      </c>
      <c r="I91" s="111" t="s">
        <v>252</v>
      </c>
      <c r="J91" s="113">
        <v>13.23</v>
      </c>
      <c r="K91" s="130">
        <v>40</v>
      </c>
      <c r="L91" s="101" t="s">
        <v>17</v>
      </c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123">
        <f>+IF(H92="s",0,IF(AB91=0,0,IF(COUNTA(M91:W91)=AN93+0.25,SUMIF($C:$C,B91,$AB:$AB)/AN93,SUMIF($C:$C,B91,$AB:$AB)/(COUNTA(M91:W91)))))</f>
        <v>0</v>
      </c>
      <c r="Y91" s="439"/>
      <c r="Z91" s="400"/>
      <c r="AA91" s="541"/>
      <c r="AB91" s="134">
        <f t="shared" si="54"/>
        <v>0</v>
      </c>
      <c r="AC91" s="137">
        <f>+AB91+AD91</f>
        <v>2862</v>
      </c>
      <c r="AD91" s="137">
        <v>2862</v>
      </c>
      <c r="AE91" s="439">
        <v>0</v>
      </c>
      <c r="AF91" s="439">
        <f>+AE91+Y91</f>
        <v>0</v>
      </c>
      <c r="AG91" s="140">
        <f>+AC90-AC91</f>
        <v>7</v>
      </c>
      <c r="AH91" s="131" t="str">
        <f>+IF(((AB92+(AB93/2))*60)=0,"",(J91*AB91)/((AB92+(AB93/2))*60))</f>
        <v/>
      </c>
      <c r="AI91" s="161">
        <f>+AB92+AB93/2</f>
        <v>0</v>
      </c>
      <c r="AJ91" s="161">
        <f t="shared" si="47"/>
        <v>0</v>
      </c>
      <c r="AK91" s="167">
        <f t="shared" si="48"/>
        <v>0</v>
      </c>
      <c r="AL91" s="167">
        <f>+AB91*J91</f>
        <v>0</v>
      </c>
      <c r="AM91" s="230">
        <f>+AB91-(AI91*K91/K93)</f>
        <v>0</v>
      </c>
      <c r="AN91" s="339"/>
      <c r="AO91" s="340"/>
      <c r="AP91" s="167"/>
      <c r="AQ91" s="167"/>
      <c r="AR91" s="167"/>
      <c r="AS91" s="167"/>
      <c r="AT91" s="433" t="str">
        <f t="shared" ref="AT91" si="56">IF(AU91=0,"",AW91-(($AT$3*K91)+($AT$3*K91)*AU91)+AB90)</f>
        <v/>
      </c>
      <c r="AU91" s="393"/>
      <c r="AW91" s="356">
        <v>7</v>
      </c>
      <c r="AY91" s="356">
        <f t="shared" ref="AY91" si="57">+AW91-AG91</f>
        <v>0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78" t="str">
        <f t="shared" si="55"/>
        <v>ADA-PURPLE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160">
        <f>+IF(H92="l",IF(COUNTA(M91:W91)=AN93+0.25,AB91-K91*AN93,AB91-(K91*COUNTA(M91:W91))),IF(H92="s",0,IF(COUNTA(M91:W91)=AN93+0.25,SUMIF($C:$C,B91,$AB:$AB)-K91*AN93,SUMIF($C:$C,B91,$AB:$AB)-K91*COUNTA(M91:W91))))</f>
        <v>0</v>
      </c>
      <c r="Y92" s="440"/>
      <c r="Z92" s="400"/>
      <c r="AA92" s="541"/>
      <c r="AB92" s="443">
        <f t="shared" ref="AB92:AB93" si="58">+SUM(M92:W92)-U92*0.25</f>
        <v>0</v>
      </c>
      <c r="AC92" s="138"/>
      <c r="AD92" s="138"/>
      <c r="AE92" s="442"/>
      <c r="AF92" s="440"/>
      <c r="AG92" s="115"/>
      <c r="AH92" s="116"/>
      <c r="AI92" s="157"/>
      <c r="AJ92" s="161">
        <f t="shared" si="47"/>
        <v>0</v>
      </c>
      <c r="AK92" s="167">
        <f t="shared" si="48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0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79" t="str">
        <f t="shared" si="55"/>
        <v>ADA-PURPLE</v>
      </c>
      <c r="H93" s="454">
        <f>+AC90-H91</f>
        <v>0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58"/>
        <v>0</v>
      </c>
      <c r="AC93" s="139"/>
      <c r="AD93" s="139"/>
      <c r="AE93" s="441"/>
      <c r="AF93" s="441"/>
      <c r="AG93" s="119">
        <f>+IFERROR(AG91/(K91*$AT$3),"")</f>
        <v>0.02</v>
      </c>
      <c r="AH93" s="162"/>
      <c r="AI93" s="161"/>
      <c r="AJ93" s="161">
        <f t="shared" si="47"/>
        <v>0</v>
      </c>
      <c r="AK93" s="167">
        <f t="shared" si="48"/>
        <v>0</v>
      </c>
      <c r="AL93" s="167"/>
      <c r="AM93" s="230"/>
      <c r="AN93" s="342">
        <f>+$AM$4</f>
        <v>8.75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0.02</v>
      </c>
      <c r="AY93" s="356"/>
    </row>
    <row r="94" spans="2:51" s="384" customFormat="1" ht="91.5" customHeight="1" thickTop="1" thickBot="1" x14ac:dyDescent="0.95">
      <c r="B94" s="379"/>
      <c r="C94" s="379"/>
      <c r="D94" s="380"/>
      <c r="E94" s="380"/>
      <c r="F94" s="380"/>
      <c r="G94" s="380"/>
      <c r="H94" s="380"/>
      <c r="I94" s="380"/>
      <c r="J94" s="380"/>
      <c r="K94" s="380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0"/>
      <c r="Y94" s="381"/>
      <c r="Z94" s="380"/>
      <c r="AA94" s="380"/>
      <c r="AB94" s="380"/>
      <c r="AC94" s="380"/>
      <c r="AD94" s="380"/>
      <c r="AE94" s="380"/>
      <c r="AF94" s="380"/>
      <c r="AG94" s="380"/>
      <c r="AH94" s="382"/>
      <c r="AI94" s="383"/>
      <c r="AJ94" s="383"/>
      <c r="AN94" s="385"/>
      <c r="AO94" s="386"/>
      <c r="AU94" s="394"/>
    </row>
    <row r="95" spans="2:51" s="384" customFormat="1" ht="91.5" customHeight="1" thickTop="1" thickBot="1" x14ac:dyDescent="0.95">
      <c r="B95" s="379"/>
      <c r="C95" s="379"/>
      <c r="D95" s="380"/>
      <c r="E95" s="380"/>
      <c r="F95" s="380"/>
      <c r="G95" s="380"/>
      <c r="H95" s="380"/>
      <c r="I95" s="380"/>
      <c r="J95" s="380"/>
      <c r="K95" s="380"/>
      <c r="L95" s="346" t="s">
        <v>21</v>
      </c>
      <c r="M95" s="166">
        <f t="shared" ref="M95:W95" si="59">+SUMIF($L$6:$L$94,$L$95,M6:M94)</f>
        <v>1115</v>
      </c>
      <c r="N95" s="166">
        <f t="shared" si="59"/>
        <v>1050</v>
      </c>
      <c r="O95" s="166">
        <f t="shared" si="59"/>
        <v>1198</v>
      </c>
      <c r="P95" s="166">
        <f t="shared" si="59"/>
        <v>885</v>
      </c>
      <c r="Q95" s="166">
        <f t="shared" si="59"/>
        <v>585</v>
      </c>
      <c r="R95" s="166">
        <f t="shared" si="59"/>
        <v>645</v>
      </c>
      <c r="S95" s="166">
        <f t="shared" si="59"/>
        <v>395</v>
      </c>
      <c r="T95" s="166">
        <f t="shared" si="59"/>
        <v>150</v>
      </c>
      <c r="U95" s="166">
        <f t="shared" si="59"/>
        <v>0</v>
      </c>
      <c r="V95" s="166">
        <f t="shared" si="59"/>
        <v>0</v>
      </c>
      <c r="W95" s="166">
        <f t="shared" si="59"/>
        <v>0</v>
      </c>
      <c r="X95" s="332"/>
      <c r="Y95" s="223"/>
      <c r="Z95" s="332"/>
      <c r="AA95" s="575">
        <f>+SUM(M95:W95)</f>
        <v>6023</v>
      </c>
      <c r="AB95" s="576"/>
      <c r="AC95" s="380"/>
      <c r="AD95" s="380"/>
      <c r="AE95" s="380"/>
      <c r="AF95" s="380"/>
      <c r="AG95" s="380"/>
      <c r="AH95" s="382"/>
      <c r="AI95" s="383"/>
      <c r="AJ95" s="383"/>
      <c r="AN95" s="385"/>
      <c r="AU95" s="394"/>
    </row>
    <row r="96" spans="2:51" s="384" customFormat="1" ht="91.5" customHeight="1" thickTop="1" thickBot="1" x14ac:dyDescent="0.95">
      <c r="B96" s="379"/>
      <c r="C96" s="379"/>
      <c r="D96" s="380"/>
      <c r="E96" s="380"/>
      <c r="F96" s="380"/>
      <c r="G96" s="380"/>
      <c r="H96" s="380"/>
      <c r="I96" s="380"/>
      <c r="J96" s="380"/>
      <c r="K96" s="380"/>
      <c r="L96" s="347"/>
      <c r="M96" s="344"/>
      <c r="N96" s="344"/>
      <c r="O96" s="344"/>
      <c r="P96" s="344"/>
      <c r="Q96" s="344"/>
      <c r="R96" s="344"/>
      <c r="S96" s="344"/>
      <c r="T96" s="344"/>
      <c r="U96" s="344"/>
      <c r="V96" s="344"/>
      <c r="W96" s="344"/>
      <c r="X96" s="332"/>
      <c r="Y96" s="344"/>
      <c r="Z96" s="332"/>
      <c r="AA96" s="332"/>
      <c r="AB96" s="332"/>
      <c r="AC96" s="380"/>
      <c r="AD96" s="380"/>
      <c r="AE96" s="380"/>
      <c r="AF96" s="380"/>
      <c r="AG96" s="380"/>
      <c r="AH96" s="382"/>
      <c r="AI96" s="383"/>
      <c r="AJ96" s="383"/>
      <c r="AN96" s="385"/>
      <c r="AU96" s="394"/>
    </row>
    <row r="97" spans="2:47" s="384" customFormat="1" ht="91.5" customHeight="1" thickTop="1" thickBot="1" x14ac:dyDescent="0.95">
      <c r="B97" s="379"/>
      <c r="C97" s="379"/>
      <c r="D97" s="380"/>
      <c r="E97" s="380"/>
      <c r="F97" s="380"/>
      <c r="G97" s="380"/>
      <c r="H97" s="380"/>
      <c r="I97" s="380"/>
      <c r="J97" s="380"/>
      <c r="K97" s="380"/>
      <c r="L97" s="346" t="s">
        <v>17</v>
      </c>
      <c r="M97" s="166">
        <f t="shared" ref="M97:W97" si="60">+SUMIF($L$6:$L$94,$L$97,M6:M94)</f>
        <v>837</v>
      </c>
      <c r="N97" s="166">
        <f t="shared" si="60"/>
        <v>864</v>
      </c>
      <c r="O97" s="166">
        <f t="shared" si="60"/>
        <v>832</v>
      </c>
      <c r="P97" s="166">
        <f t="shared" si="60"/>
        <v>890</v>
      </c>
      <c r="Q97" s="166">
        <f t="shared" si="60"/>
        <v>812</v>
      </c>
      <c r="R97" s="166">
        <f t="shared" si="60"/>
        <v>743</v>
      </c>
      <c r="S97" s="166">
        <f t="shared" si="60"/>
        <v>742</v>
      </c>
      <c r="T97" s="166">
        <f t="shared" si="60"/>
        <v>718</v>
      </c>
      <c r="U97" s="166">
        <f t="shared" si="60"/>
        <v>573</v>
      </c>
      <c r="V97" s="166">
        <f t="shared" si="60"/>
        <v>50</v>
      </c>
      <c r="W97" s="166">
        <f t="shared" si="60"/>
        <v>38</v>
      </c>
      <c r="X97" s="332"/>
      <c r="Y97" s="223"/>
      <c r="Z97" s="332"/>
      <c r="AA97" s="575">
        <f>+SUM(M97:W97)</f>
        <v>7099</v>
      </c>
      <c r="AB97" s="576"/>
      <c r="AC97" s="380"/>
      <c r="AD97" s="380"/>
      <c r="AE97" s="380"/>
      <c r="AF97" s="380"/>
      <c r="AG97" s="380"/>
      <c r="AH97" s="382"/>
      <c r="AI97" s="383"/>
      <c r="AJ97" s="383"/>
      <c r="AN97" s="385"/>
      <c r="AU97" s="394"/>
    </row>
    <row r="98" spans="2:47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47"/>
      <c r="M98" s="344"/>
      <c r="N98" s="344"/>
      <c r="O98" s="344"/>
      <c r="P98" s="344"/>
      <c r="Q98" s="344"/>
      <c r="R98" s="344"/>
      <c r="S98" s="344"/>
      <c r="T98" s="344"/>
      <c r="U98" s="344"/>
      <c r="V98" s="344"/>
      <c r="W98" s="344"/>
      <c r="X98" s="332"/>
      <c r="Y98" s="344"/>
      <c r="Z98" s="332"/>
      <c r="AA98" s="332"/>
      <c r="AB98" s="332"/>
      <c r="AC98" s="380"/>
      <c r="AD98" s="380"/>
      <c r="AE98" s="380"/>
      <c r="AF98" s="380"/>
      <c r="AG98" s="380"/>
      <c r="AH98" s="382"/>
      <c r="AI98" s="383"/>
      <c r="AJ98" s="383"/>
      <c r="AN98" s="385"/>
      <c r="AU98" s="394"/>
    </row>
    <row r="99" spans="2:47" s="384" customFormat="1" ht="91.5" customHeight="1" thickTop="1" thickBot="1" x14ac:dyDescent="0.95">
      <c r="B99" s="379"/>
      <c r="C99" s="379"/>
      <c r="D99" s="387"/>
      <c r="E99" s="387"/>
      <c r="F99" s="387"/>
      <c r="G99" s="387"/>
      <c r="H99" s="387"/>
      <c r="I99" s="387"/>
      <c r="J99" s="388"/>
      <c r="K99" s="387"/>
      <c r="L99" s="346" t="s">
        <v>19</v>
      </c>
      <c r="M99" s="166">
        <f t="shared" ref="M99:W99" si="61">+SUMIF($L$6:$L$94,$L$99,M6:M94)</f>
        <v>12</v>
      </c>
      <c r="N99" s="166">
        <f t="shared" si="61"/>
        <v>12</v>
      </c>
      <c r="O99" s="166">
        <f t="shared" si="61"/>
        <v>12</v>
      </c>
      <c r="P99" s="166">
        <f t="shared" si="61"/>
        <v>12</v>
      </c>
      <c r="Q99" s="166">
        <f t="shared" si="61"/>
        <v>12</v>
      </c>
      <c r="R99" s="166">
        <f t="shared" si="61"/>
        <v>12</v>
      </c>
      <c r="S99" s="166">
        <f t="shared" si="61"/>
        <v>12</v>
      </c>
      <c r="T99" s="166">
        <f t="shared" si="61"/>
        <v>12</v>
      </c>
      <c r="U99" s="166">
        <f t="shared" si="61"/>
        <v>12</v>
      </c>
      <c r="V99" s="166">
        <f t="shared" si="61"/>
        <v>0</v>
      </c>
      <c r="W99" s="166">
        <f t="shared" si="61"/>
        <v>0</v>
      </c>
      <c r="X99" s="348"/>
      <c r="Y99" s="223"/>
      <c r="Z99" s="348"/>
      <c r="AA99" s="332"/>
      <c r="AB99" s="332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47" s="384" customFormat="1" ht="62.25" customHeight="1" thickTop="1" x14ac:dyDescent="0.9">
      <c r="B100" s="379"/>
      <c r="C100" s="379"/>
      <c r="D100" s="387"/>
      <c r="E100" s="387"/>
      <c r="F100" s="387"/>
      <c r="G100" s="387"/>
      <c r="H100" s="387"/>
      <c r="I100" s="389"/>
      <c r="J100" s="388"/>
      <c r="K100" s="387"/>
      <c r="L100" s="347"/>
      <c r="M100" s="349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32"/>
      <c r="Y100" s="345"/>
      <c r="Z100" s="332"/>
      <c r="AA100" s="332"/>
      <c r="AB100" s="332"/>
      <c r="AC100" s="380"/>
      <c r="AD100" s="380"/>
      <c r="AE100" s="380"/>
      <c r="AF100" s="380"/>
      <c r="AG100" s="390"/>
      <c r="AH100" s="382"/>
      <c r="AI100" s="383"/>
      <c r="AJ100" s="383"/>
      <c r="AN100" s="385"/>
      <c r="AU100" s="394"/>
    </row>
    <row r="101" spans="2:47" s="98" customFormat="1" ht="62.25" customHeight="1" thickBot="1" x14ac:dyDescent="0.95">
      <c r="B101" s="94"/>
      <c r="C101" s="94"/>
      <c r="D101" s="92"/>
      <c r="E101" s="92"/>
      <c r="F101" s="92"/>
      <c r="G101" s="92"/>
      <c r="H101" s="92"/>
      <c r="I101" s="91"/>
      <c r="J101" s="93"/>
      <c r="K101" s="92"/>
      <c r="L101" s="35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91"/>
      <c r="AD101" s="91"/>
      <c r="AE101" s="91"/>
      <c r="AF101" s="91"/>
      <c r="AG101" s="91"/>
      <c r="AH101" s="95"/>
      <c r="AI101" s="158"/>
      <c r="AJ101" s="158"/>
      <c r="AN101" s="183"/>
      <c r="AU101" s="393"/>
    </row>
    <row r="102" spans="2:47" s="98" customFormat="1" ht="88.5" customHeight="1" thickTop="1" thickBot="1" x14ac:dyDescent="0.95">
      <c r="B102" s="94"/>
      <c r="C102" s="94"/>
      <c r="D102" s="92"/>
      <c r="E102" s="92"/>
      <c r="F102" s="92"/>
      <c r="G102" s="92"/>
      <c r="H102" s="92"/>
      <c r="I102" s="91"/>
      <c r="J102" s="93"/>
      <c r="K102" s="212" t="s">
        <v>18</v>
      </c>
      <c r="L102" s="351" t="s">
        <v>180</v>
      </c>
      <c r="M102" s="166">
        <f t="shared" ref="M102:W102" si="62">+IF(M105=0,0,SUMIFS($J$6:$J$94,$L$6:$L$94,$K$102))</f>
        <v>3</v>
      </c>
      <c r="N102" s="166">
        <f t="shared" si="62"/>
        <v>3</v>
      </c>
      <c r="O102" s="166">
        <f t="shared" si="62"/>
        <v>3</v>
      </c>
      <c r="P102" s="166">
        <f t="shared" si="62"/>
        <v>3</v>
      </c>
      <c r="Q102" s="166">
        <f t="shared" si="62"/>
        <v>3</v>
      </c>
      <c r="R102" s="166">
        <f t="shared" si="62"/>
        <v>3</v>
      </c>
      <c r="S102" s="166">
        <f t="shared" si="62"/>
        <v>3</v>
      </c>
      <c r="T102" s="166">
        <f t="shared" si="62"/>
        <v>3</v>
      </c>
      <c r="U102" s="166">
        <f t="shared" si="62"/>
        <v>3</v>
      </c>
      <c r="V102" s="166">
        <f t="shared" si="62"/>
        <v>3</v>
      </c>
      <c r="W102" s="166">
        <f t="shared" si="62"/>
        <v>3</v>
      </c>
      <c r="X102" s="2"/>
      <c r="Y102" s="223"/>
      <c r="Z102" s="2"/>
      <c r="AA102" s="1"/>
      <c r="AB102" s="1"/>
      <c r="AC102" s="91"/>
      <c r="AD102" s="91"/>
      <c r="AE102" s="91"/>
      <c r="AF102" s="91"/>
      <c r="AG102" s="91"/>
      <c r="AH102" s="95"/>
      <c r="AI102" s="158"/>
      <c r="AJ102" s="158"/>
      <c r="AN102" s="183"/>
      <c r="AU102" s="393"/>
    </row>
    <row r="103" spans="2:47" s="98" customFormat="1" ht="62.25" customHeight="1" thickTop="1" x14ac:dyDescent="0.9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50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1"/>
      <c r="Y103" s="352"/>
      <c r="Z103" s="1"/>
      <c r="AA103" s="1"/>
      <c r="AB103" s="1"/>
      <c r="AC103" s="91"/>
      <c r="AD103" s="91"/>
      <c r="AE103" s="91"/>
      <c r="AF103" s="91"/>
      <c r="AG103" s="91"/>
      <c r="AH103" s="95"/>
      <c r="AI103" s="158"/>
      <c r="AJ103" s="158"/>
      <c r="AN103" s="183"/>
      <c r="AU103" s="393"/>
    </row>
    <row r="104" spans="2:47" s="98" customFormat="1" ht="62.25" customHeight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212"/>
      <c r="L104" s="350"/>
      <c r="M104" s="1"/>
      <c r="N104" s="1"/>
      <c r="O104" s="1"/>
      <c r="P104" s="1"/>
      <c r="Q104" s="353"/>
      <c r="R104" s="353"/>
      <c r="S104" s="353"/>
      <c r="T104" s="353"/>
      <c r="U104" s="353"/>
      <c r="V104" s="353"/>
      <c r="W104" s="353"/>
      <c r="X104" s="1"/>
      <c r="Y104" s="353"/>
      <c r="Z104" s="1"/>
      <c r="AA104" s="1"/>
      <c r="AB104" s="1"/>
      <c r="AC104" s="91"/>
      <c r="AD104" s="91"/>
      <c r="AE104" s="91"/>
      <c r="AF104" s="91"/>
      <c r="AG104" s="91"/>
      <c r="AH104" s="95"/>
      <c r="AI104" s="158"/>
      <c r="AJ104" s="158"/>
      <c r="AN104" s="183"/>
      <c r="AU104" s="393"/>
    </row>
    <row r="105" spans="2:47" s="98" customFormat="1" ht="98.25" customHeight="1" thickTop="1" thickBot="1" x14ac:dyDescent="0.95">
      <c r="B105" s="94"/>
      <c r="C105" s="94"/>
      <c r="D105" s="92"/>
      <c r="E105" s="92"/>
      <c r="F105" s="92"/>
      <c r="G105" s="92"/>
      <c r="H105" s="92"/>
      <c r="I105" s="92"/>
      <c r="J105" s="93"/>
      <c r="K105" s="212"/>
      <c r="L105" s="351" t="s">
        <v>18</v>
      </c>
      <c r="M105" s="166">
        <f t="shared" ref="M105:W105" si="63">+SUMIF($L$6:$L$94,$L$105,M6:M94)</f>
        <v>740</v>
      </c>
      <c r="N105" s="166">
        <f t="shared" si="63"/>
        <v>742</v>
      </c>
      <c r="O105" s="166">
        <f t="shared" si="63"/>
        <v>742</v>
      </c>
      <c r="P105" s="166">
        <f t="shared" si="63"/>
        <v>742</v>
      </c>
      <c r="Q105" s="166">
        <f t="shared" si="63"/>
        <v>742</v>
      </c>
      <c r="R105" s="166">
        <f t="shared" si="63"/>
        <v>742</v>
      </c>
      <c r="S105" s="166">
        <f t="shared" si="63"/>
        <v>742</v>
      </c>
      <c r="T105" s="166">
        <f t="shared" si="63"/>
        <v>742</v>
      </c>
      <c r="U105" s="166">
        <f t="shared" si="63"/>
        <v>742</v>
      </c>
      <c r="V105" s="166">
        <f t="shared" si="63"/>
        <v>12</v>
      </c>
      <c r="W105" s="166">
        <f t="shared" si="63"/>
        <v>12</v>
      </c>
      <c r="X105" s="1"/>
      <c r="Y105" s="223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47" s="98" customFormat="1" ht="62.25" customHeight="1" thickTop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212"/>
      <c r="L106" s="350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1"/>
      <c r="Y106" s="354"/>
      <c r="Z106" s="1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47" s="98" customFormat="1" ht="62.25" customHeight="1" thickBot="1" x14ac:dyDescent="0.95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1"/>
      <c r="N107" s="1"/>
      <c r="O107" s="1"/>
      <c r="P107" s="1"/>
      <c r="Q107" s="353"/>
      <c r="R107" s="353"/>
      <c r="S107" s="353"/>
      <c r="T107" s="353"/>
      <c r="U107" s="353"/>
      <c r="V107" s="353"/>
      <c r="W107" s="353"/>
      <c r="X107" s="1"/>
      <c r="Y107" s="353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47" s="98" customFormat="1" ht="94.5" customHeight="1" thickTop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351" t="s">
        <v>13</v>
      </c>
      <c r="M108" s="166">
        <f>+M105+M102+M99</f>
        <v>755</v>
      </c>
      <c r="N108" s="166">
        <f t="shared" ref="N108:W108" si="64">+N105+N102+N99</f>
        <v>757</v>
      </c>
      <c r="O108" s="166">
        <f t="shared" si="64"/>
        <v>757</v>
      </c>
      <c r="P108" s="166">
        <f t="shared" si="64"/>
        <v>757</v>
      </c>
      <c r="Q108" s="166">
        <f t="shared" si="64"/>
        <v>757</v>
      </c>
      <c r="R108" s="166">
        <f t="shared" si="64"/>
        <v>757</v>
      </c>
      <c r="S108" s="166">
        <f t="shared" si="64"/>
        <v>757</v>
      </c>
      <c r="T108" s="166">
        <f t="shared" si="64"/>
        <v>757</v>
      </c>
      <c r="U108" s="166">
        <f t="shared" si="64"/>
        <v>757</v>
      </c>
      <c r="V108" s="166">
        <f t="shared" si="64"/>
        <v>15</v>
      </c>
      <c r="W108" s="166">
        <f t="shared" si="64"/>
        <v>15</v>
      </c>
      <c r="X108" s="1"/>
      <c r="Y108" s="223"/>
      <c r="Z108" s="1"/>
      <c r="AA108" s="1"/>
      <c r="AB108" s="1"/>
      <c r="AC108" s="91"/>
      <c r="AD108" s="91"/>
      <c r="AE108" s="91"/>
      <c r="AF108" s="91"/>
      <c r="AG108" s="91"/>
      <c r="AH108" s="95"/>
      <c r="AI108" s="155"/>
      <c r="AJ108" s="155"/>
      <c r="AN108" s="183"/>
      <c r="AU108" s="393"/>
    </row>
    <row r="109" spans="2:47" s="98" customFormat="1" ht="62.25" thickTop="1" x14ac:dyDescent="0.9">
      <c r="B109" s="94"/>
      <c r="C109" s="94"/>
      <c r="D109" s="92"/>
      <c r="E109" s="92"/>
      <c r="F109" s="92"/>
      <c r="G109" s="92"/>
      <c r="H109" s="92"/>
      <c r="I109" s="92"/>
      <c r="J109" s="93"/>
      <c r="K109" s="92"/>
      <c r="L109" s="35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47" x14ac:dyDescent="0.9">
      <c r="J110" s="91"/>
      <c r="K110" s="91"/>
      <c r="T110" s="544"/>
      <c r="U110" s="544"/>
      <c r="V110" s="544"/>
      <c r="AI110" s="158"/>
      <c r="AJ110" s="158"/>
    </row>
    <row r="111" spans="2:47" ht="105" customHeight="1" x14ac:dyDescent="0.9">
      <c r="B111" s="391"/>
      <c r="AI111" s="158"/>
      <c r="AJ111" s="158"/>
    </row>
    <row r="112" spans="2:47" s="98" customFormat="1" x14ac:dyDescent="0.9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5"/>
      <c r="AI112" s="158"/>
      <c r="AJ112" s="158"/>
      <c r="AN112" s="183"/>
      <c r="AU112" s="393"/>
    </row>
    <row r="113" spans="2:47" s="98" customFormat="1" x14ac:dyDescent="0.9">
      <c r="B113" s="94"/>
      <c r="C113" s="94"/>
      <c r="D113" s="92"/>
      <c r="E113" s="92"/>
      <c r="F113" s="92"/>
      <c r="G113" s="92"/>
      <c r="H113" s="92"/>
      <c r="I113" s="91"/>
      <c r="J113" s="93"/>
      <c r="K113" s="92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s="98" customFormat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92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5"/>
      <c r="AI114" s="158"/>
      <c r="AJ114" s="158"/>
      <c r="AN114" s="183"/>
      <c r="AU114" s="393"/>
    </row>
    <row r="115" spans="2:47" s="98" customFormat="1" ht="66" customHeight="1" x14ac:dyDescent="0.9">
      <c r="B115" s="94"/>
      <c r="C115" s="94"/>
      <c r="D115" s="92"/>
      <c r="E115" s="92"/>
      <c r="F115" s="92"/>
      <c r="G115" s="92"/>
      <c r="H115" s="92"/>
      <c r="I115" s="92"/>
      <c r="J115" s="93"/>
      <c r="K115" s="92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5"/>
      <c r="AI115" s="158"/>
      <c r="AJ115" s="158"/>
      <c r="AN115" s="183"/>
      <c r="AU115" s="393"/>
    </row>
    <row r="117" spans="2:47" s="92" customFormat="1" x14ac:dyDescent="0.7">
      <c r="B117" s="94"/>
      <c r="C117" s="94"/>
      <c r="D117" s="92">
        <v>2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5"/>
      <c r="AJ117" s="155"/>
      <c r="AK117" s="98"/>
      <c r="AL117" s="98"/>
      <c r="AM117" s="98"/>
      <c r="AN117" s="183"/>
      <c r="AO117" s="91"/>
      <c r="AP117" s="91"/>
      <c r="AU117" s="243"/>
    </row>
    <row r="118" spans="2:47" s="92" customFormat="1" x14ac:dyDescent="0.7">
      <c r="B118" s="94"/>
      <c r="C118" s="94"/>
      <c r="H118" s="92">
        <v>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5"/>
      <c r="AJ118" s="155"/>
      <c r="AK118" s="98"/>
      <c r="AL118" s="98"/>
      <c r="AM118" s="98"/>
      <c r="AN118" s="183"/>
      <c r="AO118" s="91"/>
      <c r="AP118" s="91"/>
      <c r="AU118" s="243"/>
    </row>
    <row r="119" spans="2:47" s="92" customFormat="1" x14ac:dyDescent="0.7">
      <c r="B119" s="94"/>
      <c r="C119" s="94"/>
      <c r="H119" s="92">
        <v>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5"/>
      <c r="AJ119" s="155"/>
      <c r="AK119" s="98"/>
      <c r="AL119" s="98"/>
      <c r="AM119" s="98"/>
      <c r="AN119" s="183"/>
      <c r="AO119" s="91"/>
      <c r="AP119" s="91"/>
      <c r="AU119" s="243"/>
    </row>
    <row r="120" spans="2:47" s="92" customFormat="1" x14ac:dyDescent="0.7">
      <c r="B120" s="94"/>
      <c r="C120" s="94"/>
      <c r="H120" s="92">
        <v>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5"/>
      <c r="AJ120" s="155"/>
      <c r="AK120" s="98"/>
      <c r="AL120" s="98"/>
      <c r="AM120" s="98"/>
      <c r="AN120" s="183"/>
      <c r="AO120" s="91"/>
      <c r="AP120" s="91"/>
      <c r="AU120" s="243"/>
    </row>
    <row r="121" spans="2:47" s="92" customFormat="1" x14ac:dyDescent="0.7">
      <c r="B121" s="94"/>
      <c r="C121" s="94"/>
      <c r="H121" s="92">
        <v>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6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7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8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11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12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13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14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17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18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19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89" spans="2:47" s="92" customFormat="1" x14ac:dyDescent="0.7">
      <c r="B189" s="94"/>
      <c r="C189" s="94"/>
      <c r="G189" s="92">
        <v>1</v>
      </c>
      <c r="J189" s="93"/>
      <c r="L189" s="99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5"/>
      <c r="AI189" s="155"/>
      <c r="AJ189" s="155"/>
      <c r="AK189" s="98"/>
      <c r="AL189" s="98"/>
      <c r="AM189" s="98"/>
      <c r="AN189" s="183"/>
      <c r="AO189" s="91"/>
      <c r="AP189" s="91"/>
      <c r="AU189" s="243"/>
    </row>
  </sheetData>
  <autoFilter ref="A5:CT89">
    <filterColumn colId="9" showButton="0"/>
  </autoFilter>
  <mergeCells count="66">
    <mergeCell ref="BB35:BK35"/>
    <mergeCell ref="AZ7:BI7"/>
    <mergeCell ref="AZ15:BI15"/>
    <mergeCell ref="B4:G4"/>
    <mergeCell ref="K4:L4"/>
    <mergeCell ref="AG4:AH4"/>
    <mergeCell ref="BJ7:BS7"/>
    <mergeCell ref="G22:G25"/>
    <mergeCell ref="AA22:AA24"/>
    <mergeCell ref="G6:G9"/>
    <mergeCell ref="G14:G17"/>
    <mergeCell ref="AA14:AA16"/>
    <mergeCell ref="G18:G21"/>
    <mergeCell ref="AA18:AA20"/>
    <mergeCell ref="G10:G13"/>
    <mergeCell ref="BT7:CC7"/>
    <mergeCell ref="AZ11:BI11"/>
    <mergeCell ref="AG1:AH1"/>
    <mergeCell ref="AG2:AH3"/>
    <mergeCell ref="H3:I3"/>
    <mergeCell ref="K3:L3"/>
    <mergeCell ref="BF8:BO8"/>
    <mergeCell ref="J5:K5"/>
    <mergeCell ref="AA6:AA8"/>
    <mergeCell ref="AA10:AA12"/>
    <mergeCell ref="G46:G49"/>
    <mergeCell ref="AA46:AA48"/>
    <mergeCell ref="G26:G29"/>
    <mergeCell ref="AA26:AA28"/>
    <mergeCell ref="G30:G33"/>
    <mergeCell ref="AA30:AA32"/>
    <mergeCell ref="G34:G37"/>
    <mergeCell ref="AA34:AA36"/>
    <mergeCell ref="G38:G41"/>
    <mergeCell ref="AA38:AA40"/>
    <mergeCell ref="AZ39:BI39"/>
    <mergeCell ref="G42:G45"/>
    <mergeCell ref="AA42:AA44"/>
    <mergeCell ref="AZ67:BI67"/>
    <mergeCell ref="G70:G73"/>
    <mergeCell ref="AA70:AA72"/>
    <mergeCell ref="AZ71:BJ71"/>
    <mergeCell ref="G50:G53"/>
    <mergeCell ref="AA50:AA52"/>
    <mergeCell ref="G54:G57"/>
    <mergeCell ref="AA54:AA56"/>
    <mergeCell ref="G58:G61"/>
    <mergeCell ref="AA58:AA60"/>
    <mergeCell ref="G62:G65"/>
    <mergeCell ref="AA62:AA64"/>
    <mergeCell ref="G66:G69"/>
    <mergeCell ref="AA66:AA68"/>
    <mergeCell ref="G74:G77"/>
    <mergeCell ref="AA74:AA76"/>
    <mergeCell ref="AZ75:BJ75"/>
    <mergeCell ref="G78:G81"/>
    <mergeCell ref="AA78:AA80"/>
    <mergeCell ref="G82:G85"/>
    <mergeCell ref="AA82:AA84"/>
    <mergeCell ref="T110:V110"/>
    <mergeCell ref="G86:G89"/>
    <mergeCell ref="AA86:AA88"/>
    <mergeCell ref="G90:G93"/>
    <mergeCell ref="AA90:AA92"/>
    <mergeCell ref="AA95:AB95"/>
    <mergeCell ref="AA97:AB97"/>
  </mergeCells>
  <conditionalFormatting sqref="I8">
    <cfRule type="cellIs" dxfId="898" priority="97" operator="greaterThan">
      <formula>0</formula>
    </cfRule>
  </conditionalFormatting>
  <conditionalFormatting sqref="I12">
    <cfRule type="cellIs" dxfId="897" priority="81" operator="greaterThan">
      <formula>0</formula>
    </cfRule>
  </conditionalFormatting>
  <conditionalFormatting sqref="I16">
    <cfRule type="cellIs" dxfId="896" priority="126" operator="greaterThan">
      <formula>0</formula>
    </cfRule>
  </conditionalFormatting>
  <conditionalFormatting sqref="I20">
    <cfRule type="cellIs" dxfId="895" priority="143" operator="greaterThan">
      <formula>0</formula>
    </cfRule>
  </conditionalFormatting>
  <conditionalFormatting sqref="I28">
    <cfRule type="cellIs" dxfId="894" priority="152" operator="greaterThan">
      <formula>0</formula>
    </cfRule>
  </conditionalFormatting>
  <conditionalFormatting sqref="I36">
    <cfRule type="cellIs" dxfId="893" priority="122" operator="greaterThan">
      <formula>0</formula>
    </cfRule>
  </conditionalFormatting>
  <conditionalFormatting sqref="I40">
    <cfRule type="cellIs" dxfId="892" priority="112" operator="greaterThan">
      <formula>0</formula>
    </cfRule>
  </conditionalFormatting>
  <conditionalFormatting sqref="I44">
    <cfRule type="cellIs" dxfId="891" priority="131" operator="greaterThan">
      <formula>0</formula>
    </cfRule>
  </conditionalFormatting>
  <conditionalFormatting sqref="I52">
    <cfRule type="cellIs" dxfId="890" priority="148" operator="greaterThan">
      <formula>0</formula>
    </cfRule>
  </conditionalFormatting>
  <conditionalFormatting sqref="I56">
    <cfRule type="cellIs" dxfId="889" priority="86" operator="greaterThan">
      <formula>0</formula>
    </cfRule>
  </conditionalFormatting>
  <conditionalFormatting sqref="I60">
    <cfRule type="cellIs" dxfId="888" priority="106" operator="greaterThan">
      <formula>0</formula>
    </cfRule>
  </conditionalFormatting>
  <conditionalFormatting sqref="I68">
    <cfRule type="cellIs" dxfId="887" priority="99" operator="greaterThan">
      <formula>0</formula>
    </cfRule>
  </conditionalFormatting>
  <conditionalFormatting sqref="I72">
    <cfRule type="cellIs" dxfId="886" priority="91" operator="greaterThan">
      <formula>0</formula>
    </cfRule>
  </conditionalFormatting>
  <conditionalFormatting sqref="I80">
    <cfRule type="cellIs" dxfId="885" priority="135" operator="greaterThan">
      <formula>0</formula>
    </cfRule>
  </conditionalFormatting>
  <conditionalFormatting sqref="I84">
    <cfRule type="cellIs" dxfId="884" priority="141" operator="greaterThan">
      <formula>0</formula>
    </cfRule>
  </conditionalFormatting>
  <conditionalFormatting sqref="J8">
    <cfRule type="cellIs" dxfId="883" priority="77" operator="greaterThan">
      <formula>0</formula>
    </cfRule>
  </conditionalFormatting>
  <conditionalFormatting sqref="J16">
    <cfRule type="cellIs" dxfId="882" priority="125" operator="greaterThan">
      <formula>0</formula>
    </cfRule>
  </conditionalFormatting>
  <conditionalFormatting sqref="J20">
    <cfRule type="cellIs" dxfId="881" priority="144" operator="greaterThan">
      <formula>0</formula>
    </cfRule>
  </conditionalFormatting>
  <conditionalFormatting sqref="J28">
    <cfRule type="cellIs" dxfId="880" priority="118" operator="greaterThan">
      <formula>0</formula>
    </cfRule>
  </conditionalFormatting>
  <conditionalFormatting sqref="J36">
    <cfRule type="cellIs" dxfId="879" priority="119" operator="greaterThan">
      <formula>0</formula>
    </cfRule>
  </conditionalFormatting>
  <conditionalFormatting sqref="J40">
    <cfRule type="cellIs" dxfId="878" priority="109" operator="greaterThan">
      <formula>0</formula>
    </cfRule>
  </conditionalFormatting>
  <conditionalFormatting sqref="J44">
    <cfRule type="cellIs" dxfId="877" priority="129" operator="greaterThan">
      <formula>0</formula>
    </cfRule>
  </conditionalFormatting>
  <conditionalFormatting sqref="J52">
    <cfRule type="cellIs" dxfId="876" priority="117" operator="greaterThan">
      <formula>0</formula>
    </cfRule>
  </conditionalFormatting>
  <conditionalFormatting sqref="J56">
    <cfRule type="cellIs" dxfId="875" priority="84" operator="greaterThan">
      <formula>0</formula>
    </cfRule>
  </conditionalFormatting>
  <conditionalFormatting sqref="J60">
    <cfRule type="cellIs" dxfId="874" priority="103" operator="greaterThan">
      <formula>0</formula>
    </cfRule>
  </conditionalFormatting>
  <conditionalFormatting sqref="J68">
    <cfRule type="cellIs" dxfId="873" priority="98" operator="greaterThan">
      <formula>0</formula>
    </cfRule>
  </conditionalFormatting>
  <conditionalFormatting sqref="J72">
    <cfRule type="cellIs" dxfId="872" priority="89" operator="greaterThan">
      <formula>0</formula>
    </cfRule>
  </conditionalFormatting>
  <conditionalFormatting sqref="J80">
    <cfRule type="cellIs" dxfId="871" priority="74" operator="greaterThan">
      <formula>0</formula>
    </cfRule>
  </conditionalFormatting>
  <conditionalFormatting sqref="J84">
    <cfRule type="cellIs" dxfId="870" priority="138" operator="greaterThan">
      <formula>0</formula>
    </cfRule>
  </conditionalFormatting>
  <conditionalFormatting sqref="Z6:Z21 Z50:Z61 Z66:Z72 X66:X89 Z94 X34:X61 X94">
    <cfRule type="cellIs" dxfId="869" priority="156" operator="lessThan">
      <formula>0</formula>
    </cfRule>
  </conditionalFormatting>
  <conditionalFormatting sqref="Z26:Z29 Z34:Z45">
    <cfRule type="cellIs" dxfId="868" priority="79" operator="lessThan">
      <formula>0</formula>
    </cfRule>
  </conditionalFormatting>
  <conditionalFormatting sqref="Z7">
    <cfRule type="iconSet" priority="95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867" priority="94" operator="lessThan">
      <formula>0</formula>
    </cfRule>
  </conditionalFormatting>
  <conditionalFormatting sqref="Z11">
    <cfRule type="iconSet" priority="82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866" priority="78" operator="lessThan">
      <formula>0</formula>
    </cfRule>
  </conditionalFormatting>
  <conditionalFormatting sqref="Z15">
    <cfRule type="iconSet" priority="128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865" priority="124" operator="lessThan">
      <formula>0</formula>
    </cfRule>
  </conditionalFormatting>
  <conditionalFormatting sqref="Z19">
    <cfRule type="iconSet" priority="147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864" priority="145" operator="lessThan">
      <formula>0</formula>
    </cfRule>
  </conditionalFormatting>
  <conditionalFormatting sqref="Z27">
    <cfRule type="iconSet" priority="154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863" priority="153" operator="lessThan">
      <formula>0</formula>
    </cfRule>
  </conditionalFormatting>
  <conditionalFormatting sqref="Z35">
    <cfRule type="iconSet" priority="121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862" priority="120" operator="lessThan">
      <formula>0</formula>
    </cfRule>
  </conditionalFormatting>
  <conditionalFormatting sqref="Z39">
    <cfRule type="iconSet" priority="111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861" priority="110" operator="lessThan">
      <formula>0</formula>
    </cfRule>
  </conditionalFormatting>
  <conditionalFormatting sqref="Z43">
    <cfRule type="iconSet" priority="133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860" priority="130" operator="lessThan">
      <formula>0</formula>
    </cfRule>
  </conditionalFormatting>
  <conditionalFormatting sqref="Z51">
    <cfRule type="iconSet" priority="150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859" priority="149" operator="lessThan">
      <formula>0</formula>
    </cfRule>
  </conditionalFormatting>
  <conditionalFormatting sqref="Z55">
    <cfRule type="iconSet" priority="87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858" priority="85" operator="lessThan">
      <formula>0</formula>
    </cfRule>
  </conditionalFormatting>
  <conditionalFormatting sqref="Z59">
    <cfRule type="iconSet" priority="105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857" priority="104" operator="lessThan">
      <formula>0</formula>
    </cfRule>
  </conditionalFormatting>
  <conditionalFormatting sqref="Z67">
    <cfRule type="iconSet" priority="102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856" priority="100" operator="lessThan">
      <formula>0</formula>
    </cfRule>
  </conditionalFormatting>
  <conditionalFormatting sqref="Z71">
    <cfRule type="iconSet" priority="93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855" priority="90" operator="lessThan">
      <formula>0</formula>
    </cfRule>
  </conditionalFormatting>
  <conditionalFormatting sqref="Z78:Z85">
    <cfRule type="cellIs" dxfId="854" priority="108" operator="lessThan">
      <formula>0</formula>
    </cfRule>
  </conditionalFormatting>
  <conditionalFormatting sqref="Z79">
    <cfRule type="iconSet" priority="137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853" priority="134" operator="lessThan">
      <formula>0</formula>
    </cfRule>
  </conditionalFormatting>
  <conditionalFormatting sqref="Z83">
    <cfRule type="iconSet" priority="140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852" priority="139" operator="lessThan">
      <formula>0</formula>
    </cfRule>
  </conditionalFormatting>
  <conditionalFormatting sqref="AA17">
    <cfRule type="cellIs" dxfId="851" priority="114" operator="lessThan">
      <formula>0</formula>
    </cfRule>
  </conditionalFormatting>
  <conditionalFormatting sqref="AA29">
    <cfRule type="cellIs" dxfId="850" priority="116" operator="lessThan">
      <formula>0</formula>
    </cfRule>
  </conditionalFormatting>
  <conditionalFormatting sqref="AA53">
    <cfRule type="cellIs" dxfId="849" priority="115" operator="lessThan">
      <formula>0</formula>
    </cfRule>
  </conditionalFormatting>
  <conditionalFormatting sqref="AA61">
    <cfRule type="cellIs" dxfId="848" priority="76" operator="lessThan">
      <formula>0</formula>
    </cfRule>
  </conditionalFormatting>
  <conditionalFormatting sqref="AG2:AH3">
    <cfRule type="cellIs" dxfId="847" priority="157" operator="lessThan">
      <formula>0.85</formula>
    </cfRule>
  </conditionalFormatting>
  <conditionalFormatting sqref="AP26:AP29 AP78:AP85 AP1:AP21 AP34:AP45 AP50:AP61 AP66:AP73 AP94:AP1048576">
    <cfRule type="cellIs" dxfId="846" priority="80" operator="notEqual">
      <formula>0</formula>
    </cfRule>
  </conditionalFormatting>
  <conditionalFormatting sqref="AT6:AT9 AT94:AT96">
    <cfRule type="cellIs" dxfId="845" priority="75" operator="lessThan">
      <formula>0</formula>
    </cfRule>
  </conditionalFormatting>
  <conditionalFormatting sqref="AA69">
    <cfRule type="cellIs" dxfId="844" priority="73" operator="lessThan">
      <formula>0</formula>
    </cfRule>
  </conditionalFormatting>
  <conditionalFormatting sqref="AA85">
    <cfRule type="cellIs" dxfId="843" priority="72" operator="lessThan">
      <formula>0</formula>
    </cfRule>
  </conditionalFormatting>
  <conditionalFormatting sqref="I24">
    <cfRule type="cellIs" dxfId="842" priority="68" operator="greaterThan">
      <formula>0</formula>
    </cfRule>
  </conditionalFormatting>
  <conditionalFormatting sqref="Z22:Z24">
    <cfRule type="cellIs" dxfId="841" priority="66" operator="lessThan">
      <formula>0</formula>
    </cfRule>
  </conditionalFormatting>
  <conditionalFormatting sqref="Z23">
    <cfRule type="iconSet" priority="71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840" priority="69" operator="lessThan">
      <formula>0</formula>
    </cfRule>
  </conditionalFormatting>
  <conditionalFormatting sqref="AP22:AP25">
    <cfRule type="cellIs" dxfId="839" priority="67" operator="notEqual">
      <formula>0</formula>
    </cfRule>
  </conditionalFormatting>
  <conditionalFormatting sqref="I48">
    <cfRule type="cellIs" dxfId="838" priority="63" operator="greaterThan">
      <formula>0</formula>
    </cfRule>
  </conditionalFormatting>
  <conditionalFormatting sqref="J48">
    <cfRule type="cellIs" dxfId="837" priority="61" operator="greaterThan">
      <formula>0</formula>
    </cfRule>
  </conditionalFormatting>
  <conditionalFormatting sqref="Z46:Z49">
    <cfRule type="cellIs" dxfId="836" priority="59" operator="lessThan">
      <formula>0</formula>
    </cfRule>
  </conditionalFormatting>
  <conditionalFormatting sqref="Z47">
    <cfRule type="iconSet" priority="65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835" priority="62" operator="lessThan">
      <formula>0</formula>
    </cfRule>
  </conditionalFormatting>
  <conditionalFormatting sqref="Z86:Z88">
    <cfRule type="cellIs" dxfId="834" priority="55" operator="lessThan">
      <formula>0</formula>
    </cfRule>
  </conditionalFormatting>
  <conditionalFormatting sqref="AP46:AP49">
    <cfRule type="cellIs" dxfId="833" priority="60" operator="notEqual">
      <formula>0</formula>
    </cfRule>
  </conditionalFormatting>
  <conditionalFormatting sqref="I88">
    <cfRule type="cellIs" dxfId="832" priority="57" operator="greaterThan">
      <formula>0</formula>
    </cfRule>
  </conditionalFormatting>
  <conditionalFormatting sqref="J88">
    <cfRule type="cellIs" dxfId="831" priority="53" operator="greaterThan">
      <formula>0</formula>
    </cfRule>
  </conditionalFormatting>
  <conditionalFormatting sqref="Z87">
    <cfRule type="iconSet" priority="56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830" priority="54" operator="lessThan">
      <formula>0</formula>
    </cfRule>
  </conditionalFormatting>
  <conditionalFormatting sqref="AP86:AP89">
    <cfRule type="cellIs" dxfId="829" priority="52" operator="notEqual">
      <formula>0</formula>
    </cfRule>
  </conditionalFormatting>
  <conditionalFormatting sqref="Z89">
    <cfRule type="cellIs" dxfId="828" priority="51" operator="lessThan">
      <formula>0</formula>
    </cfRule>
  </conditionalFormatting>
  <conditionalFormatting sqref="I76">
    <cfRule type="cellIs" dxfId="827" priority="47" operator="greaterThan">
      <formula>0</formula>
    </cfRule>
  </conditionalFormatting>
  <conditionalFormatting sqref="Z74:Z77">
    <cfRule type="cellIs" dxfId="826" priority="50" operator="lessThan">
      <formula>0</formula>
    </cfRule>
  </conditionalFormatting>
  <conditionalFormatting sqref="Z75">
    <cfRule type="iconSet" priority="49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825" priority="46" operator="lessThan">
      <formula>0</formula>
    </cfRule>
  </conditionalFormatting>
  <conditionalFormatting sqref="AP74:AP77">
    <cfRule type="cellIs" dxfId="824" priority="44" operator="notEqual">
      <formula>0</formula>
    </cfRule>
  </conditionalFormatting>
  <conditionalFormatting sqref="AA37">
    <cfRule type="cellIs" dxfId="823" priority="42" operator="lessThan">
      <formula>0</formula>
    </cfRule>
  </conditionalFormatting>
  <conditionalFormatting sqref="Z25">
    <cfRule type="cellIs" dxfId="822" priority="43" operator="lessThan">
      <formula>0</formula>
    </cfRule>
  </conditionalFormatting>
  <conditionalFormatting sqref="X6:X9">
    <cfRule type="cellIs" dxfId="821" priority="41" operator="lessThan">
      <formula>0</formula>
    </cfRule>
  </conditionalFormatting>
  <conditionalFormatting sqref="X8">
    <cfRule type="cellIs" dxfId="820" priority="39" operator="lessThan">
      <formula>0</formula>
    </cfRule>
  </conditionalFormatting>
  <conditionalFormatting sqref="X7">
    <cfRule type="iconSet" priority="40">
      <iconSet>
        <cfvo type="percent" val="0"/>
        <cfvo type="percent" val="&quot;$I$6&quot;"/>
        <cfvo type="percent" val="#REF!"/>
      </iconSet>
    </cfRule>
  </conditionalFormatting>
  <conditionalFormatting sqref="X10:X29">
    <cfRule type="cellIs" dxfId="819" priority="38" operator="lessThan">
      <formula>0</formula>
    </cfRule>
  </conditionalFormatting>
  <conditionalFormatting sqref="X12 X16 X20 X24 X28 X36 X40 X44 X48 X52 X56 X60 X68 X72 X76 X80 X84 X88">
    <cfRule type="cellIs" dxfId="818" priority="37" operator="lessThan">
      <formula>0</formula>
    </cfRule>
  </conditionalFormatting>
  <conditionalFormatting sqref="I32">
    <cfRule type="cellIs" dxfId="817" priority="33" operator="greaterThan">
      <formula>0</formula>
    </cfRule>
  </conditionalFormatting>
  <conditionalFormatting sqref="Z30:Z33">
    <cfRule type="cellIs" dxfId="816" priority="30" operator="lessThan">
      <formula>0</formula>
    </cfRule>
  </conditionalFormatting>
  <conditionalFormatting sqref="Z31">
    <cfRule type="iconSet" priority="35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815" priority="34" operator="lessThan">
      <formula>0</formula>
    </cfRule>
  </conditionalFormatting>
  <conditionalFormatting sqref="AP30:AP33">
    <cfRule type="cellIs" dxfId="814" priority="31" operator="notEqual">
      <formula>0</formula>
    </cfRule>
  </conditionalFormatting>
  <conditionalFormatting sqref="X30:X33">
    <cfRule type="cellIs" dxfId="813" priority="29" operator="lessThan">
      <formula>0</formula>
    </cfRule>
  </conditionalFormatting>
  <conditionalFormatting sqref="X32">
    <cfRule type="cellIs" dxfId="812" priority="27" operator="lessThan">
      <formula>0</formula>
    </cfRule>
  </conditionalFormatting>
  <conditionalFormatting sqref="X31">
    <cfRule type="iconSet" priority="28">
      <iconSet>
        <cfvo type="percent" val="0"/>
        <cfvo type="percent" val="&quot;$I$6&quot;"/>
        <cfvo type="percent" val="#REF!"/>
      </iconSet>
    </cfRule>
  </conditionalFormatting>
  <conditionalFormatting sqref="J12">
    <cfRule type="cellIs" dxfId="811" priority="26" operator="greaterThan">
      <formula>0</formula>
    </cfRule>
  </conditionalFormatting>
  <conditionalFormatting sqref="I64">
    <cfRule type="cellIs" dxfId="810" priority="23" operator="greaterThan">
      <formula>0</formula>
    </cfRule>
  </conditionalFormatting>
  <conditionalFormatting sqref="J64">
    <cfRule type="cellIs" dxfId="809" priority="20" operator="greaterThan">
      <formula>0</formula>
    </cfRule>
  </conditionalFormatting>
  <conditionalFormatting sqref="Z62:Z65 X62:X65">
    <cfRule type="cellIs" dxfId="808" priority="25" operator="lessThan">
      <formula>0</formula>
    </cfRule>
  </conditionalFormatting>
  <conditionalFormatting sqref="Z63">
    <cfRule type="iconSet" priority="22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807" priority="21" operator="lessThan">
      <formula>0</formula>
    </cfRule>
  </conditionalFormatting>
  <conditionalFormatting sqref="AA65">
    <cfRule type="cellIs" dxfId="806" priority="18" operator="lessThan">
      <formula>0</formula>
    </cfRule>
  </conditionalFormatting>
  <conditionalFormatting sqref="AP62:AP65">
    <cfRule type="cellIs" dxfId="805" priority="19" operator="notEqual">
      <formula>0</formula>
    </cfRule>
  </conditionalFormatting>
  <conditionalFormatting sqref="X64">
    <cfRule type="cellIs" dxfId="804" priority="16" operator="lessThan">
      <formula>0</formula>
    </cfRule>
  </conditionalFormatting>
  <conditionalFormatting sqref="X63">
    <cfRule type="iconSet" priority="17">
      <iconSet>
        <cfvo type="percent" val="0"/>
        <cfvo type="percent" val="&quot;$I$6&quot;"/>
        <cfvo type="percent" val="#REF!"/>
      </iconSet>
    </cfRule>
  </conditionalFormatting>
  <conditionalFormatting sqref="J24">
    <cfRule type="cellIs" dxfId="803" priority="15" operator="greaterThan">
      <formula>0</formula>
    </cfRule>
  </conditionalFormatting>
  <conditionalFormatting sqref="X71 X11 X15 X19 X23 X27 X35 X39 X43 X47 X51 X55 X59 X67 X75 X79 X83 X87">
    <cfRule type="iconSet" priority="158">
      <iconSet>
        <cfvo type="percent" val="0"/>
        <cfvo type="percent" val="&quot;$I$6&quot;"/>
        <cfvo type="percent" val="#REF!"/>
      </iconSet>
    </cfRule>
  </conditionalFormatting>
  <conditionalFormatting sqref="I92">
    <cfRule type="cellIs" dxfId="802" priority="12" operator="greaterThan">
      <formula>0</formula>
    </cfRule>
  </conditionalFormatting>
  <conditionalFormatting sqref="J92">
    <cfRule type="cellIs" dxfId="801" priority="8" operator="greaterThan">
      <formula>0</formula>
    </cfRule>
  </conditionalFormatting>
  <conditionalFormatting sqref="X90:X93">
    <cfRule type="cellIs" dxfId="800" priority="14" operator="lessThan">
      <formula>0</formula>
    </cfRule>
  </conditionalFormatting>
  <conditionalFormatting sqref="Z90:Z93">
    <cfRule type="cellIs" dxfId="799" priority="10" operator="lessThan">
      <formula>0</formula>
    </cfRule>
  </conditionalFormatting>
  <conditionalFormatting sqref="Z92">
    <cfRule type="cellIs" dxfId="798" priority="9" operator="lessThan">
      <formula>0</formula>
    </cfRule>
  </conditionalFormatting>
  <conditionalFormatting sqref="AP90:AP93">
    <cfRule type="cellIs" dxfId="797" priority="7" operator="notEqual">
      <formula>0</formula>
    </cfRule>
  </conditionalFormatting>
  <conditionalFormatting sqref="X92">
    <cfRule type="cellIs" dxfId="796" priority="4" operator="lessThan">
      <formula>0</formula>
    </cfRule>
  </conditionalFormatting>
  <conditionalFormatting sqref="AT10:AT93">
    <cfRule type="cellIs" dxfId="795" priority="3" operator="lessThan">
      <formula>0</formula>
    </cfRule>
  </conditionalFormatting>
  <conditionalFormatting sqref="J32">
    <cfRule type="cellIs" dxfId="794" priority="2" operator="greaterThan">
      <formula>0</formula>
    </cfRule>
  </conditionalFormatting>
  <conditionalFormatting sqref="J76">
    <cfRule type="cellIs" dxfId="793" priority="1" operator="greater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6" id="{E366AE50-AF1D-42EB-BA8D-E2D0CE96CBC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83" id="{156221EB-DAD9-46FA-BC74-7C5A13BFB44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127" id="{EE602313-7ABC-4751-B1EB-92309A31536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46" id="{0296C61D-563E-49DD-8CCF-846A00010B1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55" id="{070592C5-9454-4821-A884-CEBB45317CC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123" id="{13203DC4-078E-4150-BC42-FE915AAEA7B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113" id="{79431A02-760E-4ABC-8128-3DD719ECD0D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32" id="{0339FE27-9FF5-428E-9F86-50D261AC83B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51" id="{22E81D3D-AB04-4D77-913D-BAF9DFACFAE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88" id="{FF3AF92B-920D-444B-8EF5-630F4998468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107" id="{C827C6FC-ADB4-48A7-B3AD-EBDF5712EC4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101" id="{302F8C32-9B55-45FA-98BD-8219C9416AE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92" id="{D69FD32B-A68B-400B-B335-F5557578232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136" id="{1BAA9B26-2F5A-459F-AFD5-E433B0B6313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142" id="{D9A71A62-405B-4C56-909D-A924C328CFC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70" id="{78053338-E6AC-4596-B8F0-FB32CA53851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64" id="{C77AD791-D0B5-4AA8-B456-034096066DC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58" id="{64974AAE-0F1C-421A-B8A6-7AFFBA21B92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48" id="{8BBAA8E0-1199-4E39-8B1B-39A76144A9C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36" id="{A35ABCE9-7926-4F80-8A2C-B1F3B94EE82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24" id="{181E3C76-15E3-4BD2-84CF-9BA62317BF8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11" id="{DF4601C1-0691-4B8A-9DE7-3722EE1AE241}">
            <x14:iconSet>
              <x14:cfvo type="percent">
                <xm:f>0</xm:f>
              </x14:cfvo>
              <x14:cfvo type="percent">
                <xm:f>"$I$6"</xm:f>
              </x14:cfvo>
              <x14:cfvo type="percent">
                <xm:f>'11-05-2026'!#REF!</xm:f>
              </x14:cfvo>
            </x14:iconSet>
          </x14:cfRule>
          <xm:sqref>Z91</xm:sqref>
        </x14:conditionalFormatting>
        <x14:conditionalFormatting xmlns:xm="http://schemas.microsoft.com/office/excel/2006/main">
          <x14:cfRule type="iconSet" priority="5" id="{B613233C-4864-47C5-AD67-B03E376B1ECE}">
            <x14:iconSet>
              <x14:cfvo type="percent">
                <xm:f>0</xm:f>
              </x14:cfvo>
              <x14:cfvo type="percent">
                <xm:f>"$I$6"</xm:f>
              </x14:cfvo>
              <x14:cfvo type="percent">
                <xm:f>'11-05-2026'!#REF!</xm:f>
              </x14:cfvo>
            </x14:iconSet>
          </x14:cfRule>
          <xm:sqref>X91</xm:sqref>
        </x14:conditionalFormatting>
        <x14:conditionalFormatting xmlns:xm="http://schemas.microsoft.com/office/excel/2006/main">
          <x14:cfRule type="iconSet" priority="13" id="{78AD3616-87EB-4C93-BC9D-0FA1E521F96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BN193"/>
  <sheetViews>
    <sheetView zoomScale="18" zoomScaleNormal="18" zoomScaleSheetLayoutView="18" workbookViewId="0">
      <pane xSplit="11" ySplit="4" topLeftCell="S5" activePane="bottomRight" state="frozen"/>
      <selection pane="topRight" activeCell="L1" sqref="L1"/>
      <selection pane="bottomLeft" activeCell="A5" sqref="A5"/>
      <selection pane="bottomRight" activeCell="BC23" sqref="BC23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5" width="27.42578125" style="155" customWidth="1"/>
    <col min="36" max="36" width="27.42578125" style="155" hidden="1" customWidth="1"/>
    <col min="37" max="37" width="32.42578125" style="183" customWidth="1"/>
    <col min="38" max="38" width="36" style="183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customWidth="1"/>
    <col min="44" max="45" width="9.140625" style="91" customWidth="1"/>
    <col min="46" max="46" width="37.7109375" style="91" hidden="1" customWidth="1"/>
    <col min="47" max="47" width="30.5703125" style="393" hidden="1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59" width="20.42578125" style="91" customWidth="1"/>
    <col min="60" max="60" width="20.42578125" style="91" hidden="1" customWidth="1"/>
    <col min="61" max="62" width="9.140625" style="91" hidden="1" customWidth="1"/>
    <col min="63" max="63" width="35.28515625" style="91" hidden="1" customWidth="1"/>
    <col min="64" max="64" width="4" style="91" hidden="1" customWidth="1"/>
    <col min="65" max="66" width="9.140625" style="91" hidden="1" customWidth="1"/>
    <col min="67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0.73453604759318569</v>
      </c>
      <c r="AH2" s="535"/>
      <c r="AK2" s="183">
        <f>+SUBTOTAL(9,AK6:AK115)</f>
        <v>400477.5</v>
      </c>
      <c r="AL2" s="183">
        <f>+SUBTOTAL(9,AL6:AL115)</f>
        <v>294165.16000000003</v>
      </c>
      <c r="AW2" s="91">
        <v>0.59793648334624327</v>
      </c>
    </row>
    <row r="3" spans="2:64" ht="94.5" customHeight="1" x14ac:dyDescent="0.9">
      <c r="B3" s="363">
        <f>+AM4</f>
        <v>8.75</v>
      </c>
      <c r="C3" s="475"/>
      <c r="D3" s="475"/>
      <c r="E3" s="475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75"/>
      <c r="AD3" s="96"/>
      <c r="AE3" s="96"/>
      <c r="AF3" s="96"/>
      <c r="AG3" s="535"/>
      <c r="AH3" s="535"/>
      <c r="AT3" s="91">
        <v>8.75</v>
      </c>
    </row>
    <row r="4" spans="2:64" s="141" customFormat="1" ht="79.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+SUMIF($L$6:$L$98,AB3,$AB$6:$AB$98)</f>
        <v>6962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14-05-2026</v>
      </c>
      <c r="AH4" s="539"/>
      <c r="AI4" s="362">
        <f>+SUM(AI6:AI103)</f>
        <v>6674.625</v>
      </c>
      <c r="AJ4" s="362"/>
      <c r="AK4" s="183"/>
      <c r="AL4" s="183"/>
      <c r="AM4" s="363">
        <v>8.75</v>
      </c>
      <c r="AT4" s="396">
        <f>+SUBTOTAL(9,AT6:AT99)</f>
        <v>107.11249999999995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K5" s="359"/>
      <c r="AL5" s="359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77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>
        <v>50</v>
      </c>
      <c r="P6" s="423">
        <v>150</v>
      </c>
      <c r="Q6" s="423">
        <v>100</v>
      </c>
      <c r="R6" s="423">
        <v>50</v>
      </c>
      <c r="S6" s="423">
        <v>50</v>
      </c>
      <c r="T6" s="423"/>
      <c r="U6" s="423"/>
      <c r="V6" s="423"/>
      <c r="W6" s="423"/>
      <c r="X6" s="135">
        <f t="shared" ref="X6:X70" si="0">IF(AT7="","",SUM(M6:W6)-(-(AT7-SUM(M6:W6))/$AT$3)*SUM($M$2:$W$2))</f>
        <v>500</v>
      </c>
      <c r="Y6" s="438"/>
      <c r="Z6" s="400">
        <v>0</v>
      </c>
      <c r="AA6" s="540">
        <f>+X8</f>
        <v>0</v>
      </c>
      <c r="AB6" s="135">
        <f t="shared" ref="AB6:AB71" si="1">+SUM(L6:W6)</f>
        <v>500</v>
      </c>
      <c r="AC6" s="136">
        <f>+AD6+AB6</f>
        <v>5110</v>
      </c>
      <c r="AD6" s="136">
        <v>4610</v>
      </c>
      <c r="AE6" s="438"/>
      <c r="AF6" s="438"/>
      <c r="AG6" s="109"/>
      <c r="AH6" s="110"/>
      <c r="AI6" s="157"/>
      <c r="AJ6" s="161">
        <f t="shared" ref="AJ6:AJ85" si="2">TRUNC(AI6)+(AI6-TRUNC(AI6))*60/100</f>
        <v>0</v>
      </c>
      <c r="AK6" s="589">
        <f t="shared" ref="AK6:AK85" si="3">+AI6*60</f>
        <v>0</v>
      </c>
      <c r="AL6" s="589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78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424"/>
      <c r="X7" s="123">
        <f>+IF(H8="s",0,IF(AB7=0,0,IF(COUNTA(M7:W7)=AN9+0.25,SUMIF($C:$C,B7,$AB:$AB)/AN9,SUMIF($C:$C,B7,$AB:$AB)/(COUNTA(M7:W7)))))</f>
        <v>60</v>
      </c>
      <c r="Y7" s="439"/>
      <c r="Z7" s="400"/>
      <c r="AA7" s="541"/>
      <c r="AB7" s="134">
        <f t="shared" si="1"/>
        <v>525</v>
      </c>
      <c r="AC7" s="137">
        <f>+AB7+AD7</f>
        <v>4655</v>
      </c>
      <c r="AD7" s="137">
        <v>4130</v>
      </c>
      <c r="AE7" s="439">
        <v>0</v>
      </c>
      <c r="AF7" s="439">
        <f>+AE7+Y7</f>
        <v>0</v>
      </c>
      <c r="AG7" s="140">
        <f>+AC6-AC7</f>
        <v>455</v>
      </c>
      <c r="AH7" s="131">
        <f>+IF(((AB8+(AB9/2))*60)=0,"",(J7*AB7)/((AB8+(AB9/2))*60))</f>
        <v>0.89249999999999996</v>
      </c>
      <c r="AI7" s="161">
        <f>+AB8+AB9/2</f>
        <v>420</v>
      </c>
      <c r="AJ7" s="161">
        <f t="shared" si="2"/>
        <v>420</v>
      </c>
      <c r="AK7" s="589">
        <f>+AI7*60</f>
        <v>25200</v>
      </c>
      <c r="AL7" s="589">
        <f>+AB7*J7</f>
        <v>22491</v>
      </c>
      <c r="AM7" s="230">
        <f>+AB7-(AI7*K7/K9)</f>
        <v>10.714285714285666</v>
      </c>
      <c r="AN7" s="339"/>
      <c r="AO7" s="340"/>
      <c r="AP7" s="167"/>
      <c r="AQ7" s="167"/>
      <c r="AR7" s="167"/>
      <c r="AS7" s="167"/>
      <c r="AT7" s="433">
        <f t="shared" ref="AT7" si="4">IF(AU7=0,"",AW7-(($AT$3*K7)+($AT$3*K7)*AU7)+AB6)</f>
        <v>-175</v>
      </c>
      <c r="AU7" s="393">
        <v>1.2</v>
      </c>
      <c r="AW7" s="356">
        <v>480</v>
      </c>
      <c r="AY7" s="356">
        <f>+AW7-AG7</f>
        <v>25</v>
      </c>
      <c r="AZ7" s="581"/>
      <c r="BA7" s="581"/>
      <c r="BB7" s="581"/>
      <c r="BC7" s="581"/>
      <c r="BD7" s="581"/>
      <c r="BE7" s="581"/>
      <c r="BF7" s="581"/>
      <c r="BG7" s="581"/>
      <c r="BH7" s="581"/>
      <c r="BI7" s="58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78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47</v>
      </c>
      <c r="N8" s="215">
        <v>47</v>
      </c>
      <c r="O8" s="215">
        <v>47</v>
      </c>
      <c r="P8" s="215">
        <v>47</v>
      </c>
      <c r="Q8" s="215">
        <v>47</v>
      </c>
      <c r="R8" s="215">
        <v>47</v>
      </c>
      <c r="S8" s="215">
        <v>47</v>
      </c>
      <c r="T8" s="215">
        <v>47</v>
      </c>
      <c r="U8" s="215">
        <v>47</v>
      </c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541"/>
      <c r="AB8" s="443">
        <f t="shared" ref="AB8:AB9" si="5">+SUM(M8:W8)-U8*0.25</f>
        <v>411.25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589">
        <f t="shared" si="3"/>
        <v>0</v>
      </c>
      <c r="AL8" s="589"/>
      <c r="AM8" s="167"/>
      <c r="AN8" s="339"/>
      <c r="AO8" s="340">
        <f>+IF(AN9=7.75,SUM(M8:S8)+T8*0.75,IF(AN9=8,SUM(M8:T8),IF(AN9=7.25,SUM(M8:S8)+T8*0.25,IF(AN9=8.25,SUM(M8:T8)+U8*0.25,IF(AN9=8.75,SUM(M8:T8)+U8*0.75,0)))))</f>
        <v>411.25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79" t="str">
        <f>+G6</f>
        <v>2917-496-712</v>
      </c>
      <c r="H9" s="454">
        <f>+AC6-H7</f>
        <v>-890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si="5"/>
        <v>17.5</v>
      </c>
      <c r="AC9" s="139"/>
      <c r="AD9" s="139"/>
      <c r="AE9" s="441"/>
      <c r="AF9" s="441"/>
      <c r="AG9" s="119">
        <f>+IFERROR(AG7/(K7*$AT$3),"")</f>
        <v>0.8666666666666667</v>
      </c>
      <c r="AH9" s="162"/>
      <c r="AI9" s="161"/>
      <c r="AJ9" s="161">
        <f t="shared" si="2"/>
        <v>0</v>
      </c>
      <c r="AK9" s="589">
        <f t="shared" si="3"/>
        <v>0</v>
      </c>
      <c r="AL9" s="589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17.5</v>
      </c>
      <c r="AP9" s="167">
        <f>+AO9-AB9</f>
        <v>0</v>
      </c>
      <c r="AQ9" s="167"/>
      <c r="AR9" s="167"/>
      <c r="AS9" s="167"/>
      <c r="AT9" s="435"/>
      <c r="AU9" s="393"/>
      <c r="AW9" s="356">
        <v>0.91428571428571426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77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23">
        <v>150</v>
      </c>
      <c r="N10" s="423">
        <v>75</v>
      </c>
      <c r="O10" s="423">
        <v>150</v>
      </c>
      <c r="P10" s="423"/>
      <c r="Q10" s="423"/>
      <c r="R10" s="423">
        <v>75</v>
      </c>
      <c r="S10" s="423">
        <v>75</v>
      </c>
      <c r="T10" s="423"/>
      <c r="U10" s="423"/>
      <c r="V10" s="423"/>
      <c r="W10" s="423"/>
      <c r="X10" s="135">
        <f t="shared" si="0"/>
        <v>525</v>
      </c>
      <c r="Y10" s="438"/>
      <c r="Z10" s="400">
        <v>-116</v>
      </c>
      <c r="AA10" s="540">
        <f>+X12</f>
        <v>-24</v>
      </c>
      <c r="AB10" s="135">
        <f t="shared" si="1"/>
        <v>525</v>
      </c>
      <c r="AC10" s="136">
        <f>+AD10+AB10</f>
        <v>2776</v>
      </c>
      <c r="AD10" s="136">
        <v>2251</v>
      </c>
      <c r="AE10" s="438"/>
      <c r="AF10" s="438"/>
      <c r="AG10" s="109"/>
      <c r="AH10" s="110"/>
      <c r="AI10" s="157"/>
      <c r="AJ10" s="161">
        <f t="shared" si="2"/>
        <v>0</v>
      </c>
      <c r="AK10" s="589">
        <f t="shared" si="3"/>
        <v>0</v>
      </c>
      <c r="AL10" s="589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439</v>
      </c>
      <c r="E11" s="111"/>
      <c r="F11" s="111" t="s">
        <v>35</v>
      </c>
      <c r="G11" s="578" t="str">
        <f>+G10</f>
        <v>7740-876-052</v>
      </c>
      <c r="H11" s="450">
        <v>7000</v>
      </c>
      <c r="I11" s="111" t="s">
        <v>33</v>
      </c>
      <c r="J11" s="113">
        <v>55.78</v>
      </c>
      <c r="K11" s="130">
        <v>52</v>
      </c>
      <c r="L11" s="101" t="s">
        <v>17</v>
      </c>
      <c r="M11" s="214">
        <v>52</v>
      </c>
      <c r="N11" s="214">
        <v>43</v>
      </c>
      <c r="O11" s="214">
        <v>52</v>
      </c>
      <c r="P11" s="214">
        <v>52</v>
      </c>
      <c r="Q11" s="214">
        <v>52</v>
      </c>
      <c r="R11" s="214">
        <v>52</v>
      </c>
      <c r="S11" s="214">
        <v>35</v>
      </c>
      <c r="T11" s="214">
        <v>62</v>
      </c>
      <c r="U11" s="214">
        <v>52</v>
      </c>
      <c r="V11" s="214">
        <v>52</v>
      </c>
      <c r="W11" s="424">
        <v>31</v>
      </c>
      <c r="X11" s="123">
        <f>+IF(H12="s",0,IF(AB11=0,0,IF(COUNTA(M11:W11)=AN13+0.25,SUMIF($C:$C,B11,$AB:$AB)/AN13,SUMIF($C:$C,B11,$AB:$AB)/(COUNTA(M11:W11)))))</f>
        <v>49.767441860465119</v>
      </c>
      <c r="Y11" s="439"/>
      <c r="Z11" s="400"/>
      <c r="AA11" s="541"/>
      <c r="AB11" s="134">
        <f>+SUM(L11:W11)</f>
        <v>535</v>
      </c>
      <c r="AC11" s="137">
        <f>+AB11+AD11</f>
        <v>1952</v>
      </c>
      <c r="AD11" s="137">
        <v>1417</v>
      </c>
      <c r="AE11" s="439">
        <v>0</v>
      </c>
      <c r="AF11" s="439">
        <f>+AE11+Y11</f>
        <v>0</v>
      </c>
      <c r="AG11" s="140">
        <f>+AC10-AC11</f>
        <v>824</v>
      </c>
      <c r="AH11" s="131">
        <f>+IF(((AB12+(AB13/2))*60)=0,"",(J11*AB11)/((AB12+(AB13/2))*60))</f>
        <v>0.87603992367532657</v>
      </c>
      <c r="AI11" s="161">
        <f>+AB12+AB13/2</f>
        <v>567.75</v>
      </c>
      <c r="AJ11" s="161">
        <f t="shared" si="2"/>
        <v>567.45000000000005</v>
      </c>
      <c r="AK11" s="589">
        <f t="shared" si="3"/>
        <v>34065</v>
      </c>
      <c r="AL11" s="589">
        <f>+AB11*J11</f>
        <v>29842.3</v>
      </c>
      <c r="AM11" s="230">
        <f>+AB11-(AI11*K11/K13)</f>
        <v>7.8035714285714448</v>
      </c>
      <c r="AN11" s="339"/>
      <c r="AO11" s="340"/>
      <c r="AP11" s="167"/>
      <c r="AQ11" s="167"/>
      <c r="AR11" s="167"/>
      <c r="AS11" s="167"/>
      <c r="AT11" s="433">
        <f>-525+AB10</f>
        <v>0</v>
      </c>
      <c r="AU11" s="393">
        <v>1.5</v>
      </c>
      <c r="AW11" s="356">
        <v>834</v>
      </c>
      <c r="AY11" s="356">
        <f>+AW11-AG11</f>
        <v>10</v>
      </c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78" t="str">
        <f>+G10</f>
        <v>7740-876-052</v>
      </c>
      <c r="H12" s="376" t="s">
        <v>400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51</v>
      </c>
      <c r="N12" s="215">
        <v>53</v>
      </c>
      <c r="O12" s="215">
        <v>53</v>
      </c>
      <c r="P12" s="215">
        <v>53</v>
      </c>
      <c r="Q12" s="215">
        <v>53</v>
      </c>
      <c r="R12" s="215">
        <v>53</v>
      </c>
      <c r="S12" s="215">
        <v>53</v>
      </c>
      <c r="T12" s="215">
        <v>53</v>
      </c>
      <c r="U12" s="215">
        <v>53</v>
      </c>
      <c r="V12" s="215">
        <v>53</v>
      </c>
      <c r="W12" s="215">
        <v>53</v>
      </c>
      <c r="X12" s="160">
        <f>+IF(H12="l",IF(COUNTA(M11:W11)=AN13+0.25,AB11-K11*AN13,AB11-(K11*COUNTA(M11:W11))),IF(H12="s",0,IF(COUNTA(M11:W11)=AN13+0.25,SUMIF($C:$C,B11,$AB:$AB)-K11*AN13,SUMIF($C:$C,B11,$AB:$AB)-K11*COUNTA(M11:W11))))</f>
        <v>-24</v>
      </c>
      <c r="Y12" s="440"/>
      <c r="Z12" s="400"/>
      <c r="AA12" s="541"/>
      <c r="AB12" s="443">
        <f t="shared" ref="AB12:AB77" si="6">+SUM(M12:W12)-U12*0.25</f>
        <v>567.75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589">
        <f t="shared" si="3"/>
        <v>0</v>
      </c>
      <c r="AL12" s="589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0</v>
      </c>
      <c r="AP12" s="167">
        <f>+AO12-AB12</f>
        <v>-567.75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79" t="str">
        <f>+G10</f>
        <v>7740-876-052</v>
      </c>
      <c r="H13" s="454">
        <f>+AC10-H11</f>
        <v>-4224</v>
      </c>
      <c r="I13" s="397"/>
      <c r="J13" s="165">
        <f>+IF(K13="","",IF(K11=0,"",(K11*J11)/(K13*60)))</f>
        <v>0.86326190476190479</v>
      </c>
      <c r="K13" s="118">
        <v>56</v>
      </c>
      <c r="L13" s="104" t="s">
        <v>19</v>
      </c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7"/>
      <c r="X13" s="173"/>
      <c r="Y13" s="441"/>
      <c r="Z13" s="401">
        <v>42.148571428571422</v>
      </c>
      <c r="AA13" s="168">
        <f>+IF(COUNTA(M11:W11)=$AM$4+0.25,$AM$4-(AB11/K11),COUNTA(M11:W11)-(AB11/K11))+Z13</f>
        <v>42.860109890109882</v>
      </c>
      <c r="AB13" s="444">
        <f t="shared" si="6"/>
        <v>0</v>
      </c>
      <c r="AC13" s="139"/>
      <c r="AD13" s="139"/>
      <c r="AE13" s="441"/>
      <c r="AF13" s="441"/>
      <c r="AG13" s="119">
        <f>+IFERROR(AG11/(K11*$AT$3),"")</f>
        <v>1.810989010989011</v>
      </c>
      <c r="AH13" s="162"/>
      <c r="AI13" s="161"/>
      <c r="AJ13" s="161">
        <f t="shared" si="2"/>
        <v>0</v>
      </c>
      <c r="AK13" s="589">
        <f t="shared" si="3"/>
        <v>0</v>
      </c>
      <c r="AL13" s="589"/>
      <c r="AM13" s="230"/>
      <c r="AN13" s="342">
        <v>10.75</v>
      </c>
      <c r="AO13" s="340">
        <f>+IF(AN13=7.75,SUM(M13:S13)+T13*0.75,IF(AN13=8,SUM(M13:T13),IF(AN13=7.25,SUM(M13:S13)+T13*0.25,IF(AN13=8.25,SUM(M13:T13)+U13*0.25,IF(AN13=8.75,SUM(M13:T13)+U13*0.75,0)))))</f>
        <v>0</v>
      </c>
      <c r="AP13" s="167">
        <f>+AO13-AB13</f>
        <v>0</v>
      </c>
      <c r="AQ13" s="167"/>
      <c r="AR13" s="167"/>
      <c r="AS13" s="167"/>
      <c r="AT13" s="435"/>
      <c r="AU13" s="393"/>
      <c r="AW13" s="356">
        <v>1.8329670329670329</v>
      </c>
      <c r="AY13" s="356"/>
    </row>
    <row r="14" spans="2:64" s="98" customFormat="1" ht="62.25" customHeight="1" thickTop="1" x14ac:dyDescent="0.9">
      <c r="B14" s="97">
        <f>+B15</f>
        <v>3</v>
      </c>
      <c r="C14" s="370"/>
      <c r="D14" s="106"/>
      <c r="E14" s="106"/>
      <c r="F14" s="106"/>
      <c r="G14" s="577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>
        <v>150</v>
      </c>
      <c r="N14" s="423">
        <v>150</v>
      </c>
      <c r="O14" s="423">
        <v>150</v>
      </c>
      <c r="P14" s="423"/>
      <c r="Q14" s="423">
        <v>75</v>
      </c>
      <c r="R14" s="423"/>
      <c r="S14" s="423"/>
      <c r="T14" s="423"/>
      <c r="U14" s="423"/>
      <c r="V14" s="423"/>
      <c r="W14" s="423"/>
      <c r="X14" s="135">
        <f t="shared" si="0"/>
        <v>525</v>
      </c>
      <c r="Y14" s="438"/>
      <c r="Z14" s="400">
        <v>0</v>
      </c>
      <c r="AA14" s="540">
        <f>+X16</f>
        <v>-12</v>
      </c>
      <c r="AB14" s="135">
        <f t="shared" si="1"/>
        <v>525</v>
      </c>
      <c r="AC14" s="136">
        <f>+AD14+AB14</f>
        <v>8439</v>
      </c>
      <c r="AD14" s="136">
        <v>7914</v>
      </c>
      <c r="AE14" s="438"/>
      <c r="AF14" s="438"/>
      <c r="AG14" s="109"/>
      <c r="AH14" s="110"/>
      <c r="AI14" s="157"/>
      <c r="AJ14" s="161">
        <f t="shared" si="2"/>
        <v>0</v>
      </c>
      <c r="AK14" s="589">
        <f t="shared" si="3"/>
        <v>0</v>
      </c>
      <c r="AL14" s="589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3</v>
      </c>
      <c r="C15" s="371">
        <v>3</v>
      </c>
      <c r="D15" s="372" t="s">
        <v>439</v>
      </c>
      <c r="E15" s="111"/>
      <c r="F15" s="111" t="s">
        <v>35</v>
      </c>
      <c r="G15" s="578" t="str">
        <f>+G14</f>
        <v>7740-876-052</v>
      </c>
      <c r="H15" s="450">
        <v>12000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52</v>
      </c>
      <c r="N15" s="214">
        <v>52</v>
      </c>
      <c r="O15" s="214">
        <v>52</v>
      </c>
      <c r="P15" s="214">
        <v>52</v>
      </c>
      <c r="Q15" s="214">
        <v>52</v>
      </c>
      <c r="R15" s="214">
        <v>52</v>
      </c>
      <c r="S15" s="214">
        <v>35</v>
      </c>
      <c r="T15" s="214">
        <v>57</v>
      </c>
      <c r="U15" s="214">
        <v>52</v>
      </c>
      <c r="V15" s="214">
        <v>52</v>
      </c>
      <c r="W15" s="214">
        <v>39</v>
      </c>
      <c r="X15" s="123">
        <f>+IF(H16="s",0,IF(AB15=0,0,IF(COUNTA(M15:W15)=AN17+0.25,SUMIF($C:$C,B15,$AB:$AB)/AN17,SUMIF($C:$C,B15,$AB:$AB)/(COUNTA(M15:W15)))))</f>
        <v>50.883720930232556</v>
      </c>
      <c r="Y15" s="439"/>
      <c r="Z15" s="400"/>
      <c r="AA15" s="541"/>
      <c r="AB15" s="134">
        <f t="shared" si="1"/>
        <v>547</v>
      </c>
      <c r="AC15" s="137">
        <f>+AB15+AD15</f>
        <v>7785</v>
      </c>
      <c r="AD15" s="137">
        <v>7238</v>
      </c>
      <c r="AE15" s="439"/>
      <c r="AF15" s="439">
        <f>+AE15+Y15</f>
        <v>0</v>
      </c>
      <c r="AG15" s="140">
        <f>+AC14-AC15</f>
        <v>654</v>
      </c>
      <c r="AH15" s="131">
        <f>+IF(((AB16+(AB17/2))*60)=0,"",(J15*AB15)/((AB16+(AB17/2))*60))</f>
        <v>0.90586090699918353</v>
      </c>
      <c r="AI15" s="161">
        <f>+AB16+AB17/2</f>
        <v>561.375</v>
      </c>
      <c r="AJ15" s="161">
        <f t="shared" si="2"/>
        <v>561.22500000000002</v>
      </c>
      <c r="AK15" s="589">
        <f t="shared" si="3"/>
        <v>33682.5</v>
      </c>
      <c r="AL15" s="589">
        <f>+AB15*J15</f>
        <v>30511.66</v>
      </c>
      <c r="AM15" s="230">
        <f>+AB15-(AI15*K15/K17)</f>
        <v>25.723214285714334</v>
      </c>
      <c r="AN15" s="339"/>
      <c r="AO15" s="340"/>
      <c r="AP15" s="167"/>
      <c r="AQ15" s="167"/>
      <c r="AR15" s="167"/>
      <c r="AS15" s="167"/>
      <c r="AT15" s="433">
        <f>-525+AB14</f>
        <v>0</v>
      </c>
      <c r="AU15" s="393">
        <v>1.63</v>
      </c>
      <c r="AW15" s="356">
        <v>676</v>
      </c>
      <c r="AY15" s="356">
        <f t="shared" ref="AY15" si="7">+AW15-AG15</f>
        <v>22</v>
      </c>
      <c r="AZ15" s="581"/>
      <c r="BA15" s="581"/>
      <c r="BB15" s="581"/>
      <c r="BC15" s="581"/>
      <c r="BD15" s="581"/>
      <c r="BE15" s="581"/>
      <c r="BF15" s="581"/>
      <c r="BG15" s="581"/>
      <c r="BH15" s="581"/>
      <c r="BI15" s="581"/>
    </row>
    <row r="16" spans="2:64" s="98" customFormat="1" ht="62.25" customHeight="1" x14ac:dyDescent="0.9">
      <c r="B16" s="125">
        <f>+B15</f>
        <v>3</v>
      </c>
      <c r="C16" s="373"/>
      <c r="D16" s="184"/>
      <c r="E16" s="111">
        <f>+B15</f>
        <v>3</v>
      </c>
      <c r="F16" s="374"/>
      <c r="G16" s="578" t="str">
        <f>+G14</f>
        <v>7740-876-052</v>
      </c>
      <c r="H16" s="376"/>
      <c r="I16" s="113">
        <f>+IFERROR(IF(K17=0,0,IF((LOOKUP(2,1/(M16:W16&lt;&gt;""),M16:W16)-K17)&lt;0,0,IF(K17=0,"",LOOKUP(2,1/(M16:W16&lt;&gt;""),M16:W16)-K17))),0)</f>
        <v>0</v>
      </c>
      <c r="J16" s="113">
        <v>2</v>
      </c>
      <c r="K16" s="114" t="s">
        <v>22</v>
      </c>
      <c r="L16" s="102" t="s">
        <v>18</v>
      </c>
      <c r="M16" s="215">
        <v>49</v>
      </c>
      <c r="N16" s="215">
        <v>52</v>
      </c>
      <c r="O16" s="215">
        <v>52</v>
      </c>
      <c r="P16" s="215">
        <v>52</v>
      </c>
      <c r="Q16" s="215">
        <v>52</v>
      </c>
      <c r="R16" s="215">
        <v>52</v>
      </c>
      <c r="S16" s="215">
        <v>52</v>
      </c>
      <c r="T16" s="215">
        <v>52</v>
      </c>
      <c r="U16" s="215">
        <v>52</v>
      </c>
      <c r="V16" s="215">
        <v>52</v>
      </c>
      <c r="W16" s="215">
        <v>52</v>
      </c>
      <c r="X16" s="160">
        <f>+IF(H16="l",IF(COUNTA(M15:W15)=AN17+0.25,AB15-K15*AN17,AB15-(K15*COUNTA(M15:W15))),IF(H16="s",0,IF(COUNTA(M15:W15)=AN17+0.25,SUMIF($C:$C,B15,$AB:$AB)-K15*AN17,SUMIF($C:$C,B15,$AB:$AB)-K15*COUNTA(M15:W15))))</f>
        <v>-12</v>
      </c>
      <c r="Y16" s="440"/>
      <c r="Z16" s="400"/>
      <c r="AA16" s="541"/>
      <c r="AB16" s="443">
        <f t="shared" si="6"/>
        <v>556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589">
        <f t="shared" si="3"/>
        <v>0</v>
      </c>
      <c r="AL16" s="589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0</v>
      </c>
      <c r="AP16" s="167">
        <f>+AO16-AB16</f>
        <v>-556</v>
      </c>
      <c r="AQ16" s="167"/>
      <c r="AR16" s="167"/>
      <c r="AS16" s="167"/>
      <c r="AT16" s="434"/>
      <c r="AU16" s="393"/>
      <c r="AW16" s="356"/>
      <c r="AY16" s="356"/>
    </row>
    <row r="17" spans="2:51" s="98" customFormat="1" ht="62.25" customHeight="1" thickBot="1" x14ac:dyDescent="0.95">
      <c r="B17" s="126">
        <f>+B15</f>
        <v>3</v>
      </c>
      <c r="C17" s="375"/>
      <c r="D17" s="174" t="s">
        <v>423</v>
      </c>
      <c r="E17" s="175">
        <f>+E16+100</f>
        <v>103</v>
      </c>
      <c r="F17" s="175"/>
      <c r="G17" s="579" t="str">
        <f>+G14</f>
        <v>7740-876-052</v>
      </c>
      <c r="H17" s="454">
        <f>+AC14-H15</f>
        <v>-3561</v>
      </c>
      <c r="I17" s="397"/>
      <c r="J17" s="165">
        <f>+IF(K17="","",IF(K15=0,"",(K15*J15)/(K17*60)))</f>
        <v>0.86326190476190479</v>
      </c>
      <c r="K17" s="118">
        <v>56</v>
      </c>
      <c r="L17" s="104" t="s">
        <v>19</v>
      </c>
      <c r="M17" s="427">
        <v>1</v>
      </c>
      <c r="N17" s="427">
        <v>1</v>
      </c>
      <c r="O17" s="427">
        <v>1</v>
      </c>
      <c r="P17" s="427">
        <v>1</v>
      </c>
      <c r="Q17" s="427">
        <v>1</v>
      </c>
      <c r="R17" s="427">
        <v>1</v>
      </c>
      <c r="S17" s="427">
        <v>1</v>
      </c>
      <c r="T17" s="427">
        <v>1</v>
      </c>
      <c r="U17" s="427">
        <v>1</v>
      </c>
      <c r="V17" s="427">
        <v>1</v>
      </c>
      <c r="W17" s="427">
        <v>1</v>
      </c>
      <c r="X17" s="173"/>
      <c r="Y17" s="441"/>
      <c r="Z17" s="401">
        <v>37.057412587412585</v>
      </c>
      <c r="AA17" s="401">
        <v>37.057412587412585</v>
      </c>
      <c r="AB17" s="444">
        <f t="shared" si="6"/>
        <v>10.75</v>
      </c>
      <c r="AC17" s="139"/>
      <c r="AD17" s="139"/>
      <c r="AE17" s="441"/>
      <c r="AF17" s="441"/>
      <c r="AG17" s="119">
        <f>+IFERROR(AG15/(K15*$AT$3),"")</f>
        <v>1.4373626373626374</v>
      </c>
      <c r="AH17" s="162"/>
      <c r="AI17" s="161"/>
      <c r="AJ17" s="161">
        <f t="shared" si="2"/>
        <v>0</v>
      </c>
      <c r="AK17" s="589">
        <f t="shared" si="3"/>
        <v>0</v>
      </c>
      <c r="AL17" s="589"/>
      <c r="AM17" s="230"/>
      <c r="AN17" s="342">
        <v>10.75</v>
      </c>
      <c r="AO17" s="340">
        <f>+IF(AN17=7.75,SUM(M17:S17)+T17*0.75,IF(AN17=8,SUM(M17:T17),IF(AN17=7.25,SUM(M17:S17)+T17*0.25,IF(AN17=8.25,SUM(M17:T17)+U17*0.25,IF(AN17=8.75,SUM(M17:T17)+U17*0.75,0)))))</f>
        <v>0</v>
      </c>
      <c r="AP17" s="167">
        <f>+AO17-AB17</f>
        <v>-10.75</v>
      </c>
      <c r="AQ17" s="167"/>
      <c r="AR17" s="167"/>
      <c r="AS17" s="167"/>
      <c r="AT17" s="435"/>
      <c r="AU17" s="393"/>
      <c r="AW17" s="356">
        <v>1.4857142857142858</v>
      </c>
      <c r="AY17" s="356"/>
    </row>
    <row r="18" spans="2:51" s="98" customFormat="1" ht="62.25" customHeight="1" thickTop="1" x14ac:dyDescent="0.9">
      <c r="B18" s="97">
        <f>+B19</f>
        <v>4</v>
      </c>
      <c r="C18" s="370"/>
      <c r="D18" s="106"/>
      <c r="E18" s="106"/>
      <c r="F18" s="106"/>
      <c r="G18" s="582" t="s">
        <v>431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135" t="str">
        <f t="shared" si="0"/>
        <v/>
      </c>
      <c r="Y18" s="438"/>
      <c r="Z18" s="400">
        <v>0</v>
      </c>
      <c r="AA18" s="540">
        <f>+X20</f>
        <v>0</v>
      </c>
      <c r="AB18" s="135">
        <f t="shared" si="1"/>
        <v>0</v>
      </c>
      <c r="AC18" s="136">
        <f>+AD18+AB18</f>
        <v>9585</v>
      </c>
      <c r="AD18" s="136">
        <v>9585</v>
      </c>
      <c r="AE18" s="438"/>
      <c r="AF18" s="438"/>
      <c r="AG18" s="109"/>
      <c r="AH18" s="110"/>
      <c r="AI18" s="157"/>
      <c r="AJ18" s="161">
        <f t="shared" si="2"/>
        <v>0</v>
      </c>
      <c r="AK18" s="589">
        <f t="shared" si="3"/>
        <v>0</v>
      </c>
      <c r="AL18" s="589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51" s="98" customFormat="1" ht="62.25" customHeight="1" x14ac:dyDescent="0.9">
      <c r="B19" s="132">
        <v>4</v>
      </c>
      <c r="C19" s="371">
        <f>+B19</f>
        <v>4</v>
      </c>
      <c r="D19" s="372" t="s">
        <v>430</v>
      </c>
      <c r="E19" s="111"/>
      <c r="F19" s="111" t="s">
        <v>35</v>
      </c>
      <c r="G19" s="582" t="str">
        <f>+G18</f>
        <v xml:space="preserve">2878-556-700 </v>
      </c>
      <c r="H19" s="450">
        <v>9585</v>
      </c>
      <c r="I19" s="111" t="s">
        <v>251</v>
      </c>
      <c r="J19" s="113">
        <v>36.65</v>
      </c>
      <c r="K19" s="130">
        <v>75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424"/>
      <c r="X19" s="123">
        <f>+IF(H20="s",0,IF(AB19=0,0,IF(COUNTA(M19:W19)=AN21+0.25,SUMIF($C:$C,B19,$AB:$AB)/AN21,SUMIF($C:$C,B19,$AB:$AB)/(COUNTA(M19:W19)))))</f>
        <v>0</v>
      </c>
      <c r="Y19" s="439"/>
      <c r="Z19" s="400"/>
      <c r="AA19" s="541"/>
      <c r="AB19" s="134">
        <f t="shared" si="1"/>
        <v>0</v>
      </c>
      <c r="AC19" s="137">
        <f>+AB19+AD19</f>
        <v>9549</v>
      </c>
      <c r="AD19" s="137">
        <v>9549</v>
      </c>
      <c r="AE19" s="439">
        <v>0</v>
      </c>
      <c r="AF19" s="439">
        <f>+AE19+Y19</f>
        <v>0</v>
      </c>
      <c r="AG19" s="140">
        <f>+AC18-AC19</f>
        <v>36</v>
      </c>
      <c r="AH19" s="131" t="str">
        <f>+IF(((AB20+(AB21/2))*60)=0,"",(J19*AB19)/((AB20+(AB21/2))*60))</f>
        <v/>
      </c>
      <c r="AI19" s="161">
        <f>+AB20+AB21/2</f>
        <v>0</v>
      </c>
      <c r="AJ19" s="161">
        <f t="shared" si="2"/>
        <v>0</v>
      </c>
      <c r="AK19" s="589">
        <f t="shared" si="3"/>
        <v>0</v>
      </c>
      <c r="AL19" s="589">
        <f>+AB19*J19</f>
        <v>0</v>
      </c>
      <c r="AM19" s="230">
        <f>+AB19-(AI19*K19/K21)</f>
        <v>0</v>
      </c>
      <c r="AN19" s="339"/>
      <c r="AO19" s="340"/>
      <c r="AP19" s="167"/>
      <c r="AQ19" s="167"/>
      <c r="AR19" s="167"/>
      <c r="AS19" s="167"/>
      <c r="AT19" s="433" t="str">
        <f t="shared" ref="AT19" si="8">IF(AU19=0,"",AW19-(($AT$3*K19)+($AT$3*K19)*AU19)+AB18)</f>
        <v/>
      </c>
      <c r="AU19" s="393"/>
      <c r="AW19" s="356">
        <v>36</v>
      </c>
      <c r="AY19" s="356">
        <f t="shared" ref="AY19" si="9">+AW19-AG19</f>
        <v>0</v>
      </c>
    </row>
    <row r="20" spans="2:51" s="98" customFormat="1" ht="62.25" customHeight="1" x14ac:dyDescent="0.9">
      <c r="B20" s="125">
        <f>+B19</f>
        <v>4</v>
      </c>
      <c r="C20" s="373"/>
      <c r="D20" s="184"/>
      <c r="E20" s="111">
        <f>+B19</f>
        <v>4</v>
      </c>
      <c r="F20" s="374"/>
      <c r="G20" s="582" t="str">
        <f>+G19</f>
        <v xml:space="preserve">2878-556-700 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25"/>
      <c r="N20" s="425"/>
      <c r="O20" s="425"/>
      <c r="P20" s="425"/>
      <c r="Q20" s="425"/>
      <c r="R20" s="425"/>
      <c r="S20" s="425"/>
      <c r="T20" s="425"/>
      <c r="U20" s="425"/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0</v>
      </c>
      <c r="Y20" s="440"/>
      <c r="Z20" s="400"/>
      <c r="AA20" s="541"/>
      <c r="AB20" s="443">
        <f t="shared" si="6"/>
        <v>0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589">
        <f t="shared" si="3"/>
        <v>0</v>
      </c>
      <c r="AL20" s="589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51" s="98" customFormat="1" ht="62.25" customHeight="1" thickBot="1" x14ac:dyDescent="0.95">
      <c r="B21" s="126">
        <f>+B19</f>
        <v>4</v>
      </c>
      <c r="C21" s="375"/>
      <c r="D21" s="174" t="s">
        <v>445</v>
      </c>
      <c r="E21" s="175">
        <f>+E20+100</f>
        <v>104</v>
      </c>
      <c r="F21" s="175"/>
      <c r="G21" s="582" t="str">
        <f>+G20</f>
        <v xml:space="preserve">2878-556-700 </v>
      </c>
      <c r="H21" s="454">
        <f>+AC18-H19</f>
        <v>0</v>
      </c>
      <c r="I21" s="397"/>
      <c r="J21" s="165">
        <f>+IF(K21="","",IF(K19=0,"",(K19*J19)/(K21*60)))</f>
        <v>0.91625000000000001</v>
      </c>
      <c r="K21" s="118">
        <v>50</v>
      </c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8"/>
      <c r="W21" s="428"/>
      <c r="X21" s="173"/>
      <c r="Y21" s="441"/>
      <c r="Z21" s="401">
        <v>29.116666666666667</v>
      </c>
      <c r="AA21" s="169">
        <v>29.116666666666667</v>
      </c>
      <c r="AB21" s="444">
        <f t="shared" si="6"/>
        <v>0</v>
      </c>
      <c r="AC21" s="139"/>
      <c r="AD21" s="139"/>
      <c r="AE21" s="441"/>
      <c r="AF21" s="441"/>
      <c r="AG21" s="119">
        <f>+IFERROR(AG19/(K19*$AT$3),"")</f>
        <v>5.4857142857142854E-2</v>
      </c>
      <c r="AH21" s="162"/>
      <c r="AI21" s="161"/>
      <c r="AJ21" s="161">
        <f t="shared" si="2"/>
        <v>0</v>
      </c>
      <c r="AK21" s="589">
        <f t="shared" si="3"/>
        <v>0</v>
      </c>
      <c r="AL21" s="589"/>
      <c r="AM21" s="230"/>
      <c r="AN21" s="342">
        <f>+$AM$4</f>
        <v>8.75</v>
      </c>
      <c r="AO21" s="340">
        <f>+IF(AN21=7.75,SUM(N21:S21)+T21*0.75,IF(AN21=8,SUM(N21:T21),IF(AN21=7.25,SUM(N21:S21)+T21*0.25,IF(AN21=8.25,SUM(N21:T21)+U21*0.25,IF(AN21=8.75,SUM(N21:T21)+U21*0.75,0)))))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5.4857142857142854E-2</v>
      </c>
      <c r="AY21" s="356"/>
    </row>
    <row r="22" spans="2:5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77" t="s">
        <v>472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100</v>
      </c>
      <c r="N22" s="423">
        <v>50</v>
      </c>
      <c r="O22" s="423">
        <v>50</v>
      </c>
      <c r="P22" s="423">
        <v>50</v>
      </c>
      <c r="Q22" s="423">
        <v>50</v>
      </c>
      <c r="R22" s="423">
        <v>100</v>
      </c>
      <c r="S22" s="423">
        <v>50</v>
      </c>
      <c r="T22" s="423"/>
      <c r="U22" s="423"/>
      <c r="V22" s="423"/>
      <c r="W22" s="423"/>
      <c r="X22" s="135">
        <f t="shared" si="0"/>
        <v>450</v>
      </c>
      <c r="Y22" s="438"/>
      <c r="Z22" s="400">
        <v>-114</v>
      </c>
      <c r="AA22" s="540">
        <f>+X24</f>
        <v>-105</v>
      </c>
      <c r="AB22" s="135">
        <f t="shared" si="1"/>
        <v>450</v>
      </c>
      <c r="AC22" s="136">
        <f>+AD22+AB22</f>
        <v>2551</v>
      </c>
      <c r="AD22" s="136">
        <v>2101</v>
      </c>
      <c r="AE22" s="438"/>
      <c r="AF22" s="438"/>
      <c r="AG22" s="109"/>
      <c r="AH22" s="110"/>
      <c r="AI22" s="157"/>
      <c r="AJ22" s="161">
        <f t="shared" si="2"/>
        <v>0</v>
      </c>
      <c r="AK22" s="589">
        <f t="shared" si="3"/>
        <v>0</v>
      </c>
      <c r="AL22" s="589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51" s="98" customFormat="1" ht="62.25" customHeight="1" x14ac:dyDescent="0.9">
      <c r="B23" s="132">
        <v>4</v>
      </c>
      <c r="C23" s="371">
        <f>+B23</f>
        <v>4</v>
      </c>
      <c r="D23" s="372" t="s">
        <v>473</v>
      </c>
      <c r="E23" s="111"/>
      <c r="F23" s="111" t="s">
        <v>35</v>
      </c>
      <c r="G23" s="578" t="s">
        <v>472</v>
      </c>
      <c r="H23" s="450">
        <v>8333</v>
      </c>
      <c r="I23" s="111" t="s">
        <v>251</v>
      </c>
      <c r="J23" s="113">
        <v>34.549999999999997</v>
      </c>
      <c r="K23" s="130">
        <v>60</v>
      </c>
      <c r="L23" s="101" t="s">
        <v>17</v>
      </c>
      <c r="M23" s="214">
        <v>30</v>
      </c>
      <c r="N23" s="214">
        <v>40</v>
      </c>
      <c r="O23" s="214">
        <v>30</v>
      </c>
      <c r="P23" s="214">
        <v>40</v>
      </c>
      <c r="Q23" s="214">
        <v>60</v>
      </c>
      <c r="R23" s="214">
        <v>60</v>
      </c>
      <c r="S23" s="214">
        <v>60</v>
      </c>
      <c r="T23" s="214">
        <v>60</v>
      </c>
      <c r="U23" s="214">
        <v>40</v>
      </c>
      <c r="V23" s="214"/>
      <c r="W23" s="424"/>
      <c r="X23" s="123">
        <f>+IF(H24="s",0,IF(AB23=0,0,IF(COUNTA(M23:W23)=AN25+0.25,SUMIF($C:$C,B23,$AB:$AB)/AN25,SUMIF($C:$C,B23,$AB:$AB)/(COUNTA(M23:W23)))))</f>
        <v>48</v>
      </c>
      <c r="Y23" s="439"/>
      <c r="Z23" s="400"/>
      <c r="AA23" s="541"/>
      <c r="AB23" s="134">
        <f t="shared" si="1"/>
        <v>420</v>
      </c>
      <c r="AC23" s="137">
        <f>+AB23+AD23</f>
        <v>1639</v>
      </c>
      <c r="AD23" s="137">
        <v>1219</v>
      </c>
      <c r="AE23" s="439">
        <v>0</v>
      </c>
      <c r="AF23" s="439">
        <f>+AE23+Y23</f>
        <v>0</v>
      </c>
      <c r="AG23" s="140">
        <f>+AC22-AC23</f>
        <v>912</v>
      </c>
      <c r="AH23" s="131">
        <f>+IF(((AB24+(AB25/2))*60)=0,"",(J23*AB23)/((AB24+(AB25/2))*60))</f>
        <v>0.67983134223471531</v>
      </c>
      <c r="AI23" s="161">
        <f>+AB24+AB25/2</f>
        <v>355.75</v>
      </c>
      <c r="AJ23" s="161">
        <f t="shared" si="2"/>
        <v>355.45</v>
      </c>
      <c r="AK23" s="589">
        <f t="shared" si="3"/>
        <v>21345</v>
      </c>
      <c r="AL23" s="589">
        <f>+AB23*J23</f>
        <v>14510.999999999998</v>
      </c>
      <c r="AM23" s="230">
        <f>+AB23-(AI23*K23/K25)</f>
        <v>-113.625</v>
      </c>
      <c r="AN23" s="339"/>
      <c r="AO23" s="340"/>
      <c r="AP23" s="167"/>
      <c r="AQ23" s="167"/>
      <c r="AR23" s="167"/>
      <c r="AS23" s="167"/>
      <c r="AT23" s="433">
        <f t="shared" ref="AT23" si="10">IF(AU23=0,"",AW23-(($AT$3*K23)+($AT$3*K23)*AU23)+AB22)</f>
        <v>19.5</v>
      </c>
      <c r="AU23" s="393">
        <v>1.5</v>
      </c>
      <c r="AW23" s="356">
        <v>882</v>
      </c>
      <c r="AY23" s="356">
        <f t="shared" ref="AY23" si="11">+AW23-AG23</f>
        <v>-30</v>
      </c>
    </row>
    <row r="24" spans="2:5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78" t="s">
        <v>472</v>
      </c>
      <c r="H24" s="376" t="s">
        <v>400</v>
      </c>
      <c r="I24" s="113">
        <f>+IFERROR(IF(K25=0,0,IF((LOOKUP(2,1/(M24:W24&lt;&gt;""),M24:W24)-K25)&lt;0,0,IF(K25=0,"",LOOKUP(2,1/(M24:W24&lt;&gt;""),M24:W24)-K25))),0)</f>
        <v>1</v>
      </c>
      <c r="J24" s="113"/>
      <c r="K24" s="114" t="s">
        <v>22</v>
      </c>
      <c r="L24" s="102" t="s">
        <v>18</v>
      </c>
      <c r="M24" s="425">
        <v>38</v>
      </c>
      <c r="N24" s="425">
        <v>41</v>
      </c>
      <c r="O24" s="425">
        <v>41</v>
      </c>
      <c r="P24" s="425">
        <v>41</v>
      </c>
      <c r="Q24" s="425">
        <v>41</v>
      </c>
      <c r="R24" s="425">
        <v>41</v>
      </c>
      <c r="S24" s="425">
        <v>41</v>
      </c>
      <c r="T24" s="425">
        <v>41</v>
      </c>
      <c r="U24" s="425">
        <v>41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-105</v>
      </c>
      <c r="Y24" s="440"/>
      <c r="Z24" s="400"/>
      <c r="AA24" s="541"/>
      <c r="AB24" s="443">
        <f t="shared" si="6"/>
        <v>355.75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589">
        <f t="shared" si="3"/>
        <v>0</v>
      </c>
      <c r="AL24" s="589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355.75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5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79" t="s">
        <v>472</v>
      </c>
      <c r="H25" s="454">
        <f>+AC22-H23</f>
        <v>-5782</v>
      </c>
      <c r="I25" s="397"/>
      <c r="J25" s="165">
        <f>+IF(K25="","",IF(K23=0,"",(K23*J23)/(K25*60)))</f>
        <v>0.86375000000000002</v>
      </c>
      <c r="K25" s="118">
        <v>40</v>
      </c>
      <c r="L25" s="104" t="s">
        <v>19</v>
      </c>
      <c r="M25" s="427"/>
      <c r="N25" s="427"/>
      <c r="O25" s="427"/>
      <c r="P25" s="427"/>
      <c r="Q25" s="427"/>
      <c r="R25" s="427"/>
      <c r="S25" s="427"/>
      <c r="T25" s="427"/>
      <c r="U25" s="427"/>
      <c r="V25" s="428"/>
      <c r="W25" s="428"/>
      <c r="X25" s="173"/>
      <c r="Y25" s="441"/>
      <c r="Z25" s="401">
        <v>20.490000000000002</v>
      </c>
      <c r="AA25" s="168">
        <f>+IF(COUNTA(M23:W23)=$AM$4+0.25,$AM$4-(AB23/K23),COUNTA(M23:W23)-(AB23/K23))+Z25</f>
        <v>22.240000000000002</v>
      </c>
      <c r="AB25" s="444">
        <f t="shared" si="6"/>
        <v>0</v>
      </c>
      <c r="AC25" s="139"/>
      <c r="AD25" s="139"/>
      <c r="AE25" s="441"/>
      <c r="AF25" s="441"/>
      <c r="AG25" s="119">
        <f>+IFERROR(AG23/(K23*$AT$3),"")</f>
        <v>1.7371428571428571</v>
      </c>
      <c r="AH25" s="162"/>
      <c r="AI25" s="161"/>
      <c r="AJ25" s="161">
        <f t="shared" si="2"/>
        <v>0</v>
      </c>
      <c r="AK25" s="589">
        <f t="shared" si="3"/>
        <v>0</v>
      </c>
      <c r="AL25" s="589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0</v>
      </c>
      <c r="AP25" s="167">
        <f>+AO25-AB25</f>
        <v>0</v>
      </c>
      <c r="AQ25" s="167"/>
      <c r="AR25" s="167"/>
      <c r="AS25" s="167"/>
      <c r="AT25" s="435"/>
      <c r="AU25" s="393"/>
      <c r="AW25" s="356">
        <v>1.68</v>
      </c>
      <c r="AY25" s="356"/>
    </row>
    <row r="26" spans="2:5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77" t="s">
        <v>472</v>
      </c>
      <c r="H26" s="106"/>
      <c r="I26" s="111"/>
      <c r="J26" s="107" t="s">
        <v>20</v>
      </c>
      <c r="K26" s="108" t="s">
        <v>23</v>
      </c>
      <c r="L26" s="100" t="s">
        <v>21</v>
      </c>
      <c r="M26" s="423">
        <v>50</v>
      </c>
      <c r="N26" s="423">
        <v>100</v>
      </c>
      <c r="O26" s="423">
        <v>50</v>
      </c>
      <c r="P26" s="423"/>
      <c r="Q26" s="423">
        <v>50</v>
      </c>
      <c r="R26" s="423">
        <v>50</v>
      </c>
      <c r="S26" s="423"/>
      <c r="T26" s="423"/>
      <c r="U26" s="423"/>
      <c r="V26" s="423"/>
      <c r="W26" s="423"/>
      <c r="X26" s="135">
        <f t="shared" ref="X26" si="12">IF(AT27="","",SUM(M26:W26)-(-(AT27-SUM(M26:W26))/$AT$3)*SUM($M$2:$W$2))</f>
        <v>300</v>
      </c>
      <c r="Y26" s="438"/>
      <c r="Z26" s="400">
        <v>-240</v>
      </c>
      <c r="AA26" s="540">
        <f>+X28</f>
        <v>-280</v>
      </c>
      <c r="AB26" s="135">
        <f t="shared" ref="AB26:AB27" si="13">+SUM(L26:W26)</f>
        <v>300</v>
      </c>
      <c r="AC26" s="136">
        <f>+AD26+AB26</f>
        <v>1350</v>
      </c>
      <c r="AD26" s="136">
        <v>1050</v>
      </c>
      <c r="AE26" s="438"/>
      <c r="AF26" s="438"/>
      <c r="AG26" s="109"/>
      <c r="AH26" s="110"/>
      <c r="AI26" s="157"/>
      <c r="AJ26" s="161">
        <f t="shared" si="2"/>
        <v>0</v>
      </c>
      <c r="AK26" s="589">
        <f t="shared" si="3"/>
        <v>0</v>
      </c>
      <c r="AL26" s="589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51" s="98" customFormat="1" ht="62.25" customHeight="1" x14ac:dyDescent="0.9">
      <c r="B27" s="132">
        <v>5</v>
      </c>
      <c r="C27" s="371">
        <f>+B27</f>
        <v>5</v>
      </c>
      <c r="D27" s="372" t="s">
        <v>473</v>
      </c>
      <c r="E27" s="111"/>
      <c r="F27" s="111" t="s">
        <v>35</v>
      </c>
      <c r="G27" s="578" t="str">
        <f>+G26</f>
        <v>7674-739-401</v>
      </c>
      <c r="H27" s="450">
        <v>8333</v>
      </c>
      <c r="I27" s="111" t="s">
        <v>251</v>
      </c>
      <c r="J27" s="113">
        <v>34.549999999999997</v>
      </c>
      <c r="K27" s="130">
        <v>60</v>
      </c>
      <c r="L27" s="101" t="s">
        <v>17</v>
      </c>
      <c r="M27" s="214">
        <v>40</v>
      </c>
      <c r="N27" s="214">
        <v>35</v>
      </c>
      <c r="O27" s="214">
        <v>30</v>
      </c>
      <c r="P27" s="214">
        <v>30</v>
      </c>
      <c r="Q27" s="214">
        <v>30</v>
      </c>
      <c r="R27" s="214">
        <v>30</v>
      </c>
      <c r="S27" s="214">
        <v>25</v>
      </c>
      <c r="T27" s="214">
        <v>15</v>
      </c>
      <c r="U27" s="214">
        <v>10</v>
      </c>
      <c r="V27" s="214"/>
      <c r="W27" s="424"/>
      <c r="X27" s="123">
        <f>+IF(H28="s",0,IF(AB27=0,0,IF(COUNTA(M27:W27)=AN29+0.25,SUMIF($C:$C,B27,$AB:$AB)/AN29,SUMIF($C:$C,B27,$AB:$AB)/(COUNTA(M27:W27)))))</f>
        <v>28</v>
      </c>
      <c r="Y27" s="439"/>
      <c r="Z27" s="400"/>
      <c r="AA27" s="541"/>
      <c r="AB27" s="134">
        <f t="shared" si="13"/>
        <v>245</v>
      </c>
      <c r="AC27" s="137">
        <f>+AB27+AD27</f>
        <v>245</v>
      </c>
      <c r="AD27" s="137">
        <v>0</v>
      </c>
      <c r="AE27" s="439">
        <v>0</v>
      </c>
      <c r="AF27" s="439">
        <f>+AE27+Y27</f>
        <v>0</v>
      </c>
      <c r="AG27" s="140">
        <f>+AC26-AC27</f>
        <v>1105</v>
      </c>
      <c r="AH27" s="131">
        <f>+IF(((AB28+(AB29/2))*60)=0,"",(J27*AB27)/((AB28+(AB29/2))*60))</f>
        <v>0.40423829990448901</v>
      </c>
      <c r="AI27" s="161">
        <f>+AB28+AB29/2</f>
        <v>349</v>
      </c>
      <c r="AJ27" s="161">
        <f t="shared" si="2"/>
        <v>349</v>
      </c>
      <c r="AK27" s="589">
        <f t="shared" si="3"/>
        <v>20940</v>
      </c>
      <c r="AL27" s="589">
        <f>+AB27*J27</f>
        <v>8464.75</v>
      </c>
      <c r="AM27" s="230">
        <f>+AB27-(AI27*K27/K29)</f>
        <v>-278.5</v>
      </c>
      <c r="AN27" s="339"/>
      <c r="AO27" s="340"/>
      <c r="AP27" s="167"/>
      <c r="AQ27" s="167"/>
      <c r="AR27" s="167"/>
      <c r="AS27" s="167"/>
      <c r="AT27" s="433">
        <f t="shared" ref="AT27" si="14">IF(AU27=0,"",AW27-(($AT$3*K27)+($AT$3*K27)*AU27)+AB26)</f>
        <v>37.5</v>
      </c>
      <c r="AU27" s="393">
        <v>1.5</v>
      </c>
      <c r="AW27" s="356">
        <v>1050</v>
      </c>
      <c r="AY27" s="356">
        <f t="shared" ref="AY27" si="15">+AW27-AG27</f>
        <v>-55</v>
      </c>
    </row>
    <row r="28" spans="2:5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78" t="str">
        <f>+G26</f>
        <v>7674-739-401</v>
      </c>
      <c r="H28" s="376" t="s">
        <v>400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39</v>
      </c>
      <c r="N28" s="425">
        <v>40</v>
      </c>
      <c r="O28" s="425">
        <v>40</v>
      </c>
      <c r="P28" s="425">
        <v>40</v>
      </c>
      <c r="Q28" s="425">
        <v>40</v>
      </c>
      <c r="R28" s="425">
        <v>40</v>
      </c>
      <c r="S28" s="425">
        <v>40</v>
      </c>
      <c r="T28" s="425">
        <v>40</v>
      </c>
      <c r="U28" s="425">
        <v>40</v>
      </c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-280</v>
      </c>
      <c r="Y28" s="440"/>
      <c r="Z28" s="400"/>
      <c r="AA28" s="541"/>
      <c r="AB28" s="443">
        <f t="shared" ref="AB28:AB29" si="16">+SUM(M28:W28)-U28*0.25</f>
        <v>349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589">
        <f t="shared" si="3"/>
        <v>0</v>
      </c>
      <c r="AL28" s="589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349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5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79" t="str">
        <f>+G26</f>
        <v>7674-739-401</v>
      </c>
      <c r="H29" s="454">
        <f>+AC26-H27</f>
        <v>-6983</v>
      </c>
      <c r="I29" s="397" t="s">
        <v>182</v>
      </c>
      <c r="J29" s="165">
        <f>+IF(K29="","",IF(K27=0,"",(K27*J27)/(K29*60)))</f>
        <v>0.86375000000000002</v>
      </c>
      <c r="K29" s="118">
        <v>40</v>
      </c>
      <c r="L29" s="104" t="s">
        <v>19</v>
      </c>
      <c r="M29" s="427"/>
      <c r="N29" s="427"/>
      <c r="O29" s="427"/>
      <c r="P29" s="427"/>
      <c r="Q29" s="427"/>
      <c r="R29" s="427"/>
      <c r="S29" s="427"/>
      <c r="T29" s="427"/>
      <c r="U29" s="427"/>
      <c r="V29" s="428"/>
      <c r="W29" s="428"/>
      <c r="X29" s="173"/>
      <c r="Y29" s="441"/>
      <c r="Z29" s="401">
        <v>3.9051999999999998</v>
      </c>
      <c r="AA29" s="168">
        <f>+IF(COUNTA(M27:W27)=$AM$4+0.25,$AM$4-(AB27/K27),COUNTA(M27:W27)-(AB27/K27))+Z29</f>
        <v>8.5718666666666667</v>
      </c>
      <c r="AB29" s="444">
        <f t="shared" si="16"/>
        <v>0</v>
      </c>
      <c r="AC29" s="139"/>
      <c r="AD29" s="139"/>
      <c r="AE29" s="441"/>
      <c r="AF29" s="441"/>
      <c r="AG29" s="119">
        <f>+IFERROR(AG27/(K27*$AT$3),"")</f>
        <v>2.1047619047619048</v>
      </c>
      <c r="AH29" s="162"/>
      <c r="AI29" s="161"/>
      <c r="AJ29" s="161">
        <f t="shared" si="2"/>
        <v>0</v>
      </c>
      <c r="AK29" s="589">
        <f t="shared" si="3"/>
        <v>0</v>
      </c>
      <c r="AL29" s="589"/>
      <c r="AM29" s="230"/>
      <c r="AN29" s="342">
        <f>+$AM$4</f>
        <v>8.75</v>
      </c>
      <c r="AO29" s="340">
        <f>+IF(AN29=7.75,SUM(M29:S29)+T29*0.75,IF(AN29=8,SUM(M29:T29),IF(AN29=7.25,SUM(M29:S29)+T29*0.25,IF(AN29=8.25,SUM(M29:T29)+U29*0.25,IF(AN29=8.75,SUM(M29:T29)+U29*0.75,0)))))</f>
        <v>0</v>
      </c>
      <c r="AP29" s="167">
        <f>+AO29-AB29</f>
        <v>0</v>
      </c>
      <c r="AQ29" s="167"/>
      <c r="AR29" s="167"/>
      <c r="AS29" s="167"/>
      <c r="AT29" s="435"/>
      <c r="AU29" s="393"/>
      <c r="AW29" s="356">
        <v>2</v>
      </c>
      <c r="AY29" s="356"/>
    </row>
    <row r="30" spans="2:51" s="98" customFormat="1" ht="62.25" customHeight="1" thickTop="1" x14ac:dyDescent="0.9">
      <c r="B30" s="97">
        <f>+B31</f>
        <v>6</v>
      </c>
      <c r="C30" s="370"/>
      <c r="D30" s="106"/>
      <c r="E30" s="106"/>
      <c r="F30" s="106"/>
      <c r="G30" s="577" t="s">
        <v>444</v>
      </c>
      <c r="H30" s="106"/>
      <c r="I30" s="111"/>
      <c r="J30" s="107" t="s">
        <v>20</v>
      </c>
      <c r="K30" s="108">
        <v>0</v>
      </c>
      <c r="L30" s="100" t="s">
        <v>21</v>
      </c>
      <c r="M30" s="423">
        <v>50</v>
      </c>
      <c r="N30" s="423">
        <v>50</v>
      </c>
      <c r="O30" s="423">
        <v>50</v>
      </c>
      <c r="P30" s="423">
        <v>100</v>
      </c>
      <c r="Q30" s="423">
        <v>50</v>
      </c>
      <c r="R30" s="423"/>
      <c r="S30" s="423"/>
      <c r="T30" s="423"/>
      <c r="U30" s="423"/>
      <c r="V30" s="423"/>
      <c r="W30" s="423"/>
      <c r="X30" s="135">
        <f t="shared" si="0"/>
        <v>300</v>
      </c>
      <c r="Y30" s="438"/>
      <c r="Z30" s="400">
        <v>-67.25</v>
      </c>
      <c r="AA30" s="540">
        <f>+X32</f>
        <v>-72.25</v>
      </c>
      <c r="AB30" s="135">
        <f t="shared" si="1"/>
        <v>300</v>
      </c>
      <c r="AC30" s="136">
        <f>+AD30+AB30</f>
        <v>7001</v>
      </c>
      <c r="AD30" s="136">
        <v>6701</v>
      </c>
      <c r="AE30" s="438"/>
      <c r="AF30" s="438"/>
      <c r="AG30" s="109"/>
      <c r="AH30" s="110"/>
      <c r="AI30" s="157"/>
      <c r="AJ30" s="161"/>
      <c r="AK30" s="589"/>
      <c r="AL30" s="589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51" s="98" customFormat="1" ht="62.25" customHeight="1" x14ac:dyDescent="0.9">
      <c r="B31" s="132">
        <v>6</v>
      </c>
      <c r="C31" s="371">
        <f>+B31</f>
        <v>6</v>
      </c>
      <c r="D31" s="372" t="s">
        <v>443</v>
      </c>
      <c r="E31" s="111"/>
      <c r="F31" s="111" t="s">
        <v>35</v>
      </c>
      <c r="G31" s="578" t="str">
        <f t="shared" ref="G31:G37" si="17">+G30</f>
        <v>2917-496-712</v>
      </c>
      <c r="H31" s="450">
        <v>7000</v>
      </c>
      <c r="I31" s="111" t="s">
        <v>33</v>
      </c>
      <c r="J31" s="113"/>
      <c r="K31" s="130">
        <v>55</v>
      </c>
      <c r="L31" s="101" t="s">
        <v>17</v>
      </c>
      <c r="M31" s="214">
        <v>50</v>
      </c>
      <c r="N31" s="214">
        <v>50</v>
      </c>
      <c r="O31" s="214">
        <v>50</v>
      </c>
      <c r="P31" s="214">
        <v>54</v>
      </c>
      <c r="Q31" s="214">
        <v>35</v>
      </c>
      <c r="R31" s="214">
        <v>40</v>
      </c>
      <c r="S31" s="214">
        <v>50</v>
      </c>
      <c r="T31" s="214">
        <v>50</v>
      </c>
      <c r="U31" s="214">
        <v>30</v>
      </c>
      <c r="V31" s="424"/>
      <c r="W31" s="424"/>
      <c r="X31" s="123">
        <f>+IF(H32="s",0,IF(AB31=0,0,IF(COUNTA(M31:W31)=AN33+0.25,SUMIF($C:$C,B31,$AB:$AB)/AN33,SUMIF($C:$C,B31,$AB:$AB)/(COUNTA(M31:W31)))))</f>
        <v>46.74285714285714</v>
      </c>
      <c r="Y31" s="439"/>
      <c r="Z31" s="400"/>
      <c r="AA31" s="541"/>
      <c r="AB31" s="134">
        <f t="shared" si="1"/>
        <v>409</v>
      </c>
      <c r="AC31" s="137">
        <f>+AB31+AD31</f>
        <v>5839</v>
      </c>
      <c r="AD31" s="137">
        <v>5430</v>
      </c>
      <c r="AE31" s="439"/>
      <c r="AF31" s="439">
        <f>+AE31+Y31</f>
        <v>0</v>
      </c>
      <c r="AG31" s="140">
        <f>+AC30-AC31</f>
        <v>1162</v>
      </c>
      <c r="AH31" s="131" t="str">
        <f>+IF(((AB32+(AB33/2))*60)=0,"",(J31*AB31)/((AB32+(AB33/2))*60))</f>
        <v/>
      </c>
      <c r="AI31" s="161"/>
      <c r="AJ31" s="161"/>
      <c r="AK31" s="589"/>
      <c r="AL31" s="589"/>
      <c r="AM31" s="230"/>
      <c r="AN31" s="339"/>
      <c r="AO31" s="340"/>
      <c r="AP31" s="167"/>
      <c r="AQ31" s="167"/>
      <c r="AR31" s="167"/>
      <c r="AS31" s="167"/>
      <c r="AT31" s="433">
        <f>-300+AB30</f>
        <v>0</v>
      </c>
      <c r="AU31" s="393">
        <v>1.5</v>
      </c>
      <c r="AW31" s="356">
        <v>1271</v>
      </c>
      <c r="AY31" s="356">
        <f t="shared" ref="AY31" si="18">+AW31-AG31</f>
        <v>109</v>
      </c>
    </row>
    <row r="32" spans="2:51" s="98" customFormat="1" ht="62.25" customHeight="1" x14ac:dyDescent="0.9">
      <c r="B32" s="125">
        <f>B31</f>
        <v>6</v>
      </c>
      <c r="C32" s="373"/>
      <c r="D32" s="184"/>
      <c r="E32" s="111">
        <f>+B31</f>
        <v>6</v>
      </c>
      <c r="F32" s="374"/>
      <c r="G32" s="578" t="str">
        <f t="shared" si="17"/>
        <v>2917-496-712</v>
      </c>
      <c r="H32" s="376" t="s">
        <v>400</v>
      </c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215"/>
      <c r="N32" s="215"/>
      <c r="O32" s="215"/>
      <c r="P32" s="215"/>
      <c r="Q32" s="215"/>
      <c r="R32" s="215"/>
      <c r="S32" s="215"/>
      <c r="T32" s="215"/>
      <c r="U32" s="215"/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-72.25</v>
      </c>
      <c r="Y32" s="440"/>
      <c r="Z32" s="400"/>
      <c r="AA32" s="541"/>
      <c r="AB32" s="443">
        <f t="shared" si="6"/>
        <v>0</v>
      </c>
      <c r="AC32" s="341"/>
      <c r="AD32" s="341"/>
      <c r="AE32" s="440"/>
      <c r="AF32" s="440"/>
      <c r="AG32" s="115"/>
      <c r="AH32" s="116"/>
      <c r="AI32" s="157"/>
      <c r="AJ32" s="161"/>
      <c r="AK32" s="589"/>
      <c r="AL32" s="589"/>
      <c r="AM32" s="230"/>
      <c r="AN32" s="339"/>
      <c r="AO32" s="340"/>
      <c r="AP32" s="167"/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6</v>
      </c>
      <c r="C33" s="375"/>
      <c r="D33" s="174" t="s">
        <v>93</v>
      </c>
      <c r="E33" s="175">
        <f>+E32+100</f>
        <v>106</v>
      </c>
      <c r="F33" s="175"/>
      <c r="G33" s="579" t="str">
        <f t="shared" si="17"/>
        <v>2917-496-712</v>
      </c>
      <c r="H33" s="454">
        <f>+AC30-H31</f>
        <v>1</v>
      </c>
      <c r="I33" s="397"/>
      <c r="J33" s="165" t="str">
        <f>+IF(K33="","",IF(K31=0,"",(K31*J31)/(K33*60)))</f>
        <v/>
      </c>
      <c r="K33" s="118"/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>
        <v>68.483636363636364</v>
      </c>
      <c r="AA33" s="401">
        <v>68.483636363636364</v>
      </c>
      <c r="AB33" s="444">
        <f t="shared" si="6"/>
        <v>0</v>
      </c>
      <c r="AC33" s="139"/>
      <c r="AD33" s="139"/>
      <c r="AE33" s="441"/>
      <c r="AF33" s="441"/>
      <c r="AG33" s="119">
        <f>+IFERROR(AG31/(K31*$AT$3),"")</f>
        <v>2.4145454545454546</v>
      </c>
      <c r="AH33" s="162"/>
      <c r="AI33" s="161"/>
      <c r="AJ33" s="161"/>
      <c r="AK33" s="589"/>
      <c r="AL33" s="589"/>
      <c r="AM33" s="230"/>
      <c r="AN33" s="342">
        <f>+$AM$4</f>
        <v>8.75</v>
      </c>
      <c r="AO33" s="340"/>
      <c r="AP33" s="167"/>
      <c r="AQ33" s="167"/>
      <c r="AR33" s="167"/>
      <c r="AS33" s="167"/>
      <c r="AT33" s="435"/>
      <c r="AU33" s="393"/>
      <c r="AW33" s="356">
        <v>2.6410389610389609</v>
      </c>
      <c r="AY33" s="356"/>
    </row>
    <row r="34" spans="2:61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77" t="s">
        <v>485</v>
      </c>
      <c r="H34" s="106"/>
      <c r="I34" s="111"/>
      <c r="J34" s="107" t="s">
        <v>20</v>
      </c>
      <c r="K34" s="108">
        <v>0</v>
      </c>
      <c r="L34" s="100" t="s">
        <v>21</v>
      </c>
      <c r="M34" s="423"/>
      <c r="N34" s="423"/>
      <c r="O34" s="423"/>
      <c r="P34" s="423"/>
      <c r="Q34" s="423">
        <v>50</v>
      </c>
      <c r="R34" s="423">
        <v>100</v>
      </c>
      <c r="S34" s="423"/>
      <c r="T34" s="423"/>
      <c r="U34" s="423"/>
      <c r="V34" s="423"/>
      <c r="W34" s="423"/>
      <c r="X34" s="135">
        <f t="shared" ref="X34" si="19">IF(AT35="","",SUM(M34:W34)-(-(AT35-SUM(M34:W34))/$AT$3)*SUM($M$2:$W$2))</f>
        <v>150</v>
      </c>
      <c r="Y34" s="438"/>
      <c r="Z34" s="400">
        <v>-67.25</v>
      </c>
      <c r="AA34" s="540">
        <f>+X36</f>
        <v>0</v>
      </c>
      <c r="AB34" s="135">
        <f t="shared" ref="AB34:AB35" si="20">+SUM(L34:W34)</f>
        <v>150</v>
      </c>
      <c r="AC34" s="136">
        <f>+AD34+AB34</f>
        <v>150</v>
      </c>
      <c r="AD34" s="136"/>
      <c r="AE34" s="438"/>
      <c r="AF34" s="438"/>
      <c r="AG34" s="109"/>
      <c r="AH34" s="110"/>
      <c r="AI34" s="157"/>
      <c r="AJ34" s="161"/>
      <c r="AK34" s="589"/>
      <c r="AL34" s="589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0.9">
      <c r="B35" s="132">
        <v>6</v>
      </c>
      <c r="C35" s="371">
        <f>+B35</f>
        <v>6</v>
      </c>
      <c r="D35" s="372" t="s">
        <v>493</v>
      </c>
      <c r="E35" s="111"/>
      <c r="F35" s="111" t="s">
        <v>35</v>
      </c>
      <c r="G35" s="578" t="str">
        <f t="shared" si="17"/>
        <v>2869-588-505</v>
      </c>
      <c r="H35" s="450"/>
      <c r="I35" s="111" t="s">
        <v>33</v>
      </c>
      <c r="J35" s="113"/>
      <c r="K35" s="130"/>
      <c r="L35" s="101" t="s">
        <v>17</v>
      </c>
      <c r="M35" s="214"/>
      <c r="N35" s="214"/>
      <c r="O35" s="214"/>
      <c r="P35" s="214"/>
      <c r="Q35" s="214"/>
      <c r="R35" s="214"/>
      <c r="S35" s="214"/>
      <c r="T35" s="214"/>
      <c r="U35" s="214"/>
      <c r="V35" s="424"/>
      <c r="W35" s="424"/>
      <c r="X35" s="123">
        <f>+IF(H36="s",0,IF(AB35=0,0,IF(COUNTA(M35:W35)=AN37+0.25,SUMIF($C:$C,B35,$AB:$AB)/AN37,SUMIF($C:$C,B35,$AB:$AB)/(COUNTA(M35:W35)))))</f>
        <v>0</v>
      </c>
      <c r="Y35" s="439"/>
      <c r="Z35" s="400"/>
      <c r="AA35" s="541"/>
      <c r="AB35" s="134">
        <f t="shared" si="20"/>
        <v>0</v>
      </c>
      <c r="AC35" s="137">
        <f>+AB35+AD35</f>
        <v>0</v>
      </c>
      <c r="AD35" s="137"/>
      <c r="AE35" s="439"/>
      <c r="AF35" s="439">
        <f>+AE35+Y35</f>
        <v>0</v>
      </c>
      <c r="AG35" s="140">
        <f>+AC34-AC35</f>
        <v>150</v>
      </c>
      <c r="AH35" s="131" t="str">
        <f>+IF(((AB36+(AB37/2))*60)=0,"",(J35*AB35)/((AB36+(AB37/2))*60))</f>
        <v/>
      </c>
      <c r="AI35" s="161"/>
      <c r="AJ35" s="161"/>
      <c r="AK35" s="589"/>
      <c r="AL35" s="589"/>
      <c r="AM35" s="230"/>
      <c r="AN35" s="339"/>
      <c r="AO35" s="340"/>
      <c r="AP35" s="167"/>
      <c r="AQ35" s="167"/>
      <c r="AR35" s="167"/>
      <c r="AS35" s="167"/>
      <c r="AT35" s="433">
        <f>-150+AB34</f>
        <v>0</v>
      </c>
      <c r="AU35" s="393">
        <v>1.5</v>
      </c>
      <c r="AW35" s="356">
        <v>1271</v>
      </c>
      <c r="AY35" s="356">
        <f t="shared" ref="AY35" si="21">+AW35-AG35</f>
        <v>1121</v>
      </c>
    </row>
    <row r="36" spans="2:61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78" t="str">
        <f t="shared" si="17"/>
        <v>2869-588-505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0</v>
      </c>
      <c r="Y36" s="440"/>
      <c r="Z36" s="400"/>
      <c r="AA36" s="541"/>
      <c r="AB36" s="443">
        <f t="shared" ref="AB36:AB37" si="22">+SUM(M36:W36)-U36*0.25</f>
        <v>0</v>
      </c>
      <c r="AC36" s="341"/>
      <c r="AD36" s="341"/>
      <c r="AE36" s="440"/>
      <c r="AF36" s="440"/>
      <c r="AG36" s="115"/>
      <c r="AH36" s="116"/>
      <c r="AI36" s="157"/>
      <c r="AJ36" s="161"/>
      <c r="AK36" s="589"/>
      <c r="AL36" s="589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79" t="str">
        <f t="shared" si="17"/>
        <v>2869-588-505</v>
      </c>
      <c r="H37" s="454">
        <f>+AC34-H35</f>
        <v>150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/>
      <c r="AA37" s="401"/>
      <c r="AB37" s="444">
        <f t="shared" si="22"/>
        <v>0</v>
      </c>
      <c r="AC37" s="139"/>
      <c r="AD37" s="139"/>
      <c r="AE37" s="441"/>
      <c r="AF37" s="441"/>
      <c r="AG37" s="119" t="str">
        <f>+IFERROR(AG35/(K35*$AT$3),"")</f>
        <v/>
      </c>
      <c r="AH37" s="162"/>
      <c r="AI37" s="161"/>
      <c r="AJ37" s="161"/>
      <c r="AK37" s="589"/>
      <c r="AL37" s="589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2.6410389610389609</v>
      </c>
      <c r="AY37" s="356"/>
    </row>
    <row r="38" spans="2:61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77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/>
      <c r="P38" s="423">
        <v>50</v>
      </c>
      <c r="Q38" s="423"/>
      <c r="R38" s="423"/>
      <c r="S38" s="423"/>
      <c r="T38" s="423"/>
      <c r="U38" s="423"/>
      <c r="V38" s="423"/>
      <c r="W38" s="423"/>
      <c r="X38" s="135">
        <f t="shared" si="0"/>
        <v>150</v>
      </c>
      <c r="Y38" s="438"/>
      <c r="Z38" s="400">
        <v>-31</v>
      </c>
      <c r="AA38" s="540">
        <f>+X40</f>
        <v>-15</v>
      </c>
      <c r="AB38" s="135">
        <f t="shared" si="1"/>
        <v>150</v>
      </c>
      <c r="AC38" s="136">
        <f>+AD38+AB38</f>
        <v>5456</v>
      </c>
      <c r="AD38" s="136">
        <v>5306</v>
      </c>
      <c r="AE38" s="438"/>
      <c r="AF38" s="438"/>
      <c r="AG38" s="109"/>
      <c r="AH38" s="110"/>
      <c r="AI38" s="157"/>
      <c r="AJ38" s="161">
        <f t="shared" si="2"/>
        <v>0</v>
      </c>
      <c r="AK38" s="589">
        <f t="shared" si="3"/>
        <v>0</v>
      </c>
      <c r="AL38" s="589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78" t="str">
        <f>+G38</f>
        <v>2917-496-712</v>
      </c>
      <c r="H39" s="450">
        <v>5406</v>
      </c>
      <c r="I39" s="111" t="s">
        <v>33</v>
      </c>
      <c r="J39" s="113">
        <v>42.84</v>
      </c>
      <c r="K39" s="130">
        <v>60</v>
      </c>
      <c r="L39" s="101" t="s">
        <v>17</v>
      </c>
      <c r="M39" s="214">
        <v>60</v>
      </c>
      <c r="N39" s="214">
        <v>60</v>
      </c>
      <c r="O39" s="214">
        <v>60</v>
      </c>
      <c r="P39" s="214">
        <v>60</v>
      </c>
      <c r="Q39" s="214">
        <v>60</v>
      </c>
      <c r="R39" s="214">
        <v>60</v>
      </c>
      <c r="S39" s="214">
        <v>60</v>
      </c>
      <c r="T39" s="214">
        <v>60</v>
      </c>
      <c r="U39" s="214">
        <v>30</v>
      </c>
      <c r="V39" s="424"/>
      <c r="W39" s="424"/>
      <c r="X39" s="123">
        <f>+IF(H40="s",0,IF(AB39=0,0,IF(COUNTA(M39:W39)=AN41+0.25,SUMIF($C:$C,B39,$AB:$AB)/AN41,SUMIF($C:$C,B39,$AB:$AB)/(COUNTA(M39:W39)))))</f>
        <v>58.285714285714285</v>
      </c>
      <c r="Y39" s="439"/>
      <c r="Z39" s="400"/>
      <c r="AA39" s="541"/>
      <c r="AB39" s="134">
        <f t="shared" si="1"/>
        <v>510</v>
      </c>
      <c r="AC39" s="137">
        <f>+AB39+AD39</f>
        <v>5194</v>
      </c>
      <c r="AD39" s="137">
        <v>4684</v>
      </c>
      <c r="AE39" s="439">
        <v>0</v>
      </c>
      <c r="AF39" s="439">
        <f>+AE39+Y39</f>
        <v>0</v>
      </c>
      <c r="AG39" s="140">
        <f>+AC38-AC39</f>
        <v>262</v>
      </c>
      <c r="AH39" s="131">
        <f>+IF(((AB40+(AB41/2))*60)=0,"",(J39*AB39)/((AB40+(AB41/2))*60))</f>
        <v>0.842672837720567</v>
      </c>
      <c r="AI39" s="161">
        <f>+AB40+AB41/2</f>
        <v>432.125</v>
      </c>
      <c r="AJ39" s="161">
        <f t="shared" si="2"/>
        <v>432.07499999999999</v>
      </c>
      <c r="AK39" s="589">
        <f t="shared" si="3"/>
        <v>25927.5</v>
      </c>
      <c r="AL39" s="589">
        <f>+AB39*J39</f>
        <v>21848.400000000001</v>
      </c>
      <c r="AM39" s="230">
        <f>+AB39-(AI39*K39/K41)</f>
        <v>-19.13265306122446</v>
      </c>
      <c r="AN39" s="339"/>
      <c r="AO39" s="340"/>
      <c r="AP39" s="167"/>
      <c r="AQ39" s="167"/>
      <c r="AR39" s="167"/>
      <c r="AS39" s="167"/>
      <c r="AT39" s="433">
        <f>-100+AB38</f>
        <v>50</v>
      </c>
      <c r="AU39" s="393">
        <v>1.5</v>
      </c>
      <c r="AW39" s="356">
        <v>622</v>
      </c>
      <c r="AY39" s="356">
        <f t="shared" ref="AY39" si="23">+AW39-AG39</f>
        <v>360</v>
      </c>
      <c r="AZ39" s="581"/>
      <c r="BA39" s="581"/>
      <c r="BB39" s="581"/>
      <c r="BC39" s="581"/>
      <c r="BD39" s="581"/>
      <c r="BE39" s="581"/>
      <c r="BF39" s="581"/>
      <c r="BG39" s="581"/>
      <c r="BH39" s="581"/>
      <c r="BI39" s="581"/>
    </row>
    <row r="40" spans="2:61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78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48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-15</v>
      </c>
      <c r="Y40" s="440"/>
      <c r="Z40" s="400"/>
      <c r="AA40" s="541"/>
      <c r="AB40" s="443">
        <f t="shared" si="6"/>
        <v>427.75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589">
        <f t="shared" si="3"/>
        <v>0</v>
      </c>
      <c r="AL40" s="589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427.75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79" t="str">
        <f>+G38</f>
        <v>2917-496-712</v>
      </c>
      <c r="H41" s="454">
        <f>+AC38-H39</f>
        <v>50</v>
      </c>
      <c r="I41" s="397"/>
      <c r="J41" s="165">
        <f>+IF(K41="","",IF(K39=0,"",(K39*J39)/(K41*60)))</f>
        <v>0.87428571428571433</v>
      </c>
      <c r="K41" s="118">
        <v>49</v>
      </c>
      <c r="L41" s="104" t="s">
        <v>19</v>
      </c>
      <c r="M41" s="427">
        <v>1</v>
      </c>
      <c r="N41" s="427">
        <v>1</v>
      </c>
      <c r="O41" s="427">
        <v>1</v>
      </c>
      <c r="P41" s="427">
        <v>1</v>
      </c>
      <c r="Q41" s="427">
        <v>1</v>
      </c>
      <c r="R41" s="427">
        <v>1</v>
      </c>
      <c r="S41" s="427">
        <v>1</v>
      </c>
      <c r="T41" s="427">
        <v>1</v>
      </c>
      <c r="U41" s="427">
        <v>1</v>
      </c>
      <c r="V41" s="428"/>
      <c r="W41" s="428"/>
      <c r="X41" s="173"/>
      <c r="Y41" s="441"/>
      <c r="Z41" s="401">
        <v>32.78</v>
      </c>
      <c r="AA41" s="168">
        <f>+IF(COUNTA(M39:W39)=$AM$4+0.25,$AM$4-(AB39/K39),COUNTA(M39:W39)-(AB39/K39))+Z41</f>
        <v>33.03</v>
      </c>
      <c r="AB41" s="444">
        <f t="shared" si="6"/>
        <v>8.75</v>
      </c>
      <c r="AC41" s="139"/>
      <c r="AD41" s="139"/>
      <c r="AE41" s="441"/>
      <c r="AF41" s="441"/>
      <c r="AG41" s="119">
        <f>+IFERROR(AG39/(K39*$AT$3),"")</f>
        <v>0.49904761904761907</v>
      </c>
      <c r="AH41" s="162"/>
      <c r="AI41" s="161"/>
      <c r="AJ41" s="161">
        <f t="shared" si="2"/>
        <v>0</v>
      </c>
      <c r="AK41" s="589">
        <f t="shared" si="3"/>
        <v>0</v>
      </c>
      <c r="AL41" s="589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8.75</v>
      </c>
      <c r="AP41" s="167">
        <f>+AO41-AB41</f>
        <v>0</v>
      </c>
      <c r="AQ41" s="167"/>
      <c r="AR41" s="167"/>
      <c r="AS41" s="167"/>
      <c r="AT41" s="435"/>
      <c r="AU41" s="393"/>
      <c r="AW41" s="356">
        <v>1.1847619047619047</v>
      </c>
      <c r="AY41" s="356"/>
    </row>
    <row r="42" spans="2:61" s="98" customFormat="1" ht="62.25" customHeight="1" thickTop="1" x14ac:dyDescent="0.9">
      <c r="B42" s="97">
        <f>+B43</f>
        <v>7</v>
      </c>
      <c r="C42" s="370"/>
      <c r="D42" s="106"/>
      <c r="E42" s="106"/>
      <c r="F42" s="106"/>
      <c r="G42" s="577" t="s">
        <v>495</v>
      </c>
      <c r="H42" s="106"/>
      <c r="I42" s="106"/>
      <c r="J42" s="107" t="s">
        <v>20</v>
      </c>
      <c r="K42" s="108" t="s">
        <v>23</v>
      </c>
      <c r="L42" s="100" t="s">
        <v>21</v>
      </c>
      <c r="M42" s="423"/>
      <c r="N42" s="423"/>
      <c r="O42" s="423"/>
      <c r="P42" s="423">
        <v>50</v>
      </c>
      <c r="Q42" s="423"/>
      <c r="R42" s="423">
        <v>50</v>
      </c>
      <c r="S42" s="423">
        <v>50</v>
      </c>
      <c r="T42" s="423"/>
      <c r="U42" s="423"/>
      <c r="V42" s="423"/>
      <c r="W42" s="423"/>
      <c r="X42" s="135">
        <f t="shared" ref="X42" si="24">IF(AT43="","",SUM(M42:W42)-(-(AT43-SUM(M42:W42))/$AT$3)*SUM($M$2:$W$2))</f>
        <v>150</v>
      </c>
      <c r="Y42" s="438"/>
      <c r="Z42" s="400">
        <v>-31</v>
      </c>
      <c r="AA42" s="540">
        <f>+X44</f>
        <v>0</v>
      </c>
      <c r="AB42" s="135">
        <f t="shared" ref="AB42:AB43" si="25">+SUM(L42:W42)</f>
        <v>150</v>
      </c>
      <c r="AC42" s="136">
        <f>+AD42+AB42</f>
        <v>150</v>
      </c>
      <c r="AD42" s="136"/>
      <c r="AE42" s="438"/>
      <c r="AF42" s="438"/>
      <c r="AG42" s="109"/>
      <c r="AH42" s="110"/>
      <c r="AI42" s="157"/>
      <c r="AJ42" s="161">
        <f t="shared" ref="AJ42:AJ45" si="26">TRUNC(AI42)+(AI42-TRUNC(AI42))*60/100</f>
        <v>0</v>
      </c>
      <c r="AK42" s="589">
        <f t="shared" ref="AK42:AK45" si="27">+AI42*60</f>
        <v>0</v>
      </c>
      <c r="AL42" s="589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1.35">
      <c r="B43" s="132">
        <v>7</v>
      </c>
      <c r="C43" s="371">
        <f>+B43</f>
        <v>7</v>
      </c>
      <c r="D43" s="372" t="s">
        <v>494</v>
      </c>
      <c r="E43" s="111"/>
      <c r="F43" s="111" t="s">
        <v>35</v>
      </c>
      <c r="G43" s="578" t="str">
        <f>+G42</f>
        <v>7755-463-251</v>
      </c>
      <c r="H43" s="450"/>
      <c r="I43" s="111" t="s">
        <v>251</v>
      </c>
      <c r="J43" s="113"/>
      <c r="K43" s="130"/>
      <c r="L43" s="101" t="s">
        <v>17</v>
      </c>
      <c r="M43" s="214"/>
      <c r="N43" s="214"/>
      <c r="O43" s="214"/>
      <c r="P43" s="214"/>
      <c r="Q43" s="214"/>
      <c r="R43" s="214"/>
      <c r="S43" s="214"/>
      <c r="T43" s="214"/>
      <c r="U43" s="214"/>
      <c r="V43" s="424"/>
      <c r="W43" s="424"/>
      <c r="X43" s="123">
        <f>+IF(H44="s",0,IF(AB43=0,0,IF(COUNTA(M43:W43)=AN45+0.25,SUMIF($C:$C,B43,$AB:$AB)/AN45,SUMIF($C:$C,B43,$AB:$AB)/(COUNTA(M43:W43)))))</f>
        <v>0</v>
      </c>
      <c r="Y43" s="439"/>
      <c r="Z43" s="400"/>
      <c r="AA43" s="541"/>
      <c r="AB43" s="134">
        <f t="shared" si="25"/>
        <v>0</v>
      </c>
      <c r="AC43" s="137">
        <f>+AB43+AD43</f>
        <v>0</v>
      </c>
      <c r="AD43" s="137"/>
      <c r="AE43" s="439">
        <v>0</v>
      </c>
      <c r="AF43" s="439">
        <f>+AE43+Y43</f>
        <v>0</v>
      </c>
      <c r="AG43" s="140">
        <f>+AC42-AC43</f>
        <v>150</v>
      </c>
      <c r="AH43" s="131" t="str">
        <f>+IF(((AB44+(AB45/2))*60)=0,"",(J43*AB43)/((AB44+(AB45/2))*60))</f>
        <v/>
      </c>
      <c r="AI43" s="161">
        <f>+AB44+AB45/2</f>
        <v>0</v>
      </c>
      <c r="AJ43" s="161">
        <f t="shared" si="26"/>
        <v>0</v>
      </c>
      <c r="AK43" s="589">
        <f t="shared" si="27"/>
        <v>0</v>
      </c>
      <c r="AL43" s="589">
        <f>+AB43*J43</f>
        <v>0</v>
      </c>
      <c r="AM43" s="230" t="e">
        <f>+AB43-(AI43*K43/K45)</f>
        <v>#DIV/0!</v>
      </c>
      <c r="AN43" s="339"/>
      <c r="AO43" s="340"/>
      <c r="AP43" s="167"/>
      <c r="AQ43" s="167"/>
      <c r="AR43" s="167"/>
      <c r="AS43" s="167"/>
      <c r="AT43" s="433">
        <f>-150+AB42</f>
        <v>0</v>
      </c>
      <c r="AU43" s="393">
        <v>1.5</v>
      </c>
      <c r="AW43" s="356">
        <v>622</v>
      </c>
      <c r="AY43" s="356">
        <f t="shared" ref="AY43" si="28">+AW43-AG43</f>
        <v>472</v>
      </c>
      <c r="AZ43" s="581"/>
      <c r="BA43" s="581"/>
      <c r="BB43" s="581"/>
      <c r="BC43" s="581"/>
      <c r="BD43" s="581"/>
      <c r="BE43" s="581"/>
      <c r="BF43" s="581"/>
      <c r="BG43" s="581"/>
      <c r="BH43" s="581"/>
      <c r="BI43" s="581"/>
    </row>
    <row r="44" spans="2:61" s="98" customFormat="1" ht="62.25" customHeight="1" x14ac:dyDescent="0.9">
      <c r="B44" s="125">
        <f>B43</f>
        <v>7</v>
      </c>
      <c r="C44" s="373"/>
      <c r="D44" s="184"/>
      <c r="E44" s="111">
        <f>+B43</f>
        <v>7</v>
      </c>
      <c r="F44" s="374"/>
      <c r="G44" s="578" t="str">
        <f>+G42</f>
        <v>7755-463-251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/>
      <c r="N44" s="425"/>
      <c r="O44" s="425"/>
      <c r="P44" s="425"/>
      <c r="Q44" s="425"/>
      <c r="R44" s="425"/>
      <c r="S44" s="425"/>
      <c r="T44" s="425"/>
      <c r="U44" s="425"/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</v>
      </c>
      <c r="Y44" s="440"/>
      <c r="Z44" s="400"/>
      <c r="AA44" s="541"/>
      <c r="AB44" s="443">
        <f t="shared" ref="AB44:AB45" si="29">+SUM(M44:W44)-U44*0.25</f>
        <v>0</v>
      </c>
      <c r="AC44" s="341"/>
      <c r="AD44" s="341"/>
      <c r="AE44" s="440"/>
      <c r="AF44" s="440"/>
      <c r="AG44" s="115"/>
      <c r="AH44" s="116"/>
      <c r="AI44" s="157"/>
      <c r="AJ44" s="161">
        <f t="shared" si="26"/>
        <v>0</v>
      </c>
      <c r="AK44" s="589">
        <f t="shared" si="27"/>
        <v>0</v>
      </c>
      <c r="AL44" s="589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0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9">
        <f>B43</f>
        <v>7</v>
      </c>
      <c r="C45" s="375"/>
      <c r="D45" s="174" t="s">
        <v>93</v>
      </c>
      <c r="E45" s="175">
        <f>+E44+100</f>
        <v>107</v>
      </c>
      <c r="F45" s="175"/>
      <c r="G45" s="579" t="str">
        <f>+G42</f>
        <v>7755-463-251</v>
      </c>
      <c r="H45" s="454">
        <f>+AC42-H43</f>
        <v>150</v>
      </c>
      <c r="I45" s="397"/>
      <c r="J45" s="165" t="str">
        <f>+IF(K45="","",IF(K43=0,"",(K43*J43)/(K45*60)))</f>
        <v/>
      </c>
      <c r="K45" s="118"/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8"/>
      <c r="W45" s="428"/>
      <c r="X45" s="173"/>
      <c r="Y45" s="441"/>
      <c r="Z45" s="401"/>
      <c r="AA45" s="168" t="e">
        <f>+IF(COUNTA(M43:W43)=$AM$4+0.25,$AM$4-(AB43/K43),COUNTA(M43:W43)-(AB43/K43))+Z45</f>
        <v>#DIV/0!</v>
      </c>
      <c r="AB45" s="444">
        <f t="shared" si="29"/>
        <v>0</v>
      </c>
      <c r="AC45" s="139"/>
      <c r="AD45" s="139"/>
      <c r="AE45" s="441"/>
      <c r="AF45" s="441"/>
      <c r="AG45" s="119" t="str">
        <f>+IFERROR(AG43/(K43*$AT$3),"")</f>
        <v/>
      </c>
      <c r="AH45" s="162"/>
      <c r="AI45" s="161"/>
      <c r="AJ45" s="161">
        <f t="shared" si="26"/>
        <v>0</v>
      </c>
      <c r="AK45" s="589">
        <f t="shared" si="27"/>
        <v>0</v>
      </c>
      <c r="AL45" s="589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1.1847619047619047</v>
      </c>
      <c r="AY45" s="356"/>
    </row>
    <row r="46" spans="2:61" s="98" customFormat="1" ht="62.25" customHeight="1" thickTop="1" x14ac:dyDescent="0.9">
      <c r="B46" s="97">
        <f>+B47</f>
        <v>8</v>
      </c>
      <c r="C46" s="370"/>
      <c r="D46" s="106"/>
      <c r="E46" s="106"/>
      <c r="F46" s="106"/>
      <c r="G46" s="582" t="s">
        <v>442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150</v>
      </c>
      <c r="N46" s="423">
        <v>50</v>
      </c>
      <c r="O46" s="423">
        <v>100</v>
      </c>
      <c r="P46" s="423"/>
      <c r="Q46" s="423">
        <v>50</v>
      </c>
      <c r="R46" s="423">
        <v>50</v>
      </c>
      <c r="S46" s="423"/>
      <c r="T46" s="423"/>
      <c r="U46" s="423"/>
      <c r="V46" s="423"/>
      <c r="W46" s="423"/>
      <c r="X46" s="135">
        <f t="shared" si="0"/>
        <v>400</v>
      </c>
      <c r="Y46" s="438"/>
      <c r="Z46" s="400">
        <v>0.5</v>
      </c>
      <c r="AA46" s="540">
        <f>+X48</f>
        <v>8.5</v>
      </c>
      <c r="AB46" s="135">
        <f t="shared" si="1"/>
        <v>400</v>
      </c>
      <c r="AC46" s="136">
        <f>+AD46+AB46</f>
        <v>8135</v>
      </c>
      <c r="AD46" s="136">
        <v>7735</v>
      </c>
      <c r="AE46" s="438"/>
      <c r="AF46" s="438"/>
      <c r="AG46" s="109"/>
      <c r="AH46" s="110"/>
      <c r="AI46" s="157"/>
      <c r="AJ46" s="161">
        <f t="shared" si="2"/>
        <v>0</v>
      </c>
      <c r="AK46" s="589">
        <f t="shared" si="3"/>
        <v>0</v>
      </c>
      <c r="AL46" s="589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8</v>
      </c>
      <c r="C47" s="371">
        <f>+B47</f>
        <v>8</v>
      </c>
      <c r="D47" s="372" t="s">
        <v>441</v>
      </c>
      <c r="E47" s="111"/>
      <c r="F47" s="111" t="s">
        <v>35</v>
      </c>
      <c r="G47" s="582" t="str">
        <f>+G46</f>
        <v>7741-793-052</v>
      </c>
      <c r="H47" s="450">
        <v>11500</v>
      </c>
      <c r="I47" s="111" t="s">
        <v>33</v>
      </c>
      <c r="J47" s="113">
        <v>55.14</v>
      </c>
      <c r="K47" s="130">
        <v>46</v>
      </c>
      <c r="L47" s="101" t="s">
        <v>17</v>
      </c>
      <c r="M47" s="214">
        <v>46</v>
      </c>
      <c r="N47" s="214">
        <v>46</v>
      </c>
      <c r="O47" s="214">
        <v>46</v>
      </c>
      <c r="P47" s="214">
        <v>46</v>
      </c>
      <c r="Q47" s="214">
        <v>46</v>
      </c>
      <c r="R47" s="214">
        <v>46</v>
      </c>
      <c r="S47" s="214">
        <v>46</v>
      </c>
      <c r="T47" s="214">
        <v>46</v>
      </c>
      <c r="U47" s="214">
        <v>43</v>
      </c>
      <c r="V47" s="424"/>
      <c r="W47" s="424"/>
      <c r="X47" s="123">
        <f>+IF(H48="s",0,IF(AB47=0,0,IF(COUNTA(M47:W47)=AN49+0.25,SUMIF($C:$C,B47,$AB:$AB)/AN49,SUMIF($C:$C,B47,$AB:$AB)/(COUNTA(M47:W47)))))</f>
        <v>46.971428571428568</v>
      </c>
      <c r="Y47" s="439"/>
      <c r="Z47" s="400"/>
      <c r="AA47" s="541"/>
      <c r="AB47" s="134">
        <f t="shared" si="1"/>
        <v>411</v>
      </c>
      <c r="AC47" s="137">
        <f>+AB47+AD47</f>
        <v>7293</v>
      </c>
      <c r="AD47" s="137">
        <v>6882</v>
      </c>
      <c r="AE47" s="439">
        <v>0</v>
      </c>
      <c r="AF47" s="439">
        <f>+AE47+Y47</f>
        <v>0</v>
      </c>
      <c r="AG47" s="140">
        <f>+AC46-AC47</f>
        <v>842</v>
      </c>
      <c r="AH47" s="131">
        <f>+IF(((AB48+(AB49/2))*60)=0,"",(J47*AB47)/((AB48+(AB49/2))*60))</f>
        <v>0.89213817537643936</v>
      </c>
      <c r="AI47" s="161">
        <f>+AB48+AB49/2</f>
        <v>423.375</v>
      </c>
      <c r="AJ47" s="161">
        <f t="shared" si="2"/>
        <v>423.22500000000002</v>
      </c>
      <c r="AK47" s="589">
        <f t="shared" si="3"/>
        <v>25402.5</v>
      </c>
      <c r="AL47" s="589">
        <f>+AB47*J47</f>
        <v>22662.54</v>
      </c>
      <c r="AM47" s="230">
        <f>+AB47-(AI47*K47/K49)</f>
        <v>13.545918367346928</v>
      </c>
      <c r="AN47" s="339"/>
      <c r="AO47" s="340"/>
      <c r="AP47" s="167"/>
      <c r="AQ47" s="167"/>
      <c r="AR47" s="167"/>
      <c r="AS47" s="167"/>
      <c r="AT47" s="433">
        <f t="shared" ref="AT47" si="30">IF(AU47=0,"",AW47-(($AT$3*K47)+($AT$3*K47)*AU47)+AB46)</f>
        <v>45.5</v>
      </c>
      <c r="AU47" s="393">
        <v>2</v>
      </c>
      <c r="AW47" s="356">
        <v>853</v>
      </c>
      <c r="AY47" s="356">
        <f t="shared" ref="AY47" si="31">+AW47-AG47</f>
        <v>11</v>
      </c>
    </row>
    <row r="48" spans="2:61" s="98" customFormat="1" ht="62.25" customHeight="1" x14ac:dyDescent="0.9">
      <c r="B48" s="125">
        <f>+B47</f>
        <v>8</v>
      </c>
      <c r="C48" s="373"/>
      <c r="D48" s="184"/>
      <c r="E48" s="111">
        <f>+B47</f>
        <v>8</v>
      </c>
      <c r="F48" s="374"/>
      <c r="G48" s="582" t="str">
        <f>+G47</f>
        <v>7741-793-052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47</v>
      </c>
      <c r="N48" s="425">
        <v>48</v>
      </c>
      <c r="O48" s="425">
        <v>48</v>
      </c>
      <c r="P48" s="425">
        <v>48</v>
      </c>
      <c r="Q48" s="425">
        <v>48</v>
      </c>
      <c r="R48" s="425">
        <v>48</v>
      </c>
      <c r="S48" s="425">
        <v>48</v>
      </c>
      <c r="T48" s="425">
        <v>48</v>
      </c>
      <c r="U48" s="425">
        <v>48</v>
      </c>
      <c r="V48" s="426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8.5</v>
      </c>
      <c r="Y48" s="440"/>
      <c r="Z48" s="400"/>
      <c r="AA48" s="541"/>
      <c r="AB48" s="443">
        <f t="shared" si="6"/>
        <v>419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589">
        <f t="shared" si="3"/>
        <v>0</v>
      </c>
      <c r="AL48" s="589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419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8</v>
      </c>
      <c r="C49" s="375"/>
      <c r="D49" s="174" t="s">
        <v>373</v>
      </c>
      <c r="E49" s="175">
        <f>+E48+100</f>
        <v>108</v>
      </c>
      <c r="F49" s="175"/>
      <c r="G49" s="582" t="str">
        <f>+G48</f>
        <v>7741-793-052</v>
      </c>
      <c r="H49" s="454">
        <f>+AC46-H47</f>
        <v>-3365</v>
      </c>
      <c r="I49" s="397"/>
      <c r="J49" s="165">
        <f>+IF(K49="","",IF(K47=0,"",(K47*J47)/(K49*60)))</f>
        <v>0.86273469387755108</v>
      </c>
      <c r="K49" s="118">
        <v>49</v>
      </c>
      <c r="L49" s="104" t="s">
        <v>19</v>
      </c>
      <c r="M49" s="427">
        <v>1</v>
      </c>
      <c r="N49" s="427">
        <v>1</v>
      </c>
      <c r="O49" s="427">
        <v>1</v>
      </c>
      <c r="P49" s="427">
        <v>1</v>
      </c>
      <c r="Q49" s="427">
        <v>1</v>
      </c>
      <c r="R49" s="427">
        <v>1</v>
      </c>
      <c r="S49" s="427">
        <v>1</v>
      </c>
      <c r="T49" s="427">
        <v>1</v>
      </c>
      <c r="U49" s="427">
        <v>1</v>
      </c>
      <c r="V49" s="428"/>
      <c r="W49" s="428"/>
      <c r="X49" s="173"/>
      <c r="Y49" s="441"/>
      <c r="Z49" s="401">
        <v>24.299090909090911</v>
      </c>
      <c r="AA49" s="169">
        <v>24.299090909090911</v>
      </c>
      <c r="AB49" s="444">
        <f t="shared" si="6"/>
        <v>8.75</v>
      </c>
      <c r="AC49" s="139"/>
      <c r="AD49" s="139"/>
      <c r="AE49" s="441"/>
      <c r="AF49" s="441"/>
      <c r="AG49" s="119">
        <f>+IFERROR(AG47/(K47*$AT$3),"")</f>
        <v>2.0919254658385094</v>
      </c>
      <c r="AH49" s="162"/>
      <c r="AI49" s="161"/>
      <c r="AJ49" s="161">
        <f t="shared" si="2"/>
        <v>0</v>
      </c>
      <c r="AK49" s="589">
        <f t="shared" si="3"/>
        <v>0</v>
      </c>
      <c r="AL49" s="589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8.75</v>
      </c>
      <c r="AP49" s="167">
        <f>+AO49-AB49</f>
        <v>0</v>
      </c>
      <c r="AQ49" s="167"/>
      <c r="AR49" s="167"/>
      <c r="AS49" s="167"/>
      <c r="AT49" s="435"/>
      <c r="AU49" s="393"/>
      <c r="AW49" s="356">
        <v>2.1192546583850933</v>
      </c>
      <c r="AY49" s="356"/>
    </row>
    <row r="50" spans="2:51" s="98" customFormat="1" ht="62.25" customHeight="1" thickTop="1" x14ac:dyDescent="0.9">
      <c r="B50" s="97">
        <f>+B51</f>
        <v>11</v>
      </c>
      <c r="C50" s="370"/>
      <c r="D50" s="106"/>
      <c r="E50" s="106"/>
      <c r="F50" s="106"/>
      <c r="G50" s="577" t="s">
        <v>474</v>
      </c>
      <c r="H50" s="106"/>
      <c r="I50" s="106"/>
      <c r="J50" s="107" t="s">
        <v>20</v>
      </c>
      <c r="K50" s="108" t="s">
        <v>23</v>
      </c>
      <c r="L50" s="100" t="s">
        <v>21</v>
      </c>
      <c r="M50" s="423">
        <v>120</v>
      </c>
      <c r="N50" s="423">
        <v>60</v>
      </c>
      <c r="O50" s="423">
        <v>60</v>
      </c>
      <c r="P50" s="423"/>
      <c r="Q50" s="423">
        <v>60</v>
      </c>
      <c r="R50" s="423">
        <v>60</v>
      </c>
      <c r="S50" s="423">
        <v>60</v>
      </c>
      <c r="T50" s="423"/>
      <c r="U50" s="423"/>
      <c r="V50" s="423"/>
      <c r="W50" s="423"/>
      <c r="X50" s="135">
        <f t="shared" si="0"/>
        <v>420</v>
      </c>
      <c r="Y50" s="438"/>
      <c r="Z50" s="400">
        <v>-326.75</v>
      </c>
      <c r="AA50" s="540">
        <f>+X52</f>
        <v>-378.75</v>
      </c>
      <c r="AB50" s="135">
        <f t="shared" si="1"/>
        <v>420</v>
      </c>
      <c r="AC50" s="136">
        <f>+AD50+AB50</f>
        <v>1681</v>
      </c>
      <c r="AD50" s="136">
        <v>1261</v>
      </c>
      <c r="AE50" s="438"/>
      <c r="AF50" s="438"/>
      <c r="AG50" s="109"/>
      <c r="AH50" s="110"/>
      <c r="AI50" s="157"/>
      <c r="AJ50" s="161">
        <f t="shared" si="2"/>
        <v>0</v>
      </c>
      <c r="AK50" s="589">
        <f t="shared" si="3"/>
        <v>0</v>
      </c>
      <c r="AL50" s="589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11</v>
      </c>
      <c r="C51" s="371">
        <v>11</v>
      </c>
      <c r="D51" s="372" t="s">
        <v>475</v>
      </c>
      <c r="E51" s="111"/>
      <c r="F51" s="111" t="s">
        <v>447</v>
      </c>
      <c r="G51" s="578" t="s">
        <v>474</v>
      </c>
      <c r="H51" s="450">
        <v>3360</v>
      </c>
      <c r="I51" s="111" t="s">
        <v>476</v>
      </c>
      <c r="J51" s="113">
        <v>38.65</v>
      </c>
      <c r="K51" s="130">
        <v>65</v>
      </c>
      <c r="L51" s="101" t="s">
        <v>17</v>
      </c>
      <c r="M51" s="214">
        <v>26</v>
      </c>
      <c r="N51" s="214">
        <v>7</v>
      </c>
      <c r="O51" s="214">
        <v>0</v>
      </c>
      <c r="P51" s="214">
        <v>30</v>
      </c>
      <c r="Q51" s="214">
        <v>13</v>
      </c>
      <c r="R51" s="214">
        <v>30</v>
      </c>
      <c r="S51" s="214">
        <v>19</v>
      </c>
      <c r="T51" s="214">
        <v>35</v>
      </c>
      <c r="U51" s="214">
        <v>30</v>
      </c>
      <c r="V51" s="214"/>
      <c r="W51" s="424"/>
      <c r="X51" s="123">
        <f>+IF(H52="s",0,IF(AB51=0,0,IF(COUNTA(M51:W51)=AN53+0.25,SUMIF($C:$C,B51,$AB:$AB)/AN53,SUMIF($C:$C,B51,$AB:$AB)/(COUNTA(M51:W51)))))</f>
        <v>21.714285714285715</v>
      </c>
      <c r="Y51" s="439"/>
      <c r="Z51" s="400"/>
      <c r="AA51" s="541"/>
      <c r="AB51" s="134">
        <f t="shared" si="1"/>
        <v>190</v>
      </c>
      <c r="AC51" s="137">
        <f>+AB51+AD51</f>
        <v>462</v>
      </c>
      <c r="AD51" s="137">
        <v>272</v>
      </c>
      <c r="AE51" s="439">
        <v>0</v>
      </c>
      <c r="AF51" s="439">
        <f>+AE51+Y51</f>
        <v>0</v>
      </c>
      <c r="AG51" s="140">
        <f>+AC50-AC51</f>
        <v>1219</v>
      </c>
      <c r="AH51" s="131">
        <f>+IF(((AB52+(AB53/2))*60)=0,"",(J51*AB51)/((AB52+(AB53/2))*60))</f>
        <v>0.28217098943323726</v>
      </c>
      <c r="AI51" s="161">
        <f>+AB52+AB53/2</f>
        <v>433.75</v>
      </c>
      <c r="AJ51" s="161">
        <f t="shared" si="2"/>
        <v>433.45</v>
      </c>
      <c r="AK51" s="589">
        <f t="shared" si="3"/>
        <v>26025</v>
      </c>
      <c r="AL51" s="589">
        <f>+AB51*J51</f>
        <v>7343.5</v>
      </c>
      <c r="AM51" s="230">
        <f>+AB51-(AI51*K51/K53)</f>
        <v>-373.875</v>
      </c>
      <c r="AN51" s="339"/>
      <c r="AO51" s="340"/>
      <c r="AP51" s="167"/>
      <c r="AQ51" s="167"/>
      <c r="AR51" s="167"/>
      <c r="AS51" s="167"/>
      <c r="AT51" s="433">
        <f t="shared" ref="AT51" si="32">IF(AU51=0,"",AW51-(($AT$3*K51)+($AT$3*K51)*AU51)+AB50)</f>
        <v>4.1875</v>
      </c>
      <c r="AU51" s="393">
        <v>1.47</v>
      </c>
      <c r="AW51" s="356">
        <v>989</v>
      </c>
      <c r="AY51" s="356">
        <f t="shared" ref="AY51" si="33">+AW51-AG51</f>
        <v>-230</v>
      </c>
    </row>
    <row r="52" spans="2:51" s="98" customFormat="1" ht="62.25" customHeight="1" x14ac:dyDescent="0.9">
      <c r="B52" s="125">
        <f>+B51</f>
        <v>11</v>
      </c>
      <c r="C52" s="373"/>
      <c r="D52" s="184"/>
      <c r="E52" s="111">
        <f>+B51</f>
        <v>11</v>
      </c>
      <c r="F52" s="374"/>
      <c r="G52" s="578" t="s">
        <v>474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50</v>
      </c>
      <c r="N52" s="425">
        <v>50</v>
      </c>
      <c r="O52" s="425">
        <v>50</v>
      </c>
      <c r="P52" s="425">
        <v>50</v>
      </c>
      <c r="Q52" s="425">
        <v>50</v>
      </c>
      <c r="R52" s="425">
        <v>49</v>
      </c>
      <c r="S52" s="425">
        <v>49</v>
      </c>
      <c r="T52" s="425">
        <v>49</v>
      </c>
      <c r="U52" s="425">
        <v>49</v>
      </c>
      <c r="V52" s="425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-378.75</v>
      </c>
      <c r="Y52" s="440"/>
      <c r="Z52" s="400"/>
      <c r="AA52" s="541"/>
      <c r="AB52" s="443">
        <f t="shared" si="6"/>
        <v>433.75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589">
        <f t="shared" si="3"/>
        <v>0</v>
      </c>
      <c r="AL52" s="589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433.75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+B51</f>
        <v>11</v>
      </c>
      <c r="C53" s="375"/>
      <c r="D53" s="174" t="s">
        <v>403</v>
      </c>
      <c r="E53" s="175">
        <f>+E52+100</f>
        <v>111</v>
      </c>
      <c r="F53" s="175"/>
      <c r="G53" s="579" t="s">
        <v>474</v>
      </c>
      <c r="H53" s="454">
        <f>+AC50-H51</f>
        <v>-1679</v>
      </c>
      <c r="I53" s="397"/>
      <c r="J53" s="165">
        <f>+IF(K53="","",IF(K51=0,"",(K51*J51)/(K53*60)))</f>
        <v>0.8374166666666667</v>
      </c>
      <c r="K53" s="118">
        <v>50</v>
      </c>
      <c r="L53" s="104" t="s">
        <v>19</v>
      </c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8"/>
      <c r="X53" s="173"/>
      <c r="Y53" s="441"/>
      <c r="Z53" s="401">
        <v>33.498484615384612</v>
      </c>
      <c r="AA53" s="168">
        <f>+IF(COUNTA(M51:W51)=$AM$4+0.25,$AM$4-(AB51/K51),COUNTA(M51:W51)-(AB51/K51))+Z53</f>
        <v>39.325407692307692</v>
      </c>
      <c r="AB53" s="444">
        <f t="shared" si="6"/>
        <v>0</v>
      </c>
      <c r="AC53" s="139"/>
      <c r="AD53" s="139"/>
      <c r="AE53" s="441"/>
      <c r="AF53" s="441"/>
      <c r="AG53" s="119">
        <f>+IFERROR(AG51/(K51*$AT$3),"")</f>
        <v>2.1432967032967034</v>
      </c>
      <c r="AH53" s="162"/>
      <c r="AI53" s="161"/>
      <c r="AJ53" s="161">
        <f t="shared" si="2"/>
        <v>0</v>
      </c>
      <c r="AK53" s="589">
        <f t="shared" si="3"/>
        <v>0</v>
      </c>
      <c r="AL53" s="589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0</v>
      </c>
      <c r="AP53" s="167">
        <f>+AO53-AB53</f>
        <v>0</v>
      </c>
      <c r="AQ53" s="167"/>
      <c r="AR53" s="167"/>
      <c r="AS53" s="167"/>
      <c r="AT53" s="435"/>
      <c r="AU53" s="393"/>
      <c r="AW53" s="356">
        <v>1.7389010989010989</v>
      </c>
      <c r="AY53" s="356"/>
    </row>
    <row r="54" spans="2:51" s="98" customFormat="1" ht="62.25" customHeight="1" thickTop="1" x14ac:dyDescent="0.9">
      <c r="B54" s="97">
        <f>+B55</f>
        <v>12</v>
      </c>
      <c r="C54" s="370"/>
      <c r="D54" s="106"/>
      <c r="E54" s="106"/>
      <c r="F54" s="106"/>
      <c r="G54" s="577" t="s">
        <v>433</v>
      </c>
      <c r="H54" s="106"/>
      <c r="I54" s="111"/>
      <c r="J54" s="107" t="s">
        <v>20</v>
      </c>
      <c r="K54" s="108" t="s">
        <v>23</v>
      </c>
      <c r="L54" s="100" t="s">
        <v>21</v>
      </c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135" t="str">
        <f t="shared" si="0"/>
        <v/>
      </c>
      <c r="Y54" s="438"/>
      <c r="Z54" s="400">
        <v>0.5</v>
      </c>
      <c r="AA54" s="540">
        <f>+X56</f>
        <v>0.5</v>
      </c>
      <c r="AB54" s="135">
        <f t="shared" si="1"/>
        <v>0</v>
      </c>
      <c r="AC54" s="136">
        <f>+AD54+AB54</f>
        <v>11741</v>
      </c>
      <c r="AD54" s="136">
        <v>11741</v>
      </c>
      <c r="AE54" s="438"/>
      <c r="AF54" s="438"/>
      <c r="AG54" s="109"/>
      <c r="AH54" s="110"/>
      <c r="AI54" s="157"/>
      <c r="AJ54" s="161">
        <f t="shared" si="2"/>
        <v>0</v>
      </c>
      <c r="AK54" s="589">
        <f t="shared" si="3"/>
        <v>0</v>
      </c>
      <c r="AL54" s="589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12</v>
      </c>
      <c r="C55" s="371">
        <f>+B55</f>
        <v>12</v>
      </c>
      <c r="D55" s="372" t="s">
        <v>432</v>
      </c>
      <c r="E55" s="111"/>
      <c r="F55" s="111" t="s">
        <v>35</v>
      </c>
      <c r="G55" s="578" t="str">
        <f>+G54</f>
        <v>2843-709-800</v>
      </c>
      <c r="H55" s="450">
        <v>11080</v>
      </c>
      <c r="I55" s="111" t="s">
        <v>251</v>
      </c>
      <c r="J55" s="113">
        <v>50</v>
      </c>
      <c r="K55" s="130">
        <v>58</v>
      </c>
      <c r="L55" s="101" t="s">
        <v>17</v>
      </c>
      <c r="M55" s="214">
        <v>58</v>
      </c>
      <c r="N55" s="214">
        <v>58</v>
      </c>
      <c r="O55" s="214">
        <v>58</v>
      </c>
      <c r="P55" s="214">
        <v>58</v>
      </c>
      <c r="Q55" s="214">
        <v>40</v>
      </c>
      <c r="R55" s="214">
        <v>71</v>
      </c>
      <c r="S55" s="214">
        <v>63</v>
      </c>
      <c r="T55" s="214">
        <v>58</v>
      </c>
      <c r="U55" s="214">
        <v>44</v>
      </c>
      <c r="V55" s="214"/>
      <c r="W55" s="424"/>
      <c r="X55" s="123">
        <f>+IF(H56="s",0,IF(AB55=0,0,IF(COUNTA(M55:W55)=AN57+0.25,SUMIF($C:$C,B55,$AB:$AB)/AN57,SUMIF($C:$C,B55,$AB:$AB)/(COUNTA(M55:W55)))))</f>
        <v>58.057142857142857</v>
      </c>
      <c r="Y55" s="439"/>
      <c r="Z55" s="400"/>
      <c r="AA55" s="541"/>
      <c r="AB55" s="134">
        <f t="shared" si="1"/>
        <v>508</v>
      </c>
      <c r="AC55" s="137">
        <f>+AB55+AD55</f>
        <v>11273</v>
      </c>
      <c r="AD55" s="137">
        <v>10765</v>
      </c>
      <c r="AE55" s="439">
        <v>0</v>
      </c>
      <c r="AF55" s="439">
        <f>+AE55+Y55</f>
        <v>0</v>
      </c>
      <c r="AG55" s="140">
        <f>+AC54-AC55</f>
        <v>468</v>
      </c>
      <c r="AH55" s="131">
        <f>+IF(((AB56+(AB57/2))*60)=0,"",(J55*AB55)/((AB56+(AB57/2))*60))</f>
        <v>0.99461576113558492</v>
      </c>
      <c r="AI55" s="161">
        <f>+AB56+AB57/2</f>
        <v>425.625</v>
      </c>
      <c r="AJ55" s="161">
        <f t="shared" si="2"/>
        <v>425.375</v>
      </c>
      <c r="AK55" s="589">
        <f t="shared" si="3"/>
        <v>25537.5</v>
      </c>
      <c r="AL55" s="589">
        <f>+AB55*J55</f>
        <v>25400</v>
      </c>
      <c r="AM55" s="230">
        <f>+AB55-(AI55*K55/K57)</f>
        <v>50.847222222222229</v>
      </c>
      <c r="AN55" s="339"/>
      <c r="AO55" s="340"/>
      <c r="AP55" s="167"/>
      <c r="AQ55" s="167"/>
      <c r="AR55" s="167"/>
      <c r="AS55" s="167"/>
      <c r="AT55" s="433"/>
      <c r="AU55" s="393">
        <v>1.5</v>
      </c>
      <c r="AW55" s="356">
        <v>976</v>
      </c>
      <c r="AY55" s="356">
        <f t="shared" ref="AY55" si="34">+AW55-AG55</f>
        <v>508</v>
      </c>
    </row>
    <row r="56" spans="2:51" s="98" customFormat="1" ht="62.25" customHeight="1" x14ac:dyDescent="0.9">
      <c r="B56" s="125">
        <f>B55</f>
        <v>12</v>
      </c>
      <c r="C56" s="373"/>
      <c r="D56" s="184"/>
      <c r="E56" s="111">
        <f>+B55</f>
        <v>12</v>
      </c>
      <c r="F56" s="377"/>
      <c r="G56" s="578" t="str">
        <f>+G54</f>
        <v>2843-709-800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>
        <v>1</v>
      </c>
      <c r="K56" s="114" t="s">
        <v>22</v>
      </c>
      <c r="L56" s="102" t="s">
        <v>18</v>
      </c>
      <c r="M56" s="425">
        <v>49</v>
      </c>
      <c r="N56" s="425">
        <v>49</v>
      </c>
      <c r="O56" s="425">
        <v>49</v>
      </c>
      <c r="P56" s="425">
        <v>49</v>
      </c>
      <c r="Q56" s="425">
        <v>48</v>
      </c>
      <c r="R56" s="425">
        <v>48</v>
      </c>
      <c r="S56" s="425">
        <v>47</v>
      </c>
      <c r="T56" s="425">
        <v>47</v>
      </c>
      <c r="U56" s="425">
        <v>47</v>
      </c>
      <c r="V56" s="426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0.5</v>
      </c>
      <c r="Y56" s="440"/>
      <c r="Z56" s="400"/>
      <c r="AA56" s="541"/>
      <c r="AB56" s="443">
        <f t="shared" si="6"/>
        <v>421.25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589">
        <f t="shared" si="3"/>
        <v>0</v>
      </c>
      <c r="AL56" s="589"/>
      <c r="AM56" s="230"/>
      <c r="AN56" s="339"/>
      <c r="AO56" s="340">
        <f>+IF(AN57=7.75,SUM(M56:S56)+T56*0.75,IF(AN57=8,SUM(M56:T56),IF(AN57=7.25,SUM(M56:S56)+T56*0.25,IF(AN57=8.25,SUM(M56:T56)+U56*0.25,IF(AN57=8.75,SUM(M56:T56)+U56*0.75,0)))))</f>
        <v>421.25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B55</f>
        <v>12</v>
      </c>
      <c r="C57" s="375"/>
      <c r="D57" s="174" t="s">
        <v>366</v>
      </c>
      <c r="E57" s="175">
        <f>+E56+100</f>
        <v>112</v>
      </c>
      <c r="F57" s="175"/>
      <c r="G57" s="579" t="str">
        <f>+G54</f>
        <v>2843-709-800</v>
      </c>
      <c r="H57" s="454">
        <f>+AC54-H55</f>
        <v>661</v>
      </c>
      <c r="I57" s="397" t="s">
        <v>182</v>
      </c>
      <c r="J57" s="165">
        <f>+IF(K57="","",IF(K55=0,"",(K55*J55)/(K57*60)))</f>
        <v>0.89506172839506171</v>
      </c>
      <c r="K57" s="118">
        <v>54</v>
      </c>
      <c r="L57" s="104" t="s">
        <v>19</v>
      </c>
      <c r="M57" s="427">
        <v>1</v>
      </c>
      <c r="N57" s="427">
        <v>1</v>
      </c>
      <c r="O57" s="427">
        <v>1</v>
      </c>
      <c r="P57" s="427">
        <v>1</v>
      </c>
      <c r="Q57" s="427">
        <v>1</v>
      </c>
      <c r="R57" s="427">
        <v>1</v>
      </c>
      <c r="S57" s="427">
        <v>1</v>
      </c>
      <c r="T57" s="427">
        <v>1</v>
      </c>
      <c r="U57" s="427">
        <v>1</v>
      </c>
      <c r="V57" s="428"/>
      <c r="W57" s="428"/>
      <c r="X57" s="173"/>
      <c r="Y57" s="441"/>
      <c r="Z57" s="401">
        <v>20.200641379310341</v>
      </c>
      <c r="AA57" s="401">
        <v>20.200641379310341</v>
      </c>
      <c r="AB57" s="444">
        <f t="shared" si="6"/>
        <v>8.75</v>
      </c>
      <c r="AC57" s="139"/>
      <c r="AD57" s="139"/>
      <c r="AE57" s="441"/>
      <c r="AF57" s="441"/>
      <c r="AG57" s="119">
        <f>+IFERROR(AG55/(K55*$AT$3),"")</f>
        <v>0.92216748768472911</v>
      </c>
      <c r="AH57" s="162"/>
      <c r="AI57" s="161"/>
      <c r="AJ57" s="161">
        <f t="shared" si="2"/>
        <v>0</v>
      </c>
      <c r="AK57" s="589">
        <f t="shared" si="3"/>
        <v>0</v>
      </c>
      <c r="AL57" s="589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8.75</v>
      </c>
      <c r="AP57" s="167">
        <f>+AO57-AB57</f>
        <v>0</v>
      </c>
      <c r="AQ57" s="167"/>
      <c r="AR57" s="167"/>
      <c r="AS57" s="167"/>
      <c r="AT57" s="435"/>
      <c r="AU57" s="393"/>
      <c r="AW57" s="356">
        <v>1.9231527093596059</v>
      </c>
      <c r="AY57" s="356"/>
    </row>
    <row r="58" spans="2:51" s="98" customFormat="1" ht="62.25" customHeight="1" thickTop="1" x14ac:dyDescent="0.9">
      <c r="B58" s="97">
        <f>+B59</f>
        <v>12</v>
      </c>
      <c r="C58" s="370"/>
      <c r="D58" s="106"/>
      <c r="E58" s="106"/>
      <c r="F58" s="106"/>
      <c r="G58" s="577" t="s">
        <v>440</v>
      </c>
      <c r="H58" s="106"/>
      <c r="I58" s="111"/>
      <c r="J58" s="107" t="s">
        <v>20</v>
      </c>
      <c r="K58" s="108" t="s">
        <v>23</v>
      </c>
      <c r="L58" s="100" t="s">
        <v>21</v>
      </c>
      <c r="M58" s="423"/>
      <c r="N58" s="423"/>
      <c r="O58" s="423">
        <v>75</v>
      </c>
      <c r="P58" s="423">
        <v>75</v>
      </c>
      <c r="Q58" s="423">
        <v>75</v>
      </c>
      <c r="R58" s="423">
        <v>75</v>
      </c>
      <c r="S58" s="423"/>
      <c r="T58" s="423"/>
      <c r="U58" s="423"/>
      <c r="V58" s="423"/>
      <c r="W58" s="423"/>
      <c r="X58" s="135">
        <f t="shared" ref="X58" si="35">IF(AT59="","",SUM(M58:W58)-(-(AT59-SUM(M58:W58))/$AT$3)*SUM($M$2:$W$2))</f>
        <v>300</v>
      </c>
      <c r="Y58" s="438"/>
      <c r="Z58" s="400">
        <v>0.5</v>
      </c>
      <c r="AA58" s="540">
        <f>+X60</f>
        <v>0</v>
      </c>
      <c r="AB58" s="135">
        <f t="shared" ref="AB58:AB59" si="36">+SUM(L58:W58)</f>
        <v>300</v>
      </c>
      <c r="AC58" s="136">
        <f>+AD58+AB58</f>
        <v>300</v>
      </c>
      <c r="AD58" s="136"/>
      <c r="AE58" s="438"/>
      <c r="AF58" s="438"/>
      <c r="AG58" s="109"/>
      <c r="AH58" s="110"/>
      <c r="AI58" s="157"/>
      <c r="AJ58" s="161">
        <f t="shared" ref="AJ58:AJ61" si="37">TRUNC(AI58)+(AI58-TRUNC(AI58))*60/100</f>
        <v>0</v>
      </c>
      <c r="AK58" s="589">
        <f t="shared" ref="AK58:AK61" si="38">+AI58*60</f>
        <v>0</v>
      </c>
      <c r="AL58" s="589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62.25" customHeight="1" x14ac:dyDescent="0.9">
      <c r="B59" s="132">
        <v>12</v>
      </c>
      <c r="C59" s="371">
        <f>+B59</f>
        <v>12</v>
      </c>
      <c r="D59" s="372" t="s">
        <v>439</v>
      </c>
      <c r="E59" s="111"/>
      <c r="F59" s="111" t="s">
        <v>35</v>
      </c>
      <c r="G59" s="578" t="str">
        <f>+G58</f>
        <v>7740-876-052</v>
      </c>
      <c r="H59" s="450"/>
      <c r="I59" s="111" t="s">
        <v>33</v>
      </c>
      <c r="J59" s="113"/>
      <c r="K59" s="130"/>
      <c r="L59" s="101" t="s">
        <v>17</v>
      </c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424"/>
      <c r="X59" s="123">
        <f>+IF(H60="s",0,IF(AB59=0,0,IF(COUNTA(M59:W59)=AN61+0.25,SUMIF($C:$C,B59,$AB:$AB)/AN61,SUMIF($C:$C,B59,$AB:$AB)/(COUNTA(M59:W59)))))</f>
        <v>0</v>
      </c>
      <c r="Y59" s="439"/>
      <c r="Z59" s="400"/>
      <c r="AA59" s="541"/>
      <c r="AB59" s="134">
        <f t="shared" si="36"/>
        <v>0</v>
      </c>
      <c r="AC59" s="137">
        <f>+AB59+AD59</f>
        <v>0</v>
      </c>
      <c r="AD59" s="137"/>
      <c r="AE59" s="439">
        <v>0</v>
      </c>
      <c r="AF59" s="439">
        <f>+AE59+Y59</f>
        <v>0</v>
      </c>
      <c r="AG59" s="140">
        <f>+AC58-AC59</f>
        <v>300</v>
      </c>
      <c r="AH59" s="131">
        <f>+IF(((AB60+(AB61/2))*60)=0,"",(J59*AB59)/((AB60+(AB61/2))*60))</f>
        <v>0</v>
      </c>
      <c r="AI59" s="161">
        <f>+AB60+AB61/2</f>
        <v>5.5</v>
      </c>
      <c r="AJ59" s="161">
        <f t="shared" si="37"/>
        <v>5.3</v>
      </c>
      <c r="AK59" s="589">
        <f t="shared" si="38"/>
        <v>330</v>
      </c>
      <c r="AL59" s="589">
        <f>+AB59*J59</f>
        <v>0</v>
      </c>
      <c r="AM59" s="230" t="e">
        <f>+AB59-(AI59*K59/K61)</f>
        <v>#DIV/0!</v>
      </c>
      <c r="AN59" s="339"/>
      <c r="AO59" s="340"/>
      <c r="AP59" s="167"/>
      <c r="AQ59" s="167"/>
      <c r="AR59" s="167"/>
      <c r="AS59" s="167"/>
      <c r="AT59" s="433">
        <f>-300+AB58</f>
        <v>0</v>
      </c>
      <c r="AU59" s="393">
        <v>1.5</v>
      </c>
      <c r="AW59" s="356">
        <v>976</v>
      </c>
      <c r="AY59" s="356">
        <f t="shared" ref="AY59" si="39">+AW59-AG59</f>
        <v>676</v>
      </c>
    </row>
    <row r="60" spans="2:51" s="98" customFormat="1" ht="62.25" customHeight="1" x14ac:dyDescent="0.9">
      <c r="B60" s="125">
        <f>B59</f>
        <v>12</v>
      </c>
      <c r="C60" s="373"/>
      <c r="D60" s="184"/>
      <c r="E60" s="111">
        <f>+B59</f>
        <v>12</v>
      </c>
      <c r="F60" s="377"/>
      <c r="G60" s="578" t="str">
        <f>+G58</f>
        <v>7740-876-052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/>
      <c r="N60" s="425"/>
      <c r="O60" s="425"/>
      <c r="P60" s="425"/>
      <c r="Q60" s="425"/>
      <c r="R60" s="425"/>
      <c r="S60" s="425">
        <v>2</v>
      </c>
      <c r="T60" s="425">
        <v>2</v>
      </c>
      <c r="U60" s="425">
        <v>2</v>
      </c>
      <c r="V60" s="426"/>
      <c r="W60" s="426"/>
      <c r="X60" s="160">
        <f>+IF(H60="l",IF(COUNTA(M59:W59)=AN61+0.25,AB59-K59*AN61,AB59-(K59*COUNTA(M59:W59))),IF(H60="s",0,IF(COUNTA(M59:W59)=AN61+0.25,SUMIF($C:$C,B59,$AB:$AB)-K59*AN61,SUMIF($C:$C,B59,$AB:$AB)-K59*COUNTA(M59:W59))))</f>
        <v>0</v>
      </c>
      <c r="Y60" s="440"/>
      <c r="Z60" s="400"/>
      <c r="AA60" s="541"/>
      <c r="AB60" s="443">
        <f t="shared" ref="AB60:AB61" si="40">+SUM(M60:W60)-U60*0.25</f>
        <v>5.5</v>
      </c>
      <c r="AC60" s="341"/>
      <c r="AD60" s="341"/>
      <c r="AE60" s="440"/>
      <c r="AF60" s="440"/>
      <c r="AG60" s="115"/>
      <c r="AH60" s="116"/>
      <c r="AI60" s="157"/>
      <c r="AJ60" s="161">
        <f t="shared" si="37"/>
        <v>0</v>
      </c>
      <c r="AK60" s="589">
        <f t="shared" si="38"/>
        <v>0</v>
      </c>
      <c r="AL60" s="589"/>
      <c r="AM60" s="230"/>
      <c r="AN60" s="339"/>
      <c r="AO60" s="340">
        <f>+IF(AN61=7.75,SUM(M60:S60)+T60*0.75,IF(AN61=8,SUM(M60:T60),IF(AN61=7.25,SUM(M60:S60)+T60*0.25,IF(AN61=8.25,SUM(M60:T60)+U60*0.25,IF(AN61=8.75,SUM(M60:T60)+U60*0.75,0)))))</f>
        <v>5.5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62.25" customHeight="1" thickBot="1" x14ac:dyDescent="0.95">
      <c r="B61" s="126">
        <f>B59</f>
        <v>12</v>
      </c>
      <c r="C61" s="375"/>
      <c r="D61" s="174" t="s">
        <v>366</v>
      </c>
      <c r="E61" s="175">
        <f>+E60+100</f>
        <v>112</v>
      </c>
      <c r="F61" s="175"/>
      <c r="G61" s="579" t="str">
        <f>+G58</f>
        <v>7740-876-052</v>
      </c>
      <c r="H61" s="454">
        <f>+AC58-H59</f>
        <v>300</v>
      </c>
      <c r="I61" s="397" t="s">
        <v>182</v>
      </c>
      <c r="J61" s="165" t="str">
        <f>+IF(K61="","",IF(K59=0,"",(K59*J59)/(K61*60)))</f>
        <v/>
      </c>
      <c r="K61" s="118"/>
      <c r="L61" s="104" t="s">
        <v>19</v>
      </c>
      <c r="M61" s="427"/>
      <c r="N61" s="427"/>
      <c r="O61" s="427"/>
      <c r="P61" s="427"/>
      <c r="Q61" s="427"/>
      <c r="R61" s="427"/>
      <c r="S61" s="427"/>
      <c r="T61" s="427"/>
      <c r="U61" s="427"/>
      <c r="V61" s="428"/>
      <c r="W61" s="428"/>
      <c r="X61" s="173"/>
      <c r="Y61" s="441"/>
      <c r="Z61" s="401"/>
      <c r="AA61" s="168" t="e">
        <f>+IF(COUNTA(M59:W59)=$AM$4+0.25,$AM$4-(AB59/K59),COUNTA(M59:W59)-(AB59/K59))+Z61</f>
        <v>#DIV/0!</v>
      </c>
      <c r="AB61" s="444">
        <f t="shared" si="40"/>
        <v>0</v>
      </c>
      <c r="AC61" s="139"/>
      <c r="AD61" s="139"/>
      <c r="AE61" s="441"/>
      <c r="AF61" s="441"/>
      <c r="AG61" s="119" t="str">
        <f>+IFERROR(AG59/(K59*$AT$3),"")</f>
        <v/>
      </c>
      <c r="AH61" s="162"/>
      <c r="AI61" s="161"/>
      <c r="AJ61" s="161">
        <f t="shared" si="37"/>
        <v>0</v>
      </c>
      <c r="AK61" s="589">
        <f t="shared" si="38"/>
        <v>0</v>
      </c>
      <c r="AL61" s="589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0</v>
      </c>
      <c r="AQ61" s="167"/>
      <c r="AR61" s="167"/>
      <c r="AS61" s="167"/>
      <c r="AT61" s="435"/>
      <c r="AU61" s="393"/>
      <c r="AW61" s="356">
        <v>1.9231527093596059</v>
      </c>
      <c r="AY61" s="356"/>
    </row>
    <row r="62" spans="2:51" s="98" customFormat="1" ht="62.25" customHeight="1" thickTop="1" x14ac:dyDescent="0.9">
      <c r="B62" s="97">
        <f>+B63</f>
        <v>13</v>
      </c>
      <c r="C62" s="370"/>
      <c r="D62" s="106"/>
      <c r="E62" s="106"/>
      <c r="F62" s="106"/>
      <c r="G62" s="577" t="s">
        <v>442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50</v>
      </c>
      <c r="N62" s="423">
        <v>50</v>
      </c>
      <c r="O62" s="423">
        <v>50</v>
      </c>
      <c r="P62" s="423">
        <v>100</v>
      </c>
      <c r="Q62" s="423">
        <v>50</v>
      </c>
      <c r="R62" s="423"/>
      <c r="S62" s="423"/>
      <c r="T62" s="423"/>
      <c r="U62" s="423"/>
      <c r="V62" s="423"/>
      <c r="W62" s="423"/>
      <c r="X62" s="135">
        <f t="shared" si="0"/>
        <v>300</v>
      </c>
      <c r="Y62" s="438"/>
      <c r="Z62" s="400">
        <v>0.75</v>
      </c>
      <c r="AA62" s="540">
        <f>+X64</f>
        <v>0.75</v>
      </c>
      <c r="AB62" s="135">
        <f t="shared" si="1"/>
        <v>300</v>
      </c>
      <c r="AC62" s="136">
        <f>+AD62+AB62</f>
        <v>2800</v>
      </c>
      <c r="AD62" s="136">
        <v>2500</v>
      </c>
      <c r="AE62" s="438"/>
      <c r="AF62" s="438"/>
      <c r="AG62" s="109"/>
      <c r="AH62" s="110"/>
      <c r="AI62" s="157"/>
      <c r="AJ62" s="161">
        <f t="shared" si="2"/>
        <v>0</v>
      </c>
      <c r="AK62" s="589">
        <f t="shared" si="3"/>
        <v>0</v>
      </c>
      <c r="AL62" s="589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62.25" customHeight="1" x14ac:dyDescent="0.9">
      <c r="B63" s="132">
        <v>13</v>
      </c>
      <c r="C63" s="371">
        <f>+B63</f>
        <v>13</v>
      </c>
      <c r="D63" s="372" t="s">
        <v>441</v>
      </c>
      <c r="E63" s="111"/>
      <c r="F63" s="111" t="s">
        <v>35</v>
      </c>
      <c r="G63" s="578" t="str">
        <f>+G62</f>
        <v>7741-793-052</v>
      </c>
      <c r="H63" s="450">
        <v>8500</v>
      </c>
      <c r="I63" s="111" t="s">
        <v>33</v>
      </c>
      <c r="J63" s="113">
        <v>55.14</v>
      </c>
      <c r="K63" s="130">
        <v>43</v>
      </c>
      <c r="L63" s="101" t="s">
        <v>17</v>
      </c>
      <c r="M63" s="214">
        <v>43</v>
      </c>
      <c r="N63" s="214">
        <v>43</v>
      </c>
      <c r="O63" s="214">
        <v>43</v>
      </c>
      <c r="P63" s="214">
        <v>43</v>
      </c>
      <c r="Q63" s="214">
        <v>43</v>
      </c>
      <c r="R63" s="214">
        <v>43</v>
      </c>
      <c r="S63" s="214">
        <v>43</v>
      </c>
      <c r="T63" s="214">
        <v>43</v>
      </c>
      <c r="U63" s="214">
        <v>33</v>
      </c>
      <c r="V63" s="214"/>
      <c r="W63" s="424"/>
      <c r="X63" s="123">
        <f>+IF(H64="s",0,IF(AB63=0,0,IF(COUNTA(M63:W63)=AN65+0.25,SUMIF($C:$C,B63,$AB:$AB)/AN65,SUMIF($C:$C,B63,$AB:$AB)/(COUNTA(M63:W63)))))</f>
        <v>43.085714285714289</v>
      </c>
      <c r="Y63" s="439"/>
      <c r="Z63" s="400"/>
      <c r="AA63" s="541"/>
      <c r="AB63" s="134">
        <f t="shared" si="1"/>
        <v>377</v>
      </c>
      <c r="AC63" s="137">
        <f>+AB63+AD63</f>
        <v>2046</v>
      </c>
      <c r="AD63" s="137">
        <v>1669</v>
      </c>
      <c r="AE63" s="439"/>
      <c r="AF63" s="439">
        <f>+AE63+Y63</f>
        <v>0</v>
      </c>
      <c r="AG63" s="140">
        <f>+AC62-AC63</f>
        <v>754</v>
      </c>
      <c r="AH63" s="131">
        <f>+IF(((AB64+(AB65/2))*60)=0,"",(J63*AB63)/((AB64+(AB65/2))*60))</f>
        <v>0.86077763975155275</v>
      </c>
      <c r="AI63" s="161">
        <f>+AB64+AB65/2</f>
        <v>402.5</v>
      </c>
      <c r="AJ63" s="161">
        <f t="shared" si="2"/>
        <v>402.3</v>
      </c>
      <c r="AK63" s="589">
        <f t="shared" si="3"/>
        <v>24150</v>
      </c>
      <c r="AL63" s="589">
        <f>+AB63*J63</f>
        <v>20787.78</v>
      </c>
      <c r="AM63" s="230">
        <f>+AB63-(AI63*K63/K65)</f>
        <v>0.75</v>
      </c>
      <c r="AN63" s="339"/>
      <c r="AO63" s="340"/>
      <c r="AP63" s="167"/>
      <c r="AQ63" s="167"/>
      <c r="AR63" s="167"/>
      <c r="AS63" s="167"/>
      <c r="AT63" s="433">
        <f t="shared" ref="AT63" si="41">IF(AU63=0,"",AW63-(($AT$3*K63)+($AT$3*K63)*AU63)+AB62)</f>
        <v>2.25</v>
      </c>
      <c r="AU63" s="393">
        <v>2</v>
      </c>
      <c r="AW63" s="356">
        <v>831</v>
      </c>
      <c r="AY63" s="356">
        <f t="shared" ref="AY63" si="42">+AW63-AG63</f>
        <v>77</v>
      </c>
    </row>
    <row r="64" spans="2:51" s="98" customFormat="1" ht="62.25" customHeight="1" x14ac:dyDescent="0.9">
      <c r="B64" s="125">
        <f>+B63</f>
        <v>13</v>
      </c>
      <c r="C64" s="373"/>
      <c r="D64" s="184"/>
      <c r="E64" s="111">
        <f>+B63</f>
        <v>13</v>
      </c>
      <c r="F64" s="374"/>
      <c r="G64" s="578" t="str">
        <f>+G63</f>
        <v>7741-793-052</v>
      </c>
      <c r="H64" s="376" t="s">
        <v>400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>
        <v>46</v>
      </c>
      <c r="N64" s="425">
        <v>46</v>
      </c>
      <c r="O64" s="425">
        <v>46</v>
      </c>
      <c r="P64" s="425">
        <v>46</v>
      </c>
      <c r="Q64" s="425">
        <v>46</v>
      </c>
      <c r="R64" s="425">
        <v>46</v>
      </c>
      <c r="S64" s="425">
        <v>46</v>
      </c>
      <c r="T64" s="425">
        <v>46</v>
      </c>
      <c r="U64" s="425">
        <v>46</v>
      </c>
      <c r="V64" s="425"/>
      <c r="W64" s="426"/>
      <c r="X64" s="160">
        <f>+IF(H64="l",IF(COUNTA(M63:W63)=AN65+0.25,AB63-K63*AN65,AB63-(K63*COUNTA(M63:W63))),IF(H64="s",0,IF(COUNTA(M63:W63)=AN65+0.25,SUMIF($C:$C,B63,$AB:$AB)-K63*AN65,SUMIF($C:$C,B63,$AB:$AB)-K63*COUNTA(M63:W63))))</f>
        <v>0.75</v>
      </c>
      <c r="Y64" s="440"/>
      <c r="Z64" s="400"/>
      <c r="AA64" s="541"/>
      <c r="AB64" s="443">
        <f t="shared" si="6"/>
        <v>402.5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589">
        <f t="shared" si="3"/>
        <v>0</v>
      </c>
      <c r="AL64" s="589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402.5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62.25" customHeight="1" thickBot="1" x14ac:dyDescent="0.95">
      <c r="B65" s="126">
        <f>+B63</f>
        <v>13</v>
      </c>
      <c r="C65" s="375"/>
      <c r="D65" s="174" t="s">
        <v>468</v>
      </c>
      <c r="E65" s="175">
        <f>+E64+100</f>
        <v>113</v>
      </c>
      <c r="F65" s="175"/>
      <c r="G65" s="579" t="str">
        <f>+G64</f>
        <v>7741-793-052</v>
      </c>
      <c r="H65" s="454">
        <f>+AC62-H63</f>
        <v>-5700</v>
      </c>
      <c r="I65" s="397"/>
      <c r="J65" s="165">
        <f>+IF(K65="","",IF(K63=0,"",(K63*J63)/(K65*60)))</f>
        <v>0.85906521739130437</v>
      </c>
      <c r="K65" s="429">
        <v>46</v>
      </c>
      <c r="L65" s="104" t="s">
        <v>19</v>
      </c>
      <c r="M65" s="427"/>
      <c r="N65" s="427"/>
      <c r="O65" s="427"/>
      <c r="P65" s="427"/>
      <c r="Q65" s="427"/>
      <c r="R65" s="427"/>
      <c r="S65" s="427"/>
      <c r="T65" s="427"/>
      <c r="U65" s="427"/>
      <c r="V65" s="427"/>
      <c r="W65" s="428"/>
      <c r="X65" s="173"/>
      <c r="Y65" s="441"/>
      <c r="Z65" s="448">
        <v>31.335947522750253</v>
      </c>
      <c r="AA65" s="168">
        <f>+IF(COUNTA(M63:W63)=$AM$4+0.25,$AM$4-(AB63/K63),COUNTA(M63:W63)-(AB63/K63))+Z65</f>
        <v>31.318505662285137</v>
      </c>
      <c r="AB65" s="444">
        <f t="shared" si="6"/>
        <v>0</v>
      </c>
      <c r="AC65" s="139"/>
      <c r="AD65" s="139"/>
      <c r="AE65" s="441"/>
      <c r="AF65" s="441"/>
      <c r="AG65" s="119">
        <f>+IFERROR(AG63/(K63*$AT$3),"")</f>
        <v>2.003986710963455</v>
      </c>
      <c r="AH65" s="162"/>
      <c r="AI65" s="161"/>
      <c r="AJ65" s="161">
        <f t="shared" si="2"/>
        <v>0</v>
      </c>
      <c r="AK65" s="589">
        <f t="shared" si="3"/>
        <v>0</v>
      </c>
      <c r="AL65" s="589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0</v>
      </c>
      <c r="AP65" s="167">
        <f>+AO65-AB65</f>
        <v>0</v>
      </c>
      <c r="AQ65" s="167"/>
      <c r="AR65" s="167"/>
      <c r="AS65" s="167"/>
      <c r="AT65" s="435"/>
      <c r="AU65" s="393"/>
      <c r="AW65" s="356">
        <v>2.208637873754153</v>
      </c>
      <c r="AY65" s="356"/>
    </row>
    <row r="66" spans="2:62" s="98" customFormat="1" ht="58.5" customHeight="1" thickTop="1" x14ac:dyDescent="0.9">
      <c r="B66" s="127">
        <f>+B67</f>
        <v>14</v>
      </c>
      <c r="C66" s="370"/>
      <c r="D66" s="106"/>
      <c r="E66" s="106"/>
      <c r="F66" s="106"/>
      <c r="G66" s="577" t="s">
        <v>489</v>
      </c>
      <c r="H66" s="106"/>
      <c r="I66" s="106"/>
      <c r="J66" s="107" t="s">
        <v>20</v>
      </c>
      <c r="K66" s="108" t="s">
        <v>23</v>
      </c>
      <c r="L66" s="100" t="s">
        <v>21</v>
      </c>
      <c r="M66" s="423">
        <v>60</v>
      </c>
      <c r="N66" s="423">
        <v>60</v>
      </c>
      <c r="O66" s="423">
        <v>60</v>
      </c>
      <c r="P66" s="423"/>
      <c r="Q66" s="423">
        <v>60</v>
      </c>
      <c r="R66" s="423">
        <v>60</v>
      </c>
      <c r="S66" s="423"/>
      <c r="T66" s="423"/>
      <c r="U66" s="423"/>
      <c r="V66" s="423"/>
      <c r="W66" s="423"/>
      <c r="X66" s="135">
        <f t="shared" ref="X66" si="43">IF(AT67="","",SUM(M66:W66)-(-(AT67-SUM(M66:W66))/$AT$3)*SUM($M$2:$W$2))</f>
        <v>300</v>
      </c>
      <c r="Y66" s="438"/>
      <c r="Z66" s="400">
        <v>0</v>
      </c>
      <c r="AA66" s="540">
        <f>+X68</f>
        <v>-481.25</v>
      </c>
      <c r="AB66" s="135">
        <f t="shared" ref="AB66:AB67" si="44">+SUM(L66:W66)</f>
        <v>300</v>
      </c>
      <c r="AC66" s="136">
        <f>+AD66+AB66</f>
        <v>960</v>
      </c>
      <c r="AD66" s="136">
        <v>660</v>
      </c>
      <c r="AE66" s="438"/>
      <c r="AF66" s="438"/>
      <c r="AG66" s="109"/>
      <c r="AH66" s="110"/>
      <c r="AI66" s="157"/>
      <c r="AJ66" s="161">
        <f t="shared" si="2"/>
        <v>0</v>
      </c>
      <c r="AK66" s="589">
        <f t="shared" si="3"/>
        <v>0</v>
      </c>
      <c r="AL66" s="589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58.5" customHeight="1" x14ac:dyDescent="0.9">
      <c r="B67" s="133">
        <v>14</v>
      </c>
      <c r="C67" s="371">
        <f>+B67</f>
        <v>14</v>
      </c>
      <c r="D67" s="372" t="s">
        <v>487</v>
      </c>
      <c r="E67" s="111"/>
      <c r="F67" s="111" t="s">
        <v>488</v>
      </c>
      <c r="G67" s="578" t="str">
        <f t="shared" ref="G67:G69" si="45">+G66</f>
        <v>BERGEN-302189</v>
      </c>
      <c r="H67" s="450"/>
      <c r="I67" s="111" t="s">
        <v>33</v>
      </c>
      <c r="J67" s="113">
        <v>48.52</v>
      </c>
      <c r="K67" s="130">
        <v>55</v>
      </c>
      <c r="L67" s="101" t="s">
        <v>17</v>
      </c>
      <c r="M67" s="214">
        <v>0</v>
      </c>
      <c r="N67" s="214">
        <v>0</v>
      </c>
      <c r="O67" s="214">
        <v>0</v>
      </c>
      <c r="P67" s="214">
        <v>0</v>
      </c>
      <c r="Q67" s="214">
        <v>0</v>
      </c>
      <c r="R67" s="214">
        <v>0</v>
      </c>
      <c r="S67" s="214">
        <v>0</v>
      </c>
      <c r="T67" s="214">
        <v>0</v>
      </c>
      <c r="U67" s="214">
        <v>0</v>
      </c>
      <c r="V67" s="214"/>
      <c r="W67" s="214"/>
      <c r="X67" s="123">
        <f>+IF(H68="s",0,IF(AB67=0,0,IF(COUNTA(M67:W67)=AN69+0.25,SUMIF($C:$C,B67,$AB:$AB)/AN69,SUMIF($C:$C,B67,$AB:$AB)/(COUNTA(M67:W67)))))</f>
        <v>0</v>
      </c>
      <c r="Y67" s="439"/>
      <c r="Z67" s="400"/>
      <c r="AA67" s="541"/>
      <c r="AB67" s="134">
        <f t="shared" si="44"/>
        <v>0</v>
      </c>
      <c r="AC67" s="137">
        <f>+AB67+AD67</f>
        <v>0</v>
      </c>
      <c r="AD67" s="137">
        <v>0</v>
      </c>
      <c r="AE67" s="439"/>
      <c r="AF67" s="439">
        <f>+AE67+Y67</f>
        <v>0</v>
      </c>
      <c r="AG67" s="140">
        <f>+AC66-AC67</f>
        <v>960</v>
      </c>
      <c r="AH67" s="131">
        <f>+IF(((AB68+(AB69/2))*60)=0,"",(J67*AB67)/((AB68+(AB69/2))*60))</f>
        <v>0</v>
      </c>
      <c r="AI67" s="161">
        <f>+AB68+AB69/2</f>
        <v>447</v>
      </c>
      <c r="AJ67" s="161">
        <f t="shared" si="2"/>
        <v>447</v>
      </c>
      <c r="AK67" s="589">
        <f t="shared" si="3"/>
        <v>26820</v>
      </c>
      <c r="AL67" s="589">
        <f>+AB67*J67</f>
        <v>0</v>
      </c>
      <c r="AM67" s="230">
        <f>+AB67-(AI67*K67/K69)</f>
        <v>-472.78846153846155</v>
      </c>
      <c r="AN67" s="339"/>
      <c r="AO67" s="340"/>
      <c r="AP67" s="167"/>
      <c r="AQ67" s="167"/>
      <c r="AR67" s="167"/>
      <c r="AS67" s="167"/>
      <c r="AT67" s="433">
        <f>-300+AB66</f>
        <v>0</v>
      </c>
      <c r="AU67" s="393">
        <v>1.5</v>
      </c>
      <c r="AW67" s="356">
        <v>660</v>
      </c>
      <c r="AY67" s="356">
        <f t="shared" ref="AY67" si="46">+AW67-AG67</f>
        <v>-300</v>
      </c>
    </row>
    <row r="68" spans="2:62" s="98" customFormat="1" ht="58.5" customHeight="1" x14ac:dyDescent="0.9">
      <c r="B68" s="125">
        <f>+B67</f>
        <v>14</v>
      </c>
      <c r="C68" s="373"/>
      <c r="D68" s="184"/>
      <c r="E68" s="111">
        <f>+B67</f>
        <v>14</v>
      </c>
      <c r="F68" s="374"/>
      <c r="G68" s="578" t="str">
        <f t="shared" si="45"/>
        <v>BERGEN-302189</v>
      </c>
      <c r="H68" s="376" t="s">
        <v>400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>
        <v>50</v>
      </c>
      <c r="N68" s="425">
        <v>50</v>
      </c>
      <c r="O68" s="425">
        <v>50</v>
      </c>
      <c r="P68" s="425">
        <v>50</v>
      </c>
      <c r="Q68" s="425">
        <v>52</v>
      </c>
      <c r="R68" s="425">
        <v>52</v>
      </c>
      <c r="S68" s="425">
        <v>52</v>
      </c>
      <c r="T68" s="425">
        <v>52</v>
      </c>
      <c r="U68" s="425">
        <v>52</v>
      </c>
      <c r="V68" s="425"/>
      <c r="W68" s="425"/>
      <c r="X68" s="160">
        <f>+IF(H68="l",IF(COUNTA(M67:W67)=AN69+0.25,AB67-K67*AN69,AB67-(K67*COUNTA(M67:W67))),IF(H68="s",0,IF(COUNTA(M67:W67)=AN69+0.25,SUMIF($C:$C,B67,$AB:$AB)-K67*AN69,SUMIF($C:$C,B67,$AB:$AB)-K67*COUNTA(M67:W67))))</f>
        <v>-481.25</v>
      </c>
      <c r="Y68" s="440"/>
      <c r="Z68" s="400"/>
      <c r="AA68" s="541"/>
      <c r="AB68" s="443">
        <f t="shared" ref="AB68:AB69" si="47">+SUM(M68:W68)-U68*0.25</f>
        <v>447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589">
        <f t="shared" si="3"/>
        <v>0</v>
      </c>
      <c r="AL68" s="589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447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58.5" customHeight="1" thickBot="1" x14ac:dyDescent="0.95">
      <c r="B69" s="126">
        <f>+B67</f>
        <v>14</v>
      </c>
      <c r="C69" s="375"/>
      <c r="D69" s="174" t="s">
        <v>112</v>
      </c>
      <c r="E69" s="175">
        <f>+E68+100</f>
        <v>114</v>
      </c>
      <c r="F69" s="175"/>
      <c r="G69" s="579" t="str">
        <f t="shared" si="45"/>
        <v>BERGEN-302189</v>
      </c>
      <c r="H69" s="454">
        <f>+AC66-H67</f>
        <v>960</v>
      </c>
      <c r="I69" s="397"/>
      <c r="J69" s="165">
        <f>+IF(K69="","",IF(K67=0,"",(K67*J67)/(K69*60)))</f>
        <v>0.85532051282051291</v>
      </c>
      <c r="K69" s="118">
        <v>52</v>
      </c>
      <c r="L69" s="104" t="s">
        <v>19</v>
      </c>
      <c r="M69" s="427"/>
      <c r="N69" s="427"/>
      <c r="O69" s="427"/>
      <c r="P69" s="427"/>
      <c r="Q69" s="427"/>
      <c r="R69" s="427"/>
      <c r="S69" s="427"/>
      <c r="T69" s="427"/>
      <c r="U69" s="427"/>
      <c r="V69" s="427"/>
      <c r="W69" s="427"/>
      <c r="X69" s="173"/>
      <c r="Y69" s="441"/>
      <c r="Z69" s="401">
        <v>4.625</v>
      </c>
      <c r="AA69" s="168">
        <f>+IF(COUNTA(M67:W67)=$AM$4+0.25,$AM$4-(AB67/K67),COUNTA(M67:W67)-(AB67/K67))+Z69</f>
        <v>13.375</v>
      </c>
      <c r="AB69" s="444">
        <f t="shared" si="47"/>
        <v>0</v>
      </c>
      <c r="AC69" s="139"/>
      <c r="AD69" s="139"/>
      <c r="AE69" s="441"/>
      <c r="AF69" s="441"/>
      <c r="AG69" s="119">
        <f>+IFERROR(AG67/(K67*$AT$3),"")</f>
        <v>1.9948051948051948</v>
      </c>
      <c r="AH69" s="162"/>
      <c r="AI69" s="161"/>
      <c r="AJ69" s="161">
        <f t="shared" si="2"/>
        <v>0</v>
      </c>
      <c r="AK69" s="589">
        <f t="shared" si="3"/>
        <v>0</v>
      </c>
      <c r="AL69" s="589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0</v>
      </c>
      <c r="AP69" s="167">
        <f>+AO69-AB69</f>
        <v>0</v>
      </c>
      <c r="AQ69" s="167"/>
      <c r="AR69" s="167"/>
      <c r="AS69" s="167"/>
      <c r="AT69" s="435"/>
      <c r="AU69" s="393"/>
      <c r="AW69" s="356" t="s">
        <v>429</v>
      </c>
      <c r="AY69" s="356"/>
    </row>
    <row r="70" spans="2:62" s="98" customFormat="1" ht="62.25" customHeight="1" thickTop="1" x14ac:dyDescent="0.9">
      <c r="B70" s="97">
        <f>+B71</f>
        <v>15</v>
      </c>
      <c r="C70" s="370"/>
      <c r="D70" s="106"/>
      <c r="E70" s="106"/>
      <c r="F70" s="106"/>
      <c r="G70" s="577" t="s">
        <v>440</v>
      </c>
      <c r="H70" s="106"/>
      <c r="I70" s="106"/>
      <c r="J70" s="107" t="s">
        <v>20</v>
      </c>
      <c r="K70" s="108" t="s">
        <v>23</v>
      </c>
      <c r="L70" s="100" t="s">
        <v>21</v>
      </c>
      <c r="M70" s="423">
        <v>150</v>
      </c>
      <c r="N70" s="423">
        <v>75</v>
      </c>
      <c r="O70" s="423">
        <v>150</v>
      </c>
      <c r="P70" s="423">
        <v>75</v>
      </c>
      <c r="Q70" s="423">
        <v>75</v>
      </c>
      <c r="R70" s="423"/>
      <c r="S70" s="423"/>
      <c r="T70" s="423">
        <v>75</v>
      </c>
      <c r="U70" s="423"/>
      <c r="V70" s="423"/>
      <c r="W70" s="423"/>
      <c r="X70" s="135">
        <f t="shared" si="0"/>
        <v>600</v>
      </c>
      <c r="Y70" s="438"/>
      <c r="Z70" s="400">
        <v>18</v>
      </c>
      <c r="AA70" s="540">
        <f>+X72</f>
        <v>21</v>
      </c>
      <c r="AB70" s="135">
        <f t="shared" si="1"/>
        <v>600</v>
      </c>
      <c r="AC70" s="136">
        <f>+AD70+AB70</f>
        <v>5326</v>
      </c>
      <c r="AD70" s="136">
        <v>4726</v>
      </c>
      <c r="AE70" s="438"/>
      <c r="AF70" s="438"/>
      <c r="AG70" s="109"/>
      <c r="AH70" s="110"/>
      <c r="AI70" s="157"/>
      <c r="AJ70" s="161">
        <f t="shared" si="2"/>
        <v>0</v>
      </c>
      <c r="AK70" s="589">
        <f t="shared" si="3"/>
        <v>0</v>
      </c>
      <c r="AL70" s="589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1.35">
      <c r="B71" s="132">
        <v>15</v>
      </c>
      <c r="C71" s="371">
        <f>+B71</f>
        <v>15</v>
      </c>
      <c r="D71" s="372" t="s">
        <v>439</v>
      </c>
      <c r="E71" s="111"/>
      <c r="F71" s="111" t="s">
        <v>35</v>
      </c>
      <c r="G71" s="578" t="str">
        <f>+G70</f>
        <v>7740-876-052</v>
      </c>
      <c r="H71" s="450">
        <v>7700</v>
      </c>
      <c r="I71" s="111" t="s">
        <v>33</v>
      </c>
      <c r="J71" s="113">
        <v>55.78</v>
      </c>
      <c r="K71" s="130">
        <v>52</v>
      </c>
      <c r="L71" s="101" t="s">
        <v>17</v>
      </c>
      <c r="M71" s="214">
        <v>52</v>
      </c>
      <c r="N71" s="214">
        <v>52</v>
      </c>
      <c r="O71" s="214">
        <v>52</v>
      </c>
      <c r="P71" s="214">
        <v>52</v>
      </c>
      <c r="Q71" s="214">
        <v>52</v>
      </c>
      <c r="R71" s="214">
        <v>52</v>
      </c>
      <c r="S71" s="214">
        <v>52</v>
      </c>
      <c r="T71" s="214">
        <v>52</v>
      </c>
      <c r="U71" s="214">
        <v>52</v>
      </c>
      <c r="V71" s="214">
        <v>52</v>
      </c>
      <c r="W71" s="214">
        <v>60</v>
      </c>
      <c r="X71" s="123">
        <f>+IF(H72="s",0,IF(AB71=0,0,IF(COUNTA(M71:W71)=AN73+0.25,SUMIF($C:$C,B71,$AB:$AB)/AN73,SUMIF($C:$C,B71,$AB:$AB)/(COUNTA(M71:W71)))))</f>
        <v>53.953488372093027</v>
      </c>
      <c r="Y71" s="439"/>
      <c r="Z71" s="400"/>
      <c r="AA71" s="541"/>
      <c r="AB71" s="134">
        <f t="shared" si="1"/>
        <v>580</v>
      </c>
      <c r="AC71" s="137">
        <f>+AB71+AD71</f>
        <v>4244</v>
      </c>
      <c r="AD71" s="137">
        <v>3664</v>
      </c>
      <c r="AE71" s="439">
        <v>0</v>
      </c>
      <c r="AF71" s="439">
        <f>+AE71+Y71</f>
        <v>0</v>
      </c>
      <c r="AG71" s="140">
        <f>+AC70-AC71</f>
        <v>1082</v>
      </c>
      <c r="AH71" s="131">
        <f>+IF(((AB72+(AB73/2))*60)=0,"",(J71*AB71)/((AB72+(AB73/2))*60))</f>
        <v>0.94639169226268838</v>
      </c>
      <c r="AI71" s="161">
        <f>+AB72+AB73/2</f>
        <v>569.75</v>
      </c>
      <c r="AJ71" s="161">
        <f t="shared" si="2"/>
        <v>569.45000000000005</v>
      </c>
      <c r="AK71" s="589">
        <f t="shared" si="3"/>
        <v>34185</v>
      </c>
      <c r="AL71" s="589">
        <f>+AB71*J71</f>
        <v>32352.400000000001</v>
      </c>
      <c r="AM71" s="230">
        <f>+AB71-(AI71*K71/K73)</f>
        <v>50.946428571428555</v>
      </c>
      <c r="AN71" s="339"/>
      <c r="AO71" s="340"/>
      <c r="AP71" s="167"/>
      <c r="AQ71" s="167"/>
      <c r="AR71" s="167"/>
      <c r="AS71" s="167"/>
      <c r="AT71" s="433">
        <f>-500+AB70</f>
        <v>100</v>
      </c>
      <c r="AU71" s="393">
        <v>2</v>
      </c>
      <c r="AW71" s="356">
        <v>1062</v>
      </c>
      <c r="AY71" s="356">
        <f t="shared" ref="AY71" si="48">+AW71-AG71</f>
        <v>-20</v>
      </c>
      <c r="AZ71" s="581"/>
      <c r="BA71" s="581"/>
      <c r="BB71" s="581"/>
      <c r="BC71" s="581"/>
      <c r="BD71" s="581"/>
      <c r="BE71" s="581"/>
      <c r="BF71" s="581"/>
      <c r="BG71" s="581"/>
      <c r="BH71" s="581"/>
      <c r="BI71" s="581"/>
    </row>
    <row r="72" spans="2:62" s="98" customFormat="1" ht="62.25" customHeight="1" x14ac:dyDescent="0.9">
      <c r="B72" s="125">
        <f>+B71</f>
        <v>15</v>
      </c>
      <c r="C72" s="373"/>
      <c r="D72" s="184"/>
      <c r="E72" s="111">
        <f>+B71</f>
        <v>15</v>
      </c>
      <c r="F72" s="377"/>
      <c r="G72" s="578" t="str">
        <f>+G71</f>
        <v>7740-876-052</v>
      </c>
      <c r="H72" s="376" t="s">
        <v>399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>
        <v>52</v>
      </c>
      <c r="N72" s="425">
        <v>52</v>
      </c>
      <c r="O72" s="425">
        <v>52</v>
      </c>
      <c r="P72" s="425">
        <v>52</v>
      </c>
      <c r="Q72" s="425">
        <v>52</v>
      </c>
      <c r="R72" s="425">
        <v>52</v>
      </c>
      <c r="S72" s="425">
        <v>52</v>
      </c>
      <c r="T72" s="425">
        <v>52</v>
      </c>
      <c r="U72" s="425">
        <v>52</v>
      </c>
      <c r="V72" s="425">
        <v>52</v>
      </c>
      <c r="W72" s="425">
        <v>52</v>
      </c>
      <c r="X72" s="160">
        <f>+IF(H72="l",IF(COUNTA(M71:W71)=AN73+0.25,AB71-K71*AN73,AB71-(K71*COUNTA(M71:W71))),IF(H72="s",0,IF(COUNTA(M71:W71)=AN73+0.25,SUMIF($C:$C,B71,$AB:$AB)-K71*AN73,SUMIF($C:$C,B71,$AB:$AB)-K71*COUNTA(M71:W71))))</f>
        <v>21</v>
      </c>
      <c r="Y72" s="440"/>
      <c r="Z72" s="400"/>
      <c r="AA72" s="541"/>
      <c r="AB72" s="443">
        <f t="shared" si="6"/>
        <v>559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589">
        <f t="shared" si="3"/>
        <v>0</v>
      </c>
      <c r="AL72" s="589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0</v>
      </c>
      <c r="AP72" s="167">
        <f>+AO72-AB72</f>
        <v>-559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126">
        <f>+B71</f>
        <v>15</v>
      </c>
      <c r="C73" s="375"/>
      <c r="D73" s="174" t="s">
        <v>93</v>
      </c>
      <c r="E73" s="175">
        <f>+E72+100</f>
        <v>115</v>
      </c>
      <c r="F73" s="175"/>
      <c r="G73" s="579" t="str">
        <f>+G72</f>
        <v>7740-876-052</v>
      </c>
      <c r="H73" s="454">
        <f>+AC70-H71</f>
        <v>-2374</v>
      </c>
      <c r="I73" s="397"/>
      <c r="J73" s="165">
        <f>+IF(K73="","",IF(K71=0,"",(K71*J71)/(K73*60)))</f>
        <v>0.86326190476190479</v>
      </c>
      <c r="K73" s="118">
        <v>56</v>
      </c>
      <c r="L73" s="104" t="s">
        <v>19</v>
      </c>
      <c r="M73" s="427">
        <v>2</v>
      </c>
      <c r="N73" s="427">
        <v>2</v>
      </c>
      <c r="O73" s="427">
        <v>2</v>
      </c>
      <c r="P73" s="427">
        <v>2</v>
      </c>
      <c r="Q73" s="427">
        <v>2</v>
      </c>
      <c r="R73" s="427">
        <v>2</v>
      </c>
      <c r="S73" s="427">
        <v>2</v>
      </c>
      <c r="T73" s="427">
        <v>2</v>
      </c>
      <c r="U73" s="427">
        <v>2</v>
      </c>
      <c r="V73" s="427">
        <v>2</v>
      </c>
      <c r="W73" s="427">
        <v>2</v>
      </c>
      <c r="X73" s="173"/>
      <c r="Y73" s="441"/>
      <c r="Z73" s="401">
        <v>11.961538461538462</v>
      </c>
      <c r="AA73" s="448">
        <v>11.961538461538462</v>
      </c>
      <c r="AB73" s="444">
        <f t="shared" si="6"/>
        <v>21.5</v>
      </c>
      <c r="AC73" s="139"/>
      <c r="AD73" s="139"/>
      <c r="AE73" s="441"/>
      <c r="AF73" s="441"/>
      <c r="AG73" s="119">
        <f>+IFERROR(AG71/(K71*$AT$3),"")</f>
        <v>2.378021978021978</v>
      </c>
      <c r="AH73" s="162"/>
      <c r="AI73" s="161"/>
      <c r="AJ73" s="161">
        <f t="shared" si="2"/>
        <v>0</v>
      </c>
      <c r="AK73" s="589">
        <f t="shared" si="3"/>
        <v>0</v>
      </c>
      <c r="AL73" s="589"/>
      <c r="AM73" s="230"/>
      <c r="AN73" s="342">
        <v>10.75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-21.5</v>
      </c>
      <c r="AQ73" s="167"/>
      <c r="AR73" s="167"/>
      <c r="AS73" s="167"/>
      <c r="AT73" s="435"/>
      <c r="AU73" s="393"/>
      <c r="AW73" s="356">
        <v>2.3340659340659342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77" t="s">
        <v>463</v>
      </c>
      <c r="H74" s="106"/>
      <c r="I74" s="106"/>
      <c r="J74" s="107" t="s">
        <v>20</v>
      </c>
      <c r="K74" s="108" t="s">
        <v>23</v>
      </c>
      <c r="L74" s="100" t="s">
        <v>21</v>
      </c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135" t="str">
        <f t="shared" ref="X74:X90" si="49">IF(AT75="","",SUM(M74:W74)-(-(AT75-SUM(M74:W74))/$AT$3)*SUM($M$2:$W$2))</f>
        <v/>
      </c>
      <c r="Y74" s="438"/>
      <c r="Z74" s="400">
        <v>0</v>
      </c>
      <c r="AA74" s="540">
        <f>+X76</f>
        <v>0</v>
      </c>
      <c r="AB74" s="135">
        <f t="shared" ref="AB74:AB91" si="50">+SUM(L74:W74)</f>
        <v>0</v>
      </c>
      <c r="AC74" s="136">
        <f>+AD74+AB74</f>
        <v>2169</v>
      </c>
      <c r="AD74" s="136">
        <v>2169</v>
      </c>
      <c r="AE74" s="438"/>
      <c r="AF74" s="438"/>
      <c r="AG74" s="109"/>
      <c r="AH74" s="110"/>
      <c r="AI74" s="157"/>
      <c r="AJ74" s="161">
        <f t="shared" si="2"/>
        <v>0</v>
      </c>
      <c r="AK74" s="589">
        <f t="shared" si="3"/>
        <v>0</v>
      </c>
      <c r="AL74" s="589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462</v>
      </c>
      <c r="E75" s="111"/>
      <c r="F75" s="111" t="s">
        <v>422</v>
      </c>
      <c r="G75" s="578" t="str">
        <f>+G74</f>
        <v>PIANO-Turquaz</v>
      </c>
      <c r="H75" s="450">
        <v>2155</v>
      </c>
      <c r="I75" s="111" t="s">
        <v>451</v>
      </c>
      <c r="J75" s="113">
        <v>33.86</v>
      </c>
      <c r="K75" s="130">
        <v>75</v>
      </c>
      <c r="L75" s="101" t="s">
        <v>17</v>
      </c>
      <c r="M75" s="214"/>
      <c r="N75" s="214"/>
      <c r="O75" s="214"/>
      <c r="P75" s="214"/>
      <c r="Q75" s="214"/>
      <c r="R75" s="214"/>
      <c r="S75" s="214"/>
      <c r="T75" s="214"/>
      <c r="U75" s="214"/>
      <c r="V75" s="424"/>
      <c r="W75" s="424"/>
      <c r="X75" s="123">
        <f>+IF(H76="s",0,IF(AB75=0,0,IF(COUNTA(M75:W75)=AN77+0.25,SUMIF($C:$C,B75,$AB:$AB)/AN77,SUMIF($C:$C,B75,$AB:$AB)/(COUNTA(M75:W75)))))</f>
        <v>0</v>
      </c>
      <c r="Y75" s="439"/>
      <c r="Z75" s="400"/>
      <c r="AA75" s="541"/>
      <c r="AB75" s="134">
        <f t="shared" si="50"/>
        <v>0</v>
      </c>
      <c r="AC75" s="137">
        <f>+AB75+AD75</f>
        <v>2095</v>
      </c>
      <c r="AD75" s="137">
        <v>2095</v>
      </c>
      <c r="AE75" s="439"/>
      <c r="AF75" s="439">
        <f>+AE75+Y75</f>
        <v>0</v>
      </c>
      <c r="AG75" s="140">
        <f>+AC74-AC75</f>
        <v>74</v>
      </c>
      <c r="AH75" s="131" t="str">
        <f>+IF(((AB76+(AB77/2))*60)=0,"",(J75*AB75)/((AB76+(AB77/2))*60))</f>
        <v/>
      </c>
      <c r="AI75" s="161">
        <f>+AB76+AB77/2</f>
        <v>0</v>
      </c>
      <c r="AJ75" s="161">
        <f t="shared" si="2"/>
        <v>0</v>
      </c>
      <c r="AK75" s="589">
        <f t="shared" si="3"/>
        <v>0</v>
      </c>
      <c r="AL75" s="589">
        <f>+AB75*J75</f>
        <v>0</v>
      </c>
      <c r="AM75" s="230">
        <f>+AB75-(AI75*K75/K77)</f>
        <v>0</v>
      </c>
      <c r="AN75" s="339"/>
      <c r="AO75" s="340"/>
      <c r="AP75" s="167"/>
      <c r="AQ75" s="167"/>
      <c r="AR75" s="167"/>
      <c r="AS75" s="167"/>
      <c r="AT75" s="433" t="str">
        <f t="shared" ref="AT75" si="51">IF(AU75=0,"",AW75-(($AT$3*K75)+($AT$3*K75)*AU75)+AB74)</f>
        <v/>
      </c>
      <c r="AU75" s="393"/>
      <c r="AW75" s="356">
        <v>74</v>
      </c>
      <c r="AY75" s="356">
        <f t="shared" ref="AY75" si="52">+AW75-AG75</f>
        <v>0</v>
      </c>
      <c r="AZ75" s="580"/>
      <c r="BA75" s="580"/>
      <c r="BB75" s="580"/>
      <c r="BC75" s="580"/>
      <c r="BD75" s="580"/>
      <c r="BE75" s="580"/>
      <c r="BF75" s="580"/>
      <c r="BG75" s="580"/>
      <c r="BH75" s="580"/>
      <c r="BI75" s="580"/>
      <c r="BJ75" s="580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78" t="str">
        <f>+G74</f>
        <v>PIANO-Turquaz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/>
      <c r="N76" s="425"/>
      <c r="O76" s="425"/>
      <c r="P76" s="425"/>
      <c r="Q76" s="425"/>
      <c r="R76" s="425"/>
      <c r="S76" s="425"/>
      <c r="T76" s="425"/>
      <c r="U76" s="425"/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0</v>
      </c>
      <c r="Y76" s="440"/>
      <c r="Z76" s="400"/>
      <c r="AA76" s="541"/>
      <c r="AB76" s="443">
        <f t="shared" si="6"/>
        <v>0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589">
        <f t="shared" si="3"/>
        <v>0</v>
      </c>
      <c r="AL76" s="589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0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79" t="str">
        <f>+G74</f>
        <v>PIANO-Turquaz</v>
      </c>
      <c r="H77" s="454">
        <f>+AC74-H75</f>
        <v>14</v>
      </c>
      <c r="I77" s="397"/>
      <c r="J77" s="165">
        <f>+IF(K77="","",IF(K75=0,"",(K75*J75)/(K77*60)))</f>
        <v>0.84650000000000003</v>
      </c>
      <c r="K77" s="118">
        <v>50</v>
      </c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169">
        <v>24.69</v>
      </c>
      <c r="AA77" s="169">
        <v>24.69</v>
      </c>
      <c r="AB77" s="444">
        <f t="shared" si="6"/>
        <v>0</v>
      </c>
      <c r="AC77" s="139"/>
      <c r="AD77" s="139"/>
      <c r="AE77" s="441"/>
      <c r="AF77" s="441"/>
      <c r="AG77" s="119">
        <f>+IFERROR(AG75/(K75*$AT$3),"")</f>
        <v>0.11276190476190476</v>
      </c>
      <c r="AH77" s="162"/>
      <c r="AI77" s="161"/>
      <c r="AJ77" s="161">
        <f t="shared" si="2"/>
        <v>0</v>
      </c>
      <c r="AK77" s="589">
        <f t="shared" si="3"/>
        <v>0</v>
      </c>
      <c r="AL77" s="589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>
        <v>0.11276190476190476</v>
      </c>
      <c r="AY77" s="356"/>
    </row>
    <row r="78" spans="2:62" s="98" customFormat="1" ht="62.25" customHeight="1" thickTop="1" x14ac:dyDescent="0.9">
      <c r="B78" s="127">
        <f>+B79</f>
        <v>16</v>
      </c>
      <c r="C78" s="370"/>
      <c r="D78" s="106"/>
      <c r="E78" s="106"/>
      <c r="F78" s="106"/>
      <c r="G78" s="577" t="s">
        <v>472</v>
      </c>
      <c r="H78" s="106"/>
      <c r="I78" s="106"/>
      <c r="J78" s="107" t="s">
        <v>20</v>
      </c>
      <c r="K78" s="108" t="s">
        <v>23</v>
      </c>
      <c r="L78" s="100" t="s">
        <v>21</v>
      </c>
      <c r="M78" s="423">
        <v>100</v>
      </c>
      <c r="N78" s="423">
        <v>50</v>
      </c>
      <c r="O78" s="423">
        <v>100</v>
      </c>
      <c r="P78" s="423"/>
      <c r="Q78" s="423">
        <v>50</v>
      </c>
      <c r="R78" s="423"/>
      <c r="S78" s="423">
        <v>50</v>
      </c>
      <c r="T78" s="423"/>
      <c r="U78" s="423"/>
      <c r="V78" s="423"/>
      <c r="W78" s="423"/>
      <c r="X78" s="135">
        <f t="shared" si="49"/>
        <v>350</v>
      </c>
      <c r="Y78" s="438"/>
      <c r="Z78" s="400">
        <v>-143</v>
      </c>
      <c r="AA78" s="540">
        <f>+X80</f>
        <v>-114</v>
      </c>
      <c r="AB78" s="135">
        <f t="shared" si="50"/>
        <v>350</v>
      </c>
      <c r="AC78" s="136">
        <f>+AD78+AB78</f>
        <v>2401</v>
      </c>
      <c r="AD78" s="136">
        <v>2051</v>
      </c>
      <c r="AE78" s="438"/>
      <c r="AF78" s="438"/>
      <c r="AG78" s="109"/>
      <c r="AH78" s="110"/>
      <c r="AI78" s="157"/>
      <c r="AJ78" s="161">
        <f t="shared" si="2"/>
        <v>0</v>
      </c>
      <c r="AK78" s="589">
        <f t="shared" si="3"/>
        <v>0</v>
      </c>
      <c r="AL78" s="589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3">
        <v>16</v>
      </c>
      <c r="C79" s="371">
        <f>+B79</f>
        <v>16</v>
      </c>
      <c r="D79" s="372" t="s">
        <v>473</v>
      </c>
      <c r="E79" s="111"/>
      <c r="F79" s="111" t="s">
        <v>35</v>
      </c>
      <c r="G79" s="578" t="str">
        <f>+G78</f>
        <v>7674-739-401</v>
      </c>
      <c r="H79" s="450">
        <v>8333</v>
      </c>
      <c r="I79" s="111" t="s">
        <v>251</v>
      </c>
      <c r="J79" s="113">
        <v>34.549999999999997</v>
      </c>
      <c r="K79" s="130">
        <v>60</v>
      </c>
      <c r="L79" s="101" t="s">
        <v>17</v>
      </c>
      <c r="M79" s="214">
        <v>45</v>
      </c>
      <c r="N79" s="214">
        <v>50</v>
      </c>
      <c r="O79" s="214">
        <v>50</v>
      </c>
      <c r="P79" s="214">
        <v>50</v>
      </c>
      <c r="Q79" s="214">
        <v>50</v>
      </c>
      <c r="R79" s="214">
        <v>50</v>
      </c>
      <c r="S79" s="214">
        <v>50</v>
      </c>
      <c r="T79" s="214">
        <v>50</v>
      </c>
      <c r="U79" s="214">
        <v>16</v>
      </c>
      <c r="V79" s="214"/>
      <c r="W79" s="424"/>
      <c r="X79" s="123">
        <f>+IF(H80="s",0,IF(AB79=0,0,IF(COUNTA(M79:W79)=AN81+0.25,SUMIF($C:$C,B79,$AB:$AB)/AN81,SUMIF($C:$C,B79,$AB:$AB)/(COUNTA(M79:W79)))))</f>
        <v>46.971428571428568</v>
      </c>
      <c r="Y79" s="439"/>
      <c r="Z79" s="400"/>
      <c r="AA79" s="541"/>
      <c r="AB79" s="134">
        <f t="shared" si="50"/>
        <v>411</v>
      </c>
      <c r="AC79" s="137">
        <f>+AB79+AD79</f>
        <v>1503</v>
      </c>
      <c r="AD79" s="137">
        <v>1092</v>
      </c>
      <c r="AE79" s="439"/>
      <c r="AF79" s="439">
        <f>+AE79+Y79</f>
        <v>0</v>
      </c>
      <c r="AG79" s="140">
        <f>+AC78-AC79</f>
        <v>898</v>
      </c>
      <c r="AH79" s="131">
        <f>+IF(((AB80+(AB81/2))*60)=0,"",(J79*AB79)/((AB80+(AB81/2))*60))</f>
        <v>0.6217865353037767</v>
      </c>
      <c r="AI79" s="161">
        <f>+AB80+AB81/2</f>
        <v>380.625</v>
      </c>
      <c r="AJ79" s="161">
        <f t="shared" si="2"/>
        <v>380.375</v>
      </c>
      <c r="AK79" s="589">
        <f t="shared" si="3"/>
        <v>22837.5</v>
      </c>
      <c r="AL79" s="589">
        <f>+AB79*J79</f>
        <v>14200.05</v>
      </c>
      <c r="AM79" s="230">
        <f>+AB79-(AI79*K79/K81)</f>
        <v>-159.9375</v>
      </c>
      <c r="AN79" s="339"/>
      <c r="AO79" s="340"/>
      <c r="AP79" s="167"/>
      <c r="AQ79" s="167"/>
      <c r="AR79" s="167"/>
      <c r="AS79" s="167"/>
      <c r="AT79" s="433">
        <f t="shared" ref="AT79" si="53">IF(AU79=0,"",AW79-(($AT$3*K79)+($AT$3*K79)*AU79)+AB78)</f>
        <v>1.75</v>
      </c>
      <c r="AU79" s="393">
        <v>1.49</v>
      </c>
      <c r="AW79" s="356">
        <v>959</v>
      </c>
      <c r="AY79" s="356">
        <f t="shared" ref="AY79" si="54">+AW79-AG79</f>
        <v>61</v>
      </c>
      <c r="AZ79" s="580"/>
      <c r="BA79" s="580"/>
      <c r="BB79" s="580"/>
      <c r="BC79" s="580"/>
      <c r="BD79" s="580"/>
      <c r="BE79" s="580"/>
      <c r="BF79" s="580"/>
      <c r="BG79" s="580"/>
      <c r="BH79" s="580"/>
      <c r="BI79" s="580"/>
      <c r="BJ79" s="580"/>
    </row>
    <row r="80" spans="2:62" s="98" customFormat="1" ht="62.25" customHeight="1" x14ac:dyDescent="0.9">
      <c r="B80" s="125">
        <f>+B79</f>
        <v>16</v>
      </c>
      <c r="C80" s="373"/>
      <c r="D80" s="184"/>
      <c r="E80" s="111">
        <f>+B79</f>
        <v>16</v>
      </c>
      <c r="F80" s="374"/>
      <c r="G80" s="578" t="str">
        <f>+G78</f>
        <v>7674-739-401</v>
      </c>
      <c r="H80" s="376" t="s">
        <v>400</v>
      </c>
      <c r="I80" s="113">
        <f>+IFERROR(IF(K81=0,0,IF((LOOKUP(2,1/(M80:W80&lt;&gt;""),M80:W80)-K81)&lt;0,0,IF(K81=0,"",LOOKUP(2,1/(M80:W80&lt;&gt;""),M80:W80)-K81))),0)</f>
        <v>3</v>
      </c>
      <c r="J80" s="113"/>
      <c r="K80" s="114" t="s">
        <v>22</v>
      </c>
      <c r="L80" s="102" t="s">
        <v>18</v>
      </c>
      <c r="M80" s="425">
        <v>43</v>
      </c>
      <c r="N80" s="425">
        <v>43</v>
      </c>
      <c r="O80" s="425">
        <v>43</v>
      </c>
      <c r="P80" s="425">
        <v>43</v>
      </c>
      <c r="Q80" s="425">
        <v>43</v>
      </c>
      <c r="R80" s="425">
        <v>43</v>
      </c>
      <c r="S80" s="425">
        <v>43</v>
      </c>
      <c r="T80" s="425">
        <v>43</v>
      </c>
      <c r="U80" s="425">
        <v>43</v>
      </c>
      <c r="V80" s="425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-114</v>
      </c>
      <c r="Y80" s="440"/>
      <c r="Z80" s="400"/>
      <c r="AA80" s="541"/>
      <c r="AB80" s="443">
        <f t="shared" ref="AB80:AB93" si="55">+SUM(M80:W80)-U80*0.25</f>
        <v>376.25</v>
      </c>
      <c r="AC80" s="341"/>
      <c r="AD80" s="341"/>
      <c r="AE80" s="440"/>
      <c r="AF80" s="440"/>
      <c r="AG80" s="115"/>
      <c r="AH80" s="116"/>
      <c r="AI80" s="157"/>
      <c r="AJ80" s="161">
        <f t="shared" si="2"/>
        <v>0</v>
      </c>
      <c r="AK80" s="589">
        <f t="shared" si="3"/>
        <v>0</v>
      </c>
      <c r="AL80" s="589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376.25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343">
        <f>+B79</f>
        <v>16</v>
      </c>
      <c r="C81" s="375"/>
      <c r="D81" s="378" t="s">
        <v>152</v>
      </c>
      <c r="E81" s="175">
        <f>+E80+100</f>
        <v>116</v>
      </c>
      <c r="F81" s="175"/>
      <c r="G81" s="579" t="str">
        <f>+G78</f>
        <v>7674-739-401</v>
      </c>
      <c r="H81" s="454">
        <f>+AC78-H79</f>
        <v>-5932</v>
      </c>
      <c r="I81" s="397"/>
      <c r="J81" s="165">
        <f>+IF(K81="","",IF(K79=0,"",(K79*J79)/(K81*60)))</f>
        <v>0.86375000000000002</v>
      </c>
      <c r="K81" s="118">
        <v>40</v>
      </c>
      <c r="L81" s="104" t="s">
        <v>19</v>
      </c>
      <c r="M81" s="427">
        <v>1</v>
      </c>
      <c r="N81" s="427">
        <v>1</v>
      </c>
      <c r="O81" s="427">
        <v>1</v>
      </c>
      <c r="P81" s="427">
        <v>1</v>
      </c>
      <c r="Q81" s="427">
        <v>1</v>
      </c>
      <c r="R81" s="427">
        <v>1</v>
      </c>
      <c r="S81" s="427">
        <v>1</v>
      </c>
      <c r="T81" s="427">
        <v>1</v>
      </c>
      <c r="U81" s="427">
        <v>1</v>
      </c>
      <c r="V81" s="427"/>
      <c r="W81" s="428"/>
      <c r="X81" s="173"/>
      <c r="Y81" s="441"/>
      <c r="Z81" s="401">
        <v>10.0867</v>
      </c>
      <c r="AA81" s="168">
        <f>+IF(COUNTA(M79:W79)=$AM$4+0.25,$AM$4-(AB79/K79),COUNTA(M79:W79)-(AB79/K79))+Z81</f>
        <v>11.986700000000001</v>
      </c>
      <c r="AB81" s="444">
        <f t="shared" si="55"/>
        <v>8.75</v>
      </c>
      <c r="AC81" s="139"/>
      <c r="AD81" s="139"/>
      <c r="AE81" s="441"/>
      <c r="AF81" s="441"/>
      <c r="AG81" s="119">
        <f>+IFERROR(AG79/(K79*$AT$3),"")</f>
        <v>1.7104761904761905</v>
      </c>
      <c r="AH81" s="162"/>
      <c r="AI81" s="161"/>
      <c r="AJ81" s="161">
        <f t="shared" si="2"/>
        <v>0</v>
      </c>
      <c r="AK81" s="589">
        <f t="shared" si="3"/>
        <v>0</v>
      </c>
      <c r="AL81" s="589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8.75</v>
      </c>
      <c r="AP81" s="167">
        <f>+AO81-AB81</f>
        <v>0</v>
      </c>
      <c r="AQ81" s="167"/>
      <c r="AR81" s="167"/>
      <c r="AS81" s="167"/>
      <c r="AT81" s="435"/>
      <c r="AU81" s="393"/>
      <c r="AW81" s="356">
        <v>1.8266666666666667</v>
      </c>
      <c r="AY81" s="356"/>
    </row>
    <row r="82" spans="2:51" s="98" customFormat="1" ht="62.25" customHeight="1" thickTop="1" x14ac:dyDescent="0.9">
      <c r="B82" s="97">
        <f>+B83</f>
        <v>17</v>
      </c>
      <c r="C82" s="370"/>
      <c r="D82" s="106"/>
      <c r="E82" s="106"/>
      <c r="F82" s="106"/>
      <c r="G82" s="577" t="s">
        <v>436</v>
      </c>
      <c r="H82" s="106"/>
      <c r="I82" s="111"/>
      <c r="J82" s="107" t="s">
        <v>20</v>
      </c>
      <c r="K82" s="108" t="s">
        <v>23</v>
      </c>
      <c r="L82" s="100" t="s">
        <v>21</v>
      </c>
      <c r="M82" s="423">
        <v>60</v>
      </c>
      <c r="N82" s="423">
        <v>60</v>
      </c>
      <c r="O82" s="423">
        <v>120</v>
      </c>
      <c r="P82" s="423">
        <v>120</v>
      </c>
      <c r="Q82" s="423">
        <v>120</v>
      </c>
      <c r="R82" s="423"/>
      <c r="S82" s="423"/>
      <c r="T82" s="423"/>
      <c r="U82" s="423"/>
      <c r="V82" s="423"/>
      <c r="W82" s="423"/>
      <c r="X82" s="135">
        <f t="shared" si="49"/>
        <v>480</v>
      </c>
      <c r="Y82" s="438"/>
      <c r="Z82" s="400">
        <v>0.25</v>
      </c>
      <c r="AA82" s="540">
        <f>+X84</f>
        <v>0.25</v>
      </c>
      <c r="AB82" s="135">
        <f t="shared" si="50"/>
        <v>480</v>
      </c>
      <c r="AC82" s="136">
        <f>+AD82+AB82</f>
        <v>9362</v>
      </c>
      <c r="AD82" s="136">
        <v>8882</v>
      </c>
      <c r="AE82" s="438"/>
      <c r="AF82" s="438"/>
      <c r="AG82" s="109"/>
      <c r="AH82" s="110"/>
      <c r="AI82" s="157"/>
      <c r="AJ82" s="161">
        <f t="shared" si="2"/>
        <v>0</v>
      </c>
      <c r="AK82" s="589">
        <f t="shared" si="3"/>
        <v>0</v>
      </c>
      <c r="AL82" s="589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2">
        <v>17</v>
      </c>
      <c r="C83" s="371">
        <f>+B83</f>
        <v>17</v>
      </c>
      <c r="D83" s="372" t="s">
        <v>435</v>
      </c>
      <c r="E83" s="111"/>
      <c r="F83" s="111" t="s">
        <v>35</v>
      </c>
      <c r="G83" s="578" t="str">
        <f>+G82</f>
        <v>2628-510-630</v>
      </c>
      <c r="H83" s="450">
        <v>10010</v>
      </c>
      <c r="I83" s="111" t="s">
        <v>33</v>
      </c>
      <c r="J83" s="113">
        <v>44.34</v>
      </c>
      <c r="K83" s="130">
        <v>53</v>
      </c>
      <c r="L83" s="101" t="s">
        <v>17</v>
      </c>
      <c r="M83" s="214">
        <v>53</v>
      </c>
      <c r="N83" s="214">
        <v>53</v>
      </c>
      <c r="O83" s="214">
        <v>53</v>
      </c>
      <c r="P83" s="214">
        <v>53</v>
      </c>
      <c r="Q83" s="214">
        <v>53</v>
      </c>
      <c r="R83" s="214">
        <v>53</v>
      </c>
      <c r="S83" s="214">
        <v>53</v>
      </c>
      <c r="T83" s="214">
        <v>53</v>
      </c>
      <c r="U83" s="214">
        <v>40</v>
      </c>
      <c r="V83" s="214"/>
      <c r="W83" s="424"/>
      <c r="X83" s="123">
        <f>+IF(H84="s",0,IF(AB83=0,0,IF(COUNTA(M83:W83)=AN85+0.25,SUMIF($C:$C,B83,$AB:$AB)/AN85,SUMIF($C:$C,B83,$AB:$AB)/(COUNTA(M83:W83)))))</f>
        <v>53.028571428571432</v>
      </c>
      <c r="Y83" s="439"/>
      <c r="Z83" s="400"/>
      <c r="AA83" s="541"/>
      <c r="AB83" s="134">
        <f t="shared" si="50"/>
        <v>464</v>
      </c>
      <c r="AC83" s="137">
        <f>+AB83+AD83</f>
        <v>8664</v>
      </c>
      <c r="AD83" s="137">
        <v>8200</v>
      </c>
      <c r="AE83" s="439">
        <v>0</v>
      </c>
      <c r="AF83" s="439">
        <f>+AE83+Y83</f>
        <v>0</v>
      </c>
      <c r="AG83" s="140">
        <f>+AC82-AC83</f>
        <v>698</v>
      </c>
      <c r="AH83" s="131">
        <f>+IF(((AB84+(AB85/2))*60)=0,"",(J83*AB83)/((AB84+(AB85/2))*60))</f>
        <v>0.8270027132951463</v>
      </c>
      <c r="AI83" s="161">
        <f>+AB84+AB85/2</f>
        <v>414.625</v>
      </c>
      <c r="AJ83" s="161">
        <f t="shared" si="2"/>
        <v>414.375</v>
      </c>
      <c r="AK83" s="589">
        <f t="shared" si="3"/>
        <v>24877.5</v>
      </c>
      <c r="AL83" s="589">
        <f>+AB83*J83</f>
        <v>20573.760000000002</v>
      </c>
      <c r="AM83" s="230">
        <f>+AB83-(AI83*K83/K85)</f>
        <v>-13.720108695652186</v>
      </c>
      <c r="AN83" s="339"/>
      <c r="AO83" s="340"/>
      <c r="AP83" s="167"/>
      <c r="AQ83" s="167"/>
      <c r="AR83" s="167"/>
      <c r="AS83" s="167"/>
      <c r="AT83" s="433">
        <f t="shared" ref="AT83:AT86" si="56">IF(AU83=0,"",AW83-(($AT$3*K83)+($AT$3*K83)*AU83)+AB82)</f>
        <v>2.625</v>
      </c>
      <c r="AU83" s="393">
        <v>1.5</v>
      </c>
      <c r="AW83" s="356">
        <v>682</v>
      </c>
      <c r="AY83" s="356">
        <f t="shared" ref="AY83" si="57">+AW83-AG83</f>
        <v>-16</v>
      </c>
    </row>
    <row r="84" spans="2:51" s="98" customFormat="1" ht="62.25" customHeight="1" x14ac:dyDescent="0.9">
      <c r="B84" s="125">
        <f>+B83</f>
        <v>17</v>
      </c>
      <c r="C84" s="373"/>
      <c r="D84" s="184"/>
      <c r="E84" s="111">
        <f>+B83</f>
        <v>17</v>
      </c>
      <c r="F84" s="374"/>
      <c r="G84" s="578" t="str">
        <f>+G82</f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1</v>
      </c>
      <c r="J84" s="113"/>
      <c r="K84" s="114" t="s">
        <v>22</v>
      </c>
      <c r="L84" s="102" t="s">
        <v>18</v>
      </c>
      <c r="M84" s="425">
        <v>46</v>
      </c>
      <c r="N84" s="425">
        <v>47</v>
      </c>
      <c r="O84" s="425">
        <v>47</v>
      </c>
      <c r="P84" s="425">
        <v>47</v>
      </c>
      <c r="Q84" s="425">
        <v>47</v>
      </c>
      <c r="R84" s="425">
        <v>47</v>
      </c>
      <c r="S84" s="425">
        <v>47</v>
      </c>
      <c r="T84" s="425">
        <v>47</v>
      </c>
      <c r="U84" s="425">
        <v>47</v>
      </c>
      <c r="V84" s="426"/>
      <c r="W84" s="426"/>
      <c r="X84" s="160">
        <f>+IF(H84="l",IF(COUNTA(M83:W83)=AN85+0.25,AB83-K83*AN85,AB83-(K83*COUNTA(M83:W83))),IF(H84="s",0,IF(COUNTA(M83:W83)=AN85+0.25,SUMIF($C:$C,B83,$AB:$AB)-K83*AN85,SUMIF($C:$C,B83,$AB:$AB)-K83*COUNTA(M83:W83))))</f>
        <v>0.25</v>
      </c>
      <c r="Y84" s="440"/>
      <c r="Z84" s="400"/>
      <c r="AA84" s="541"/>
      <c r="AB84" s="443">
        <f t="shared" si="55"/>
        <v>410.25</v>
      </c>
      <c r="AC84" s="341"/>
      <c r="AD84" s="341"/>
      <c r="AE84" s="440"/>
      <c r="AF84" s="440"/>
      <c r="AG84" s="115"/>
      <c r="AH84" s="116"/>
      <c r="AI84" s="157"/>
      <c r="AJ84" s="161">
        <f t="shared" si="2"/>
        <v>0</v>
      </c>
      <c r="AK84" s="589">
        <f t="shared" si="3"/>
        <v>0</v>
      </c>
      <c r="AL84" s="589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410.25</v>
      </c>
      <c r="AP84" s="167">
        <f>+AO84-AB84</f>
        <v>0</v>
      </c>
      <c r="AQ84" s="167"/>
      <c r="AR84" s="167"/>
      <c r="AS84" s="167"/>
      <c r="AT84" s="434" t="str">
        <f t="shared" si="56"/>
        <v/>
      </c>
      <c r="AU84" s="393"/>
      <c r="AW84" s="356"/>
      <c r="AY84" s="356"/>
    </row>
    <row r="85" spans="2:51" s="98" customFormat="1" ht="62.25" customHeight="1" thickBot="1" x14ac:dyDescent="0.95">
      <c r="B85" s="126">
        <f>+B83</f>
        <v>17</v>
      </c>
      <c r="C85" s="375"/>
      <c r="D85" s="174" t="s">
        <v>379</v>
      </c>
      <c r="E85" s="175">
        <f>+E84+100</f>
        <v>117</v>
      </c>
      <c r="F85" s="175"/>
      <c r="G85" s="579" t="str">
        <f>+G82</f>
        <v>2628-510-630</v>
      </c>
      <c r="H85" s="454">
        <f>+AC82-H83</f>
        <v>-648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7">
        <v>1</v>
      </c>
      <c r="N85" s="427">
        <v>1</v>
      </c>
      <c r="O85" s="427">
        <v>1</v>
      </c>
      <c r="P85" s="427">
        <v>1</v>
      </c>
      <c r="Q85" s="427">
        <v>1</v>
      </c>
      <c r="R85" s="427">
        <v>1</v>
      </c>
      <c r="S85" s="427">
        <v>1</v>
      </c>
      <c r="T85" s="427">
        <v>1</v>
      </c>
      <c r="U85" s="427">
        <v>1</v>
      </c>
      <c r="V85" s="428"/>
      <c r="W85" s="428"/>
      <c r="X85" s="173"/>
      <c r="Y85" s="441"/>
      <c r="Z85" s="401">
        <v>41.323268679526997</v>
      </c>
      <c r="AA85" s="169">
        <v>41.323268679526997</v>
      </c>
      <c r="AB85" s="444">
        <f t="shared" si="55"/>
        <v>8.75</v>
      </c>
      <c r="AC85" s="139"/>
      <c r="AD85" s="139"/>
      <c r="AE85" s="441"/>
      <c r="AF85" s="441"/>
      <c r="AG85" s="119">
        <f>+IFERROR(AG83/(K83*$AT$3),"")</f>
        <v>1.5051212938005392</v>
      </c>
      <c r="AH85" s="162"/>
      <c r="AI85" s="161"/>
      <c r="AJ85" s="161">
        <f t="shared" si="2"/>
        <v>0</v>
      </c>
      <c r="AK85" s="589">
        <f t="shared" si="3"/>
        <v>0</v>
      </c>
      <c r="AL85" s="589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8.75</v>
      </c>
      <c r="AP85" s="167">
        <f>+AO85-AB85</f>
        <v>0</v>
      </c>
      <c r="AQ85" s="167"/>
      <c r="AR85" s="167"/>
      <c r="AS85" s="167"/>
      <c r="AT85" s="435" t="str">
        <f t="shared" si="56"/>
        <v/>
      </c>
      <c r="AU85" s="393"/>
      <c r="AW85" s="356">
        <v>1.4706199460916443</v>
      </c>
      <c r="AY85" s="356"/>
    </row>
    <row r="86" spans="2:51" s="98" customFormat="1" ht="62.25" customHeight="1" thickTop="1" x14ac:dyDescent="0.9">
      <c r="B86" s="127">
        <f>+B87</f>
        <v>18</v>
      </c>
      <c r="C86" s="370"/>
      <c r="D86" s="106"/>
      <c r="E86" s="106"/>
      <c r="F86" s="106"/>
      <c r="G86" s="577" t="s">
        <v>436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60</v>
      </c>
      <c r="N86" s="423">
        <v>120</v>
      </c>
      <c r="O86" s="423">
        <v>60</v>
      </c>
      <c r="P86" s="423">
        <v>60</v>
      </c>
      <c r="Q86" s="423">
        <v>60</v>
      </c>
      <c r="R86" s="423">
        <v>120</v>
      </c>
      <c r="S86" s="423">
        <v>60</v>
      </c>
      <c r="T86" s="423"/>
      <c r="U86" s="423"/>
      <c r="V86" s="423"/>
      <c r="W86" s="423"/>
      <c r="X86" s="135">
        <f t="shared" si="49"/>
        <v>540</v>
      </c>
      <c r="Y86" s="438"/>
      <c r="Z86" s="400">
        <v>4.25</v>
      </c>
      <c r="AA86" s="540">
        <f>+X88</f>
        <v>-71.75</v>
      </c>
      <c r="AB86" s="135">
        <f t="shared" si="50"/>
        <v>540</v>
      </c>
      <c r="AC86" s="136">
        <f>+AD86+AB86</f>
        <v>10340</v>
      </c>
      <c r="AD86" s="136">
        <v>9800</v>
      </c>
      <c r="AE86" s="438"/>
      <c r="AF86" s="438"/>
      <c r="AG86" s="109"/>
      <c r="AH86" s="110"/>
      <c r="AI86" s="157"/>
      <c r="AJ86" s="161">
        <f t="shared" ref="AJ86:AJ97" si="58">TRUNC(AI86)+(AI86-TRUNC(AI86))*60/100</f>
        <v>0</v>
      </c>
      <c r="AK86" s="589">
        <f t="shared" ref="AK86:AK97" si="59">+AI86*60</f>
        <v>0</v>
      </c>
      <c r="AL86" s="589"/>
      <c r="AM86" s="167"/>
      <c r="AN86" s="339"/>
      <c r="AO86" s="340"/>
      <c r="AP86" s="167"/>
      <c r="AQ86" s="167"/>
      <c r="AR86" s="167"/>
      <c r="AS86" s="167"/>
      <c r="AT86" s="433" t="str">
        <f t="shared" si="56"/>
        <v/>
      </c>
      <c r="AU86" s="393"/>
      <c r="AW86" s="356"/>
      <c r="AY86" s="356"/>
    </row>
    <row r="87" spans="2:51" s="98" customFormat="1" ht="62.25" customHeight="1" x14ac:dyDescent="0.9">
      <c r="B87" s="133">
        <v>18</v>
      </c>
      <c r="C87" s="371">
        <f>+B87</f>
        <v>18</v>
      </c>
      <c r="D87" s="372" t="s">
        <v>435</v>
      </c>
      <c r="E87" s="111"/>
      <c r="F87" s="111" t="s">
        <v>35</v>
      </c>
      <c r="G87" s="578" t="str">
        <f t="shared" ref="G87:G93" si="60">+G86</f>
        <v>2628-510-630</v>
      </c>
      <c r="H87" s="450">
        <v>10800</v>
      </c>
      <c r="I87" s="111" t="s">
        <v>33</v>
      </c>
      <c r="J87" s="113">
        <v>44.34</v>
      </c>
      <c r="K87" s="130">
        <v>53</v>
      </c>
      <c r="L87" s="101" t="s">
        <v>17</v>
      </c>
      <c r="M87" s="424">
        <v>23</v>
      </c>
      <c r="N87" s="424">
        <v>33</v>
      </c>
      <c r="O87" s="424">
        <v>54</v>
      </c>
      <c r="P87" s="424">
        <v>30</v>
      </c>
      <c r="Q87" s="424">
        <v>54</v>
      </c>
      <c r="R87" s="424">
        <v>53</v>
      </c>
      <c r="S87" s="424">
        <v>53</v>
      </c>
      <c r="T87" s="424">
        <v>53</v>
      </c>
      <c r="U87" s="424">
        <v>39</v>
      </c>
      <c r="V87" s="424"/>
      <c r="W87" s="424"/>
      <c r="X87" s="123">
        <f>+IF(H88="s",0,IF(AB87=0,0,IF(COUNTA(M87:W87)=AN89+0.25,SUMIF($C:$C,B87,$AB:$AB)/AN89,SUMIF($C:$C,B87,$AB:$AB)/(COUNTA(M87:W87)))))</f>
        <v>44.8</v>
      </c>
      <c r="Y87" s="439"/>
      <c r="Z87" s="400"/>
      <c r="AA87" s="541"/>
      <c r="AB87" s="134">
        <f t="shared" si="50"/>
        <v>392</v>
      </c>
      <c r="AC87" s="137">
        <f>+AB87+AD87</f>
        <v>9526</v>
      </c>
      <c r="AD87" s="137">
        <v>9134</v>
      </c>
      <c r="AE87" s="439">
        <v>0</v>
      </c>
      <c r="AF87" s="439">
        <f>+AE87+Y87</f>
        <v>0</v>
      </c>
      <c r="AG87" s="140">
        <f>+AC86-AC87</f>
        <v>814</v>
      </c>
      <c r="AH87" s="131">
        <f>+IF(((AB88+(AB89/2))*60)=0,"",(J87*AB87)/((AB88+(AB89/2))*60))</f>
        <v>0.71373698798891294</v>
      </c>
      <c r="AI87" s="161">
        <f>+AB88+AB89/2</f>
        <v>405.875</v>
      </c>
      <c r="AJ87" s="161">
        <f t="shared" si="58"/>
        <v>405.52499999999998</v>
      </c>
      <c r="AK87" s="589">
        <f t="shared" si="59"/>
        <v>24352.5</v>
      </c>
      <c r="AL87" s="589">
        <f>+AB87*J87</f>
        <v>17381.280000000002</v>
      </c>
      <c r="AM87" s="230">
        <f>+AB87-(AI87*K87/K89)</f>
        <v>-75.638586956521749</v>
      </c>
      <c r="AN87" s="339"/>
      <c r="AO87" s="340"/>
      <c r="AP87" s="167"/>
      <c r="AQ87" s="167"/>
      <c r="AR87" s="167"/>
      <c r="AS87" s="167"/>
      <c r="AT87" s="433">
        <f t="shared" ref="AT87" si="61">IF(AU87=0,"",AW87-(($AT$3*K87)+($AT$3*K87)*AU87)+AB86)</f>
        <v>18.799999999999955</v>
      </c>
      <c r="AU87" s="393">
        <v>1.56</v>
      </c>
      <c r="AW87" s="356">
        <v>666</v>
      </c>
      <c r="AY87" s="356">
        <f t="shared" ref="AY87" si="62">+AW87-AG87</f>
        <v>-148</v>
      </c>
    </row>
    <row r="88" spans="2:51" s="98" customFormat="1" ht="62.25" customHeight="1" x14ac:dyDescent="0.9">
      <c r="B88" s="125">
        <f>+B87</f>
        <v>18</v>
      </c>
      <c r="C88" s="373"/>
      <c r="D88" s="184"/>
      <c r="E88" s="111">
        <f>+B87</f>
        <v>18</v>
      </c>
      <c r="F88" s="374"/>
      <c r="G88" s="578" t="str">
        <f t="shared" si="60"/>
        <v>2628-510-630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25">
        <v>45</v>
      </c>
      <c r="N88" s="425">
        <v>46</v>
      </c>
      <c r="O88" s="425">
        <v>46</v>
      </c>
      <c r="P88" s="425">
        <v>46</v>
      </c>
      <c r="Q88" s="425">
        <v>46</v>
      </c>
      <c r="R88" s="425">
        <v>46</v>
      </c>
      <c r="S88" s="425">
        <v>46</v>
      </c>
      <c r="T88" s="425">
        <v>46</v>
      </c>
      <c r="U88" s="425">
        <v>46</v>
      </c>
      <c r="V88" s="425"/>
      <c r="W88" s="425"/>
      <c r="X88" s="160">
        <f>+IF(H88="l",IF(COUNTA(M87:W87)=AN89+0.25,AB87-K87*AN89,AB87-(K87*COUNTA(M87:W87))),IF(H88="s",0,IF(COUNTA(M87:W87)=AN89+0.25,SUMIF($C:$C,B87,$AB:$AB)-K87*AN89,SUMIF($C:$C,B87,$AB:$AB)-K87*COUNTA(M87:W87))))</f>
        <v>-71.75</v>
      </c>
      <c r="Y88" s="440"/>
      <c r="Z88" s="400"/>
      <c r="AA88" s="541"/>
      <c r="AB88" s="443">
        <f t="shared" si="55"/>
        <v>401.5</v>
      </c>
      <c r="AC88" s="138"/>
      <c r="AD88" s="138"/>
      <c r="AE88" s="442"/>
      <c r="AF88" s="440"/>
      <c r="AG88" s="115"/>
      <c r="AH88" s="116"/>
      <c r="AI88" s="157"/>
      <c r="AJ88" s="161">
        <f t="shared" si="58"/>
        <v>0</v>
      </c>
      <c r="AK88" s="589">
        <f t="shared" si="59"/>
        <v>0</v>
      </c>
      <c r="AL88" s="589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401.5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18</v>
      </c>
      <c r="C89" s="375"/>
      <c r="D89" s="378" t="s">
        <v>406</v>
      </c>
      <c r="E89" s="175">
        <f>+E88+100</f>
        <v>118</v>
      </c>
      <c r="F89" s="175"/>
      <c r="G89" s="579" t="str">
        <f t="shared" si="60"/>
        <v>2628-510-630</v>
      </c>
      <c r="H89" s="454">
        <f>+AC86-H87</f>
        <v>-460</v>
      </c>
      <c r="I89" s="397"/>
      <c r="J89" s="165">
        <f>+IF(K89="","",IF(K87=0,"",(K87*J87)/(K89*60)))</f>
        <v>0.85145652173913045</v>
      </c>
      <c r="K89" s="118">
        <v>46</v>
      </c>
      <c r="L89" s="104" t="s">
        <v>19</v>
      </c>
      <c r="M89" s="428">
        <v>1</v>
      </c>
      <c r="N89" s="428">
        <v>1</v>
      </c>
      <c r="O89" s="428">
        <v>1</v>
      </c>
      <c r="P89" s="428">
        <v>1</v>
      </c>
      <c r="Q89" s="428">
        <v>1</v>
      </c>
      <c r="R89" s="428">
        <v>1</v>
      </c>
      <c r="S89" s="428">
        <v>1</v>
      </c>
      <c r="T89" s="428">
        <v>1</v>
      </c>
      <c r="U89" s="428">
        <v>1</v>
      </c>
      <c r="V89" s="428"/>
      <c r="W89" s="428"/>
      <c r="X89" s="173"/>
      <c r="Y89" s="441"/>
      <c r="Z89" s="401">
        <v>40.950645170328073</v>
      </c>
      <c r="AA89" s="401">
        <v>40.950645170328073</v>
      </c>
      <c r="AB89" s="444">
        <f t="shared" si="55"/>
        <v>8.75</v>
      </c>
      <c r="AC89" s="139"/>
      <c r="AD89" s="139"/>
      <c r="AE89" s="441"/>
      <c r="AF89" s="441"/>
      <c r="AG89" s="119">
        <f>+IFERROR(AG87/(K87*$AT$3),"")</f>
        <v>1.755256064690027</v>
      </c>
      <c r="AH89" s="162"/>
      <c r="AI89" s="161"/>
      <c r="AJ89" s="161">
        <f t="shared" si="58"/>
        <v>0</v>
      </c>
      <c r="AK89" s="589">
        <f t="shared" si="59"/>
        <v>0</v>
      </c>
      <c r="AL89" s="589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8.75</v>
      </c>
      <c r="AP89" s="167">
        <f>+AO89-AB89</f>
        <v>0</v>
      </c>
      <c r="AQ89" s="167"/>
      <c r="AR89" s="167"/>
      <c r="AS89" s="167"/>
      <c r="AT89" s="435"/>
      <c r="AU89" s="393"/>
      <c r="AW89" s="356">
        <v>1.4361185983827494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77" t="s">
        <v>477</v>
      </c>
      <c r="H90" s="106"/>
      <c r="I90" s="106"/>
      <c r="J90" s="107" t="s">
        <v>20</v>
      </c>
      <c r="K90" s="108" t="s">
        <v>23</v>
      </c>
      <c r="L90" s="100" t="s">
        <v>21</v>
      </c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135" t="str">
        <f t="shared" si="49"/>
        <v/>
      </c>
      <c r="Y90" s="438"/>
      <c r="Z90" s="400">
        <v>98</v>
      </c>
      <c r="AA90" s="540">
        <f>+X92</f>
        <v>88</v>
      </c>
      <c r="AB90" s="135">
        <f t="shared" si="50"/>
        <v>0</v>
      </c>
      <c r="AC90" s="136">
        <f>+AD90+AB90</f>
        <v>2183</v>
      </c>
      <c r="AD90" s="136">
        <v>2183</v>
      </c>
      <c r="AE90" s="438"/>
      <c r="AF90" s="438"/>
      <c r="AG90" s="109"/>
      <c r="AH90" s="110"/>
      <c r="AI90" s="157"/>
      <c r="AJ90" s="161">
        <f t="shared" si="58"/>
        <v>0</v>
      </c>
      <c r="AK90" s="589">
        <f t="shared" si="59"/>
        <v>0</v>
      </c>
      <c r="AL90" s="589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478</v>
      </c>
      <c r="E91" s="111"/>
      <c r="F91" s="111" t="s">
        <v>422</v>
      </c>
      <c r="G91" s="578" t="str">
        <f t="shared" si="60"/>
        <v>ADA-Turquaz</v>
      </c>
      <c r="H91" s="450">
        <v>2145</v>
      </c>
      <c r="I91" s="111" t="s">
        <v>252</v>
      </c>
      <c r="J91" s="113">
        <v>13.23</v>
      </c>
      <c r="K91" s="130">
        <v>40</v>
      </c>
      <c r="L91" s="101" t="s">
        <v>17</v>
      </c>
      <c r="M91" s="214">
        <v>50</v>
      </c>
      <c r="N91" s="214">
        <v>50</v>
      </c>
      <c r="O91" s="214">
        <v>50</v>
      </c>
      <c r="P91" s="214">
        <v>50</v>
      </c>
      <c r="Q91" s="214">
        <v>50</v>
      </c>
      <c r="R91" s="214">
        <v>50</v>
      </c>
      <c r="S91" s="214">
        <v>50</v>
      </c>
      <c r="T91" s="214">
        <v>50</v>
      </c>
      <c r="U91" s="214">
        <v>38</v>
      </c>
      <c r="V91" s="214"/>
      <c r="W91" s="214"/>
      <c r="X91" s="123">
        <f>+IF(H92="s",0,IF(AB91=0,0,IF(COUNTA(M91:W91)=AN93+0.25,SUMIF($C:$C,B91,$AB:$AB)/AN93,SUMIF($C:$C,B91,$AB:$AB)/(COUNTA(M91:W91)))))</f>
        <v>50.057142857142857</v>
      </c>
      <c r="Y91" s="439"/>
      <c r="Z91" s="400"/>
      <c r="AA91" s="541"/>
      <c r="AB91" s="134">
        <f t="shared" si="50"/>
        <v>438</v>
      </c>
      <c r="AC91" s="137">
        <f>+AB91+AD91</f>
        <v>1942</v>
      </c>
      <c r="AD91" s="137">
        <v>1504</v>
      </c>
      <c r="AE91" s="439">
        <v>0</v>
      </c>
      <c r="AF91" s="439">
        <f>+AE91+Y91</f>
        <v>0</v>
      </c>
      <c r="AG91" s="140">
        <f>+AC90-AC91</f>
        <v>241</v>
      </c>
      <c r="AH91" s="131">
        <f>+IF(((AB92+(AB93/2))*60)=0,"",(J91*AB91)/((AB92+(AB93/2))*60))</f>
        <v>1.2072375</v>
      </c>
      <c r="AI91" s="161">
        <f>+AB92+AB93/2</f>
        <v>80</v>
      </c>
      <c r="AJ91" s="161">
        <f t="shared" si="58"/>
        <v>80</v>
      </c>
      <c r="AK91" s="589">
        <f t="shared" si="59"/>
        <v>4800</v>
      </c>
      <c r="AL91" s="589">
        <f>+AB91*J91</f>
        <v>5794.74</v>
      </c>
      <c r="AM91" s="230">
        <f>+AB91-(AI91*K91/K93)</f>
        <v>147.09090909090907</v>
      </c>
      <c r="AN91" s="339"/>
      <c r="AO91" s="340"/>
      <c r="AP91" s="167"/>
      <c r="AQ91" s="167"/>
      <c r="AR91" s="167"/>
      <c r="AS91" s="167"/>
      <c r="AT91" s="433" t="str">
        <f t="shared" ref="AT91" si="63">IF(AU91=0,"",AW91-(($AT$3*K91)+($AT$3*K91)*AU91)+AB90)</f>
        <v/>
      </c>
      <c r="AU91" s="393"/>
      <c r="AW91" s="356">
        <v>679</v>
      </c>
      <c r="AY91" s="356">
        <f t="shared" ref="AY91" si="64">+AW91-AG91</f>
        <v>438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78" t="str">
        <f t="shared" si="60"/>
        <v>ADA-Turquaz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>
        <v>10</v>
      </c>
      <c r="N92" s="451">
        <v>10</v>
      </c>
      <c r="O92" s="451">
        <v>10</v>
      </c>
      <c r="P92" s="451">
        <v>10</v>
      </c>
      <c r="Q92" s="451">
        <v>9</v>
      </c>
      <c r="R92" s="451">
        <v>9</v>
      </c>
      <c r="S92" s="451">
        <v>8</v>
      </c>
      <c r="T92" s="451">
        <v>8</v>
      </c>
      <c r="U92" s="451">
        <v>8</v>
      </c>
      <c r="V92" s="451"/>
      <c r="W92" s="451"/>
      <c r="X92" s="160">
        <f>+IF(H92="l",IF(COUNTA(M91:W91)=AN93+0.25,AB91-K91*AN93,AB91-(K91*COUNTA(M91:W91))),IF(H92="s",0,IF(COUNTA(M91:W91)=AN93+0.25,SUMIF($C:$C,B91,$AB:$AB)-K91*AN93,SUMIF($C:$C,B91,$AB:$AB)-K91*COUNTA(M91:W91))))</f>
        <v>88</v>
      </c>
      <c r="Y92" s="440"/>
      <c r="Z92" s="400"/>
      <c r="AA92" s="541"/>
      <c r="AB92" s="443">
        <f t="shared" si="55"/>
        <v>80</v>
      </c>
      <c r="AC92" s="138"/>
      <c r="AD92" s="138"/>
      <c r="AE92" s="442"/>
      <c r="AF92" s="440"/>
      <c r="AG92" s="115"/>
      <c r="AH92" s="116"/>
      <c r="AI92" s="157"/>
      <c r="AJ92" s="161">
        <f t="shared" si="58"/>
        <v>0</v>
      </c>
      <c r="AK92" s="589">
        <f t="shared" si="59"/>
        <v>0</v>
      </c>
      <c r="AL92" s="589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80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79" t="str">
        <f t="shared" si="60"/>
        <v>ADA-Turquaz</v>
      </c>
      <c r="H93" s="454">
        <f>+AC90-H91</f>
        <v>38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55"/>
        <v>0</v>
      </c>
      <c r="AC93" s="139"/>
      <c r="AD93" s="139"/>
      <c r="AE93" s="441"/>
      <c r="AF93" s="441"/>
      <c r="AG93" s="119">
        <f>+IFERROR(AG91/(K91*$AT$3),"")</f>
        <v>0.68857142857142861</v>
      </c>
      <c r="AH93" s="162"/>
      <c r="AI93" s="161"/>
      <c r="AJ93" s="161">
        <f t="shared" si="58"/>
        <v>0</v>
      </c>
      <c r="AK93" s="589">
        <f t="shared" si="59"/>
        <v>0</v>
      </c>
      <c r="AL93" s="589"/>
      <c r="AM93" s="230"/>
      <c r="AN93" s="342">
        <f>+$AM$4</f>
        <v>8.75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1.94</v>
      </c>
      <c r="AY93" s="356"/>
    </row>
    <row r="94" spans="2:51" s="98" customFormat="1" ht="62.25" customHeight="1" thickTop="1" x14ac:dyDescent="0.9">
      <c r="B94" s="127">
        <f>+B95</f>
        <v>20</v>
      </c>
      <c r="C94" s="370"/>
      <c r="D94" s="106"/>
      <c r="E94" s="106"/>
      <c r="F94" s="106"/>
      <c r="G94" s="577" t="s">
        <v>459</v>
      </c>
      <c r="H94" s="106"/>
      <c r="I94" s="106"/>
      <c r="J94" s="107" t="s">
        <v>20</v>
      </c>
      <c r="K94" s="108" t="s">
        <v>23</v>
      </c>
      <c r="L94" s="100" t="s">
        <v>21</v>
      </c>
      <c r="M94" s="423"/>
      <c r="N94" s="423"/>
      <c r="O94" s="423"/>
      <c r="P94" s="423"/>
      <c r="Q94" s="423"/>
      <c r="R94" s="423"/>
      <c r="S94" s="423"/>
      <c r="T94" s="423"/>
      <c r="U94" s="423"/>
      <c r="V94" s="423"/>
      <c r="W94" s="423"/>
      <c r="X94" s="135" t="str">
        <f t="shared" ref="X94" si="65">IF(AT95="","",SUM(M94:W94)-(-(AT95-SUM(M94:W94))/$AT$3)*SUM($M$2:$W$2))</f>
        <v/>
      </c>
      <c r="Y94" s="438"/>
      <c r="Z94" s="400">
        <v>0</v>
      </c>
      <c r="AA94" s="540">
        <f>+X96</f>
        <v>0</v>
      </c>
      <c r="AB94" s="135">
        <f t="shared" ref="AB94:AB95" si="66">+SUM(L94:W94)</f>
        <v>0</v>
      </c>
      <c r="AC94" s="136">
        <f>+AD94+AB94</f>
        <v>2869</v>
      </c>
      <c r="AD94" s="136">
        <v>2869</v>
      </c>
      <c r="AE94" s="438"/>
      <c r="AF94" s="438"/>
      <c r="AG94" s="109"/>
      <c r="AH94" s="110"/>
      <c r="AI94" s="157"/>
      <c r="AJ94" s="161">
        <f t="shared" si="58"/>
        <v>0</v>
      </c>
      <c r="AK94" s="589">
        <f t="shared" si="59"/>
        <v>0</v>
      </c>
      <c r="AL94" s="589"/>
      <c r="AM94" s="167"/>
      <c r="AN94" s="339"/>
      <c r="AO94" s="340"/>
      <c r="AP94" s="167"/>
      <c r="AQ94" s="167"/>
      <c r="AR94" s="167"/>
      <c r="AS94" s="167"/>
      <c r="AT94" s="432"/>
      <c r="AU94" s="393"/>
      <c r="AW94" s="356"/>
      <c r="AY94" s="356"/>
    </row>
    <row r="95" spans="2:51" s="98" customFormat="1" ht="62.25" customHeight="1" x14ac:dyDescent="0.9">
      <c r="B95" s="133">
        <v>20</v>
      </c>
      <c r="C95" s="371">
        <f>+B95</f>
        <v>20</v>
      </c>
      <c r="D95" s="372" t="s">
        <v>460</v>
      </c>
      <c r="E95" s="111"/>
      <c r="F95" s="111" t="s">
        <v>422</v>
      </c>
      <c r="G95" s="578" t="str">
        <f t="shared" ref="G95:G97" si="67">+G94</f>
        <v>ADA-PURPLE</v>
      </c>
      <c r="H95" s="450">
        <v>2869</v>
      </c>
      <c r="I95" s="111" t="s">
        <v>252</v>
      </c>
      <c r="J95" s="113">
        <v>13.23</v>
      </c>
      <c r="K95" s="130">
        <v>40</v>
      </c>
      <c r="L95" s="101" t="s">
        <v>17</v>
      </c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123">
        <f>+IF(H96="s",0,IF(AB95=0,0,IF(COUNTA(M95:W95)=AN97+0.25,SUMIF($C:$C,B95,$AB:$AB)/AN97,SUMIF($C:$C,B95,$AB:$AB)/(COUNTA(M95:W95)))))</f>
        <v>0</v>
      </c>
      <c r="Y95" s="439"/>
      <c r="Z95" s="400"/>
      <c r="AA95" s="541"/>
      <c r="AB95" s="134">
        <f t="shared" si="66"/>
        <v>0</v>
      </c>
      <c r="AC95" s="137">
        <f>+AB95+AD95</f>
        <v>2862</v>
      </c>
      <c r="AD95" s="137">
        <v>2862</v>
      </c>
      <c r="AE95" s="439">
        <v>0</v>
      </c>
      <c r="AF95" s="439">
        <f>+AE95+Y95</f>
        <v>0</v>
      </c>
      <c r="AG95" s="140">
        <f>+AC94-AC95</f>
        <v>7</v>
      </c>
      <c r="AH95" s="131" t="str">
        <f>+IF(((AB96+(AB97/2))*60)=0,"",(J95*AB95)/((AB96+(AB97/2))*60))</f>
        <v/>
      </c>
      <c r="AI95" s="161">
        <f>+AB96+AB97/2</f>
        <v>0</v>
      </c>
      <c r="AJ95" s="161">
        <f t="shared" si="58"/>
        <v>0</v>
      </c>
      <c r="AK95" s="589">
        <f t="shared" si="59"/>
        <v>0</v>
      </c>
      <c r="AL95" s="589">
        <f>+AB95*J95</f>
        <v>0</v>
      </c>
      <c r="AM95" s="230">
        <f>+AB95-(AI95*K95/K97)</f>
        <v>0</v>
      </c>
      <c r="AN95" s="339"/>
      <c r="AO95" s="340"/>
      <c r="AP95" s="167"/>
      <c r="AQ95" s="167"/>
      <c r="AR95" s="167"/>
      <c r="AS95" s="167"/>
      <c r="AT95" s="433"/>
      <c r="AU95" s="393">
        <v>1.5</v>
      </c>
      <c r="AW95" s="356">
        <v>7</v>
      </c>
      <c r="AY95" s="356">
        <f t="shared" ref="AY95" si="68">+AW95-AG95</f>
        <v>0</v>
      </c>
    </row>
    <row r="96" spans="2:51" s="98" customFormat="1" ht="62.25" customHeight="1" x14ac:dyDescent="0.9">
      <c r="B96" s="125">
        <f>+B95</f>
        <v>20</v>
      </c>
      <c r="C96" s="373"/>
      <c r="D96" s="184"/>
      <c r="E96" s="111">
        <f>+B95</f>
        <v>20</v>
      </c>
      <c r="F96" s="374"/>
      <c r="G96" s="578" t="str">
        <f t="shared" si="67"/>
        <v>ADA-PURPLE</v>
      </c>
      <c r="H96" s="376" t="s">
        <v>400</v>
      </c>
      <c r="I96" s="113">
        <f>+IFERROR(IF(K97=0,0,IF((LOOKUP(2,1/(M96:W96&lt;&gt;""),M96:W96)-K97)&lt;0,0,IF(K97=0,"",LOOKUP(2,1/(M96:W96&lt;&gt;""),M96:W96)-K97))),0)</f>
        <v>0</v>
      </c>
      <c r="J96" s="113"/>
      <c r="K96" s="114" t="s">
        <v>22</v>
      </c>
      <c r="L96" s="102" t="s">
        <v>18</v>
      </c>
      <c r="M96" s="451"/>
      <c r="N96" s="451"/>
      <c r="O96" s="451"/>
      <c r="P96" s="451"/>
      <c r="Q96" s="451"/>
      <c r="R96" s="451"/>
      <c r="S96" s="451"/>
      <c r="T96" s="451"/>
      <c r="U96" s="451"/>
      <c r="V96" s="451"/>
      <c r="W96" s="451"/>
      <c r="X96" s="160">
        <f>+IF(H96="l",IF(COUNTA(M95:W95)=AN97+0.25,AB95-K95*AN97,AB95-(K95*COUNTA(M95:W95))),IF(H96="s",0,IF(COUNTA(M95:W95)=AN97+0.25,SUMIF($C:$C,B95,$AB:$AB)-K95*AN97,SUMIF($C:$C,B95,$AB:$AB)-K95*COUNTA(M95:W95))))</f>
        <v>0</v>
      </c>
      <c r="Y96" s="440"/>
      <c r="Z96" s="400"/>
      <c r="AA96" s="541"/>
      <c r="AB96" s="443">
        <f t="shared" ref="AB96:AB97" si="69">+SUM(M96:W96)-U96*0.25</f>
        <v>0</v>
      </c>
      <c r="AC96" s="138"/>
      <c r="AD96" s="138"/>
      <c r="AE96" s="442"/>
      <c r="AF96" s="440"/>
      <c r="AG96" s="115"/>
      <c r="AH96" s="116"/>
      <c r="AI96" s="157"/>
      <c r="AJ96" s="161">
        <f t="shared" si="58"/>
        <v>0</v>
      </c>
      <c r="AK96" s="589">
        <f t="shared" si="59"/>
        <v>0</v>
      </c>
      <c r="AL96" s="589"/>
      <c r="AM96" s="167"/>
      <c r="AN96" s="339"/>
      <c r="AO96" s="340">
        <f>+IF(AN97=7.75,SUM(M96:S96)+T96*0.75,IF(AN97=8,SUM(M96:T96),IF(AN97=7.25,SUM(M96:S96)+T96*0.25,IF(AN97=8.25,SUM(M96:T96)+U96*0.25,IF(AN97=8.75,SUM(M96:T96)+U96*0.75,0)))))</f>
        <v>0</v>
      </c>
      <c r="AP96" s="167">
        <f>+AO96-AB96</f>
        <v>0</v>
      </c>
      <c r="AQ96" s="167"/>
      <c r="AR96" s="167"/>
      <c r="AS96" s="167"/>
      <c r="AT96" s="434"/>
      <c r="AU96" s="393"/>
      <c r="AW96" s="356"/>
      <c r="AY96" s="356"/>
    </row>
    <row r="97" spans="2:51" s="98" customFormat="1" ht="62.25" customHeight="1" thickBot="1" x14ac:dyDescent="0.95">
      <c r="B97" s="343">
        <f>+B95</f>
        <v>20</v>
      </c>
      <c r="C97" s="375"/>
      <c r="D97" s="378" t="s">
        <v>78</v>
      </c>
      <c r="E97" s="175">
        <f>+E96+100</f>
        <v>120</v>
      </c>
      <c r="F97" s="175"/>
      <c r="G97" s="579" t="str">
        <f t="shared" si="67"/>
        <v>ADA-PURPLE</v>
      </c>
      <c r="H97" s="454">
        <f>+AC94-H95</f>
        <v>0</v>
      </c>
      <c r="I97" s="397"/>
      <c r="J97" s="165">
        <f>+IF(K97="","",IF(K95=0,"",(K95*J95)/(K97*60)))</f>
        <v>0.80181818181818187</v>
      </c>
      <c r="K97" s="118">
        <v>11</v>
      </c>
      <c r="L97" s="104" t="s">
        <v>19</v>
      </c>
      <c r="M97" s="428"/>
      <c r="N97" s="428"/>
      <c r="O97" s="428"/>
      <c r="P97" s="428"/>
      <c r="Q97" s="428"/>
      <c r="R97" s="428"/>
      <c r="S97" s="428"/>
      <c r="T97" s="428"/>
      <c r="U97" s="428"/>
      <c r="V97" s="428"/>
      <c r="W97" s="428"/>
      <c r="X97" s="173"/>
      <c r="Y97" s="441"/>
      <c r="Z97" s="401">
        <v>19.29</v>
      </c>
      <c r="AA97" s="169">
        <v>19.29</v>
      </c>
      <c r="AB97" s="444">
        <f t="shared" si="69"/>
        <v>0</v>
      </c>
      <c r="AC97" s="139"/>
      <c r="AD97" s="139"/>
      <c r="AE97" s="441"/>
      <c r="AF97" s="441"/>
      <c r="AG97" s="119">
        <f>+IFERROR(AG95/(K95*$AT$3),"")</f>
        <v>0.02</v>
      </c>
      <c r="AH97" s="162"/>
      <c r="AI97" s="161"/>
      <c r="AJ97" s="161">
        <f t="shared" si="58"/>
        <v>0</v>
      </c>
      <c r="AK97" s="589">
        <f t="shared" si="59"/>
        <v>0</v>
      </c>
      <c r="AL97" s="589"/>
      <c r="AM97" s="230"/>
      <c r="AN97" s="342">
        <f>+$AM$4</f>
        <v>8.75</v>
      </c>
      <c r="AO97" s="340">
        <f>+IF(AN97=7.75,SUM(M97:S97)+T97*0.75,IF(AN97=8,SUM(M97:T97),IF(AN97=7.25,SUM(M97:S97)+T97*0.25,IF(AN97=8.25,SUM(M97:T97)+U97*0.25,IF(AN97=8.75,SUM(M97:T97)+U97*0.75,0)))))</f>
        <v>0</v>
      </c>
      <c r="AP97" s="167">
        <f>+AO97-AB97</f>
        <v>0</v>
      </c>
      <c r="AQ97" s="167"/>
      <c r="AR97" s="167"/>
      <c r="AS97" s="167"/>
      <c r="AT97" s="435"/>
      <c r="AU97" s="393"/>
      <c r="AW97" s="356">
        <v>0.02</v>
      </c>
      <c r="AY97" s="356"/>
    </row>
    <row r="98" spans="2:51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0"/>
      <c r="Y98" s="381"/>
      <c r="Z98" s="380"/>
      <c r="AA98" s="380"/>
      <c r="AB98" s="380"/>
      <c r="AC98" s="380"/>
      <c r="AD98" s="380"/>
      <c r="AE98" s="380"/>
      <c r="AF98" s="380"/>
      <c r="AG98" s="380"/>
      <c r="AH98" s="382"/>
      <c r="AI98" s="383"/>
      <c r="AJ98" s="383"/>
      <c r="AK98" s="385"/>
      <c r="AL98" s="385"/>
      <c r="AN98" s="385"/>
      <c r="AO98" s="386"/>
      <c r="AU98" s="394"/>
    </row>
    <row r="99" spans="2:51" s="384" customFormat="1" ht="91.5" customHeight="1" thickTop="1" thickBot="1" x14ac:dyDescent="0.95">
      <c r="B99" s="379"/>
      <c r="C99" s="379"/>
      <c r="D99" s="380"/>
      <c r="E99" s="380"/>
      <c r="F99" s="380"/>
      <c r="G99" s="380"/>
      <c r="H99" s="380"/>
      <c r="I99" s="380"/>
      <c r="J99" s="380"/>
      <c r="K99" s="380"/>
      <c r="L99" s="346" t="s">
        <v>21</v>
      </c>
      <c r="M99" s="166">
        <f t="shared" ref="M99:W99" si="70">+SUMIF($L$6:$L$98,$L$99,M6:M98)</f>
        <v>1350</v>
      </c>
      <c r="N99" s="166">
        <f t="shared" si="70"/>
        <v>1050</v>
      </c>
      <c r="O99" s="166">
        <f t="shared" si="70"/>
        <v>1275</v>
      </c>
      <c r="P99" s="166">
        <f t="shared" si="70"/>
        <v>830</v>
      </c>
      <c r="Q99" s="166">
        <f t="shared" si="70"/>
        <v>975</v>
      </c>
      <c r="R99" s="166">
        <f t="shared" si="70"/>
        <v>790</v>
      </c>
      <c r="S99" s="166">
        <f t="shared" si="70"/>
        <v>395</v>
      </c>
      <c r="T99" s="166">
        <f t="shared" si="70"/>
        <v>75</v>
      </c>
      <c r="U99" s="166">
        <f t="shared" si="70"/>
        <v>0</v>
      </c>
      <c r="V99" s="166">
        <f t="shared" si="70"/>
        <v>0</v>
      </c>
      <c r="W99" s="166">
        <f t="shared" si="70"/>
        <v>0</v>
      </c>
      <c r="X99" s="332"/>
      <c r="Y99" s="223"/>
      <c r="Z99" s="332"/>
      <c r="AA99" s="575">
        <f>+SUM(M99:W99)</f>
        <v>6740</v>
      </c>
      <c r="AB99" s="576"/>
      <c r="AC99" s="380"/>
      <c r="AD99" s="380"/>
      <c r="AE99" s="380"/>
      <c r="AF99" s="380"/>
      <c r="AG99" s="380"/>
      <c r="AH99" s="382"/>
      <c r="AI99" s="383"/>
      <c r="AJ99" s="383"/>
      <c r="AK99" s="385"/>
      <c r="AL99" s="385"/>
      <c r="AN99" s="385"/>
      <c r="AU99" s="394"/>
    </row>
    <row r="100" spans="2:51" s="384" customFormat="1" ht="91.5" customHeight="1" thickTop="1" thickBot="1" x14ac:dyDescent="0.95">
      <c r="B100" s="379"/>
      <c r="C100" s="379"/>
      <c r="D100" s="380"/>
      <c r="E100" s="380"/>
      <c r="F100" s="380"/>
      <c r="G100" s="380"/>
      <c r="H100" s="380"/>
      <c r="I100" s="380"/>
      <c r="J100" s="380"/>
      <c r="K100" s="380"/>
      <c r="L100" s="347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32"/>
      <c r="Y100" s="344"/>
      <c r="Z100" s="332"/>
      <c r="AA100" s="332"/>
      <c r="AB100" s="332"/>
      <c r="AC100" s="380"/>
      <c r="AD100" s="380"/>
      <c r="AE100" s="380"/>
      <c r="AF100" s="380"/>
      <c r="AG100" s="380"/>
      <c r="AH100" s="382"/>
      <c r="AI100" s="383"/>
      <c r="AJ100" s="383"/>
      <c r="AK100" s="385"/>
      <c r="AL100" s="385"/>
      <c r="AN100" s="385"/>
      <c r="AU100" s="394"/>
    </row>
    <row r="101" spans="2:51" s="384" customFormat="1" ht="91.5" customHeight="1" thickTop="1" thickBot="1" x14ac:dyDescent="0.95">
      <c r="B101" s="379"/>
      <c r="C101" s="379"/>
      <c r="D101" s="380"/>
      <c r="E101" s="380"/>
      <c r="F101" s="380"/>
      <c r="G101" s="380"/>
      <c r="H101" s="380"/>
      <c r="I101" s="380"/>
      <c r="J101" s="380"/>
      <c r="K101" s="380"/>
      <c r="L101" s="346" t="s">
        <v>17</v>
      </c>
      <c r="M101" s="166">
        <f t="shared" ref="M101:W101" si="71">+SUMIF($L$6:$L$98,$L$101,M6:M98)</f>
        <v>740</v>
      </c>
      <c r="N101" s="166">
        <f t="shared" si="71"/>
        <v>732</v>
      </c>
      <c r="O101" s="166">
        <f t="shared" si="71"/>
        <v>740</v>
      </c>
      <c r="P101" s="166">
        <f t="shared" si="71"/>
        <v>760</v>
      </c>
      <c r="Q101" s="166">
        <f t="shared" si="71"/>
        <v>750</v>
      </c>
      <c r="R101" s="166">
        <f t="shared" si="71"/>
        <v>802</v>
      </c>
      <c r="S101" s="166">
        <f t="shared" si="71"/>
        <v>754</v>
      </c>
      <c r="T101" s="166">
        <f t="shared" si="71"/>
        <v>804</v>
      </c>
      <c r="U101" s="166">
        <f t="shared" si="71"/>
        <v>594</v>
      </c>
      <c r="V101" s="166">
        <f t="shared" si="71"/>
        <v>156</v>
      </c>
      <c r="W101" s="166">
        <f t="shared" si="71"/>
        <v>130</v>
      </c>
      <c r="X101" s="332"/>
      <c r="Y101" s="223"/>
      <c r="Z101" s="332"/>
      <c r="AA101" s="575">
        <f>+SUM(M101:W101)</f>
        <v>6962</v>
      </c>
      <c r="AB101" s="576"/>
      <c r="AC101" s="380"/>
      <c r="AD101" s="380"/>
      <c r="AE101" s="380"/>
      <c r="AF101" s="380"/>
      <c r="AG101" s="380"/>
      <c r="AH101" s="382"/>
      <c r="AI101" s="383"/>
      <c r="AJ101" s="383"/>
      <c r="AK101" s="385"/>
      <c r="AL101" s="385"/>
      <c r="AN101" s="385"/>
      <c r="AU101" s="394"/>
    </row>
    <row r="102" spans="2:51" s="384" customFormat="1" ht="91.5" customHeight="1" thickTop="1" thickBot="1" x14ac:dyDescent="0.95">
      <c r="B102" s="379"/>
      <c r="C102" s="379"/>
      <c r="D102" s="380"/>
      <c r="E102" s="380"/>
      <c r="F102" s="380"/>
      <c r="G102" s="380"/>
      <c r="H102" s="380"/>
      <c r="I102" s="380"/>
      <c r="J102" s="380"/>
      <c r="K102" s="380"/>
      <c r="L102" s="347"/>
      <c r="M102" s="344"/>
      <c r="N102" s="344"/>
      <c r="O102" s="344"/>
      <c r="P102" s="344"/>
      <c r="Q102" s="344"/>
      <c r="R102" s="344"/>
      <c r="S102" s="344"/>
      <c r="T102" s="344"/>
      <c r="U102" s="344"/>
      <c r="V102" s="344"/>
      <c r="W102" s="344"/>
      <c r="X102" s="332"/>
      <c r="Y102" s="344"/>
      <c r="Z102" s="332"/>
      <c r="AA102" s="332"/>
      <c r="AB102" s="332"/>
      <c r="AC102" s="380"/>
      <c r="AD102" s="380"/>
      <c r="AE102" s="380"/>
      <c r="AF102" s="380"/>
      <c r="AG102" s="380"/>
      <c r="AH102" s="382"/>
      <c r="AI102" s="383"/>
      <c r="AJ102" s="383"/>
      <c r="AK102" s="385"/>
      <c r="AL102" s="385"/>
      <c r="AN102" s="385"/>
      <c r="AU102" s="394"/>
    </row>
    <row r="103" spans="2:51" s="384" customFormat="1" ht="91.5" customHeight="1" thickTop="1" thickBot="1" x14ac:dyDescent="0.95">
      <c r="B103" s="379"/>
      <c r="C103" s="379"/>
      <c r="D103" s="387"/>
      <c r="E103" s="387"/>
      <c r="F103" s="387"/>
      <c r="G103" s="387"/>
      <c r="H103" s="387"/>
      <c r="I103" s="387"/>
      <c r="J103" s="388"/>
      <c r="K103" s="387"/>
      <c r="L103" s="346" t="s">
        <v>19</v>
      </c>
      <c r="M103" s="166">
        <f t="shared" ref="M103:W103" si="72">+SUMIF($L$6:$L$98,$L$103,M6:M98)</f>
        <v>11</v>
      </c>
      <c r="N103" s="166">
        <f t="shared" si="72"/>
        <v>11</v>
      </c>
      <c r="O103" s="166">
        <f t="shared" si="72"/>
        <v>11</v>
      </c>
      <c r="P103" s="166">
        <f t="shared" si="72"/>
        <v>11</v>
      </c>
      <c r="Q103" s="166">
        <f t="shared" si="72"/>
        <v>11</v>
      </c>
      <c r="R103" s="166">
        <f t="shared" si="72"/>
        <v>11</v>
      </c>
      <c r="S103" s="166">
        <f t="shared" si="72"/>
        <v>11</v>
      </c>
      <c r="T103" s="166">
        <f t="shared" si="72"/>
        <v>11</v>
      </c>
      <c r="U103" s="166">
        <f t="shared" si="72"/>
        <v>11</v>
      </c>
      <c r="V103" s="166">
        <f t="shared" si="72"/>
        <v>3</v>
      </c>
      <c r="W103" s="166">
        <f t="shared" si="72"/>
        <v>3</v>
      </c>
      <c r="X103" s="348"/>
      <c r="Y103" s="223"/>
      <c r="Z103" s="348"/>
      <c r="AA103" s="332"/>
      <c r="AB103" s="332"/>
      <c r="AC103" s="380"/>
      <c r="AD103" s="380"/>
      <c r="AE103" s="380"/>
      <c r="AF103" s="380"/>
      <c r="AG103" s="380"/>
      <c r="AH103" s="382"/>
      <c r="AI103" s="383"/>
      <c r="AJ103" s="383"/>
      <c r="AK103" s="385"/>
      <c r="AL103" s="385"/>
      <c r="AN103" s="385"/>
      <c r="AU103" s="394"/>
    </row>
    <row r="104" spans="2:51" s="384" customFormat="1" ht="62.25" customHeight="1" thickTop="1" x14ac:dyDescent="0.9">
      <c r="B104" s="379"/>
      <c r="C104" s="379"/>
      <c r="D104" s="387"/>
      <c r="E104" s="387"/>
      <c r="F104" s="387"/>
      <c r="G104" s="387"/>
      <c r="H104" s="387"/>
      <c r="I104" s="389"/>
      <c r="J104" s="388"/>
      <c r="K104" s="387"/>
      <c r="L104" s="347"/>
      <c r="M104" s="349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32"/>
      <c r="Y104" s="345"/>
      <c r="Z104" s="332"/>
      <c r="AA104" s="332"/>
      <c r="AB104" s="332"/>
      <c r="AC104" s="380"/>
      <c r="AD104" s="380"/>
      <c r="AE104" s="380"/>
      <c r="AF104" s="380"/>
      <c r="AG104" s="390"/>
      <c r="AH104" s="382"/>
      <c r="AI104" s="383"/>
      <c r="AJ104" s="383"/>
      <c r="AK104" s="385"/>
      <c r="AL104" s="385"/>
      <c r="AN104" s="385"/>
      <c r="AU104" s="394"/>
    </row>
    <row r="105" spans="2:51" s="98" customFormat="1" ht="62.25" customHeight="1" thickBot="1" x14ac:dyDescent="0.95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35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K105" s="183"/>
      <c r="AL105" s="183"/>
      <c r="AN105" s="183"/>
      <c r="AU105" s="393"/>
    </row>
    <row r="106" spans="2:51" s="98" customFormat="1" ht="88.5" customHeight="1" thickTop="1" thickBot="1" x14ac:dyDescent="0.95">
      <c r="B106" s="94"/>
      <c r="C106" s="94"/>
      <c r="D106" s="92"/>
      <c r="E106" s="92"/>
      <c r="F106" s="92"/>
      <c r="G106" s="92"/>
      <c r="H106" s="92"/>
      <c r="I106" s="91"/>
      <c r="J106" s="93"/>
      <c r="K106" s="212" t="s">
        <v>18</v>
      </c>
      <c r="L106" s="351" t="s">
        <v>180</v>
      </c>
      <c r="M106" s="166">
        <f t="shared" ref="M106:W106" si="73">+IF(M109=0,0,SUMIFS($J$6:$J$98,$L$6:$L$98,$K$106))</f>
        <v>3</v>
      </c>
      <c r="N106" s="166">
        <f t="shared" si="73"/>
        <v>3</v>
      </c>
      <c r="O106" s="166">
        <f t="shared" si="73"/>
        <v>3</v>
      </c>
      <c r="P106" s="166">
        <f t="shared" si="73"/>
        <v>3</v>
      </c>
      <c r="Q106" s="166">
        <f t="shared" si="73"/>
        <v>3</v>
      </c>
      <c r="R106" s="166">
        <f t="shared" si="73"/>
        <v>3</v>
      </c>
      <c r="S106" s="166">
        <f t="shared" si="73"/>
        <v>3</v>
      </c>
      <c r="T106" s="166">
        <f t="shared" si="73"/>
        <v>3</v>
      </c>
      <c r="U106" s="166">
        <f t="shared" si="73"/>
        <v>3</v>
      </c>
      <c r="V106" s="166">
        <f t="shared" si="73"/>
        <v>3</v>
      </c>
      <c r="W106" s="166">
        <f t="shared" si="73"/>
        <v>3</v>
      </c>
      <c r="X106" s="2"/>
      <c r="Y106" s="223"/>
      <c r="Z106" s="2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K106" s="183"/>
      <c r="AL106" s="183"/>
      <c r="AN106" s="183"/>
      <c r="AU106" s="393"/>
    </row>
    <row r="107" spans="2:51" s="98" customFormat="1" ht="62.25" customHeight="1" thickTop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1"/>
      <c r="Y107" s="352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K107" s="183"/>
      <c r="AL107" s="183"/>
      <c r="AN107" s="183"/>
      <c r="AU107" s="393"/>
    </row>
    <row r="108" spans="2:51" s="98" customFormat="1" ht="62.25" customHeight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212"/>
      <c r="L108" s="350"/>
      <c r="M108" s="1"/>
      <c r="N108" s="1"/>
      <c r="O108" s="1"/>
      <c r="P108" s="1"/>
      <c r="Q108" s="353"/>
      <c r="R108" s="353"/>
      <c r="S108" s="353"/>
      <c r="T108" s="353"/>
      <c r="U108" s="353"/>
      <c r="V108" s="353"/>
      <c r="W108" s="353"/>
      <c r="X108" s="1"/>
      <c r="Y108" s="353"/>
      <c r="Z108" s="1"/>
      <c r="AA108" s="1"/>
      <c r="AB108" s="1"/>
      <c r="AC108" s="91"/>
      <c r="AD108" s="91"/>
      <c r="AE108" s="91"/>
      <c r="AF108" s="91"/>
      <c r="AG108" s="91"/>
      <c r="AH108" s="95"/>
      <c r="AI108" s="158"/>
      <c r="AJ108" s="158"/>
      <c r="AK108" s="183"/>
      <c r="AL108" s="183"/>
      <c r="AN108" s="183"/>
      <c r="AU108" s="393"/>
    </row>
    <row r="109" spans="2:51" s="98" customFormat="1" ht="98.25" customHeight="1" thickTop="1" thickBot="1" x14ac:dyDescent="0.95">
      <c r="B109" s="94"/>
      <c r="C109" s="94"/>
      <c r="D109" s="92"/>
      <c r="E109" s="92"/>
      <c r="F109" s="92"/>
      <c r="G109" s="92"/>
      <c r="H109" s="92"/>
      <c r="I109" s="92"/>
      <c r="J109" s="93"/>
      <c r="K109" s="212"/>
      <c r="L109" s="351" t="s">
        <v>18</v>
      </c>
      <c r="M109" s="166">
        <f t="shared" ref="M109:W109" si="74">+SUMIF($L$6:$L$98,$L$109,M6:M98)</f>
        <v>710</v>
      </c>
      <c r="N109" s="166">
        <f t="shared" si="74"/>
        <v>723</v>
      </c>
      <c r="O109" s="166">
        <f t="shared" si="74"/>
        <v>723</v>
      </c>
      <c r="P109" s="166">
        <f t="shared" si="74"/>
        <v>723</v>
      </c>
      <c r="Q109" s="166">
        <f t="shared" si="74"/>
        <v>723</v>
      </c>
      <c r="R109" s="166">
        <f t="shared" si="74"/>
        <v>722</v>
      </c>
      <c r="S109" s="166">
        <f t="shared" si="74"/>
        <v>722</v>
      </c>
      <c r="T109" s="166">
        <f t="shared" si="74"/>
        <v>722</v>
      </c>
      <c r="U109" s="166">
        <f t="shared" si="74"/>
        <v>722</v>
      </c>
      <c r="V109" s="166">
        <f t="shared" si="74"/>
        <v>157</v>
      </c>
      <c r="W109" s="166">
        <f t="shared" si="74"/>
        <v>157</v>
      </c>
      <c r="X109" s="1"/>
      <c r="Y109" s="223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K109" s="183"/>
      <c r="AL109" s="183"/>
      <c r="AN109" s="183"/>
      <c r="AU109" s="393"/>
    </row>
    <row r="110" spans="2:51" s="98" customFormat="1" ht="62.25" customHeight="1" thickTop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212"/>
      <c r="L110" s="350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1"/>
      <c r="Y110" s="354"/>
      <c r="Z110" s="1"/>
      <c r="AA110" s="1"/>
      <c r="AB110" s="1"/>
      <c r="AC110" s="91"/>
      <c r="AD110" s="91"/>
      <c r="AE110" s="91"/>
      <c r="AF110" s="91"/>
      <c r="AG110" s="91"/>
      <c r="AH110" s="95"/>
      <c r="AI110" s="158"/>
      <c r="AJ110" s="158"/>
      <c r="AK110" s="183"/>
      <c r="AL110" s="183"/>
      <c r="AN110" s="183"/>
      <c r="AU110" s="393"/>
    </row>
    <row r="111" spans="2:51" s="98" customFormat="1" ht="62.25" customHeight="1" thickBot="1" x14ac:dyDescent="0.95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50"/>
      <c r="M111" s="1"/>
      <c r="N111" s="1"/>
      <c r="O111" s="1"/>
      <c r="P111" s="1"/>
      <c r="Q111" s="353"/>
      <c r="R111" s="353"/>
      <c r="S111" s="353"/>
      <c r="T111" s="353"/>
      <c r="U111" s="353"/>
      <c r="V111" s="353"/>
      <c r="W111" s="353"/>
      <c r="X111" s="1"/>
      <c r="Y111" s="353"/>
      <c r="Z111" s="1"/>
      <c r="AA111" s="1"/>
      <c r="AB111" s="1"/>
      <c r="AC111" s="91"/>
      <c r="AD111" s="91"/>
      <c r="AE111" s="91"/>
      <c r="AF111" s="91"/>
      <c r="AG111" s="91"/>
      <c r="AH111" s="95"/>
      <c r="AI111" s="158"/>
      <c r="AJ111" s="158"/>
      <c r="AK111" s="183"/>
      <c r="AL111" s="183"/>
      <c r="AN111" s="183"/>
      <c r="AU111" s="393"/>
    </row>
    <row r="112" spans="2:51" s="98" customFormat="1" ht="94.5" customHeight="1" thickTop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351" t="s">
        <v>13</v>
      </c>
      <c r="M112" s="166">
        <f>+M109+M106+M103</f>
        <v>724</v>
      </c>
      <c r="N112" s="166">
        <f t="shared" ref="N112:W112" si="75">+N109+N106+N103</f>
        <v>737</v>
      </c>
      <c r="O112" s="166">
        <f t="shared" si="75"/>
        <v>737</v>
      </c>
      <c r="P112" s="166">
        <f t="shared" si="75"/>
        <v>737</v>
      </c>
      <c r="Q112" s="166">
        <f t="shared" si="75"/>
        <v>737</v>
      </c>
      <c r="R112" s="166">
        <f t="shared" si="75"/>
        <v>736</v>
      </c>
      <c r="S112" s="166">
        <f t="shared" si="75"/>
        <v>736</v>
      </c>
      <c r="T112" s="166">
        <f t="shared" si="75"/>
        <v>736</v>
      </c>
      <c r="U112" s="166">
        <f t="shared" si="75"/>
        <v>736</v>
      </c>
      <c r="V112" s="166">
        <f t="shared" si="75"/>
        <v>163</v>
      </c>
      <c r="W112" s="166">
        <f t="shared" si="75"/>
        <v>163</v>
      </c>
      <c r="X112" s="1"/>
      <c r="Y112" s="223"/>
      <c r="Z112" s="1"/>
      <c r="AA112" s="1"/>
      <c r="AB112" s="1"/>
      <c r="AC112" s="91"/>
      <c r="AD112" s="91"/>
      <c r="AE112" s="91"/>
      <c r="AF112" s="91"/>
      <c r="AG112" s="91"/>
      <c r="AH112" s="95"/>
      <c r="AI112" s="155"/>
      <c r="AJ112" s="155"/>
      <c r="AK112" s="183"/>
      <c r="AL112" s="183"/>
      <c r="AN112" s="183"/>
      <c r="AU112" s="393"/>
    </row>
    <row r="113" spans="2:47" s="98" customFormat="1" ht="62.25" thickTop="1" x14ac:dyDescent="0.9">
      <c r="B113" s="94"/>
      <c r="C113" s="94"/>
      <c r="D113" s="92"/>
      <c r="E113" s="92"/>
      <c r="F113" s="92"/>
      <c r="G113" s="92"/>
      <c r="H113" s="92"/>
      <c r="I113" s="92"/>
      <c r="J113" s="93"/>
      <c r="K113" s="92"/>
      <c r="L113" s="35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91"/>
      <c r="AD113" s="91"/>
      <c r="AE113" s="91"/>
      <c r="AF113" s="91"/>
      <c r="AG113" s="91"/>
      <c r="AH113" s="95"/>
      <c r="AI113" s="158"/>
      <c r="AJ113" s="158"/>
      <c r="AK113" s="183"/>
      <c r="AL113" s="183"/>
      <c r="AN113" s="183"/>
      <c r="AU113" s="393"/>
    </row>
    <row r="114" spans="2:47" x14ac:dyDescent="0.9">
      <c r="J114" s="91"/>
      <c r="K114" s="91"/>
      <c r="T114" s="544"/>
      <c r="U114" s="544"/>
      <c r="V114" s="544"/>
      <c r="AI114" s="158"/>
      <c r="AJ114" s="158"/>
    </row>
    <row r="115" spans="2:47" ht="105" customHeight="1" x14ac:dyDescent="0.9">
      <c r="B115" s="391"/>
      <c r="AI115" s="158"/>
      <c r="AJ115" s="158"/>
    </row>
    <row r="116" spans="2:47" s="98" customFormat="1" x14ac:dyDescent="0.9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5"/>
      <c r="AI116" s="158"/>
      <c r="AJ116" s="158"/>
      <c r="AK116" s="183"/>
      <c r="AL116" s="183"/>
      <c r="AN116" s="183"/>
      <c r="AU116" s="393"/>
    </row>
    <row r="117" spans="2:47" s="98" customFormat="1" x14ac:dyDescent="0.9">
      <c r="B117" s="94"/>
      <c r="C117" s="94"/>
      <c r="D117" s="92"/>
      <c r="E117" s="92"/>
      <c r="F117" s="92"/>
      <c r="G117" s="92"/>
      <c r="H117" s="92"/>
      <c r="I117" s="91"/>
      <c r="J117" s="93"/>
      <c r="K117" s="92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8"/>
      <c r="AJ117" s="158"/>
      <c r="AK117" s="183"/>
      <c r="AL117" s="183"/>
      <c r="AN117" s="183"/>
      <c r="AU117" s="393"/>
    </row>
    <row r="118" spans="2:47" s="98" customFormat="1" x14ac:dyDescent="0.9">
      <c r="B118" s="94"/>
      <c r="C118" s="94"/>
      <c r="D118" s="92"/>
      <c r="E118" s="92"/>
      <c r="F118" s="92"/>
      <c r="G118" s="92"/>
      <c r="H118" s="92"/>
      <c r="I118" s="92"/>
      <c r="J118" s="93"/>
      <c r="K118" s="92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8"/>
      <c r="AJ118" s="158"/>
      <c r="AK118" s="183"/>
      <c r="AL118" s="183"/>
      <c r="AN118" s="183"/>
      <c r="AU118" s="393"/>
    </row>
    <row r="119" spans="2:47" s="98" customFormat="1" ht="66" customHeight="1" x14ac:dyDescent="0.9">
      <c r="B119" s="94"/>
      <c r="C119" s="94"/>
      <c r="D119" s="92"/>
      <c r="E119" s="92"/>
      <c r="F119" s="92"/>
      <c r="G119" s="92"/>
      <c r="H119" s="92"/>
      <c r="I119" s="92"/>
      <c r="J119" s="93"/>
      <c r="K119" s="92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8"/>
      <c r="AJ119" s="158"/>
      <c r="AK119" s="183"/>
      <c r="AL119" s="183"/>
      <c r="AN119" s="183"/>
      <c r="AU119" s="393"/>
    </row>
    <row r="121" spans="2:47" s="92" customFormat="1" x14ac:dyDescent="0.7">
      <c r="B121" s="94"/>
      <c r="C121" s="94"/>
      <c r="D121" s="92">
        <v>2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183"/>
      <c r="AL121" s="183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183"/>
      <c r="AL122" s="183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183"/>
      <c r="AL123" s="183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183"/>
      <c r="AL124" s="183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183"/>
      <c r="AL125" s="183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183"/>
      <c r="AL126" s="183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6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183"/>
      <c r="AL127" s="183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7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183"/>
      <c r="AL128" s="183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8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183"/>
      <c r="AL129" s="183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11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183"/>
      <c r="AL130" s="183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12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183"/>
      <c r="AL131" s="183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13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183"/>
      <c r="AL132" s="183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14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183"/>
      <c r="AL133" s="183"/>
      <c r="AM133" s="98"/>
      <c r="AN133" s="183"/>
      <c r="AO133" s="91"/>
      <c r="AP133" s="91"/>
      <c r="AU133" s="243"/>
    </row>
    <row r="134" spans="2:47" s="92" customFormat="1" x14ac:dyDescent="0.7">
      <c r="B134" s="94"/>
      <c r="C134" s="94"/>
      <c r="H134" s="92">
        <v>15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5"/>
      <c r="AI134" s="155"/>
      <c r="AJ134" s="155"/>
      <c r="AK134" s="183"/>
      <c r="AL134" s="183"/>
      <c r="AM134" s="98"/>
      <c r="AN134" s="183"/>
      <c r="AO134" s="91"/>
      <c r="AP134" s="91"/>
      <c r="AU134" s="243"/>
    </row>
    <row r="135" spans="2:47" s="92" customFormat="1" x14ac:dyDescent="0.7">
      <c r="B135" s="94"/>
      <c r="C135" s="94"/>
      <c r="H135" s="92">
        <v>17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5"/>
      <c r="AI135" s="155"/>
      <c r="AJ135" s="155"/>
      <c r="AK135" s="183"/>
      <c r="AL135" s="183"/>
      <c r="AM135" s="98"/>
      <c r="AN135" s="183"/>
      <c r="AO135" s="91"/>
      <c r="AP135" s="91"/>
      <c r="AU135" s="243"/>
    </row>
    <row r="136" spans="2:47" s="92" customFormat="1" x14ac:dyDescent="0.7">
      <c r="B136" s="94"/>
      <c r="C136" s="94"/>
      <c r="H136" s="92">
        <v>18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5"/>
      <c r="AI136" s="155"/>
      <c r="AJ136" s="155"/>
      <c r="AK136" s="183"/>
      <c r="AL136" s="183"/>
      <c r="AM136" s="98"/>
      <c r="AN136" s="183"/>
      <c r="AO136" s="91"/>
      <c r="AP136" s="91"/>
      <c r="AU136" s="243"/>
    </row>
    <row r="137" spans="2:47" s="92" customFormat="1" x14ac:dyDescent="0.7">
      <c r="B137" s="94"/>
      <c r="C137" s="94"/>
      <c r="H137" s="92">
        <v>19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5"/>
      <c r="AI137" s="155"/>
      <c r="AJ137" s="155"/>
      <c r="AK137" s="183"/>
      <c r="AL137" s="183"/>
      <c r="AM137" s="98"/>
      <c r="AN137" s="183"/>
      <c r="AO137" s="91"/>
      <c r="AP137" s="91"/>
      <c r="AU137" s="243"/>
    </row>
    <row r="193" spans="2:47" s="92" customFormat="1" x14ac:dyDescent="0.7">
      <c r="B193" s="94"/>
      <c r="C193" s="94"/>
      <c r="G193" s="92">
        <v>1</v>
      </c>
      <c r="J193" s="93"/>
      <c r="L193" s="99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5"/>
      <c r="AI193" s="155"/>
      <c r="AJ193" s="155"/>
      <c r="AK193" s="183"/>
      <c r="AL193" s="183"/>
      <c r="AM193" s="98"/>
      <c r="AN193" s="183"/>
      <c r="AO193" s="91"/>
      <c r="AP193" s="91"/>
      <c r="AU193" s="243"/>
    </row>
  </sheetData>
  <autoFilter ref="A5:CT93">
    <filterColumn colId="9" showButton="0"/>
  </autoFilter>
  <mergeCells count="65">
    <mergeCell ref="AZ43:BI43"/>
    <mergeCell ref="AZ39:BI39"/>
    <mergeCell ref="AZ7:BI7"/>
    <mergeCell ref="G10:G13"/>
    <mergeCell ref="AA10:AA12"/>
    <mergeCell ref="AZ11:BI11"/>
    <mergeCell ref="AZ15:BI15"/>
    <mergeCell ref="G18:G21"/>
    <mergeCell ref="AA18:AA20"/>
    <mergeCell ref="G22:G25"/>
    <mergeCell ref="AA22:AA24"/>
    <mergeCell ref="AG1:AH1"/>
    <mergeCell ref="AG2:AH3"/>
    <mergeCell ref="H3:I3"/>
    <mergeCell ref="K3:L3"/>
    <mergeCell ref="B4:G4"/>
    <mergeCell ref="K4:L4"/>
    <mergeCell ref="AG4:AH4"/>
    <mergeCell ref="J5:K5"/>
    <mergeCell ref="G6:G9"/>
    <mergeCell ref="AA6:AA8"/>
    <mergeCell ref="G14:G17"/>
    <mergeCell ref="AA14:AA16"/>
    <mergeCell ref="G50:G53"/>
    <mergeCell ref="AA50:AA52"/>
    <mergeCell ref="G26:G29"/>
    <mergeCell ref="AA26:AA28"/>
    <mergeCell ref="G30:G33"/>
    <mergeCell ref="AA30:AA32"/>
    <mergeCell ref="G38:G41"/>
    <mergeCell ref="AA38:AA40"/>
    <mergeCell ref="G46:G49"/>
    <mergeCell ref="AA46:AA48"/>
    <mergeCell ref="G34:G37"/>
    <mergeCell ref="AA34:AA36"/>
    <mergeCell ref="G42:G45"/>
    <mergeCell ref="AA42:AA44"/>
    <mergeCell ref="AZ71:BI71"/>
    <mergeCell ref="G74:G77"/>
    <mergeCell ref="AA74:AA76"/>
    <mergeCell ref="AZ75:BJ75"/>
    <mergeCell ref="G54:G57"/>
    <mergeCell ref="AA54:AA56"/>
    <mergeCell ref="G62:G65"/>
    <mergeCell ref="AA62:AA64"/>
    <mergeCell ref="G58:G61"/>
    <mergeCell ref="AA58:AA60"/>
    <mergeCell ref="G66:G69"/>
    <mergeCell ref="AA66:AA68"/>
    <mergeCell ref="G70:G73"/>
    <mergeCell ref="AA70:AA72"/>
    <mergeCell ref="G78:G81"/>
    <mergeCell ref="AA78:AA80"/>
    <mergeCell ref="AZ79:BJ79"/>
    <mergeCell ref="G82:G85"/>
    <mergeCell ref="AA82:AA84"/>
    <mergeCell ref="G86:G89"/>
    <mergeCell ref="AA86:AA88"/>
    <mergeCell ref="T114:V114"/>
    <mergeCell ref="G90:G93"/>
    <mergeCell ref="AA90:AA92"/>
    <mergeCell ref="G94:G97"/>
    <mergeCell ref="AA94:AA96"/>
    <mergeCell ref="AA99:AB99"/>
    <mergeCell ref="AA101:AB101"/>
  </mergeCells>
  <conditionalFormatting sqref="I8">
    <cfRule type="cellIs" dxfId="792" priority="132" operator="greaterThan">
      <formula>0</formula>
    </cfRule>
  </conditionalFormatting>
  <conditionalFormatting sqref="I12">
    <cfRule type="cellIs" dxfId="791" priority="116" operator="greaterThan">
      <formula>0</formula>
    </cfRule>
  </conditionalFormatting>
  <conditionalFormatting sqref="I16">
    <cfRule type="cellIs" dxfId="790" priority="161" operator="greaterThan">
      <formula>0</formula>
    </cfRule>
  </conditionalFormatting>
  <conditionalFormatting sqref="I20">
    <cfRule type="cellIs" dxfId="789" priority="178" operator="greaterThan">
      <formula>0</formula>
    </cfRule>
  </conditionalFormatting>
  <conditionalFormatting sqref="I32">
    <cfRule type="cellIs" dxfId="788" priority="157" operator="greaterThan">
      <formula>0</formula>
    </cfRule>
  </conditionalFormatting>
  <conditionalFormatting sqref="I40">
    <cfRule type="cellIs" dxfId="787" priority="147" operator="greaterThan">
      <formula>0</formula>
    </cfRule>
  </conditionalFormatting>
  <conditionalFormatting sqref="I48">
    <cfRule type="cellIs" dxfId="786" priority="166" operator="greaterThan">
      <formula>0</formula>
    </cfRule>
  </conditionalFormatting>
  <conditionalFormatting sqref="I56">
    <cfRule type="cellIs" dxfId="785" priority="183" operator="greaterThan">
      <formula>0</formula>
    </cfRule>
  </conditionalFormatting>
  <conditionalFormatting sqref="I64">
    <cfRule type="cellIs" dxfId="784" priority="121" operator="greaterThan">
      <formula>0</formula>
    </cfRule>
  </conditionalFormatting>
  <conditionalFormatting sqref="I72">
    <cfRule type="cellIs" dxfId="783" priority="134" operator="greaterThan">
      <formula>0</formula>
    </cfRule>
  </conditionalFormatting>
  <conditionalFormatting sqref="I76">
    <cfRule type="cellIs" dxfId="782" priority="126" operator="greaterThan">
      <formula>0</formula>
    </cfRule>
  </conditionalFormatting>
  <conditionalFormatting sqref="I84">
    <cfRule type="cellIs" dxfId="781" priority="170" operator="greaterThan">
      <formula>0</formula>
    </cfRule>
  </conditionalFormatting>
  <conditionalFormatting sqref="I88">
    <cfRule type="cellIs" dxfId="780" priority="176" operator="greaterThan">
      <formula>0</formula>
    </cfRule>
  </conditionalFormatting>
  <conditionalFormatting sqref="J8">
    <cfRule type="cellIs" dxfId="779" priority="112" operator="greaterThan">
      <formula>0</formula>
    </cfRule>
  </conditionalFormatting>
  <conditionalFormatting sqref="J16">
    <cfRule type="cellIs" dxfId="778" priority="160" operator="greaterThan">
      <formula>0</formula>
    </cfRule>
  </conditionalFormatting>
  <conditionalFormatting sqref="J20">
    <cfRule type="cellIs" dxfId="777" priority="179" operator="greaterThan">
      <formula>0</formula>
    </cfRule>
  </conditionalFormatting>
  <conditionalFormatting sqref="J32">
    <cfRule type="cellIs" dxfId="776" priority="154" operator="greaterThan">
      <formula>0</formula>
    </cfRule>
  </conditionalFormatting>
  <conditionalFormatting sqref="J40">
    <cfRule type="cellIs" dxfId="775" priority="144" operator="greaterThan">
      <formula>0</formula>
    </cfRule>
  </conditionalFormatting>
  <conditionalFormatting sqref="J48">
    <cfRule type="cellIs" dxfId="774" priority="164" operator="greaterThan">
      <formula>0</formula>
    </cfRule>
  </conditionalFormatting>
  <conditionalFormatting sqref="J56">
    <cfRule type="cellIs" dxfId="773" priority="152" operator="greaterThan">
      <formula>0</formula>
    </cfRule>
  </conditionalFormatting>
  <conditionalFormatting sqref="J64">
    <cfRule type="cellIs" dxfId="772" priority="119" operator="greaterThan">
      <formula>0</formula>
    </cfRule>
  </conditionalFormatting>
  <conditionalFormatting sqref="J72">
    <cfRule type="cellIs" dxfId="771" priority="133" operator="greaterThan">
      <formula>0</formula>
    </cfRule>
  </conditionalFormatting>
  <conditionalFormatting sqref="J76">
    <cfRule type="cellIs" dxfId="770" priority="124" operator="greaterThan">
      <formula>0</formula>
    </cfRule>
  </conditionalFormatting>
  <conditionalFormatting sqref="J84">
    <cfRule type="cellIs" dxfId="769" priority="109" operator="greaterThan">
      <formula>0</formula>
    </cfRule>
  </conditionalFormatting>
  <conditionalFormatting sqref="J88">
    <cfRule type="cellIs" dxfId="768" priority="173" operator="greaterThan">
      <formula>0</formula>
    </cfRule>
  </conditionalFormatting>
  <conditionalFormatting sqref="Z6:Z21 Z54:Z57 Z70:Z76 X70:X93 Z98 X30:X33 X98 X38:X41 X46:X57 X62:X65 Z62:Z65">
    <cfRule type="cellIs" dxfId="767" priority="191" operator="lessThan">
      <formula>0</formula>
    </cfRule>
  </conditionalFormatting>
  <conditionalFormatting sqref="Z30:Z33 Z38:Z41 Z46:Z49">
    <cfRule type="cellIs" dxfId="766" priority="114" operator="lessThan">
      <formula>0</formula>
    </cfRule>
  </conditionalFormatting>
  <conditionalFormatting sqref="Z7">
    <cfRule type="iconSet" priority="130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765" priority="129" operator="lessThan">
      <formula>0</formula>
    </cfRule>
  </conditionalFormatting>
  <conditionalFormatting sqref="Z11">
    <cfRule type="iconSet" priority="117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764" priority="113" operator="lessThan">
      <formula>0</formula>
    </cfRule>
  </conditionalFormatting>
  <conditionalFormatting sqref="Z15">
    <cfRule type="iconSet" priority="163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763" priority="159" operator="lessThan">
      <formula>0</formula>
    </cfRule>
  </conditionalFormatting>
  <conditionalFormatting sqref="Z19">
    <cfRule type="iconSet" priority="182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762" priority="180" operator="lessThan">
      <formula>0</formula>
    </cfRule>
  </conditionalFormatting>
  <conditionalFormatting sqref="Z31">
    <cfRule type="iconSet" priority="156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761" priority="155" operator="lessThan">
      <formula>0</formula>
    </cfRule>
  </conditionalFormatting>
  <conditionalFormatting sqref="Z39">
    <cfRule type="iconSet" priority="146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760" priority="145" operator="lessThan">
      <formula>0</formula>
    </cfRule>
  </conditionalFormatting>
  <conditionalFormatting sqref="Z47">
    <cfRule type="iconSet" priority="168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759" priority="165" operator="lessThan">
      <formula>0</formula>
    </cfRule>
  </conditionalFormatting>
  <conditionalFormatting sqref="Z55">
    <cfRule type="iconSet" priority="185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758" priority="184" operator="lessThan">
      <formula>0</formula>
    </cfRule>
  </conditionalFormatting>
  <conditionalFormatting sqref="Z63">
    <cfRule type="iconSet" priority="122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757" priority="120" operator="lessThan">
      <formula>0</formula>
    </cfRule>
  </conditionalFormatting>
  <conditionalFormatting sqref="Z71">
    <cfRule type="iconSet" priority="137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756" priority="135" operator="lessThan">
      <formula>0</formula>
    </cfRule>
  </conditionalFormatting>
  <conditionalFormatting sqref="Z75">
    <cfRule type="iconSet" priority="128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755" priority="125" operator="lessThan">
      <formula>0</formula>
    </cfRule>
  </conditionalFormatting>
  <conditionalFormatting sqref="Z82:Z89">
    <cfRule type="cellIs" dxfId="754" priority="143" operator="lessThan">
      <formula>0</formula>
    </cfRule>
  </conditionalFormatting>
  <conditionalFormatting sqref="Z83">
    <cfRule type="iconSet" priority="172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753" priority="169" operator="lessThan">
      <formula>0</formula>
    </cfRule>
  </conditionalFormatting>
  <conditionalFormatting sqref="Z87">
    <cfRule type="iconSet" priority="175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752" priority="174" operator="lessThan">
      <formula>0</formula>
    </cfRule>
  </conditionalFormatting>
  <conditionalFormatting sqref="AA17">
    <cfRule type="cellIs" dxfId="751" priority="149" operator="lessThan">
      <formula>0</formula>
    </cfRule>
  </conditionalFormatting>
  <conditionalFormatting sqref="AA57">
    <cfRule type="cellIs" dxfId="750" priority="150" operator="lessThan">
      <formula>0</formula>
    </cfRule>
  </conditionalFormatting>
  <conditionalFormatting sqref="AG2:AH3">
    <cfRule type="cellIs" dxfId="749" priority="192" operator="lessThan">
      <formula>0.85</formula>
    </cfRule>
  </conditionalFormatting>
  <conditionalFormatting sqref="AP82:AP89 AP1:AP21 AP30:AP33 AP54:AP57 AP70:AP77 AP98:AP1048576 AP38:AP41 AP46:AP49 AP62:AP65">
    <cfRule type="cellIs" dxfId="748" priority="115" operator="notEqual">
      <formula>0</formula>
    </cfRule>
  </conditionalFormatting>
  <conditionalFormatting sqref="AT38:AT41 AT46:AT57 AT6:AT33 AT62:AT100">
    <cfRule type="cellIs" dxfId="747" priority="110" operator="lessThan">
      <formula>0</formula>
    </cfRule>
  </conditionalFormatting>
  <conditionalFormatting sqref="AA73">
    <cfRule type="cellIs" dxfId="746" priority="108" operator="lessThan">
      <formula>0</formula>
    </cfRule>
  </conditionalFormatting>
  <conditionalFormatting sqref="AA89">
    <cfRule type="cellIs" dxfId="745" priority="107" operator="lessThan">
      <formula>0</formula>
    </cfRule>
  </conditionalFormatting>
  <conditionalFormatting sqref="I24">
    <cfRule type="cellIs" dxfId="744" priority="103" operator="greaterThan">
      <formula>0</formula>
    </cfRule>
  </conditionalFormatting>
  <conditionalFormatting sqref="Z22:Z24">
    <cfRule type="cellIs" dxfId="743" priority="101" operator="lessThan">
      <formula>0</formula>
    </cfRule>
  </conditionalFormatting>
  <conditionalFormatting sqref="Z23">
    <cfRule type="iconSet" priority="106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742" priority="104" operator="lessThan">
      <formula>0</formula>
    </cfRule>
  </conditionalFormatting>
  <conditionalFormatting sqref="AP22:AP25">
    <cfRule type="cellIs" dxfId="741" priority="102" operator="notEqual">
      <formula>0</formula>
    </cfRule>
  </conditionalFormatting>
  <conditionalFormatting sqref="I52">
    <cfRule type="cellIs" dxfId="740" priority="98" operator="greaterThan">
      <formula>0</formula>
    </cfRule>
  </conditionalFormatting>
  <conditionalFormatting sqref="J52">
    <cfRule type="cellIs" dxfId="739" priority="96" operator="greaterThan">
      <formula>0</formula>
    </cfRule>
  </conditionalFormatting>
  <conditionalFormatting sqref="Z50:Z53">
    <cfRule type="cellIs" dxfId="738" priority="94" operator="lessThan">
      <formula>0</formula>
    </cfRule>
  </conditionalFormatting>
  <conditionalFormatting sqref="Z51">
    <cfRule type="iconSet" priority="100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737" priority="97" operator="lessThan">
      <formula>0</formula>
    </cfRule>
  </conditionalFormatting>
  <conditionalFormatting sqref="Z90:Z92">
    <cfRule type="cellIs" dxfId="736" priority="90" operator="lessThan">
      <formula>0</formula>
    </cfRule>
  </conditionalFormatting>
  <conditionalFormatting sqref="AP50:AP53">
    <cfRule type="cellIs" dxfId="735" priority="95" operator="notEqual">
      <formula>0</formula>
    </cfRule>
  </conditionalFormatting>
  <conditionalFormatting sqref="I92">
    <cfRule type="cellIs" dxfId="734" priority="92" operator="greaterThan">
      <formula>0</formula>
    </cfRule>
  </conditionalFormatting>
  <conditionalFormatting sqref="J92">
    <cfRule type="cellIs" dxfId="733" priority="88" operator="greaterThan">
      <formula>0</formula>
    </cfRule>
  </conditionalFormatting>
  <conditionalFormatting sqref="Z91">
    <cfRule type="iconSet" priority="91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732" priority="89" operator="lessThan">
      <formula>0</formula>
    </cfRule>
  </conditionalFormatting>
  <conditionalFormatting sqref="AP90:AP93">
    <cfRule type="cellIs" dxfId="731" priority="87" operator="notEqual">
      <formula>0</formula>
    </cfRule>
  </conditionalFormatting>
  <conditionalFormatting sqref="Z93">
    <cfRule type="cellIs" dxfId="730" priority="86" operator="lessThan">
      <formula>0</formula>
    </cfRule>
  </conditionalFormatting>
  <conditionalFormatting sqref="I80">
    <cfRule type="cellIs" dxfId="729" priority="82" operator="greaterThan">
      <formula>0</formula>
    </cfRule>
  </conditionalFormatting>
  <conditionalFormatting sqref="Z78:Z81">
    <cfRule type="cellIs" dxfId="728" priority="85" operator="lessThan">
      <formula>0</formula>
    </cfRule>
  </conditionalFormatting>
  <conditionalFormatting sqref="Z79">
    <cfRule type="iconSet" priority="84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727" priority="81" operator="lessThan">
      <formula>0</formula>
    </cfRule>
  </conditionalFormatting>
  <conditionalFormatting sqref="AP78:AP81">
    <cfRule type="cellIs" dxfId="726" priority="80" operator="notEqual">
      <formula>0</formula>
    </cfRule>
  </conditionalFormatting>
  <conditionalFormatting sqref="AA33">
    <cfRule type="cellIs" dxfId="725" priority="78" operator="lessThan">
      <formula>0</formula>
    </cfRule>
  </conditionalFormatting>
  <conditionalFormatting sqref="Z25">
    <cfRule type="cellIs" dxfId="724" priority="79" operator="lessThan">
      <formula>0</formula>
    </cfRule>
  </conditionalFormatting>
  <conditionalFormatting sqref="X6:X9">
    <cfRule type="cellIs" dxfId="723" priority="77" operator="lessThan">
      <formula>0</formula>
    </cfRule>
  </conditionalFormatting>
  <conditionalFormatting sqref="X8">
    <cfRule type="cellIs" dxfId="722" priority="75" operator="lessThan">
      <formula>0</formula>
    </cfRule>
  </conditionalFormatting>
  <conditionalFormatting sqref="X7">
    <cfRule type="iconSet" priority="76">
      <iconSet>
        <cfvo type="percent" val="0"/>
        <cfvo type="percent" val="&quot;$I$6&quot;"/>
        <cfvo type="percent" val="#REF!"/>
      </iconSet>
    </cfRule>
  </conditionalFormatting>
  <conditionalFormatting sqref="X10:X25">
    <cfRule type="cellIs" dxfId="721" priority="74" operator="lessThan">
      <formula>0</formula>
    </cfRule>
  </conditionalFormatting>
  <conditionalFormatting sqref="X12 X16 X20 X24 X32 X40 X48 X52 X56 X64 X72 X76 X80 X84 X88 X92">
    <cfRule type="cellIs" dxfId="720" priority="73" operator="lessThan">
      <formula>0</formula>
    </cfRule>
  </conditionalFormatting>
  <conditionalFormatting sqref="I28">
    <cfRule type="cellIs" dxfId="719" priority="69" operator="greaterThan">
      <formula>0</formula>
    </cfRule>
  </conditionalFormatting>
  <conditionalFormatting sqref="Z26:Z29">
    <cfRule type="cellIs" dxfId="718" priority="67" operator="lessThan">
      <formula>0</formula>
    </cfRule>
  </conditionalFormatting>
  <conditionalFormatting sqref="Z27">
    <cfRule type="iconSet" priority="71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717" priority="70" operator="lessThan">
      <formula>0</formula>
    </cfRule>
  </conditionalFormatting>
  <conditionalFormatting sqref="AP26:AP29">
    <cfRule type="cellIs" dxfId="716" priority="68" operator="notEqual">
      <formula>0</formula>
    </cfRule>
  </conditionalFormatting>
  <conditionalFormatting sqref="X26:X29">
    <cfRule type="cellIs" dxfId="715" priority="66" operator="lessThan">
      <formula>0</formula>
    </cfRule>
  </conditionalFormatting>
  <conditionalFormatting sqref="X28">
    <cfRule type="cellIs" dxfId="714" priority="64" operator="lessThan">
      <formula>0</formula>
    </cfRule>
  </conditionalFormatting>
  <conditionalFormatting sqref="X27">
    <cfRule type="iconSet" priority="65">
      <iconSet>
        <cfvo type="percent" val="0"/>
        <cfvo type="percent" val="&quot;$I$6&quot;"/>
        <cfvo type="percent" val="#REF!"/>
      </iconSet>
    </cfRule>
  </conditionalFormatting>
  <conditionalFormatting sqref="J12">
    <cfRule type="cellIs" dxfId="713" priority="63" operator="greaterThan">
      <formula>0</formula>
    </cfRule>
  </conditionalFormatting>
  <conditionalFormatting sqref="I68">
    <cfRule type="cellIs" dxfId="712" priority="60" operator="greaterThan">
      <formula>0</formula>
    </cfRule>
  </conditionalFormatting>
  <conditionalFormatting sqref="J68">
    <cfRule type="cellIs" dxfId="711" priority="57" operator="greaterThan">
      <formula>0</formula>
    </cfRule>
  </conditionalFormatting>
  <conditionalFormatting sqref="Z66:Z69 X66:X69">
    <cfRule type="cellIs" dxfId="710" priority="62" operator="lessThan">
      <formula>0</formula>
    </cfRule>
  </conditionalFormatting>
  <conditionalFormatting sqref="Z67">
    <cfRule type="iconSet" priority="59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709" priority="58" operator="lessThan">
      <formula>0</formula>
    </cfRule>
  </conditionalFormatting>
  <conditionalFormatting sqref="AP66:AP69">
    <cfRule type="cellIs" dxfId="708" priority="56" operator="notEqual">
      <formula>0</formula>
    </cfRule>
  </conditionalFormatting>
  <conditionalFormatting sqref="X68">
    <cfRule type="cellIs" dxfId="707" priority="53" operator="lessThan">
      <formula>0</formula>
    </cfRule>
  </conditionalFormatting>
  <conditionalFormatting sqref="X67">
    <cfRule type="iconSet" priority="54">
      <iconSet>
        <cfvo type="percent" val="0"/>
        <cfvo type="percent" val="&quot;$I$6&quot;"/>
        <cfvo type="percent" val="#REF!"/>
      </iconSet>
    </cfRule>
  </conditionalFormatting>
  <conditionalFormatting sqref="J24">
    <cfRule type="cellIs" dxfId="706" priority="52" operator="greaterThan">
      <formula>0</formula>
    </cfRule>
  </conditionalFormatting>
  <conditionalFormatting sqref="X75 X11 X15 X19 X23 X31 X39 X47 X51 X55 X63 X71 X79 X83 X87 X91">
    <cfRule type="iconSet" priority="193">
      <iconSet>
        <cfvo type="percent" val="0"/>
        <cfvo type="percent" val="&quot;$I$6&quot;"/>
        <cfvo type="percent" val="#REF!"/>
      </iconSet>
    </cfRule>
  </conditionalFormatting>
  <conditionalFormatting sqref="I96">
    <cfRule type="cellIs" dxfId="705" priority="49" operator="greaterThan">
      <formula>0</formula>
    </cfRule>
  </conditionalFormatting>
  <conditionalFormatting sqref="J96">
    <cfRule type="cellIs" dxfId="704" priority="45" operator="greaterThan">
      <formula>0</formula>
    </cfRule>
  </conditionalFormatting>
  <conditionalFormatting sqref="X94:X97">
    <cfRule type="cellIs" dxfId="703" priority="51" operator="lessThan">
      <formula>0</formula>
    </cfRule>
  </conditionalFormatting>
  <conditionalFormatting sqref="Z94:Z97">
    <cfRule type="cellIs" dxfId="702" priority="47" operator="lessThan">
      <formula>0</formula>
    </cfRule>
  </conditionalFormatting>
  <conditionalFormatting sqref="Z96">
    <cfRule type="cellIs" dxfId="701" priority="46" operator="lessThan">
      <formula>0</formula>
    </cfRule>
  </conditionalFormatting>
  <conditionalFormatting sqref="AP94:AP97">
    <cfRule type="cellIs" dxfId="700" priority="44" operator="notEqual">
      <formula>0</formula>
    </cfRule>
  </conditionalFormatting>
  <conditionalFormatting sqref="X96">
    <cfRule type="cellIs" dxfId="699" priority="42" operator="lessThan">
      <formula>0</formula>
    </cfRule>
  </conditionalFormatting>
  <conditionalFormatting sqref="J28">
    <cfRule type="cellIs" dxfId="698" priority="40" operator="greaterThan">
      <formula>0</formula>
    </cfRule>
  </conditionalFormatting>
  <conditionalFormatting sqref="J80">
    <cfRule type="cellIs" dxfId="697" priority="39" operator="greaterThan">
      <formula>0</formula>
    </cfRule>
  </conditionalFormatting>
  <conditionalFormatting sqref="I36">
    <cfRule type="cellIs" dxfId="696" priority="34" operator="greaterThan">
      <formula>0</formula>
    </cfRule>
  </conditionalFormatting>
  <conditionalFormatting sqref="J36">
    <cfRule type="cellIs" dxfId="695" priority="31" operator="greaterThan">
      <formula>0</formula>
    </cfRule>
  </conditionalFormatting>
  <conditionalFormatting sqref="X34:X37">
    <cfRule type="cellIs" dxfId="694" priority="36" operator="lessThan">
      <formula>0</formula>
    </cfRule>
  </conditionalFormatting>
  <conditionalFormatting sqref="Z34:Z37">
    <cfRule type="cellIs" dxfId="693" priority="29" operator="lessThan">
      <formula>0</formula>
    </cfRule>
  </conditionalFormatting>
  <conditionalFormatting sqref="Z35">
    <cfRule type="iconSet" priority="33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692" priority="32" operator="lessThan">
      <formula>0</formula>
    </cfRule>
  </conditionalFormatting>
  <conditionalFormatting sqref="AP34:AP37">
    <cfRule type="cellIs" dxfId="691" priority="30" operator="notEqual">
      <formula>0</formula>
    </cfRule>
  </conditionalFormatting>
  <conditionalFormatting sqref="AT34:AT37">
    <cfRule type="cellIs" dxfId="690" priority="28" operator="lessThan">
      <formula>0</formula>
    </cfRule>
  </conditionalFormatting>
  <conditionalFormatting sqref="AA37">
    <cfRule type="cellIs" dxfId="689" priority="27" operator="lessThan">
      <formula>0</formula>
    </cfRule>
  </conditionalFormatting>
  <conditionalFormatting sqref="X36">
    <cfRule type="cellIs" dxfId="688" priority="26" operator="lessThan">
      <formula>0</formula>
    </cfRule>
  </conditionalFormatting>
  <conditionalFormatting sqref="X35">
    <cfRule type="iconSet" priority="37">
      <iconSet>
        <cfvo type="percent" val="0"/>
        <cfvo type="percent" val="&quot;$I$6&quot;"/>
        <cfvo type="percent" val="#REF!"/>
      </iconSet>
    </cfRule>
  </conditionalFormatting>
  <conditionalFormatting sqref="I44">
    <cfRule type="cellIs" dxfId="687" priority="22" operator="greaterThan">
      <formula>0</formula>
    </cfRule>
  </conditionalFormatting>
  <conditionalFormatting sqref="J44">
    <cfRule type="cellIs" dxfId="686" priority="19" operator="greaterThan">
      <formula>0</formula>
    </cfRule>
  </conditionalFormatting>
  <conditionalFormatting sqref="X42:X45">
    <cfRule type="cellIs" dxfId="685" priority="24" operator="lessThan">
      <formula>0</formula>
    </cfRule>
  </conditionalFormatting>
  <conditionalFormatting sqref="Z42:Z45">
    <cfRule type="cellIs" dxfId="684" priority="17" operator="lessThan">
      <formula>0</formula>
    </cfRule>
  </conditionalFormatting>
  <conditionalFormatting sqref="Z43">
    <cfRule type="iconSet" priority="21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683" priority="20" operator="lessThan">
      <formula>0</formula>
    </cfRule>
  </conditionalFormatting>
  <conditionalFormatting sqref="AP42:AP45">
    <cfRule type="cellIs" dxfId="682" priority="18" operator="notEqual">
      <formula>0</formula>
    </cfRule>
  </conditionalFormatting>
  <conditionalFormatting sqref="AT42 AT44:AT45">
    <cfRule type="cellIs" dxfId="681" priority="16" operator="lessThan">
      <formula>0</formula>
    </cfRule>
  </conditionalFormatting>
  <conditionalFormatting sqref="X44">
    <cfRule type="cellIs" dxfId="680" priority="15" operator="lessThan">
      <formula>0</formula>
    </cfRule>
  </conditionalFormatting>
  <conditionalFormatting sqref="X43">
    <cfRule type="iconSet" priority="25">
      <iconSet>
        <cfvo type="percent" val="0"/>
        <cfvo type="percent" val="&quot;$I$6&quot;"/>
        <cfvo type="percent" val="#REF!"/>
      </iconSet>
    </cfRule>
  </conditionalFormatting>
  <conditionalFormatting sqref="I60">
    <cfRule type="cellIs" dxfId="679" priority="9" operator="greaterThan">
      <formula>0</formula>
    </cfRule>
  </conditionalFormatting>
  <conditionalFormatting sqref="J60">
    <cfRule type="cellIs" dxfId="678" priority="8" operator="greaterThan">
      <formula>0</formula>
    </cfRule>
  </conditionalFormatting>
  <conditionalFormatting sqref="Z58:Z61 X58:X61">
    <cfRule type="cellIs" dxfId="677" priority="13" operator="lessThan">
      <formula>0</formula>
    </cfRule>
  </conditionalFormatting>
  <conditionalFormatting sqref="Z59">
    <cfRule type="iconSet" priority="11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676" priority="10" operator="lessThan">
      <formula>0</formula>
    </cfRule>
  </conditionalFormatting>
  <conditionalFormatting sqref="AP58:AP61">
    <cfRule type="cellIs" dxfId="675" priority="6" operator="notEqual">
      <formula>0</formula>
    </cfRule>
  </conditionalFormatting>
  <conditionalFormatting sqref="AT58 AT60:AT61">
    <cfRule type="cellIs" dxfId="674" priority="5" operator="lessThan">
      <formula>0</formula>
    </cfRule>
  </conditionalFormatting>
  <conditionalFormatting sqref="X60">
    <cfRule type="cellIs" dxfId="673" priority="4" operator="lessThan">
      <formula>0</formula>
    </cfRule>
  </conditionalFormatting>
  <conditionalFormatting sqref="X59">
    <cfRule type="iconSet" priority="14">
      <iconSet>
        <cfvo type="percent" val="0"/>
        <cfvo type="percent" val="&quot;$I$6&quot;"/>
        <cfvo type="percent" val="#REF!"/>
      </iconSet>
    </cfRule>
  </conditionalFormatting>
  <conditionalFormatting sqref="AT43">
    <cfRule type="cellIs" dxfId="672" priority="3" operator="lessThan">
      <formula>0</formula>
    </cfRule>
  </conditionalFormatting>
  <conditionalFormatting sqref="AT59">
    <cfRule type="cellIs" dxfId="671" priority="1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1" id="{17DA18AC-4141-40ED-B8C5-8F1C3A74668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118" id="{E1C1AD74-0C96-4638-9729-D7E3C1BD28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162" id="{5BDF10EC-A94B-492D-97EC-5CF03662E43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81" id="{028EDDBD-C3B8-4AA6-95E7-D8F5B1594C4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58" id="{E293430B-E073-42A4-91EC-296B441E09E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148" id="{D14E6348-63D3-46E0-AA22-01A647B5A3A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67" id="{C509E960-D79E-4A9A-B5AC-110BA5A4635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186" id="{2C84630C-10ED-4860-BBD5-779B81A17CD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123" id="{46A53590-9AC8-4251-8DF1-A9B8060CFBB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136" id="{A04FA331-E8A6-46CB-B4E0-4C56B138791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127" id="{07140503-C0B2-49D7-A1F0-04968C706F3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171" id="{E09E7F73-CE47-4C4F-A52D-F5101921CEB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77" id="{19132545-ACDE-4721-BB1D-EA2A315360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105" id="{C24FFBF3-8C4F-4745-AE9F-797D5C2FC04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99" id="{2CD18A60-8770-42B3-AE1A-746F7B6B35A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93" id="{58EDC5EF-67D7-4592-AEF8-E2DAC8FECCB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83" id="{D077A224-6E0C-4C0F-B4B6-8C6C678F064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72" id="{09F1EDC9-F7EF-4BFF-9844-6EE9807EA9B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61" id="{A6786D94-766B-4B36-B888-AA5275E55A9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48" id="{8FC8DE81-4971-4CED-9BBC-6BB84005432C}">
            <x14:iconSet>
              <x14:cfvo type="percent">
                <xm:f>0</xm:f>
              </x14:cfvo>
              <x14:cfvo type="percent">
                <xm:f>"$I$6"</xm:f>
              </x14:cfvo>
              <x14:cfvo type="percent">
                <xm:f>'11-05-2026'!#REF!</xm:f>
              </x14:cfvo>
            </x14:iconSet>
          </x14:cfRule>
          <xm:sqref>Z95</xm:sqref>
        </x14:conditionalFormatting>
        <x14:conditionalFormatting xmlns:xm="http://schemas.microsoft.com/office/excel/2006/main">
          <x14:cfRule type="iconSet" priority="43" id="{AD6F59B9-077B-4B4A-92CC-AFC73494212C}">
            <x14:iconSet>
              <x14:cfvo type="percent">
                <xm:f>0</xm:f>
              </x14:cfvo>
              <x14:cfvo type="percent">
                <xm:f>"$I$6"</xm:f>
              </x14:cfvo>
              <x14:cfvo type="percent">
                <xm:f>'11-05-2026'!#REF!</xm:f>
              </x14:cfvo>
            </x14:iconSet>
          </x14:cfRule>
          <xm:sqref>X95</xm:sqref>
        </x14:conditionalFormatting>
        <x14:conditionalFormatting xmlns:xm="http://schemas.microsoft.com/office/excel/2006/main">
          <x14:cfRule type="iconSet" priority="50" id="{F3F1A528-9E6D-4346-AA30-11598F97F23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AA94</xm:sqref>
        </x14:conditionalFormatting>
        <x14:conditionalFormatting xmlns:xm="http://schemas.microsoft.com/office/excel/2006/main">
          <x14:cfRule type="iconSet" priority="35" id="{1AF8A81B-5E12-448D-ACAF-CB680A02A26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23" id="{D1EA7093-FBA1-410D-AB5F-F52B78C8753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2" id="{6EAF75B4-1470-40B6-8D10-96D93B49469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BN198"/>
  <sheetViews>
    <sheetView tabSelected="1" zoomScale="18" zoomScaleNormal="18" zoomScaleSheetLayoutView="18" workbookViewId="0">
      <selection activeCell="K131" sqref="K131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5" width="34.5703125" style="155" customWidth="1"/>
    <col min="36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48.28515625" style="183" customWidth="1"/>
    <col min="41" max="41" width="37.7109375" style="91" customWidth="1"/>
    <col min="42" max="42" width="29" style="91" customWidth="1"/>
    <col min="43" max="43" width="30.28515625" style="91" customWidth="1"/>
    <col min="44" max="45" width="9.140625" style="91" customWidth="1"/>
    <col min="46" max="46" width="37.7109375" style="91" hidden="1" customWidth="1"/>
    <col min="47" max="47" width="30.5703125" style="393" hidden="1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59" width="20.42578125" style="91" customWidth="1"/>
    <col min="60" max="60" width="20.42578125" style="91" hidden="1" customWidth="1"/>
    <col min="61" max="62" width="9.140625" style="91" hidden="1" customWidth="1"/>
    <col min="63" max="63" width="35.28515625" style="91" hidden="1" customWidth="1"/>
    <col min="64" max="64" width="4" style="91" hidden="1" customWidth="1"/>
    <col min="65" max="66" width="9.140625" style="91" hidden="1" customWidth="1"/>
    <col min="67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534" t="s">
        <v>182</v>
      </c>
      <c r="AH1" s="534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535">
        <f>+AL2/AK2</f>
        <v>0.78093662952646237</v>
      </c>
      <c r="AH2" s="535"/>
      <c r="AK2" s="183">
        <f>+SUBTOTAL(9,AK6:AK120)</f>
        <v>86160</v>
      </c>
      <c r="AL2" s="183">
        <f>+SUBTOTAL(9,AL6:AL120)</f>
        <v>67285.5</v>
      </c>
      <c r="AW2" s="91">
        <v>0.59793648334624327</v>
      </c>
    </row>
    <row r="3" spans="2:64" ht="94.5" customHeight="1" x14ac:dyDescent="0.9">
      <c r="B3" s="363">
        <f>+AM4</f>
        <v>8.25</v>
      </c>
      <c r="C3" s="478"/>
      <c r="D3" s="478"/>
      <c r="E3" s="478"/>
      <c r="F3" s="357" t="s">
        <v>395</v>
      </c>
      <c r="G3" s="358"/>
      <c r="H3" s="583"/>
      <c r="I3" s="583"/>
      <c r="J3" s="231" t="s">
        <v>329</v>
      </c>
      <c r="K3" s="583"/>
      <c r="L3" s="583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78"/>
      <c r="AD3" s="96"/>
      <c r="AE3" s="96"/>
      <c r="AF3" s="96"/>
      <c r="AG3" s="535"/>
      <c r="AH3" s="535"/>
      <c r="AK3" s="183"/>
      <c r="AL3" s="183"/>
      <c r="AN3" s="587" t="s">
        <v>498</v>
      </c>
      <c r="AT3" s="91">
        <v>8.75</v>
      </c>
    </row>
    <row r="4" spans="2:64" s="141" customFormat="1" ht="129.75" customHeight="1" thickBot="1" x14ac:dyDescent="0.75">
      <c r="B4" s="537"/>
      <c r="C4" s="537"/>
      <c r="D4" s="537"/>
      <c r="E4" s="537"/>
      <c r="F4" s="537"/>
      <c r="G4" s="537"/>
      <c r="H4" s="217"/>
      <c r="J4" s="142"/>
      <c r="K4" s="536" t="s">
        <v>97</v>
      </c>
      <c r="L4" s="536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+SUMIF($L$6:$L$103,AB3,$AB$6:$AB$103)</f>
        <v>1622</v>
      </c>
      <c r="AC4" s="144" t="s">
        <v>28</v>
      </c>
      <c r="AD4" s="145"/>
      <c r="AE4" s="145"/>
      <c r="AF4" s="145"/>
      <c r="AG4" s="539" t="str">
        <f ca="1">RIGHT(CELL("filename",A1),LEN(CELL("filename",A1))-FIND("]",CELL("filename",A1)))</f>
        <v>15-05-2026</v>
      </c>
      <c r="AH4" s="539"/>
      <c r="AI4" s="588" t="s">
        <v>499</v>
      </c>
      <c r="AJ4" s="362"/>
      <c r="AK4" s="98"/>
      <c r="AL4" s="98"/>
      <c r="AM4" s="363">
        <v>8.25</v>
      </c>
      <c r="AT4" s="396">
        <f>+SUBTOTAL(9,AT6:AT104)</f>
        <v>-3530.8499999999995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42" t="s">
        <v>95</v>
      </c>
      <c r="K5" s="543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524">
        <v>1</v>
      </c>
      <c r="C6" s="370"/>
      <c r="D6" s="106"/>
      <c r="E6" s="106"/>
      <c r="F6" s="584" t="s">
        <v>35</v>
      </c>
      <c r="G6" s="577" t="s">
        <v>444</v>
      </c>
      <c r="H6" s="106"/>
      <c r="I6" s="584" t="s">
        <v>33</v>
      </c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/>
      <c r="P6" s="423"/>
      <c r="Q6" s="423"/>
      <c r="R6" s="423"/>
      <c r="S6" s="423"/>
      <c r="T6" s="423"/>
      <c r="U6" s="423"/>
      <c r="V6" s="423"/>
      <c r="W6" s="423"/>
      <c r="X6" s="135"/>
      <c r="Y6" s="438"/>
      <c r="Z6" s="400">
        <v>0</v>
      </c>
      <c r="AA6" s="540">
        <f>+X8</f>
        <v>-10</v>
      </c>
      <c r="AB6" s="135">
        <f t="shared" ref="AB6:AB68" si="0">+SUM(L6:W6)</f>
        <v>100</v>
      </c>
      <c r="AC6" s="136">
        <f>+AD6+AB6</f>
        <v>5210</v>
      </c>
      <c r="AD6" s="136">
        <v>5110</v>
      </c>
      <c r="AE6" s="438"/>
      <c r="AF6" s="438"/>
      <c r="AG6" s="109"/>
      <c r="AH6" s="110"/>
      <c r="AI6" s="157"/>
      <c r="AJ6" s="161">
        <f t="shared" ref="AJ6:AJ86" si="1">TRUNC(AI6)+(AI6-TRUNC(AI6))*60/100</f>
        <v>0</v>
      </c>
      <c r="AK6" s="167">
        <f t="shared" ref="AK6:AK86" si="2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525">
        <v>1</v>
      </c>
      <c r="C7" s="371">
        <f>+B7</f>
        <v>1</v>
      </c>
      <c r="D7" s="372" t="s">
        <v>443</v>
      </c>
      <c r="E7" s="111"/>
      <c r="F7" s="585"/>
      <c r="G7" s="578"/>
      <c r="H7" s="450">
        <v>6000</v>
      </c>
      <c r="I7" s="585"/>
      <c r="J7" s="113">
        <v>42.84</v>
      </c>
      <c r="K7" s="130">
        <v>60</v>
      </c>
      <c r="L7" s="101" t="s">
        <v>17</v>
      </c>
      <c r="M7" s="214">
        <v>60</v>
      </c>
      <c r="N7" s="214">
        <v>50</v>
      </c>
      <c r="O7" s="214"/>
      <c r="P7" s="214"/>
      <c r="Q7" s="214"/>
      <c r="R7" s="214"/>
      <c r="S7" s="214"/>
      <c r="T7" s="214"/>
      <c r="U7" s="214"/>
      <c r="V7" s="214"/>
      <c r="W7" s="424"/>
      <c r="X7" s="123">
        <f>+IF(H8="s",0,IF(AB7=0,0,IF(COUNTA(M7:W7)=AN9+0.75,SUMIF($C:$C,B7,$AB:$AB)/AN9,SUMIF($C:$C,B7,$AB:$AB)/(COUNTA(M7:W7)))))</f>
        <v>55</v>
      </c>
      <c r="Y7" s="439"/>
      <c r="Z7" s="400"/>
      <c r="AA7" s="541"/>
      <c r="AB7" s="134">
        <f t="shared" si="0"/>
        <v>110</v>
      </c>
      <c r="AC7" s="137">
        <f>+AB7+AD7</f>
        <v>4765</v>
      </c>
      <c r="AD7" s="137">
        <v>4655</v>
      </c>
      <c r="AE7" s="439">
        <v>0</v>
      </c>
      <c r="AF7" s="439">
        <f>+AE7+Y7</f>
        <v>0</v>
      </c>
      <c r="AG7" s="140">
        <f>+AC6-AC7</f>
        <v>445</v>
      </c>
      <c r="AH7" s="131">
        <f>+IF(((AB8+(AB9/2))*60)=0,"",(J7*AB7)/((AB8+(AB9/2))*60))</f>
        <v>0.8181250000000001</v>
      </c>
      <c r="AI7" s="161">
        <f>+AB8+AB9/2</f>
        <v>96</v>
      </c>
      <c r="AJ7" s="161">
        <f t="shared" si="1"/>
        <v>96</v>
      </c>
      <c r="AK7" s="167">
        <f t="shared" si="2"/>
        <v>5760</v>
      </c>
      <c r="AL7" s="167">
        <f>+AB7*J7</f>
        <v>4712.4000000000005</v>
      </c>
      <c r="AM7" s="230">
        <f>+AB7-(AI7*K7/K9)</f>
        <v>-7.5510204081632679</v>
      </c>
      <c r="AN7" s="339"/>
      <c r="AO7" s="340"/>
      <c r="AP7" s="167"/>
      <c r="AQ7" s="167"/>
      <c r="AR7" s="167"/>
      <c r="AS7" s="167"/>
      <c r="AT7" s="433">
        <f>IF(AU7=0,"",AW7-(($AT$3*K7)+($AT$3*K7)*AU7)+AB6)</f>
        <v>-600</v>
      </c>
      <c r="AU7" s="393">
        <v>1.2</v>
      </c>
      <c r="AW7" s="356">
        <v>455</v>
      </c>
      <c r="AY7" s="356">
        <f>+AW7-AG7</f>
        <v>10</v>
      </c>
      <c r="AZ7" s="581"/>
      <c r="BA7" s="581"/>
      <c r="BB7" s="581"/>
      <c r="BC7" s="581"/>
      <c r="BD7" s="581"/>
      <c r="BE7" s="581"/>
      <c r="BF7" s="581"/>
      <c r="BG7" s="581"/>
      <c r="BH7" s="581"/>
      <c r="BI7" s="581"/>
      <c r="BK7" s="452" t="e">
        <f>+I6-AD6</f>
        <v>#VALUE!</v>
      </c>
      <c r="BL7" s="452">
        <f>+J7-AE6</f>
        <v>42.84</v>
      </c>
    </row>
    <row r="8" spans="2:64" s="98" customFormat="1" ht="62.25" customHeight="1" x14ac:dyDescent="0.9">
      <c r="B8" s="527">
        <v>1</v>
      </c>
      <c r="C8" s="373"/>
      <c r="D8" s="184"/>
      <c r="E8" s="111">
        <f>+B7</f>
        <v>1</v>
      </c>
      <c r="F8" s="585"/>
      <c r="G8" s="578"/>
      <c r="H8" s="376" t="s">
        <v>400</v>
      </c>
      <c r="I8" s="585"/>
      <c r="J8" s="113"/>
      <c r="K8" s="114" t="s">
        <v>22</v>
      </c>
      <c r="L8" s="102" t="s">
        <v>18</v>
      </c>
      <c r="M8" s="215">
        <v>47</v>
      </c>
      <c r="N8" s="215">
        <v>47</v>
      </c>
      <c r="O8" s="215"/>
      <c r="P8" s="215"/>
      <c r="Q8" s="215"/>
      <c r="R8" s="215"/>
      <c r="S8" s="215"/>
      <c r="T8" s="215"/>
      <c r="U8" s="215"/>
      <c r="V8" s="426"/>
      <c r="W8" s="426"/>
      <c r="X8" s="160">
        <f>+IF(H8="l",IF(COUNTA(M7:W7)=AN9+0.75,AB7-K7*AN9,AB7-(K7*COUNTA(M7:W7))),IF(H8="s",0,IF(COUNTA(M7:W7)=AN9+0.75,SUMIF($C:$C,B7,$AB:$AB)-K7*AN9,SUMIF($C:$C,B7,$AB:$AB)-K7*COUNTA(M7:W7))))</f>
        <v>-10</v>
      </c>
      <c r="Y8" s="440"/>
      <c r="Z8" s="400"/>
      <c r="AA8" s="541"/>
      <c r="AB8" s="443">
        <f>+SUM(M8:W8)-U8*0.75</f>
        <v>94</v>
      </c>
      <c r="AC8" s="341"/>
      <c r="AD8" s="341"/>
      <c r="AE8" s="440"/>
      <c r="AF8" s="440"/>
      <c r="AG8" s="115"/>
      <c r="AH8" s="116"/>
      <c r="AI8" s="157"/>
      <c r="AJ8" s="161">
        <f t="shared" si="1"/>
        <v>0</v>
      </c>
      <c r="AK8" s="167">
        <f t="shared" si="2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94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x14ac:dyDescent="0.9">
      <c r="B9" s="525">
        <v>1</v>
      </c>
      <c r="C9" s="485"/>
      <c r="D9" s="486"/>
      <c r="E9" s="487">
        <f>+E8+100</f>
        <v>101</v>
      </c>
      <c r="F9" s="585"/>
      <c r="G9" s="578"/>
      <c r="H9" s="488">
        <f>+AC6-H7</f>
        <v>-790</v>
      </c>
      <c r="I9" s="585"/>
      <c r="J9" s="489">
        <v>0.91625000000000001</v>
      </c>
      <c r="K9" s="481">
        <v>49</v>
      </c>
      <c r="L9" s="490" t="s">
        <v>19</v>
      </c>
      <c r="M9" s="491">
        <v>2</v>
      </c>
      <c r="N9" s="491">
        <v>2</v>
      </c>
      <c r="O9" s="491"/>
      <c r="P9" s="491"/>
      <c r="Q9" s="491"/>
      <c r="R9" s="491"/>
      <c r="S9" s="491"/>
      <c r="T9" s="491"/>
      <c r="U9" s="491"/>
      <c r="V9" s="492"/>
      <c r="W9" s="492"/>
      <c r="X9" s="493"/>
      <c r="Y9" s="483"/>
      <c r="Z9" s="482">
        <v>4.4051999999999998</v>
      </c>
      <c r="AA9" s="484">
        <v>4.4051999999999998</v>
      </c>
      <c r="AB9" s="494">
        <f t="shared" ref="AB9:AB70" si="3">+SUM(M9:W9)-U9*0.75</f>
        <v>4</v>
      </c>
      <c r="AC9" s="495"/>
      <c r="AD9" s="495"/>
      <c r="AE9" s="483"/>
      <c r="AF9" s="483"/>
      <c r="AG9" s="496">
        <f>+IFERROR(AG7/(K7*$AT$3),"")</f>
        <v>0.84761904761904761</v>
      </c>
      <c r="AH9" s="497"/>
      <c r="AI9" s="161"/>
      <c r="AJ9" s="161">
        <f t="shared" si="1"/>
        <v>0</v>
      </c>
      <c r="AK9" s="167">
        <f t="shared" si="2"/>
        <v>0</v>
      </c>
      <c r="AL9" s="167"/>
      <c r="AM9" s="230"/>
      <c r="AN9" s="342">
        <f>+$AM$4</f>
        <v>8.25</v>
      </c>
      <c r="AO9" s="340">
        <f>+IF(AN9=7.75,SUM(M9:S9)+T9*0.75,IF(AN9=8,SUM(M9:T9),IF(AN9=7.25,SUM(M9:S9)+T9*0.25,IF(AN9=8.25,SUM(M9:T9)+U9*0.25,IF(AN9=8.75,SUM(M9:T9)+U9*0.75,0)))))</f>
        <v>4</v>
      </c>
      <c r="AP9" s="167">
        <f>+AO9-AB9</f>
        <v>0</v>
      </c>
      <c r="AQ9" s="167"/>
      <c r="AR9" s="167"/>
      <c r="AS9" s="167"/>
      <c r="AT9" s="498"/>
      <c r="AU9" s="393"/>
      <c r="AW9" s="356">
        <v>0.8666666666666667</v>
      </c>
      <c r="AY9" s="356"/>
    </row>
    <row r="10" spans="2:64" s="98" customFormat="1" ht="62.25" customHeight="1" thickBot="1" x14ac:dyDescent="0.95">
      <c r="B10" s="526"/>
      <c r="C10" s="505"/>
      <c r="D10" s="174" t="s">
        <v>77</v>
      </c>
      <c r="E10" s="506"/>
      <c r="F10" s="586"/>
      <c r="G10" s="579"/>
      <c r="H10" s="507"/>
      <c r="I10" s="586"/>
      <c r="J10" s="508"/>
      <c r="K10" s="506"/>
      <c r="L10" s="104" t="s">
        <v>497</v>
      </c>
      <c r="M10" s="509"/>
      <c r="N10" s="509"/>
      <c r="O10" s="509"/>
      <c r="P10" s="509"/>
      <c r="Q10" s="509"/>
      <c r="R10" s="509"/>
      <c r="S10" s="509"/>
      <c r="T10" s="509"/>
      <c r="U10" s="509"/>
      <c r="V10" s="510"/>
      <c r="W10" s="510"/>
      <c r="X10" s="511"/>
      <c r="Y10" s="512"/>
      <c r="Z10" s="511"/>
      <c r="AA10" s="513"/>
      <c r="AB10" s="514"/>
      <c r="AC10" s="515"/>
      <c r="AD10" s="515"/>
      <c r="AE10" s="512"/>
      <c r="AF10" s="512"/>
      <c r="AG10" s="516"/>
      <c r="AH10" s="517"/>
      <c r="AI10" s="518"/>
      <c r="AJ10" s="518"/>
      <c r="AK10" s="519"/>
      <c r="AL10" s="519"/>
      <c r="AM10" s="520"/>
      <c r="AN10" s="521"/>
      <c r="AO10" s="522"/>
      <c r="AP10" s="519"/>
      <c r="AQ10" s="519"/>
      <c r="AR10" s="167"/>
      <c r="AS10" s="167"/>
      <c r="AT10" s="523"/>
      <c r="AU10" s="393"/>
      <c r="AW10" s="356"/>
      <c r="AY10" s="356"/>
    </row>
    <row r="11" spans="2:64" s="98" customFormat="1" ht="62.25" hidden="1" customHeight="1" thickTop="1" x14ac:dyDescent="0.9">
      <c r="B11" s="97">
        <f>+B12</f>
        <v>2</v>
      </c>
      <c r="C11" s="370"/>
      <c r="D11" s="106"/>
      <c r="E11" s="106"/>
      <c r="F11" s="106"/>
      <c r="G11" s="578" t="s">
        <v>440</v>
      </c>
      <c r="H11" s="106"/>
      <c r="I11" s="106"/>
      <c r="J11" s="499" t="s">
        <v>20</v>
      </c>
      <c r="K11" s="500" t="s">
        <v>23</v>
      </c>
      <c r="L11" s="100" t="s">
        <v>21</v>
      </c>
      <c r="M11" s="501">
        <v>75</v>
      </c>
      <c r="N11" s="501"/>
      <c r="O11" s="501"/>
      <c r="P11" s="501"/>
      <c r="Q11" s="501"/>
      <c r="R11" s="501"/>
      <c r="S11" s="501"/>
      <c r="T11" s="501"/>
      <c r="U11" s="501"/>
      <c r="V11" s="501"/>
      <c r="W11" s="501"/>
      <c r="X11" s="135"/>
      <c r="Y11" s="442"/>
      <c r="Z11" s="400">
        <v>-24</v>
      </c>
      <c r="AA11" s="541">
        <f>+X13</f>
        <v>-18</v>
      </c>
      <c r="AB11" s="135">
        <f t="shared" si="0"/>
        <v>75</v>
      </c>
      <c r="AC11" s="135">
        <f>+AD11+AB11</f>
        <v>2851</v>
      </c>
      <c r="AD11" s="135">
        <v>2776</v>
      </c>
      <c r="AE11" s="442"/>
      <c r="AF11" s="442"/>
      <c r="AG11" s="502"/>
      <c r="AH11" s="503"/>
      <c r="AI11" s="157"/>
      <c r="AJ11" s="161">
        <f t="shared" si="1"/>
        <v>0</v>
      </c>
      <c r="AK11" s="167">
        <f t="shared" si="2"/>
        <v>0</v>
      </c>
      <c r="AL11" s="167"/>
      <c r="AM11" s="167"/>
      <c r="AN11" s="339"/>
      <c r="AO11" s="340"/>
      <c r="AP11" s="167"/>
      <c r="AQ11" s="167"/>
      <c r="AR11" s="167"/>
      <c r="AS11" s="167"/>
      <c r="AT11" s="504"/>
      <c r="AU11" s="393"/>
      <c r="AW11" s="356"/>
      <c r="AY11" s="356"/>
    </row>
    <row r="12" spans="2:64" s="98" customFormat="1" ht="62.25" hidden="1" customHeight="1" x14ac:dyDescent="1.35">
      <c r="B12" s="132">
        <v>2</v>
      </c>
      <c r="C12" s="371">
        <f>+B12</f>
        <v>2</v>
      </c>
      <c r="D12" s="372" t="s">
        <v>439</v>
      </c>
      <c r="E12" s="111"/>
      <c r="F12" s="111" t="s">
        <v>35</v>
      </c>
      <c r="G12" s="578" t="str">
        <f>+G11</f>
        <v>7740-876-052</v>
      </c>
      <c r="H12" s="450">
        <v>7000</v>
      </c>
      <c r="I12" s="111" t="s">
        <v>33</v>
      </c>
      <c r="J12" s="113">
        <v>55.78</v>
      </c>
      <c r="K12" s="130">
        <v>52</v>
      </c>
      <c r="L12" s="101" t="s">
        <v>17</v>
      </c>
      <c r="M12" s="214">
        <v>52</v>
      </c>
      <c r="N12" s="214">
        <v>34</v>
      </c>
      <c r="O12" s="214"/>
      <c r="P12" s="214"/>
      <c r="Q12" s="214"/>
      <c r="R12" s="214"/>
      <c r="S12" s="214"/>
      <c r="T12" s="214"/>
      <c r="U12" s="214"/>
      <c r="V12" s="214"/>
      <c r="W12" s="424"/>
      <c r="X12" s="123">
        <f>+IF(H13="s",0,IF(AB12=0,0,IF(COUNTA(M12:W12)=AN14+0.75,SUMIF($C:$C,B12,$AB:$AB)/AN14,SUMIF($C:$C,B12,$AB:$AB)/(COUNTA(M12:W12)))))</f>
        <v>43</v>
      </c>
      <c r="Y12" s="439"/>
      <c r="Z12" s="400"/>
      <c r="AA12" s="541"/>
      <c r="AB12" s="134">
        <f t="shared" si="0"/>
        <v>86</v>
      </c>
      <c r="AC12" s="137">
        <f>+AB12+AD12</f>
        <v>2038</v>
      </c>
      <c r="AD12" s="137">
        <v>1952</v>
      </c>
      <c r="AE12" s="439">
        <v>0</v>
      </c>
      <c r="AF12" s="439">
        <f>+AE12+Y12</f>
        <v>0</v>
      </c>
      <c r="AG12" s="140">
        <f>+AC11-AC12</f>
        <v>813</v>
      </c>
      <c r="AH12" s="131">
        <f>+IF(((AB13+(AB14/2))*60)=0,"",(J12*AB12)/((AB13+(AB14/2))*60))</f>
        <v>0.74720872274143302</v>
      </c>
      <c r="AI12" s="161">
        <f>+AB13+AB14/2</f>
        <v>107</v>
      </c>
      <c r="AJ12" s="161">
        <f t="shared" si="1"/>
        <v>107</v>
      </c>
      <c r="AK12" s="167">
        <f t="shared" si="2"/>
        <v>6420</v>
      </c>
      <c r="AL12" s="167">
        <f>+AB12*J12</f>
        <v>4797.08</v>
      </c>
      <c r="AM12" s="230">
        <f>+AB12-(AI12*K12/K14)</f>
        <v>-13.357142857142861</v>
      </c>
      <c r="AN12" s="339"/>
      <c r="AO12" s="340"/>
      <c r="AP12" s="167"/>
      <c r="AQ12" s="167"/>
      <c r="AR12" s="167"/>
      <c r="AS12" s="167"/>
      <c r="AT12" s="433">
        <f t="shared" ref="AT12" si="4">IF(AU12=0,"",AW12-(($AT$3*K12)+($AT$3*K12)*AU12)+AB11)</f>
        <v>-270.34999999999991</v>
      </c>
      <c r="AU12" s="393">
        <v>1.57</v>
      </c>
      <c r="AW12" s="356">
        <v>824</v>
      </c>
      <c r="AY12" s="356">
        <f>+AW12-AG12</f>
        <v>11</v>
      </c>
      <c r="AZ12" s="581"/>
      <c r="BA12" s="581"/>
      <c r="BB12" s="581"/>
      <c r="BC12" s="581"/>
      <c r="BD12" s="581"/>
      <c r="BE12" s="581"/>
      <c r="BF12" s="581"/>
      <c r="BG12" s="581"/>
      <c r="BH12" s="581"/>
      <c r="BI12" s="581"/>
    </row>
    <row r="13" spans="2:64" s="98" customFormat="1" ht="62.25" hidden="1" customHeight="1" x14ac:dyDescent="0.9">
      <c r="B13" s="125">
        <f>+B12</f>
        <v>2</v>
      </c>
      <c r="C13" s="373"/>
      <c r="D13" s="184"/>
      <c r="E13" s="111"/>
      <c r="F13" s="374"/>
      <c r="G13" s="578" t="str">
        <f>+G11</f>
        <v>7740-876-052</v>
      </c>
      <c r="H13" s="376" t="s">
        <v>400</v>
      </c>
      <c r="I13" s="113">
        <f>+IFERROR(IF(K14=0,0,IF((LOOKUP(2,1/(M13:W13&lt;&gt;""),M13:W13)-K14)&lt;0,0,IF(K14=0,"",LOOKUP(2,1/(M13:W13&lt;&gt;""),M13:W13)-K14))),0)</f>
        <v>0</v>
      </c>
      <c r="J13" s="113"/>
      <c r="K13" s="114" t="s">
        <v>22</v>
      </c>
      <c r="L13" s="102" t="s">
        <v>18</v>
      </c>
      <c r="M13" s="215">
        <v>53</v>
      </c>
      <c r="N13" s="215">
        <v>54</v>
      </c>
      <c r="O13" s="215"/>
      <c r="P13" s="215"/>
      <c r="Q13" s="215"/>
      <c r="R13" s="215"/>
      <c r="S13" s="215"/>
      <c r="T13" s="215"/>
      <c r="U13" s="215"/>
      <c r="V13" s="215"/>
      <c r="W13" s="215"/>
      <c r="X13" s="160">
        <f>+IF(H13="l",IF(COUNTA(M12:W12)=AN14+0.75,AB12-K12*AN14,AB12-(K12*COUNTA(M12:W12))),IF(H13="s",0,IF(COUNTA(M12:W12)=AN14+0.75,SUMIF($C:$C,B12,$AB:$AB)-K12*AN14,SUMIF($C:$C,B12,$AB:$AB)-K12*COUNTA(M12:W12))))</f>
        <v>-18</v>
      </c>
      <c r="Y13" s="440"/>
      <c r="Z13" s="400"/>
      <c r="AA13" s="541"/>
      <c r="AB13" s="443">
        <f>+SUM(M13:W13)-U13*0.75</f>
        <v>107</v>
      </c>
      <c r="AC13" s="341"/>
      <c r="AD13" s="341"/>
      <c r="AE13" s="440"/>
      <c r="AF13" s="440"/>
      <c r="AG13" s="115"/>
      <c r="AH13" s="116"/>
      <c r="AI13" s="157"/>
      <c r="AJ13" s="161">
        <f t="shared" si="1"/>
        <v>0</v>
      </c>
      <c r="AK13" s="167">
        <f t="shared" si="2"/>
        <v>0</v>
      </c>
      <c r="AL13" s="167"/>
      <c r="AM13" s="167"/>
      <c r="AN13" s="339"/>
      <c r="AO13" s="340">
        <f>+IF(AN14=7.75,SUM(M13:S13)+T13*0.75,IF(AN14=8,SUM(M13:T13),IF(AN14=7.25,SUM(M13:S13)+T13*0.25,IF(AN14=8.25,SUM(M13:T13)+U13*0.25,IF(AN14=8.75,SUM(M13:T13)+U13*0.75,0)))))</f>
        <v>107</v>
      </c>
      <c r="AP13" s="167">
        <f>+AO13-AB13</f>
        <v>0</v>
      </c>
      <c r="AQ13" s="167"/>
      <c r="AR13" s="167"/>
      <c r="AS13" s="167"/>
      <c r="AT13" s="434"/>
      <c r="AU13" s="393"/>
      <c r="AW13" s="356"/>
      <c r="AY13" s="356"/>
    </row>
    <row r="14" spans="2:64" s="98" customFormat="1" ht="62.25" hidden="1" customHeight="1" thickBot="1" x14ac:dyDescent="0.95">
      <c r="B14" s="126">
        <f>+B12</f>
        <v>2</v>
      </c>
      <c r="C14" s="375"/>
      <c r="D14" s="174" t="s">
        <v>404</v>
      </c>
      <c r="E14" s="175"/>
      <c r="F14" s="175"/>
      <c r="G14" s="579" t="str">
        <f>+G11</f>
        <v>7740-876-052</v>
      </c>
      <c r="H14" s="454">
        <f>+AC11-H12</f>
        <v>-4149</v>
      </c>
      <c r="I14" s="397"/>
      <c r="J14" s="165">
        <f>+IF(K14="","",IF(K12=0,"",(K12*J12)/(K14*60)))</f>
        <v>0.86326190476190479</v>
      </c>
      <c r="K14" s="118">
        <v>56</v>
      </c>
      <c r="L14" s="104" t="s">
        <v>19</v>
      </c>
      <c r="M14" s="427"/>
      <c r="N14" s="427"/>
      <c r="O14" s="427"/>
      <c r="P14" s="427"/>
      <c r="Q14" s="427"/>
      <c r="R14" s="427"/>
      <c r="S14" s="427"/>
      <c r="T14" s="427"/>
      <c r="U14" s="427"/>
      <c r="V14" s="427"/>
      <c r="W14" s="427"/>
      <c r="X14" s="173"/>
      <c r="Y14" s="441"/>
      <c r="Z14" s="401">
        <v>42.860109890109882</v>
      </c>
      <c r="AA14" s="168">
        <f>+IF(COUNTA(M12:W12)=$AM$4+0.25,$AM$4-(AB12/K12),COUNTA(M12:W12)-(AB12/K12))+Z14</f>
        <v>43.206263736263729</v>
      </c>
      <c r="AB14" s="444">
        <f t="shared" si="3"/>
        <v>0</v>
      </c>
      <c r="AC14" s="139"/>
      <c r="AD14" s="139"/>
      <c r="AE14" s="441"/>
      <c r="AF14" s="441"/>
      <c r="AG14" s="119">
        <f>+IFERROR(AG12/(K12*$AT$3),"")</f>
        <v>1.7868131868131869</v>
      </c>
      <c r="AH14" s="162"/>
      <c r="AI14" s="161"/>
      <c r="AJ14" s="161">
        <f t="shared" si="1"/>
        <v>0</v>
      </c>
      <c r="AK14" s="167">
        <f t="shared" si="2"/>
        <v>0</v>
      </c>
      <c r="AL14" s="167"/>
      <c r="AM14" s="230"/>
      <c r="AN14" s="342">
        <f>+$AM$4</f>
        <v>8.25</v>
      </c>
      <c r="AO14" s="340">
        <f>+IF(AN14=7.75,SUM(M14:S14)+T14*0.75,IF(AN14=8,SUM(M14:T14),IF(AN14=7.25,SUM(M14:S14)+T14*0.25,IF(AN14=8.25,SUM(M14:T14)+U14*0.25,IF(AN14=8.75,SUM(M14:T14)+U14*0.75,0)))))</f>
        <v>0</v>
      </c>
      <c r="AP14" s="167">
        <f>+AO14-AB14</f>
        <v>0</v>
      </c>
      <c r="AQ14" s="167"/>
      <c r="AR14" s="167"/>
      <c r="AS14" s="167"/>
      <c r="AT14" s="435"/>
      <c r="AU14" s="393"/>
      <c r="AW14" s="356">
        <v>1.810989010989011</v>
      </c>
      <c r="AY14" s="356"/>
    </row>
    <row r="15" spans="2:64" s="98" customFormat="1" ht="62.25" hidden="1" customHeight="1" thickTop="1" x14ac:dyDescent="0.9">
      <c r="B15" s="97">
        <f>+B16</f>
        <v>3</v>
      </c>
      <c r="C15" s="370"/>
      <c r="D15" s="106"/>
      <c r="E15" s="106"/>
      <c r="F15" s="106"/>
      <c r="G15" s="577" t="s">
        <v>440</v>
      </c>
      <c r="H15" s="106"/>
      <c r="I15" s="106"/>
      <c r="J15" s="107" t="s">
        <v>20</v>
      </c>
      <c r="K15" s="108" t="s">
        <v>23</v>
      </c>
      <c r="L15" s="100" t="s">
        <v>21</v>
      </c>
      <c r="M15" s="423">
        <v>75</v>
      </c>
      <c r="N15" s="423">
        <v>75</v>
      </c>
      <c r="O15" s="423">
        <v>75</v>
      </c>
      <c r="P15" s="423"/>
      <c r="Q15" s="423"/>
      <c r="R15" s="423"/>
      <c r="S15" s="423"/>
      <c r="T15" s="423"/>
      <c r="U15" s="423"/>
      <c r="V15" s="423"/>
      <c r="W15" s="423"/>
      <c r="X15" s="135">
        <f>IF(AT16="","",SUM(M15:W15)-(-(AT16-SUM(M15:W15))/$AT$3)*SUM($M$2:$W$2))</f>
        <v>225</v>
      </c>
      <c r="Y15" s="438"/>
      <c r="Z15" s="400">
        <v>-12</v>
      </c>
      <c r="AA15" s="540">
        <f>+X17</f>
        <v>-7</v>
      </c>
      <c r="AB15" s="135">
        <f t="shared" si="0"/>
        <v>225</v>
      </c>
      <c r="AC15" s="136">
        <f>+AD15+AB15</f>
        <v>8664</v>
      </c>
      <c r="AD15" s="136">
        <v>8439</v>
      </c>
      <c r="AE15" s="438"/>
      <c r="AF15" s="438"/>
      <c r="AG15" s="109"/>
      <c r="AH15" s="110"/>
      <c r="AI15" s="157"/>
      <c r="AJ15" s="161">
        <f t="shared" si="1"/>
        <v>0</v>
      </c>
      <c r="AK15" s="167">
        <f t="shared" si="2"/>
        <v>0</v>
      </c>
      <c r="AL15" s="167"/>
      <c r="AM15" s="167"/>
      <c r="AN15" s="339"/>
      <c r="AO15" s="340"/>
      <c r="AP15" s="167"/>
      <c r="AQ15" s="167"/>
      <c r="AR15" s="167"/>
      <c r="AS15" s="167"/>
      <c r="AT15" s="432"/>
      <c r="AU15" s="393"/>
      <c r="AW15" s="356"/>
      <c r="AY15" s="356"/>
    </row>
    <row r="16" spans="2:64" s="98" customFormat="1" ht="62.25" hidden="1" customHeight="1" x14ac:dyDescent="1.35">
      <c r="B16" s="132">
        <v>3</v>
      </c>
      <c r="C16" s="371">
        <v>3</v>
      </c>
      <c r="D16" s="372" t="s">
        <v>439</v>
      </c>
      <c r="E16" s="111"/>
      <c r="F16" s="111" t="s">
        <v>35</v>
      </c>
      <c r="G16" s="578" t="str">
        <f>+G15</f>
        <v>7740-876-052</v>
      </c>
      <c r="H16" s="450">
        <v>12000</v>
      </c>
      <c r="I16" s="111" t="s">
        <v>33</v>
      </c>
      <c r="J16" s="113">
        <v>55.78</v>
      </c>
      <c r="K16" s="130">
        <v>52</v>
      </c>
      <c r="L16" s="101" t="s">
        <v>17</v>
      </c>
      <c r="M16" s="214">
        <v>52</v>
      </c>
      <c r="N16" s="214">
        <v>45</v>
      </c>
      <c r="O16" s="214"/>
      <c r="P16" s="214"/>
      <c r="Q16" s="214"/>
      <c r="R16" s="214"/>
      <c r="S16" s="214"/>
      <c r="T16" s="214"/>
      <c r="U16" s="214"/>
      <c r="V16" s="214"/>
      <c r="W16" s="214"/>
      <c r="X16" s="123">
        <f>+IF(H17="s",0,IF(AB16=0,0,IF(COUNTA(M16:W16)=AN18+0.75,SUMIF($C:$C,B16,$AB:$AB)/AN18,SUMIF($C:$C,B16,$AB:$AB)/(COUNTA(M16:W16)))))</f>
        <v>48.5</v>
      </c>
      <c r="Y16" s="439"/>
      <c r="Z16" s="400"/>
      <c r="AA16" s="541"/>
      <c r="AB16" s="134">
        <f t="shared" si="0"/>
        <v>97</v>
      </c>
      <c r="AC16" s="137">
        <f>+AB16+AD16</f>
        <v>7882</v>
      </c>
      <c r="AD16" s="137">
        <v>7785</v>
      </c>
      <c r="AE16" s="439"/>
      <c r="AF16" s="439">
        <f>+AE16+Y16</f>
        <v>0</v>
      </c>
      <c r="AG16" s="140">
        <f>+AC15-AC16</f>
        <v>782</v>
      </c>
      <c r="AH16" s="131">
        <f>+IF(((AB17+(AB18/2))*60)=0,"",(J16*AB16)/((AB17+(AB18/2))*60))</f>
        <v>0.86709294871794873</v>
      </c>
      <c r="AI16" s="161">
        <f>+AB17+AB18/2</f>
        <v>104</v>
      </c>
      <c r="AJ16" s="161">
        <f t="shared" si="1"/>
        <v>104</v>
      </c>
      <c r="AK16" s="167">
        <f t="shared" si="2"/>
        <v>6240</v>
      </c>
      <c r="AL16" s="167">
        <f>+AB16*J16</f>
        <v>5410.66</v>
      </c>
      <c r="AM16" s="230">
        <f>+AB16-(AI16*K16/K18)</f>
        <v>0.4285714285714306</v>
      </c>
      <c r="AN16" s="339"/>
      <c r="AO16" s="340"/>
      <c r="AP16" s="167"/>
      <c r="AQ16" s="167"/>
      <c r="AR16" s="167"/>
      <c r="AS16" s="167"/>
      <c r="AT16" s="433">
        <f t="shared" ref="AT16" si="5">IF(AU16=0,"",AW16-(($AT$3*K16)+($AT$3*K16)*AU16)+AB15)</f>
        <v>-222.09999999999991</v>
      </c>
      <c r="AU16" s="393">
        <v>1.42</v>
      </c>
      <c r="AW16" s="356">
        <v>654</v>
      </c>
      <c r="AY16" s="356">
        <f t="shared" ref="AY16" si="6">+AW16-AG16</f>
        <v>-128</v>
      </c>
      <c r="AZ16" s="581"/>
      <c r="BA16" s="581"/>
      <c r="BB16" s="581"/>
      <c r="BC16" s="581"/>
      <c r="BD16" s="581"/>
      <c r="BE16" s="581"/>
      <c r="BF16" s="581"/>
      <c r="BG16" s="581"/>
      <c r="BH16" s="581"/>
      <c r="BI16" s="581"/>
    </row>
    <row r="17" spans="2:51" s="98" customFormat="1" ht="62.25" hidden="1" customHeight="1" x14ac:dyDescent="0.9">
      <c r="B17" s="125">
        <f>+B16</f>
        <v>3</v>
      </c>
      <c r="C17" s="373"/>
      <c r="D17" s="184"/>
      <c r="E17" s="111">
        <f>+B16</f>
        <v>3</v>
      </c>
      <c r="F17" s="374"/>
      <c r="G17" s="578" t="str">
        <f>+G15</f>
        <v>7740-876-052</v>
      </c>
      <c r="H17" s="376"/>
      <c r="I17" s="113">
        <f>+IFERROR(IF(K18=0,0,IF((LOOKUP(2,1/(M17:W17&lt;&gt;""),M17:W17)-K18)&lt;0,0,IF(K18=0,"",LOOKUP(2,1/(M17:W17&lt;&gt;""),M17:W17)-K18))),0)</f>
        <v>0</v>
      </c>
      <c r="J17" s="113">
        <v>2</v>
      </c>
      <c r="K17" s="114" t="s">
        <v>22</v>
      </c>
      <c r="L17" s="102" t="s">
        <v>18</v>
      </c>
      <c r="M17" s="215">
        <v>49</v>
      </c>
      <c r="N17" s="215">
        <v>53</v>
      </c>
      <c r="O17" s="215"/>
      <c r="P17" s="215"/>
      <c r="Q17" s="215"/>
      <c r="R17" s="215"/>
      <c r="S17" s="215"/>
      <c r="T17" s="215"/>
      <c r="U17" s="215"/>
      <c r="V17" s="215"/>
      <c r="W17" s="215"/>
      <c r="X17" s="160">
        <f>+IF(H17="l",IF(COUNTA(M16:W16)=AN18+0.75,AB16-K16*AN18,AB16-(K16*COUNTA(M16:W16))),IF(H17="s",0,IF(COUNTA(M16:W16)=AN18+0.75,SUMIF($C:$C,B16,$AB:$AB)-K16*AN18,SUMIF($C:$C,B16,$AB:$AB)-K16*COUNTA(M16:W16))))</f>
        <v>-7</v>
      </c>
      <c r="Y17" s="440"/>
      <c r="Z17" s="400"/>
      <c r="AA17" s="541"/>
      <c r="AB17" s="443">
        <f>+SUM(M17:W17)-U17*0.75</f>
        <v>102</v>
      </c>
      <c r="AC17" s="341"/>
      <c r="AD17" s="341"/>
      <c r="AE17" s="440"/>
      <c r="AF17" s="440"/>
      <c r="AG17" s="115"/>
      <c r="AH17" s="116"/>
      <c r="AI17" s="157"/>
      <c r="AJ17" s="161">
        <f t="shared" si="1"/>
        <v>0</v>
      </c>
      <c r="AK17" s="167">
        <f t="shared" si="2"/>
        <v>0</v>
      </c>
      <c r="AL17" s="167"/>
      <c r="AM17" s="167"/>
      <c r="AN17" s="339"/>
      <c r="AO17" s="340">
        <f>+IF(AN18=7.75,SUM(M17:S17)+T17*0.75,IF(AN18=8,SUM(M17:T17),IF(AN18=7.25,SUM(M17:S17)+T17*0.25,IF(AN18=8.25,SUM(M17:T17)+U17*0.25,IF(AN18=8.75,SUM(M17:T17)+U17*0.75,0)))))</f>
        <v>102</v>
      </c>
      <c r="AP17" s="167">
        <f>+AO17-AB17</f>
        <v>0</v>
      </c>
      <c r="AQ17" s="167"/>
      <c r="AR17" s="167"/>
      <c r="AS17" s="167"/>
      <c r="AT17" s="434"/>
      <c r="AU17" s="393"/>
      <c r="AW17" s="356"/>
      <c r="AY17" s="356"/>
    </row>
    <row r="18" spans="2:51" s="98" customFormat="1" ht="62.25" hidden="1" customHeight="1" thickBot="1" x14ac:dyDescent="0.95">
      <c r="B18" s="126">
        <f>+B16</f>
        <v>3</v>
      </c>
      <c r="C18" s="375"/>
      <c r="D18" s="174" t="s">
        <v>423</v>
      </c>
      <c r="E18" s="175">
        <f>+E17+100</f>
        <v>103</v>
      </c>
      <c r="F18" s="175"/>
      <c r="G18" s="579" t="str">
        <f>+G15</f>
        <v>7740-876-052</v>
      </c>
      <c r="H18" s="454">
        <f>+AC15-H16</f>
        <v>-3336</v>
      </c>
      <c r="I18" s="397"/>
      <c r="J18" s="165">
        <f>+IF(K18="","",IF(K16=0,"",(K16*J16)/(K18*60)))</f>
        <v>0.86326190476190479</v>
      </c>
      <c r="K18" s="118">
        <v>56</v>
      </c>
      <c r="L18" s="104" t="s">
        <v>19</v>
      </c>
      <c r="M18" s="427">
        <v>2</v>
      </c>
      <c r="N18" s="427">
        <v>2</v>
      </c>
      <c r="O18" s="427"/>
      <c r="P18" s="427"/>
      <c r="Q18" s="427"/>
      <c r="R18" s="427"/>
      <c r="S18" s="427"/>
      <c r="T18" s="427"/>
      <c r="U18" s="427"/>
      <c r="V18" s="427"/>
      <c r="W18" s="427"/>
      <c r="X18" s="173"/>
      <c r="Y18" s="441"/>
      <c r="Z18" s="401">
        <v>37.057412587412585</v>
      </c>
      <c r="AA18" s="401">
        <v>37.057412587412585</v>
      </c>
      <c r="AB18" s="444">
        <f t="shared" si="3"/>
        <v>4</v>
      </c>
      <c r="AC18" s="139"/>
      <c r="AD18" s="139"/>
      <c r="AE18" s="441"/>
      <c r="AF18" s="441"/>
      <c r="AG18" s="119">
        <f>+IFERROR(AG16/(K16*$AT$3),"")</f>
        <v>1.7186813186813186</v>
      </c>
      <c r="AH18" s="162"/>
      <c r="AI18" s="161"/>
      <c r="AJ18" s="161">
        <f t="shared" si="1"/>
        <v>0</v>
      </c>
      <c r="AK18" s="167">
        <f t="shared" si="2"/>
        <v>0</v>
      </c>
      <c r="AL18" s="167"/>
      <c r="AM18" s="230"/>
      <c r="AN18" s="342">
        <f>+$AM$4</f>
        <v>8.25</v>
      </c>
      <c r="AO18" s="340">
        <f>+IF(AN18=7.75,SUM(M18:S18)+T18*0.75,IF(AN18=8,SUM(M18:T18),IF(AN18=7.25,SUM(M18:S18)+T18*0.25,IF(AN18=8.25,SUM(M18:T18)+U18*0.25,IF(AN18=8.75,SUM(M18:T18)+U18*0.75,0)))))</f>
        <v>4</v>
      </c>
      <c r="AP18" s="167">
        <f>+AO18-AB18</f>
        <v>0</v>
      </c>
      <c r="AQ18" s="167"/>
      <c r="AR18" s="167"/>
      <c r="AS18" s="167"/>
      <c r="AT18" s="435"/>
      <c r="AU18" s="393"/>
      <c r="AW18" s="356">
        <v>1.4373626373626374</v>
      </c>
      <c r="AY18" s="356"/>
    </row>
    <row r="19" spans="2:51" s="98" customFormat="1" ht="62.25" hidden="1" customHeight="1" thickTop="1" x14ac:dyDescent="0.9">
      <c r="B19" s="97">
        <f>+B20</f>
        <v>4</v>
      </c>
      <c r="C19" s="370"/>
      <c r="D19" s="106"/>
      <c r="E19" s="106"/>
      <c r="F19" s="106"/>
      <c r="G19" s="582" t="s">
        <v>431</v>
      </c>
      <c r="H19" s="106"/>
      <c r="I19" s="106"/>
      <c r="J19" s="107" t="s">
        <v>20</v>
      </c>
      <c r="K19" s="108" t="s">
        <v>23</v>
      </c>
      <c r="L19" s="100" t="s">
        <v>21</v>
      </c>
      <c r="M19" s="423"/>
      <c r="N19" s="423"/>
      <c r="O19" s="423"/>
      <c r="P19" s="423"/>
      <c r="Q19" s="423"/>
      <c r="R19" s="423"/>
      <c r="S19" s="423"/>
      <c r="T19" s="423"/>
      <c r="U19" s="423"/>
      <c r="V19" s="423"/>
      <c r="W19" s="423"/>
      <c r="X19" s="135" t="str">
        <f>IF(AT20="","",SUM(M19:W19)-(-(AT20-SUM(M19:W19))/$AT$3)*SUM($M$2:$W$2))</f>
        <v/>
      </c>
      <c r="Y19" s="438"/>
      <c r="Z19" s="400">
        <v>0</v>
      </c>
      <c r="AA19" s="540">
        <f>+X21</f>
        <v>0</v>
      </c>
      <c r="AB19" s="135">
        <f t="shared" si="0"/>
        <v>0</v>
      </c>
      <c r="AC19" s="136">
        <f>+AD19+AB19</f>
        <v>9585</v>
      </c>
      <c r="AD19" s="136">
        <v>9585</v>
      </c>
      <c r="AE19" s="438"/>
      <c r="AF19" s="438"/>
      <c r="AG19" s="109"/>
      <c r="AH19" s="110"/>
      <c r="AI19" s="157"/>
      <c r="AJ19" s="161">
        <f t="shared" si="1"/>
        <v>0</v>
      </c>
      <c r="AK19" s="167">
        <f t="shared" si="2"/>
        <v>0</v>
      </c>
      <c r="AL19" s="167"/>
      <c r="AM19" s="167"/>
      <c r="AN19" s="339"/>
      <c r="AO19" s="340"/>
      <c r="AP19" s="167"/>
      <c r="AQ19" s="167"/>
      <c r="AR19" s="167"/>
      <c r="AS19" s="167"/>
      <c r="AT19" s="432"/>
      <c r="AU19" s="393"/>
      <c r="AW19" s="356"/>
      <c r="AY19" s="356"/>
    </row>
    <row r="20" spans="2:51" s="98" customFormat="1" ht="62.25" hidden="1" customHeight="1" x14ac:dyDescent="0.9">
      <c r="B20" s="132">
        <v>4</v>
      </c>
      <c r="C20" s="371">
        <f>+B20</f>
        <v>4</v>
      </c>
      <c r="D20" s="372" t="s">
        <v>430</v>
      </c>
      <c r="E20" s="111"/>
      <c r="F20" s="111" t="s">
        <v>35</v>
      </c>
      <c r="G20" s="582" t="str">
        <f>+G19</f>
        <v xml:space="preserve">2878-556-700 </v>
      </c>
      <c r="H20" s="450">
        <v>9585</v>
      </c>
      <c r="I20" s="111" t="s">
        <v>251</v>
      </c>
      <c r="J20" s="113">
        <v>36.65</v>
      </c>
      <c r="K20" s="130">
        <v>75</v>
      </c>
      <c r="L20" s="101" t="s">
        <v>17</v>
      </c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424"/>
      <c r="X20" s="123">
        <f>+IF(H21="s",0,IF(AB20=0,0,IF(COUNTA(M20:W20)=AN22+0.75,SUMIF($C:$C,B20,$AB:$AB)/AN22,SUMIF($C:$C,B20,$AB:$AB)/(COUNTA(M20:W20)))))</f>
        <v>0</v>
      </c>
      <c r="Y20" s="439"/>
      <c r="Z20" s="400"/>
      <c r="AA20" s="541"/>
      <c r="AB20" s="134">
        <f t="shared" si="0"/>
        <v>0</v>
      </c>
      <c r="AC20" s="137">
        <f>+AB20+AD20</f>
        <v>9549</v>
      </c>
      <c r="AD20" s="137">
        <v>9549</v>
      </c>
      <c r="AE20" s="439">
        <v>0</v>
      </c>
      <c r="AF20" s="439">
        <f>+AE20+Y20</f>
        <v>0</v>
      </c>
      <c r="AG20" s="140">
        <f>+AC19-AC20</f>
        <v>36</v>
      </c>
      <c r="AH20" s="131" t="str">
        <f>+IF(((AB21+(AB22/2))*60)=0,"",(J20*AB20)/((AB21+(AB22/2))*60))</f>
        <v/>
      </c>
      <c r="AI20" s="161">
        <f>+AB21+AB22/2</f>
        <v>0</v>
      </c>
      <c r="AJ20" s="161">
        <f t="shared" si="1"/>
        <v>0</v>
      </c>
      <c r="AK20" s="167">
        <f t="shared" si="2"/>
        <v>0</v>
      </c>
      <c r="AL20" s="167">
        <f>+AB20*J20</f>
        <v>0</v>
      </c>
      <c r="AM20" s="230">
        <f>+AB20-(AI20*K20/K22)</f>
        <v>0</v>
      </c>
      <c r="AN20" s="339"/>
      <c r="AO20" s="340"/>
      <c r="AP20" s="167"/>
      <c r="AQ20" s="167"/>
      <c r="AR20" s="167"/>
      <c r="AS20" s="167"/>
      <c r="AT20" s="433" t="str">
        <f t="shared" ref="AT20" si="7">IF(AU20=0,"",AW20-(($AT$3*K20)+($AT$3*K20)*AU20)+AB19)</f>
        <v/>
      </c>
      <c r="AU20" s="393"/>
      <c r="AW20" s="356">
        <v>36</v>
      </c>
      <c r="AY20" s="356">
        <f t="shared" ref="AY20" si="8">+AW20-AG20</f>
        <v>0</v>
      </c>
    </row>
    <row r="21" spans="2:51" s="98" customFormat="1" ht="62.25" hidden="1" customHeight="1" x14ac:dyDescent="0.9">
      <c r="B21" s="125">
        <f>+B20</f>
        <v>4</v>
      </c>
      <c r="C21" s="373"/>
      <c r="D21" s="184"/>
      <c r="E21" s="111">
        <f>+B20</f>
        <v>4</v>
      </c>
      <c r="F21" s="374"/>
      <c r="G21" s="582" t="str">
        <f>+G20</f>
        <v xml:space="preserve">2878-556-700 </v>
      </c>
      <c r="H21" s="376" t="s">
        <v>400</v>
      </c>
      <c r="I21" s="113">
        <f>+IFERROR(IF(K22=0,0,IF((LOOKUP(2,1/(M21:W21&lt;&gt;""),M21:W21)-K22)&lt;0,0,IF(K22=0,"",LOOKUP(2,1/(M21:W21&lt;&gt;""),M21:W21)-K22))),0)</f>
        <v>0</v>
      </c>
      <c r="J21" s="113"/>
      <c r="K21" s="114" t="s">
        <v>22</v>
      </c>
      <c r="L21" s="102" t="s">
        <v>18</v>
      </c>
      <c r="M21" s="425"/>
      <c r="N21" s="425"/>
      <c r="O21" s="425"/>
      <c r="P21" s="425"/>
      <c r="Q21" s="425"/>
      <c r="R21" s="425"/>
      <c r="S21" s="425"/>
      <c r="T21" s="425"/>
      <c r="U21" s="425"/>
      <c r="V21" s="426"/>
      <c r="W21" s="426"/>
      <c r="X21" s="160">
        <f>+IF(H21="l",IF(COUNTA(M20:W20)=AN22+0.75,AB20-K20*AN22,AB20-(K20*COUNTA(M20:W20))),IF(H21="s",0,IF(COUNTA(M20:W20)=AN22+0.75,SUMIF($C:$C,B20,$AB:$AB)-K20*AN22,SUMIF($C:$C,B20,$AB:$AB)-K20*COUNTA(M20:W20))))</f>
        <v>0</v>
      </c>
      <c r="Y21" s="440"/>
      <c r="Z21" s="400"/>
      <c r="AA21" s="541"/>
      <c r="AB21" s="443">
        <f>+SUM(M21:W21)-U21*0.75</f>
        <v>0</v>
      </c>
      <c r="AC21" s="341"/>
      <c r="AD21" s="341"/>
      <c r="AE21" s="440"/>
      <c r="AF21" s="440"/>
      <c r="AG21" s="115"/>
      <c r="AH21" s="116"/>
      <c r="AI21" s="157"/>
      <c r="AJ21" s="161">
        <f t="shared" si="1"/>
        <v>0</v>
      </c>
      <c r="AK21" s="167">
        <f t="shared" si="2"/>
        <v>0</v>
      </c>
      <c r="AL21" s="167"/>
      <c r="AM21" s="167"/>
      <c r="AN21" s="339"/>
      <c r="AO21" s="340">
        <f>+IF(AN22=7.75,SUM(M21:S21)+T21*0.75,IF(AN22=8,SUM(M21:T21),IF(AN22=7.25,SUM(M21:S21)+T21*0.25,IF(AN22=8.25,SUM(M21:T21)+U21*0.25,IF(AN22=8.75,SUM(M21:T21)+U21*0.75,0)))))</f>
        <v>0</v>
      </c>
      <c r="AP21" s="167">
        <f>+AO21-AB21</f>
        <v>0</v>
      </c>
      <c r="AQ21" s="167"/>
      <c r="AR21" s="167"/>
      <c r="AS21" s="167"/>
      <c r="AT21" s="434"/>
      <c r="AU21" s="393"/>
      <c r="AW21" s="356"/>
      <c r="AY21" s="356"/>
    </row>
    <row r="22" spans="2:51" s="98" customFormat="1" ht="62.25" hidden="1" customHeight="1" thickBot="1" x14ac:dyDescent="0.95">
      <c r="B22" s="126">
        <f>+B20</f>
        <v>4</v>
      </c>
      <c r="C22" s="375"/>
      <c r="D22" s="174" t="s">
        <v>445</v>
      </c>
      <c r="E22" s="175">
        <f>+E21+100</f>
        <v>104</v>
      </c>
      <c r="F22" s="175"/>
      <c r="G22" s="582" t="str">
        <f>+G21</f>
        <v xml:space="preserve">2878-556-700 </v>
      </c>
      <c r="H22" s="454">
        <f>+AC19-H20</f>
        <v>0</v>
      </c>
      <c r="I22" s="397"/>
      <c r="J22" s="165">
        <f>+IF(K22="","",IF(K20=0,"",(K20*J20)/(K22*60)))</f>
        <v>0.91625000000000001</v>
      </c>
      <c r="K22" s="118">
        <v>50</v>
      </c>
      <c r="L22" s="104" t="s">
        <v>19</v>
      </c>
      <c r="M22" s="427"/>
      <c r="N22" s="427"/>
      <c r="O22" s="427"/>
      <c r="P22" s="427"/>
      <c r="Q22" s="427"/>
      <c r="R22" s="427"/>
      <c r="S22" s="427"/>
      <c r="T22" s="427"/>
      <c r="U22" s="427"/>
      <c r="V22" s="428"/>
      <c r="W22" s="428"/>
      <c r="X22" s="173"/>
      <c r="Y22" s="441"/>
      <c r="Z22" s="401">
        <v>29.116666666666667</v>
      </c>
      <c r="AA22" s="169">
        <v>29.116666666666667</v>
      </c>
      <c r="AB22" s="444">
        <f t="shared" si="3"/>
        <v>0</v>
      </c>
      <c r="AC22" s="139"/>
      <c r="AD22" s="139"/>
      <c r="AE22" s="441"/>
      <c r="AF22" s="441"/>
      <c r="AG22" s="119">
        <f>+IFERROR(AG20/(K20*$AT$3),"")</f>
        <v>5.4857142857142854E-2</v>
      </c>
      <c r="AH22" s="162"/>
      <c r="AI22" s="161"/>
      <c r="AJ22" s="161">
        <f t="shared" si="1"/>
        <v>0</v>
      </c>
      <c r="AK22" s="167">
        <f t="shared" si="2"/>
        <v>0</v>
      </c>
      <c r="AL22" s="167"/>
      <c r="AM22" s="230"/>
      <c r="AN22" s="342">
        <f>+$AM$4</f>
        <v>8.25</v>
      </c>
      <c r="AO22" s="340">
        <f>+IF(AN22=7.75,SUM(N22:S22)+T22*0.75,IF(AN22=8,SUM(N22:T22),IF(AN22=7.25,SUM(N22:S22)+T22*0.25,IF(AN22=8.25,SUM(N22:T22)+U22*0.25,IF(AN22=8.75,SUM(N22:T22)+U22*0.75,0)))))</f>
        <v>0</v>
      </c>
      <c r="AP22" s="167">
        <f>+AO22-AB22</f>
        <v>0</v>
      </c>
      <c r="AQ22" s="167"/>
      <c r="AR22" s="167"/>
      <c r="AS22" s="167"/>
      <c r="AT22" s="435"/>
      <c r="AU22" s="393"/>
      <c r="AW22" s="356">
        <v>5.4857142857142854E-2</v>
      </c>
      <c r="AY22" s="356"/>
    </row>
    <row r="23" spans="2:51" s="98" customFormat="1" ht="62.25" hidden="1" customHeight="1" thickTop="1" x14ac:dyDescent="0.9">
      <c r="B23" s="97">
        <f>+B24</f>
        <v>4</v>
      </c>
      <c r="C23" s="370"/>
      <c r="D23" s="106"/>
      <c r="E23" s="106"/>
      <c r="F23" s="106"/>
      <c r="G23" s="577" t="s">
        <v>472</v>
      </c>
      <c r="H23" s="106"/>
      <c r="I23" s="106"/>
      <c r="J23" s="107" t="s">
        <v>20</v>
      </c>
      <c r="K23" s="108" t="s">
        <v>23</v>
      </c>
      <c r="L23" s="100" t="s">
        <v>21</v>
      </c>
      <c r="M23" s="423">
        <v>100</v>
      </c>
      <c r="N23" s="423">
        <v>50</v>
      </c>
      <c r="O23" s="423">
        <v>50</v>
      </c>
      <c r="P23" s="423"/>
      <c r="Q23" s="423"/>
      <c r="R23" s="423"/>
      <c r="S23" s="423"/>
      <c r="T23" s="423"/>
      <c r="U23" s="423"/>
      <c r="V23" s="423"/>
      <c r="W23" s="423"/>
      <c r="X23" s="135">
        <f>IF(AT24="","",SUM(M23:W23)-(-(AT24-SUM(M23:W23))/$AT$3)*SUM($M$2:$W$2))</f>
        <v>200</v>
      </c>
      <c r="Y23" s="438"/>
      <c r="Z23" s="400">
        <v>-105</v>
      </c>
      <c r="AA23" s="540">
        <f>+X25</f>
        <v>0</v>
      </c>
      <c r="AB23" s="135">
        <f t="shared" si="0"/>
        <v>200</v>
      </c>
      <c r="AC23" s="136">
        <f>+AD23+AB23</f>
        <v>2751</v>
      </c>
      <c r="AD23" s="136">
        <v>2551</v>
      </c>
      <c r="AE23" s="438"/>
      <c r="AF23" s="438"/>
      <c r="AG23" s="109"/>
      <c r="AH23" s="110"/>
      <c r="AI23" s="157"/>
      <c r="AJ23" s="161">
        <f t="shared" si="1"/>
        <v>0</v>
      </c>
      <c r="AK23" s="167">
        <f t="shared" si="2"/>
        <v>0</v>
      </c>
      <c r="AL23" s="167"/>
      <c r="AM23" s="167"/>
      <c r="AN23" s="339"/>
      <c r="AO23" s="340"/>
      <c r="AP23" s="167"/>
      <c r="AQ23" s="167"/>
      <c r="AR23" s="167"/>
      <c r="AS23" s="167"/>
      <c r="AT23" s="432"/>
      <c r="AU23" s="393"/>
      <c r="AW23" s="356"/>
      <c r="AY23" s="356"/>
    </row>
    <row r="24" spans="2:51" s="98" customFormat="1" ht="62.25" hidden="1" customHeight="1" x14ac:dyDescent="0.9">
      <c r="B24" s="132">
        <v>4</v>
      </c>
      <c r="C24" s="371">
        <f>+B24</f>
        <v>4</v>
      </c>
      <c r="D24" s="372" t="s">
        <v>473</v>
      </c>
      <c r="E24" s="111"/>
      <c r="F24" s="111" t="s">
        <v>35</v>
      </c>
      <c r="G24" s="578" t="s">
        <v>472</v>
      </c>
      <c r="H24" s="450">
        <v>8333</v>
      </c>
      <c r="I24" s="111" t="s">
        <v>251</v>
      </c>
      <c r="J24" s="113">
        <v>34.549999999999997</v>
      </c>
      <c r="K24" s="130">
        <v>60</v>
      </c>
      <c r="L24" s="101" t="s">
        <v>17</v>
      </c>
      <c r="M24" s="214">
        <v>60</v>
      </c>
      <c r="N24" s="214">
        <v>60</v>
      </c>
      <c r="O24" s="214"/>
      <c r="P24" s="214"/>
      <c r="Q24" s="214"/>
      <c r="R24" s="214"/>
      <c r="S24" s="214"/>
      <c r="T24" s="214"/>
      <c r="U24" s="214"/>
      <c r="V24" s="214"/>
      <c r="W24" s="424"/>
      <c r="X24" s="123">
        <f>+IF(H25="s",0,IF(AB24=0,0,IF(COUNTA(M24:W24)=AN26+0.75,SUMIF($C:$C,B24,$AB:$AB)/AN26,SUMIF($C:$C,B24,$AB:$AB)/(COUNTA(M24:W24)))))</f>
        <v>60</v>
      </c>
      <c r="Y24" s="439"/>
      <c r="Z24" s="400"/>
      <c r="AA24" s="541"/>
      <c r="AB24" s="134">
        <f t="shared" si="0"/>
        <v>120</v>
      </c>
      <c r="AC24" s="137">
        <f>+AB24+AD24</f>
        <v>1759</v>
      </c>
      <c r="AD24" s="137">
        <v>1639</v>
      </c>
      <c r="AE24" s="439">
        <v>0</v>
      </c>
      <c r="AF24" s="439">
        <f>+AE24+Y24</f>
        <v>0</v>
      </c>
      <c r="AG24" s="140">
        <f>+AC23-AC24</f>
        <v>992</v>
      </c>
      <c r="AH24" s="131">
        <f>+IF(((AB25+(AB26/2))*60)=0,"",(J24*AB24)/((AB25+(AB26/2))*60))</f>
        <v>0.86375000000000002</v>
      </c>
      <c r="AI24" s="161">
        <f>+AB25+AB26/2</f>
        <v>80</v>
      </c>
      <c r="AJ24" s="161">
        <f t="shared" si="1"/>
        <v>80</v>
      </c>
      <c r="AK24" s="167">
        <f t="shared" si="2"/>
        <v>4800</v>
      </c>
      <c r="AL24" s="167">
        <f>+AB24*J24</f>
        <v>4146</v>
      </c>
      <c r="AM24" s="230">
        <f>+AB24-(AI24*K24/K26)</f>
        <v>0</v>
      </c>
      <c r="AN24" s="339"/>
      <c r="AO24" s="340"/>
      <c r="AP24" s="167"/>
      <c r="AQ24" s="167"/>
      <c r="AR24" s="167"/>
      <c r="AS24" s="167"/>
      <c r="AT24" s="433">
        <f t="shared" ref="AT24" si="9">IF(AU24=0,"",AW24-(($AT$3*K24)+($AT$3*K24)*AU24)+AB23)</f>
        <v>-200.5</v>
      </c>
      <c r="AU24" s="393">
        <v>1.5</v>
      </c>
      <c r="AW24" s="356">
        <v>912</v>
      </c>
      <c r="AY24" s="356">
        <f t="shared" ref="AY24" si="10">+AW24-AG24</f>
        <v>-80</v>
      </c>
    </row>
    <row r="25" spans="2:51" s="98" customFormat="1" ht="62.25" hidden="1" customHeight="1" x14ac:dyDescent="0.9">
      <c r="B25" s="125">
        <f>+B24</f>
        <v>4</v>
      </c>
      <c r="C25" s="373"/>
      <c r="D25" s="184"/>
      <c r="E25" s="111">
        <f>+B24</f>
        <v>4</v>
      </c>
      <c r="F25" s="374"/>
      <c r="G25" s="578" t="s">
        <v>472</v>
      </c>
      <c r="H25" s="376" t="s">
        <v>400</v>
      </c>
      <c r="I25" s="113">
        <f>+IFERROR(IF(K26=0,0,IF((LOOKUP(2,1/(M25:W25&lt;&gt;""),M25:W25)-K26)&lt;0,0,IF(K26=0,"",LOOKUP(2,1/(M25:W25&lt;&gt;""),M25:W25)-K26))),0)</f>
        <v>1</v>
      </c>
      <c r="J25" s="113"/>
      <c r="K25" s="114" t="s">
        <v>22</v>
      </c>
      <c r="L25" s="102" t="s">
        <v>18</v>
      </c>
      <c r="M25" s="425">
        <v>39</v>
      </c>
      <c r="N25" s="425">
        <v>41</v>
      </c>
      <c r="O25" s="425"/>
      <c r="P25" s="425"/>
      <c r="Q25" s="425"/>
      <c r="R25" s="425"/>
      <c r="S25" s="425"/>
      <c r="T25" s="425"/>
      <c r="U25" s="425"/>
      <c r="V25" s="426"/>
      <c r="W25" s="426"/>
      <c r="X25" s="160">
        <f>+IF(H25="l",IF(COUNTA(M24:W24)=AN26+0.75,AB24-K24*AN26,AB24-(K24*COUNTA(M24:W24))),IF(H25="s",0,IF(COUNTA(M24:W24)=AN26+0.75,SUMIF($C:$C,B24,$AB:$AB)-K24*AN26,SUMIF($C:$C,B24,$AB:$AB)-K24*COUNTA(M24:W24))))</f>
        <v>0</v>
      </c>
      <c r="Y25" s="440"/>
      <c r="Z25" s="400"/>
      <c r="AA25" s="541"/>
      <c r="AB25" s="443">
        <f>+SUM(M25:W25)-U25*0.75</f>
        <v>80</v>
      </c>
      <c r="AC25" s="341"/>
      <c r="AD25" s="341"/>
      <c r="AE25" s="440"/>
      <c r="AF25" s="440"/>
      <c r="AG25" s="115"/>
      <c r="AH25" s="116"/>
      <c r="AI25" s="157"/>
      <c r="AJ25" s="161">
        <f t="shared" si="1"/>
        <v>0</v>
      </c>
      <c r="AK25" s="167">
        <f t="shared" si="2"/>
        <v>0</v>
      </c>
      <c r="AL25" s="167"/>
      <c r="AM25" s="167"/>
      <c r="AN25" s="339"/>
      <c r="AO25" s="340">
        <f>+IF(AN26=7.75,SUM(M25:S25)+T25*0.75,IF(AN26=8,SUM(M25:T25),IF(AN26=7.25,SUM(M25:S25)+T25*0.25,IF(AN26=8.25,SUM(M25:T25)+U25*0.25,IF(AN26=8.75,SUM(M25:T25)+U25*0.75,0)))))</f>
        <v>80</v>
      </c>
      <c r="AP25" s="167">
        <f>+AO25-AB25</f>
        <v>0</v>
      </c>
      <c r="AQ25" s="167"/>
      <c r="AR25" s="167"/>
      <c r="AS25" s="167"/>
      <c r="AT25" s="434"/>
      <c r="AU25" s="393"/>
      <c r="AW25" s="356"/>
      <c r="AY25" s="356"/>
    </row>
    <row r="26" spans="2:51" s="98" customFormat="1" ht="62.25" hidden="1" customHeight="1" thickBot="1" x14ac:dyDescent="0.95">
      <c r="B26" s="126">
        <f>+B24</f>
        <v>4</v>
      </c>
      <c r="C26" s="375"/>
      <c r="D26" s="174" t="s">
        <v>445</v>
      </c>
      <c r="E26" s="175">
        <f>+E25+100</f>
        <v>104</v>
      </c>
      <c r="F26" s="175"/>
      <c r="G26" s="579" t="s">
        <v>472</v>
      </c>
      <c r="H26" s="454">
        <f>+AC23-H24</f>
        <v>-5582</v>
      </c>
      <c r="I26" s="397"/>
      <c r="J26" s="165">
        <f>+IF(K26="","",IF(K24=0,"",(K24*J24)/(K26*60)))</f>
        <v>0.86375000000000002</v>
      </c>
      <c r="K26" s="118">
        <v>40</v>
      </c>
      <c r="L26" s="104" t="s">
        <v>19</v>
      </c>
      <c r="M26" s="427"/>
      <c r="N26" s="427"/>
      <c r="O26" s="427"/>
      <c r="P26" s="427"/>
      <c r="Q26" s="427"/>
      <c r="R26" s="427"/>
      <c r="S26" s="427"/>
      <c r="T26" s="427"/>
      <c r="U26" s="427"/>
      <c r="V26" s="428"/>
      <c r="W26" s="428"/>
      <c r="X26" s="173"/>
      <c r="Y26" s="441"/>
      <c r="Z26" s="401">
        <v>22.240000000000002</v>
      </c>
      <c r="AA26" s="168">
        <f>+IF(COUNTA(M24:W24)=$AM$4+0.25,$AM$4-(AB24/K24),COUNTA(M24:W24)-(AB24/K24))+Z26</f>
        <v>22.240000000000002</v>
      </c>
      <c r="AB26" s="444">
        <f t="shared" si="3"/>
        <v>0</v>
      </c>
      <c r="AC26" s="139"/>
      <c r="AD26" s="139"/>
      <c r="AE26" s="441"/>
      <c r="AF26" s="441"/>
      <c r="AG26" s="119">
        <f>+IFERROR(AG24/(K24*$AT$3),"")</f>
        <v>1.8895238095238096</v>
      </c>
      <c r="AH26" s="162"/>
      <c r="AI26" s="161"/>
      <c r="AJ26" s="161">
        <f t="shared" si="1"/>
        <v>0</v>
      </c>
      <c r="AK26" s="167">
        <f t="shared" si="2"/>
        <v>0</v>
      </c>
      <c r="AL26" s="167"/>
      <c r="AM26" s="230"/>
      <c r="AN26" s="342">
        <f>+$AM$4</f>
        <v>8.25</v>
      </c>
      <c r="AO26" s="340">
        <f>+IF(AN26=7.75,SUM(N26:S26)+T26*0.75,IF(AN26=8,SUM(N26:T26),IF(AN26=7.25,SUM(N26:S26)+T26*0.25,IF(AN26=8.25,SUM(N26:T26)+U26*0.25,IF(AN26=8.75,SUM(N26:T26)+U26*0.75,0)))))</f>
        <v>0</v>
      </c>
      <c r="AP26" s="167">
        <f>+AO26-AB26</f>
        <v>0</v>
      </c>
      <c r="AQ26" s="167"/>
      <c r="AR26" s="167"/>
      <c r="AS26" s="167"/>
      <c r="AT26" s="435"/>
      <c r="AU26" s="393"/>
      <c r="AW26" s="356">
        <v>1.7371428571428571</v>
      </c>
      <c r="AY26" s="356"/>
    </row>
    <row r="27" spans="2:51" s="98" customFormat="1" ht="62.25" hidden="1" customHeight="1" thickTop="1" x14ac:dyDescent="0.9">
      <c r="B27" s="97">
        <f>+B28</f>
        <v>5</v>
      </c>
      <c r="C27" s="370"/>
      <c r="D27" s="106"/>
      <c r="E27" s="106"/>
      <c r="F27" s="106"/>
      <c r="G27" s="577" t="s">
        <v>472</v>
      </c>
      <c r="H27" s="106"/>
      <c r="I27" s="111"/>
      <c r="J27" s="107" t="s">
        <v>20</v>
      </c>
      <c r="K27" s="108" t="s">
        <v>23</v>
      </c>
      <c r="L27" s="100" t="s">
        <v>21</v>
      </c>
      <c r="M27" s="423">
        <v>100</v>
      </c>
      <c r="N27" s="423">
        <v>50</v>
      </c>
      <c r="O27" s="423">
        <v>100</v>
      </c>
      <c r="P27" s="423"/>
      <c r="Q27" s="423"/>
      <c r="R27" s="423"/>
      <c r="S27" s="423"/>
      <c r="T27" s="423"/>
      <c r="U27" s="423"/>
      <c r="V27" s="423"/>
      <c r="W27" s="423"/>
      <c r="X27" s="135">
        <f>IF(AT28="","",SUM(M27:W27)-(-(AT28-SUM(M27:W27))/$AT$3)*SUM($M$2:$W$2))</f>
        <v>250</v>
      </c>
      <c r="Y27" s="438"/>
      <c r="Z27" s="400">
        <v>-280</v>
      </c>
      <c r="AA27" s="540">
        <f>+X29</f>
        <v>-10</v>
      </c>
      <c r="AB27" s="135">
        <f t="shared" si="0"/>
        <v>250</v>
      </c>
      <c r="AC27" s="136">
        <f>+AD27+AB27</f>
        <v>1600</v>
      </c>
      <c r="AD27" s="136">
        <v>1350</v>
      </c>
      <c r="AE27" s="438"/>
      <c r="AF27" s="438"/>
      <c r="AG27" s="109"/>
      <c r="AH27" s="110"/>
      <c r="AI27" s="157"/>
      <c r="AJ27" s="161">
        <f t="shared" si="1"/>
        <v>0</v>
      </c>
      <c r="AK27" s="167">
        <f t="shared" si="2"/>
        <v>0</v>
      </c>
      <c r="AL27" s="167"/>
      <c r="AM27" s="167"/>
      <c r="AN27" s="339"/>
      <c r="AO27" s="340"/>
      <c r="AP27" s="167"/>
      <c r="AQ27" s="167"/>
      <c r="AR27" s="167"/>
      <c r="AS27" s="167"/>
      <c r="AT27" s="432"/>
      <c r="AU27" s="393"/>
      <c r="AW27" s="356"/>
      <c r="AY27" s="356"/>
    </row>
    <row r="28" spans="2:51" s="98" customFormat="1" ht="62.25" hidden="1" customHeight="1" x14ac:dyDescent="0.9">
      <c r="B28" s="132">
        <v>5</v>
      </c>
      <c r="C28" s="371">
        <f>+B28</f>
        <v>5</v>
      </c>
      <c r="D28" s="372" t="s">
        <v>473</v>
      </c>
      <c r="E28" s="111"/>
      <c r="F28" s="111" t="s">
        <v>35</v>
      </c>
      <c r="G28" s="578" t="str">
        <f>+G27</f>
        <v>7674-739-401</v>
      </c>
      <c r="H28" s="450">
        <v>8333</v>
      </c>
      <c r="I28" s="111" t="s">
        <v>251</v>
      </c>
      <c r="J28" s="113">
        <v>34.549999999999997</v>
      </c>
      <c r="K28" s="130">
        <v>60</v>
      </c>
      <c r="L28" s="101" t="s">
        <v>17</v>
      </c>
      <c r="M28" s="214">
        <v>55</v>
      </c>
      <c r="N28" s="214">
        <v>55</v>
      </c>
      <c r="O28" s="214"/>
      <c r="P28" s="214"/>
      <c r="Q28" s="214"/>
      <c r="R28" s="214"/>
      <c r="S28" s="214"/>
      <c r="T28" s="214"/>
      <c r="U28" s="214"/>
      <c r="V28" s="214"/>
      <c r="W28" s="424"/>
      <c r="X28" s="123">
        <f>+IF(H29="s",0,IF(AB28=0,0,IF(COUNTA(M28:W28)=AN30+0.75,SUMIF($C:$C,B28,$AB:$AB)/AN30,SUMIF($C:$C,B28,$AB:$AB)/(COUNTA(M28:W28)))))</f>
        <v>55</v>
      </c>
      <c r="Y28" s="439"/>
      <c r="Z28" s="400"/>
      <c r="AA28" s="541"/>
      <c r="AB28" s="134">
        <f t="shared" si="0"/>
        <v>110</v>
      </c>
      <c r="AC28" s="137">
        <f>+AB28+AD28</f>
        <v>355</v>
      </c>
      <c r="AD28" s="137">
        <v>245</v>
      </c>
      <c r="AE28" s="439">
        <v>0</v>
      </c>
      <c r="AF28" s="439">
        <f>+AE28+Y28</f>
        <v>0</v>
      </c>
      <c r="AG28" s="140">
        <f>+AC27-AC28</f>
        <v>1245</v>
      </c>
      <c r="AH28" s="131">
        <f>+IF(((AB29+(AB30/2))*60)=0,"",(J28*AB28)/((AB29+(AB30/2))*60))</f>
        <v>0.77245934959349583</v>
      </c>
      <c r="AI28" s="161">
        <f>+AB29+AB30/2</f>
        <v>82</v>
      </c>
      <c r="AJ28" s="161">
        <f t="shared" si="1"/>
        <v>82</v>
      </c>
      <c r="AK28" s="167">
        <f t="shared" si="2"/>
        <v>4920</v>
      </c>
      <c r="AL28" s="167">
        <f>+AB28*J28</f>
        <v>3800.4999999999995</v>
      </c>
      <c r="AM28" s="230">
        <f>+AB28-(AI28*K28/K30)</f>
        <v>-13</v>
      </c>
      <c r="AN28" s="339"/>
      <c r="AO28" s="340"/>
      <c r="AP28" s="167"/>
      <c r="AQ28" s="167"/>
      <c r="AR28" s="167"/>
      <c r="AS28" s="167"/>
      <c r="AT28" s="433">
        <f t="shared" ref="AT28" si="11">IF(AU28=0,"",AW28-(($AT$3*K28)+($AT$3*K28)*AU28)+AB27)</f>
        <v>-46.75</v>
      </c>
      <c r="AU28" s="393">
        <v>1.67</v>
      </c>
      <c r="AW28" s="356">
        <v>1105</v>
      </c>
      <c r="AY28" s="356">
        <f t="shared" ref="AY28" si="12">+AW28-AG28</f>
        <v>-140</v>
      </c>
    </row>
    <row r="29" spans="2:51" s="98" customFormat="1" ht="62.25" hidden="1" customHeight="1" x14ac:dyDescent="0.9">
      <c r="B29" s="125">
        <f>B28</f>
        <v>5</v>
      </c>
      <c r="C29" s="373"/>
      <c r="D29" s="184"/>
      <c r="E29" s="111">
        <f>+B28</f>
        <v>5</v>
      </c>
      <c r="F29" s="377"/>
      <c r="G29" s="578" t="str">
        <f>+G27</f>
        <v>7674-739-401</v>
      </c>
      <c r="H29" s="376" t="s">
        <v>400</v>
      </c>
      <c r="I29" s="113">
        <f>+IFERROR(IF(K30=0,0,IF((LOOKUP(2,1/(M29:W29&lt;&gt;""),M29:W29)-K30)&lt;0,0,IF(K30=0,"",LOOKUP(2,1/(M29:W29&lt;&gt;""),M29:W29)-K30))),0)</f>
        <v>1</v>
      </c>
      <c r="J29" s="113"/>
      <c r="K29" s="114" t="s">
        <v>22</v>
      </c>
      <c r="L29" s="102" t="s">
        <v>18</v>
      </c>
      <c r="M29" s="425">
        <v>41</v>
      </c>
      <c r="N29" s="425">
        <v>41</v>
      </c>
      <c r="O29" s="425"/>
      <c r="P29" s="425"/>
      <c r="Q29" s="425"/>
      <c r="R29" s="425"/>
      <c r="S29" s="425"/>
      <c r="T29" s="425"/>
      <c r="U29" s="425"/>
      <c r="V29" s="426"/>
      <c r="W29" s="426"/>
      <c r="X29" s="160">
        <f>+IF(H29="l",IF(COUNTA(M28:W28)=AN30+0.75,AB28-K28*AN30,AB28-(K28*COUNTA(M28:W28))),IF(H29="s",0,IF(COUNTA(M28:W28)=AN30+0.75,SUMIF($C:$C,B28,$AB:$AB)-K28*AN30,SUMIF($C:$C,B28,$AB:$AB)-K28*COUNTA(M28:W28))))</f>
        <v>-10</v>
      </c>
      <c r="Y29" s="440"/>
      <c r="Z29" s="400"/>
      <c r="AA29" s="541"/>
      <c r="AB29" s="443">
        <f>+SUM(M29:W29)-U29*0.75</f>
        <v>82</v>
      </c>
      <c r="AC29" s="341"/>
      <c r="AD29" s="341"/>
      <c r="AE29" s="440"/>
      <c r="AF29" s="440"/>
      <c r="AG29" s="115"/>
      <c r="AH29" s="116"/>
      <c r="AI29" s="157"/>
      <c r="AJ29" s="161">
        <f t="shared" si="1"/>
        <v>0</v>
      </c>
      <c r="AK29" s="167">
        <f t="shared" si="2"/>
        <v>0</v>
      </c>
      <c r="AL29" s="167"/>
      <c r="AM29" s="230"/>
      <c r="AN29" s="339"/>
      <c r="AO29" s="340">
        <f>+IF(AN30=7.75,SUM(M29:S29)+T29*0.75,IF(AN30=8,SUM(M29:T29),IF(AN30=7.25,SUM(M29:S29)+T29*0.25,IF(AN30=8.25,SUM(M29:T29)+U29*0.25,IF(AN30=8.75,SUM(M29:T29)+U29*0.75,0)))))</f>
        <v>82</v>
      </c>
      <c r="AP29" s="167">
        <f>+AO29-AB29</f>
        <v>0</v>
      </c>
      <c r="AQ29" s="167"/>
      <c r="AR29" s="167"/>
      <c r="AS29" s="167"/>
      <c r="AT29" s="434"/>
      <c r="AU29" s="393"/>
      <c r="AW29" s="356"/>
      <c r="AY29" s="356"/>
    </row>
    <row r="30" spans="2:51" s="98" customFormat="1" ht="62.25" hidden="1" customHeight="1" thickBot="1" x14ac:dyDescent="0.95">
      <c r="B30" s="126">
        <f>B28</f>
        <v>5</v>
      </c>
      <c r="C30" s="375"/>
      <c r="D30" s="174" t="s">
        <v>424</v>
      </c>
      <c r="E30" s="175">
        <f>+E29+100</f>
        <v>105</v>
      </c>
      <c r="F30" s="175"/>
      <c r="G30" s="579" t="str">
        <f>+G27</f>
        <v>7674-739-401</v>
      </c>
      <c r="H30" s="454">
        <f>+AC27-H28</f>
        <v>-6733</v>
      </c>
      <c r="I30" s="397" t="s">
        <v>182</v>
      </c>
      <c r="J30" s="165">
        <f>+IF(K30="","",IF(K28=0,"",(K28*J28)/(K30*60)))</f>
        <v>0.86375000000000002</v>
      </c>
      <c r="K30" s="118">
        <v>40</v>
      </c>
      <c r="L30" s="104" t="s">
        <v>19</v>
      </c>
      <c r="M30" s="427"/>
      <c r="N30" s="427"/>
      <c r="O30" s="427"/>
      <c r="P30" s="427"/>
      <c r="Q30" s="427"/>
      <c r="R30" s="427"/>
      <c r="S30" s="427"/>
      <c r="T30" s="427"/>
      <c r="U30" s="427"/>
      <c r="V30" s="428"/>
      <c r="W30" s="428"/>
      <c r="X30" s="173"/>
      <c r="Y30" s="441"/>
      <c r="Z30" s="401">
        <v>8.5718666666666667</v>
      </c>
      <c r="AA30" s="168">
        <f>+IF(COUNTA(M28:W28)=$AM$4+0.25,$AM$4-(AB28/K28),COUNTA(M28:W28)-(AB28/K28))+Z30</f>
        <v>8.7385333333333328</v>
      </c>
      <c r="AB30" s="444">
        <f t="shared" si="3"/>
        <v>0</v>
      </c>
      <c r="AC30" s="139"/>
      <c r="AD30" s="139"/>
      <c r="AE30" s="441"/>
      <c r="AF30" s="441"/>
      <c r="AG30" s="119">
        <f>+IFERROR(AG28/(K28*$AT$3),"")</f>
        <v>2.3714285714285714</v>
      </c>
      <c r="AH30" s="162"/>
      <c r="AI30" s="161"/>
      <c r="AJ30" s="161">
        <f t="shared" si="1"/>
        <v>0</v>
      </c>
      <c r="AK30" s="167">
        <f t="shared" si="2"/>
        <v>0</v>
      </c>
      <c r="AL30" s="167"/>
      <c r="AM30" s="230"/>
      <c r="AN30" s="342">
        <f>+$AM$4</f>
        <v>8.25</v>
      </c>
      <c r="AO30" s="340">
        <f>+IF(AN30=7.75,SUM(M30:S30)+T30*0.75,IF(AN30=8,SUM(M30:T30),IF(AN30=7.25,SUM(M30:S30)+T30*0.25,IF(AN30=8.25,SUM(M30:T30)+U30*0.25,IF(AN30=8.75,SUM(M30:T30)+U30*0.75,0)))))</f>
        <v>0</v>
      </c>
      <c r="AP30" s="167">
        <f>+AO30-AB30</f>
        <v>0</v>
      </c>
      <c r="AQ30" s="167"/>
      <c r="AR30" s="167"/>
      <c r="AS30" s="167"/>
      <c r="AT30" s="435"/>
      <c r="AU30" s="393"/>
      <c r="AW30" s="356">
        <v>2.1047619047619048</v>
      </c>
      <c r="AY30" s="356"/>
    </row>
    <row r="31" spans="2:51" s="98" customFormat="1" ht="62.25" hidden="1" customHeight="1" thickTop="1" x14ac:dyDescent="0.9">
      <c r="B31" s="97">
        <f>+B32</f>
        <v>6</v>
      </c>
      <c r="C31" s="370"/>
      <c r="D31" s="106"/>
      <c r="E31" s="106"/>
      <c r="F31" s="106"/>
      <c r="G31" s="577" t="s">
        <v>444</v>
      </c>
      <c r="H31" s="106"/>
      <c r="I31" s="111"/>
      <c r="J31" s="107" t="s">
        <v>20</v>
      </c>
      <c r="K31" s="108">
        <v>0</v>
      </c>
      <c r="L31" s="100" t="s">
        <v>21</v>
      </c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135" t="str">
        <f>IF(AT32="","",SUM(M31:W31)-(-(AT32-SUM(M31:W31))/$AT$3)*SUM($M$2:$W$2))</f>
        <v/>
      </c>
      <c r="Y31" s="438"/>
      <c r="Z31" s="400">
        <v>-72.25</v>
      </c>
      <c r="AA31" s="540">
        <f>+X33</f>
        <v>-30</v>
      </c>
      <c r="AB31" s="135">
        <f t="shared" si="0"/>
        <v>0</v>
      </c>
      <c r="AC31" s="136">
        <f>+AD31+AB31</f>
        <v>7001</v>
      </c>
      <c r="AD31" s="136">
        <v>7001</v>
      </c>
      <c r="AE31" s="438"/>
      <c r="AF31" s="438"/>
      <c r="AG31" s="109"/>
      <c r="AH31" s="110"/>
      <c r="AI31" s="157"/>
      <c r="AJ31" s="161"/>
      <c r="AK31" s="167"/>
      <c r="AL31" s="167"/>
      <c r="AM31" s="167"/>
      <c r="AN31" s="339"/>
      <c r="AO31" s="340"/>
      <c r="AP31" s="167"/>
      <c r="AQ31" s="167"/>
      <c r="AR31" s="167"/>
      <c r="AS31" s="167"/>
      <c r="AT31" s="432"/>
      <c r="AU31" s="393"/>
      <c r="AW31" s="356"/>
      <c r="AY31" s="356"/>
    </row>
    <row r="32" spans="2:51" s="98" customFormat="1" ht="62.25" hidden="1" customHeight="1" x14ac:dyDescent="0.9">
      <c r="B32" s="132">
        <v>6</v>
      </c>
      <c r="C32" s="371">
        <f>+B32</f>
        <v>6</v>
      </c>
      <c r="D32" s="372" t="s">
        <v>443</v>
      </c>
      <c r="E32" s="111"/>
      <c r="F32" s="111" t="s">
        <v>35</v>
      </c>
      <c r="G32" s="578" t="str">
        <f t="shared" ref="G32:G38" si="13">+G31</f>
        <v>2917-496-712</v>
      </c>
      <c r="H32" s="450">
        <v>7000</v>
      </c>
      <c r="I32" s="111" t="s">
        <v>33</v>
      </c>
      <c r="J32" s="113"/>
      <c r="K32" s="130">
        <v>55</v>
      </c>
      <c r="L32" s="101" t="s">
        <v>17</v>
      </c>
      <c r="M32" s="214">
        <v>40</v>
      </c>
      <c r="N32" s="214">
        <v>40</v>
      </c>
      <c r="O32" s="214"/>
      <c r="P32" s="214"/>
      <c r="Q32" s="214"/>
      <c r="R32" s="214"/>
      <c r="S32" s="214"/>
      <c r="T32" s="214"/>
      <c r="U32" s="214"/>
      <c r="V32" s="424"/>
      <c r="W32" s="424"/>
      <c r="X32" s="123">
        <f>+IF(H33="s",0,IF(AB32=0,0,IF(COUNTA(M32:W32)=AN34+0.75,SUMIF($C:$C,B32,$AB:$AB)/AN34,SUMIF($C:$C,B32,$AB:$AB)/(COUNTA(M32:W32)))))</f>
        <v>40</v>
      </c>
      <c r="Y32" s="439"/>
      <c r="Z32" s="400"/>
      <c r="AA32" s="541"/>
      <c r="AB32" s="134">
        <f t="shared" si="0"/>
        <v>80</v>
      </c>
      <c r="AC32" s="137">
        <f>+AB32+AD32</f>
        <v>5919</v>
      </c>
      <c r="AD32" s="137">
        <v>5839</v>
      </c>
      <c r="AE32" s="439"/>
      <c r="AF32" s="439">
        <f>+AE32+Y32</f>
        <v>0</v>
      </c>
      <c r="AG32" s="140">
        <f>+AC31-AC32</f>
        <v>1082</v>
      </c>
      <c r="AH32" s="131" t="str">
        <f>+IF(((AB33+(AB34/2))*60)=0,"",(J32*AB32)/((AB33+(AB34/2))*60))</f>
        <v/>
      </c>
      <c r="AI32" s="161"/>
      <c r="AJ32" s="161"/>
      <c r="AK32" s="167"/>
      <c r="AL32" s="167"/>
      <c r="AM32" s="230"/>
      <c r="AN32" s="339"/>
      <c r="AO32" s="340"/>
      <c r="AP32" s="167"/>
      <c r="AQ32" s="167"/>
      <c r="AR32" s="167"/>
      <c r="AS32" s="167"/>
      <c r="AT32" s="433" t="str">
        <f t="shared" ref="AT32" si="14">IF(AU32=0,"",AW32-(($AT$3*K32)+($AT$3*K32)*AU32)+AB31)</f>
        <v/>
      </c>
      <c r="AU32" s="393"/>
      <c r="AW32" s="356">
        <v>1162</v>
      </c>
      <c r="AY32" s="356">
        <f t="shared" ref="AY32" si="15">+AW32-AG32</f>
        <v>80</v>
      </c>
    </row>
    <row r="33" spans="2:61" s="98" customFormat="1" ht="62.25" hidden="1" customHeight="1" x14ac:dyDescent="0.9">
      <c r="B33" s="125">
        <f>B32</f>
        <v>6</v>
      </c>
      <c r="C33" s="373"/>
      <c r="D33" s="184"/>
      <c r="E33" s="111">
        <f>+B32</f>
        <v>6</v>
      </c>
      <c r="F33" s="374"/>
      <c r="G33" s="578" t="str">
        <f t="shared" si="13"/>
        <v>2917-496-712</v>
      </c>
      <c r="H33" s="376" t="s">
        <v>400</v>
      </c>
      <c r="I33" s="113">
        <f>+IFERROR(IF(K34=0,0,IF((LOOKUP(2,1/(M33:W33&lt;&gt;""),M33:W33)-K34)&lt;0,0,IF(K34=0,"",LOOKUP(2,1/(M33:W33&lt;&gt;""),M33:W33)-K34))),0)</f>
        <v>0</v>
      </c>
      <c r="J33" s="113">
        <v>0</v>
      </c>
      <c r="K33" s="114" t="s">
        <v>22</v>
      </c>
      <c r="L33" s="102" t="s">
        <v>18</v>
      </c>
      <c r="M33" s="215"/>
      <c r="N33" s="215"/>
      <c r="O33" s="215"/>
      <c r="P33" s="215"/>
      <c r="Q33" s="215"/>
      <c r="R33" s="215"/>
      <c r="S33" s="215"/>
      <c r="T33" s="215"/>
      <c r="U33" s="215"/>
      <c r="V33" s="426"/>
      <c r="W33" s="426"/>
      <c r="X33" s="160">
        <f>+IF(H33="l",IF(COUNTA(M32:W32)=AN34+0.75,AB32-K32*AN34,AB32-(K32*COUNTA(M32:W32))),IF(H33="s",0,IF(COUNTA(M32:W32)=AN34+0.75,SUMIF($C:$C,B32,$AB:$AB)-K32*AN34,SUMIF($C:$C,B32,$AB:$AB)-K32*COUNTA(M32:W32))))</f>
        <v>-30</v>
      </c>
      <c r="Y33" s="440"/>
      <c r="Z33" s="400"/>
      <c r="AA33" s="541"/>
      <c r="AB33" s="443">
        <f>+SUM(M33:W33)-U33*0.75</f>
        <v>0</v>
      </c>
      <c r="AC33" s="341"/>
      <c r="AD33" s="341"/>
      <c r="AE33" s="440"/>
      <c r="AF33" s="440"/>
      <c r="AG33" s="115"/>
      <c r="AH33" s="116"/>
      <c r="AI33" s="157"/>
      <c r="AJ33" s="161"/>
      <c r="AK33" s="167"/>
      <c r="AL33" s="167"/>
      <c r="AM33" s="230"/>
      <c r="AN33" s="339"/>
      <c r="AO33" s="340"/>
      <c r="AP33" s="167"/>
      <c r="AQ33" s="167"/>
      <c r="AR33" s="167"/>
      <c r="AS33" s="167"/>
      <c r="AT33" s="434"/>
      <c r="AU33" s="393"/>
      <c r="AW33" s="356"/>
      <c r="AY33" s="356"/>
    </row>
    <row r="34" spans="2:61" s="98" customFormat="1" ht="62.25" hidden="1" customHeight="1" thickBot="1" x14ac:dyDescent="0.95">
      <c r="B34" s="126">
        <f>B32</f>
        <v>6</v>
      </c>
      <c r="C34" s="375"/>
      <c r="D34" s="174" t="s">
        <v>93</v>
      </c>
      <c r="E34" s="175">
        <f>+E33+100</f>
        <v>106</v>
      </c>
      <c r="F34" s="175"/>
      <c r="G34" s="579" t="str">
        <f t="shared" si="13"/>
        <v>2917-496-712</v>
      </c>
      <c r="H34" s="454">
        <f>+AC31-H32</f>
        <v>1</v>
      </c>
      <c r="I34" s="397"/>
      <c r="J34" s="165" t="str">
        <f>+IF(K34="","",IF(K32=0,"",(K32*J32)/(K34*60)))</f>
        <v/>
      </c>
      <c r="K34" s="118"/>
      <c r="L34" s="104" t="s">
        <v>19</v>
      </c>
      <c r="M34" s="427"/>
      <c r="N34" s="427"/>
      <c r="O34" s="427"/>
      <c r="P34" s="427"/>
      <c r="Q34" s="427"/>
      <c r="R34" s="427"/>
      <c r="S34" s="427"/>
      <c r="T34" s="427"/>
      <c r="U34" s="427"/>
      <c r="V34" s="428"/>
      <c r="W34" s="428"/>
      <c r="X34" s="173"/>
      <c r="Y34" s="441"/>
      <c r="Z34" s="401">
        <v>68.483636363636364</v>
      </c>
      <c r="AA34" s="401">
        <v>68.483636363636364</v>
      </c>
      <c r="AB34" s="444">
        <f t="shared" si="3"/>
        <v>0</v>
      </c>
      <c r="AC34" s="139"/>
      <c r="AD34" s="139"/>
      <c r="AE34" s="441"/>
      <c r="AF34" s="441"/>
      <c r="AG34" s="119">
        <f>+IFERROR(AG32/(K32*$AT$3),"")</f>
        <v>2.2483116883116883</v>
      </c>
      <c r="AH34" s="162"/>
      <c r="AI34" s="161"/>
      <c r="AJ34" s="161"/>
      <c r="AK34" s="167"/>
      <c r="AL34" s="167"/>
      <c r="AM34" s="230"/>
      <c r="AN34" s="342">
        <f>+$AM$4</f>
        <v>8.25</v>
      </c>
      <c r="AO34" s="340"/>
      <c r="AP34" s="167"/>
      <c r="AQ34" s="167"/>
      <c r="AR34" s="167"/>
      <c r="AS34" s="167"/>
      <c r="AT34" s="435"/>
      <c r="AU34" s="393"/>
      <c r="AW34" s="356">
        <v>2.4145454545454546</v>
      </c>
      <c r="AY34" s="356"/>
    </row>
    <row r="35" spans="2:61" s="98" customFormat="1" ht="62.25" hidden="1" customHeight="1" thickTop="1" x14ac:dyDescent="0.9">
      <c r="B35" s="97">
        <f>+B36</f>
        <v>6</v>
      </c>
      <c r="C35" s="370"/>
      <c r="D35" s="106"/>
      <c r="E35" s="106"/>
      <c r="F35" s="106"/>
      <c r="G35" s="577" t="s">
        <v>485</v>
      </c>
      <c r="H35" s="106"/>
      <c r="I35" s="111"/>
      <c r="J35" s="107" t="s">
        <v>20</v>
      </c>
      <c r="K35" s="108">
        <v>0</v>
      </c>
      <c r="L35" s="100" t="s">
        <v>21</v>
      </c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135">
        <f>IF(AT36="","",SUM(M35:W35)-(-(AT36-SUM(M35:W35))/$AT$3)*SUM($M$2:$W$2))</f>
        <v>0</v>
      </c>
      <c r="Y35" s="438"/>
      <c r="Z35" s="400">
        <v>0</v>
      </c>
      <c r="AA35" s="540">
        <f>+X37</f>
        <v>0</v>
      </c>
      <c r="AB35" s="135">
        <f t="shared" si="0"/>
        <v>0</v>
      </c>
      <c r="AC35" s="136">
        <f>+AD35+AB35</f>
        <v>150</v>
      </c>
      <c r="AD35" s="136">
        <v>150</v>
      </c>
      <c r="AE35" s="438"/>
      <c r="AF35" s="438"/>
      <c r="AG35" s="109"/>
      <c r="AH35" s="110"/>
      <c r="AI35" s="157"/>
      <c r="AJ35" s="161"/>
      <c r="AK35" s="167"/>
      <c r="AL35" s="167"/>
      <c r="AM35" s="167"/>
      <c r="AN35" s="339"/>
      <c r="AO35" s="340"/>
      <c r="AP35" s="167"/>
      <c r="AQ35" s="167"/>
      <c r="AR35" s="167"/>
      <c r="AS35" s="167"/>
      <c r="AT35" s="432"/>
      <c r="AU35" s="393"/>
      <c r="AW35" s="356"/>
      <c r="AY35" s="356"/>
    </row>
    <row r="36" spans="2:61" s="98" customFormat="1" ht="62.25" hidden="1" customHeight="1" x14ac:dyDescent="0.9">
      <c r="B36" s="132">
        <v>6</v>
      </c>
      <c r="C36" s="371">
        <f>+B36</f>
        <v>6</v>
      </c>
      <c r="D36" s="372" t="s">
        <v>493</v>
      </c>
      <c r="E36" s="111"/>
      <c r="F36" s="111" t="s">
        <v>35</v>
      </c>
      <c r="G36" s="578" t="str">
        <f t="shared" si="13"/>
        <v>2869-588-505</v>
      </c>
      <c r="H36" s="450"/>
      <c r="I36" s="111" t="s">
        <v>33</v>
      </c>
      <c r="J36" s="113"/>
      <c r="K36" s="130"/>
      <c r="L36" s="101" t="s">
        <v>17</v>
      </c>
      <c r="M36" s="214"/>
      <c r="N36" s="214"/>
      <c r="O36" s="214"/>
      <c r="P36" s="214"/>
      <c r="Q36" s="214"/>
      <c r="R36" s="214"/>
      <c r="S36" s="214"/>
      <c r="T36" s="214"/>
      <c r="U36" s="214"/>
      <c r="V36" s="424"/>
      <c r="W36" s="424"/>
      <c r="X36" s="123">
        <f>+IF(H37="s",0,IF(AB36=0,0,IF(COUNTA(M36:W36)=AN38+0.75,SUMIF($C:$C,B36,$AB:$AB)/AN38,SUMIF($C:$C,B36,$AB:$AB)/(COUNTA(M36:W36)))))</f>
        <v>0</v>
      </c>
      <c r="Y36" s="439"/>
      <c r="Z36" s="400"/>
      <c r="AA36" s="541"/>
      <c r="AB36" s="134">
        <f t="shared" si="0"/>
        <v>0</v>
      </c>
      <c r="AC36" s="137">
        <f>+AB36+AD36</f>
        <v>0</v>
      </c>
      <c r="AD36" s="137">
        <v>0</v>
      </c>
      <c r="AE36" s="439"/>
      <c r="AF36" s="439">
        <f>+AE36+Y36</f>
        <v>0</v>
      </c>
      <c r="AG36" s="140">
        <f>+AC35-AC36</f>
        <v>150</v>
      </c>
      <c r="AH36" s="131" t="str">
        <f>+IF(((AB37+(AB38/2))*60)=0,"",(J36*AB36)/((AB37+(AB38/2))*60))</f>
        <v/>
      </c>
      <c r="AI36" s="161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3">
        <f>-250+AB35</f>
        <v>-250</v>
      </c>
      <c r="AU36" s="393">
        <v>1.5</v>
      </c>
      <c r="AW36" s="356">
        <v>150</v>
      </c>
      <c r="AY36" s="356">
        <f t="shared" ref="AY36" si="16">+AW36-AG36</f>
        <v>0</v>
      </c>
    </row>
    <row r="37" spans="2:61" s="98" customFormat="1" ht="62.25" hidden="1" customHeight="1" x14ac:dyDescent="0.9">
      <c r="B37" s="125">
        <f>B36</f>
        <v>6</v>
      </c>
      <c r="C37" s="373"/>
      <c r="D37" s="184"/>
      <c r="E37" s="111">
        <f>+B36</f>
        <v>6</v>
      </c>
      <c r="F37" s="374"/>
      <c r="G37" s="578" t="str">
        <f t="shared" si="13"/>
        <v>2869-588-505</v>
      </c>
      <c r="H37" s="376" t="s">
        <v>400</v>
      </c>
      <c r="I37" s="113">
        <f>+IFERROR(IF(K38=0,0,IF((LOOKUP(2,1/(M37:W37&lt;&gt;""),M37:W37)-K38)&lt;0,0,IF(K38=0,"",LOOKUP(2,1/(M37:W37&lt;&gt;""),M37:W37)-K38))),0)</f>
        <v>0</v>
      </c>
      <c r="J37" s="113">
        <v>0</v>
      </c>
      <c r="K37" s="114" t="s">
        <v>22</v>
      </c>
      <c r="L37" s="102" t="s">
        <v>18</v>
      </c>
      <c r="M37" s="215"/>
      <c r="N37" s="215"/>
      <c r="O37" s="215"/>
      <c r="P37" s="215"/>
      <c r="Q37" s="215"/>
      <c r="R37" s="215"/>
      <c r="S37" s="215"/>
      <c r="T37" s="215"/>
      <c r="U37" s="215"/>
      <c r="V37" s="426"/>
      <c r="W37" s="426"/>
      <c r="X37" s="160">
        <f>+IF(H37="l",IF(COUNTA(M36:W36)=AN38+0.75,AB36-K36*AN38,AB36-(K36*COUNTA(M36:W36))),IF(H37="s",0,IF(COUNTA(M36:W36)=AN38+0.75,SUMIF($C:$C,B36,$AB:$AB)-K36*AN38,SUMIF($C:$C,B36,$AB:$AB)-K36*COUNTA(M36:W36))))</f>
        <v>0</v>
      </c>
      <c r="Y37" s="440"/>
      <c r="Z37" s="400"/>
      <c r="AA37" s="541"/>
      <c r="AB37" s="443">
        <f>+SUM(M37:W37)-U37*0.75</f>
        <v>0</v>
      </c>
      <c r="AC37" s="341"/>
      <c r="AD37" s="341"/>
      <c r="AE37" s="440"/>
      <c r="AF37" s="440"/>
      <c r="AG37" s="115"/>
      <c r="AH37" s="116"/>
      <c r="AI37" s="157"/>
      <c r="AJ37" s="161"/>
      <c r="AK37" s="167"/>
      <c r="AL37" s="167"/>
      <c r="AM37" s="230"/>
      <c r="AN37" s="339"/>
      <c r="AO37" s="340"/>
      <c r="AP37" s="167"/>
      <c r="AQ37" s="167"/>
      <c r="AR37" s="167"/>
      <c r="AS37" s="167"/>
      <c r="AT37" s="434"/>
      <c r="AU37" s="393"/>
      <c r="AW37" s="356"/>
      <c r="AY37" s="356"/>
    </row>
    <row r="38" spans="2:61" s="98" customFormat="1" ht="62.25" hidden="1" customHeight="1" thickBot="1" x14ac:dyDescent="0.95">
      <c r="B38" s="126">
        <f>B36</f>
        <v>6</v>
      </c>
      <c r="C38" s="375"/>
      <c r="D38" s="174" t="s">
        <v>93</v>
      </c>
      <c r="E38" s="175">
        <f>+E37+100</f>
        <v>106</v>
      </c>
      <c r="F38" s="175"/>
      <c r="G38" s="579" t="str">
        <f t="shared" si="13"/>
        <v>2869-588-505</v>
      </c>
      <c r="H38" s="454">
        <f>+AC35-H36</f>
        <v>150</v>
      </c>
      <c r="I38" s="397"/>
      <c r="J38" s="165" t="str">
        <f>+IF(K38="","",IF(K36=0,"",(K36*J36)/(K38*60)))</f>
        <v/>
      </c>
      <c r="K38" s="118"/>
      <c r="L38" s="104" t="s">
        <v>19</v>
      </c>
      <c r="M38" s="427"/>
      <c r="N38" s="427"/>
      <c r="O38" s="427"/>
      <c r="P38" s="427"/>
      <c r="Q38" s="427"/>
      <c r="R38" s="427"/>
      <c r="S38" s="427"/>
      <c r="T38" s="427"/>
      <c r="U38" s="427"/>
      <c r="V38" s="428"/>
      <c r="W38" s="428"/>
      <c r="X38" s="173"/>
      <c r="Y38" s="441"/>
      <c r="Z38" s="401"/>
      <c r="AA38" s="401"/>
      <c r="AB38" s="444">
        <f t="shared" si="3"/>
        <v>0</v>
      </c>
      <c r="AC38" s="139"/>
      <c r="AD38" s="139"/>
      <c r="AE38" s="441"/>
      <c r="AF38" s="441"/>
      <c r="AG38" s="119" t="str">
        <f>+IFERROR(AG36/(K36*$AT$3),"")</f>
        <v/>
      </c>
      <c r="AH38" s="162"/>
      <c r="AI38" s="161"/>
      <c r="AJ38" s="161"/>
      <c r="AK38" s="167"/>
      <c r="AL38" s="167"/>
      <c r="AM38" s="230"/>
      <c r="AN38" s="342">
        <f>+$AM$4</f>
        <v>8.25</v>
      </c>
      <c r="AO38" s="340"/>
      <c r="AP38" s="167"/>
      <c r="AQ38" s="167"/>
      <c r="AR38" s="167"/>
      <c r="AS38" s="167"/>
      <c r="AT38" s="435"/>
      <c r="AU38" s="393"/>
      <c r="AW38" s="356" t="s">
        <v>429</v>
      </c>
      <c r="AY38" s="356"/>
    </row>
    <row r="39" spans="2:61" s="98" customFormat="1" ht="62.25" hidden="1" customHeight="1" thickTop="1" x14ac:dyDescent="0.9">
      <c r="B39" s="97">
        <f>+B40</f>
        <v>7</v>
      </c>
      <c r="C39" s="370"/>
      <c r="D39" s="106"/>
      <c r="E39" s="106"/>
      <c r="F39" s="106"/>
      <c r="G39" s="577" t="s">
        <v>444</v>
      </c>
      <c r="H39" s="106"/>
      <c r="I39" s="106"/>
      <c r="J39" s="107" t="s">
        <v>20</v>
      </c>
      <c r="K39" s="108" t="s">
        <v>23</v>
      </c>
      <c r="L39" s="100" t="s">
        <v>21</v>
      </c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135" t="str">
        <f>IF(AT40="","",SUM(M39:W39)-(-(AT40-SUM(M39:W39))/$AT$3)*SUM($M$2:$W$2))</f>
        <v/>
      </c>
      <c r="Y39" s="438"/>
      <c r="Z39" s="400">
        <v>-15</v>
      </c>
      <c r="AA39" s="540">
        <f>+X41</f>
        <v>0</v>
      </c>
      <c r="AB39" s="135">
        <f t="shared" si="0"/>
        <v>0</v>
      </c>
      <c r="AC39" s="136">
        <f>+AD39+AB39</f>
        <v>5456</v>
      </c>
      <c r="AD39" s="136">
        <v>5456</v>
      </c>
      <c r="AE39" s="438"/>
      <c r="AF39" s="438"/>
      <c r="AG39" s="109"/>
      <c r="AH39" s="110"/>
      <c r="AI39" s="157"/>
      <c r="AJ39" s="161">
        <f t="shared" si="1"/>
        <v>0</v>
      </c>
      <c r="AK39" s="167">
        <f t="shared" si="2"/>
        <v>0</v>
      </c>
      <c r="AL39" s="167"/>
      <c r="AM39" s="167"/>
      <c r="AN39" s="339"/>
      <c r="AO39" s="340"/>
      <c r="AP39" s="167"/>
      <c r="AQ39" s="167"/>
      <c r="AR39" s="167"/>
      <c r="AS39" s="167"/>
      <c r="AT39" s="432"/>
      <c r="AU39" s="393"/>
      <c r="AW39" s="356"/>
      <c r="AY39" s="356"/>
    </row>
    <row r="40" spans="2:61" s="98" customFormat="1" ht="62.25" hidden="1" customHeight="1" x14ac:dyDescent="1.35">
      <c r="B40" s="132">
        <v>7</v>
      </c>
      <c r="C40" s="371">
        <f>+B40</f>
        <v>7</v>
      </c>
      <c r="D40" s="372" t="s">
        <v>443</v>
      </c>
      <c r="E40" s="111"/>
      <c r="F40" s="111" t="s">
        <v>35</v>
      </c>
      <c r="G40" s="578" t="str">
        <f>+G39</f>
        <v>2917-496-712</v>
      </c>
      <c r="H40" s="450">
        <v>5406</v>
      </c>
      <c r="I40" s="111" t="s">
        <v>33</v>
      </c>
      <c r="J40" s="113">
        <v>42.84</v>
      </c>
      <c r="K40" s="130">
        <v>60</v>
      </c>
      <c r="L40" s="101" t="s">
        <v>17</v>
      </c>
      <c r="M40" s="214">
        <v>60</v>
      </c>
      <c r="N40" s="214">
        <v>60</v>
      </c>
      <c r="O40" s="214"/>
      <c r="P40" s="214"/>
      <c r="Q40" s="214"/>
      <c r="R40" s="214"/>
      <c r="S40" s="214"/>
      <c r="T40" s="214"/>
      <c r="U40" s="214"/>
      <c r="V40" s="424"/>
      <c r="W40" s="424"/>
      <c r="X40" s="123">
        <f>+IF(H41="s",0,IF(AB40=0,0,IF(COUNTA(M40:W40)=AN42+0.75,SUMIF($C:$C,B40,$AB:$AB)/AN42,SUMIF($C:$C,B40,$AB:$AB)/(COUNTA(M40:W40)))))</f>
        <v>60</v>
      </c>
      <c r="Y40" s="439"/>
      <c r="Z40" s="400"/>
      <c r="AA40" s="541"/>
      <c r="AB40" s="134">
        <f t="shared" si="0"/>
        <v>120</v>
      </c>
      <c r="AC40" s="137">
        <f>+AB40+AD40</f>
        <v>5314</v>
      </c>
      <c r="AD40" s="137">
        <v>5194</v>
      </c>
      <c r="AE40" s="439">
        <v>0</v>
      </c>
      <c r="AF40" s="439">
        <f>+AE40+Y40</f>
        <v>0</v>
      </c>
      <c r="AG40" s="140">
        <f>+AC39-AC40</f>
        <v>142</v>
      </c>
      <c r="AH40" s="131">
        <f>+IF(((AB41+(AB42/2))*60)=0,"",(J40*AB40)/((AB41+(AB42/2))*60))</f>
        <v>0.88329896907216499</v>
      </c>
      <c r="AI40" s="161">
        <f>+AB41+AB42/2</f>
        <v>97</v>
      </c>
      <c r="AJ40" s="161">
        <f t="shared" si="1"/>
        <v>97</v>
      </c>
      <c r="AK40" s="167">
        <f t="shared" si="2"/>
        <v>5820</v>
      </c>
      <c r="AL40" s="167">
        <f>+AB40*J40</f>
        <v>5140.8</v>
      </c>
      <c r="AM40" s="230">
        <f>+AB40-(AI40*K40/K42)</f>
        <v>1.2244897959183731</v>
      </c>
      <c r="AN40" s="339"/>
      <c r="AO40" s="340"/>
      <c r="AP40" s="167"/>
      <c r="AQ40" s="167"/>
      <c r="AR40" s="167"/>
      <c r="AS40" s="167"/>
      <c r="AT40" s="433" t="str">
        <f t="shared" ref="AT40" si="17">IF(AU40=0,"",AW40-(($AT$3*K40)+($AT$3*K40)*AU40)+AB39)</f>
        <v/>
      </c>
      <c r="AU40" s="393"/>
      <c r="AW40" s="356">
        <v>262</v>
      </c>
      <c r="AY40" s="356">
        <f t="shared" ref="AY40" si="18">+AW40-AG40</f>
        <v>120</v>
      </c>
      <c r="AZ40" s="581"/>
      <c r="BA40" s="581"/>
      <c r="BB40" s="581"/>
      <c r="BC40" s="581"/>
      <c r="BD40" s="581"/>
      <c r="BE40" s="581"/>
      <c r="BF40" s="581"/>
      <c r="BG40" s="581"/>
      <c r="BH40" s="581"/>
      <c r="BI40" s="581"/>
    </row>
    <row r="41" spans="2:61" s="98" customFormat="1" ht="62.25" hidden="1" customHeight="1" x14ac:dyDescent="0.9">
      <c r="B41" s="125">
        <f>B40</f>
        <v>7</v>
      </c>
      <c r="C41" s="373"/>
      <c r="D41" s="184"/>
      <c r="E41" s="111">
        <f>+B40</f>
        <v>7</v>
      </c>
      <c r="F41" s="374"/>
      <c r="G41" s="578" t="str">
        <f>+G39</f>
        <v>2917-496-712</v>
      </c>
      <c r="H41" s="376" t="s">
        <v>400</v>
      </c>
      <c r="I41" s="113">
        <f>+IFERROR(IF(K42=0,0,IF((LOOKUP(2,1/(M41:W41&lt;&gt;""),M41:W41)-K42)&lt;0,0,IF(K42=0,"",LOOKUP(2,1/(M41:W41&lt;&gt;""),M41:W41)-K42))),0)</f>
        <v>0</v>
      </c>
      <c r="J41" s="113"/>
      <c r="K41" s="114" t="s">
        <v>22</v>
      </c>
      <c r="L41" s="102" t="s">
        <v>18</v>
      </c>
      <c r="M41" s="425">
        <v>48</v>
      </c>
      <c r="N41" s="425">
        <v>48</v>
      </c>
      <c r="O41" s="425"/>
      <c r="P41" s="425"/>
      <c r="Q41" s="425"/>
      <c r="R41" s="425"/>
      <c r="S41" s="425"/>
      <c r="T41" s="425"/>
      <c r="U41" s="425"/>
      <c r="V41" s="426"/>
      <c r="W41" s="426"/>
      <c r="X41" s="160">
        <f>+IF(H41="l",IF(COUNTA(M40:W40)=AN42+0.75,AB40-K40*AN42,AB40-(K40*COUNTA(M40:W40))),IF(H41="s",0,IF(COUNTA(M40:W40)=AN42+0.75,SUMIF($C:$C,B40,$AB:$AB)-K40*AN42,SUMIF($C:$C,B40,$AB:$AB)-K40*COUNTA(M40:W40))))</f>
        <v>0</v>
      </c>
      <c r="Y41" s="440"/>
      <c r="Z41" s="400"/>
      <c r="AA41" s="541"/>
      <c r="AB41" s="443">
        <f>+SUM(M41:W41)-U41*0.75</f>
        <v>96</v>
      </c>
      <c r="AC41" s="341"/>
      <c r="AD41" s="341"/>
      <c r="AE41" s="440"/>
      <c r="AF41" s="440"/>
      <c r="AG41" s="115"/>
      <c r="AH41" s="116"/>
      <c r="AI41" s="157"/>
      <c r="AJ41" s="161">
        <f t="shared" si="1"/>
        <v>0</v>
      </c>
      <c r="AK41" s="167">
        <f t="shared" si="2"/>
        <v>0</v>
      </c>
      <c r="AL41" s="167"/>
      <c r="AM41" s="167"/>
      <c r="AN41" s="339"/>
      <c r="AO41" s="340">
        <f>+IF(AN42=7.75,SUM(M41:S41)+T41*0.75,IF(AN42=8,SUM(M41:T41),IF(AN42=7.25,SUM(M41:S41)+T41*0.25,IF(AN42=8.25,SUM(M41:T41)+U41*0.25,IF(AN42=8.75,SUM(M41:T41)+U41*0.75,0)))))</f>
        <v>96</v>
      </c>
      <c r="AP41" s="167">
        <f>+AO41-AB41</f>
        <v>0</v>
      </c>
      <c r="AQ41" s="167"/>
      <c r="AR41" s="167"/>
      <c r="AS41" s="167"/>
      <c r="AT41" s="434"/>
      <c r="AU41" s="393"/>
      <c r="AW41" s="356"/>
      <c r="AY41" s="356"/>
    </row>
    <row r="42" spans="2:61" s="98" customFormat="1" ht="62.25" hidden="1" customHeight="1" thickBot="1" x14ac:dyDescent="0.95">
      <c r="B42" s="129">
        <f>B40</f>
        <v>7</v>
      </c>
      <c r="C42" s="375"/>
      <c r="D42" s="174" t="s">
        <v>93</v>
      </c>
      <c r="E42" s="175">
        <f>+E41+100</f>
        <v>107</v>
      </c>
      <c r="F42" s="175"/>
      <c r="G42" s="579" t="str">
        <f>+G39</f>
        <v>2917-496-712</v>
      </c>
      <c r="H42" s="454">
        <f>+AC39-H40</f>
        <v>50</v>
      </c>
      <c r="I42" s="397"/>
      <c r="J42" s="165">
        <f>+IF(K42="","",IF(K40=0,"",(K40*J40)/(K42*60)))</f>
        <v>0.87428571428571433</v>
      </c>
      <c r="K42" s="118">
        <v>49</v>
      </c>
      <c r="L42" s="104" t="s">
        <v>19</v>
      </c>
      <c r="M42" s="427">
        <v>1</v>
      </c>
      <c r="N42" s="427">
        <v>1</v>
      </c>
      <c r="O42" s="427"/>
      <c r="P42" s="427"/>
      <c r="Q42" s="427"/>
      <c r="R42" s="427"/>
      <c r="S42" s="427"/>
      <c r="T42" s="427"/>
      <c r="U42" s="427"/>
      <c r="V42" s="428"/>
      <c r="W42" s="428"/>
      <c r="X42" s="173"/>
      <c r="Y42" s="441"/>
      <c r="Z42" s="401">
        <v>33.03</v>
      </c>
      <c r="AA42" s="168">
        <f>+IF(COUNTA(M40:W40)=$AM$4+0.25,$AM$4-(AB40/K40),COUNTA(M40:W40)-(AB40/K40))+Z42</f>
        <v>33.03</v>
      </c>
      <c r="AB42" s="444">
        <f t="shared" si="3"/>
        <v>2</v>
      </c>
      <c r="AC42" s="139"/>
      <c r="AD42" s="139"/>
      <c r="AE42" s="441"/>
      <c r="AF42" s="441"/>
      <c r="AG42" s="119">
        <f>+IFERROR(AG40/(K40*$AT$3),"")</f>
        <v>0.27047619047619048</v>
      </c>
      <c r="AH42" s="162"/>
      <c r="AI42" s="161"/>
      <c r="AJ42" s="161">
        <f t="shared" si="1"/>
        <v>0</v>
      </c>
      <c r="AK42" s="167">
        <f t="shared" si="2"/>
        <v>0</v>
      </c>
      <c r="AL42" s="167"/>
      <c r="AM42" s="230"/>
      <c r="AN42" s="342">
        <f>+$AM$4</f>
        <v>8.25</v>
      </c>
      <c r="AO42" s="340">
        <f>+IF(AN42=7.75,SUM(M42:S42)+T42*0.75,IF(AN42=8,SUM(M42:T42),IF(AN42=7.25,SUM(M42:S42)+T42*0.25,IF(AN42=8.25,SUM(M42:T42)+U42*0.25,IF(AN42=8.75,SUM(M42:T42)+U42*0.75,0)))))</f>
        <v>2</v>
      </c>
      <c r="AP42" s="167">
        <f>+AO42-AB42</f>
        <v>0</v>
      </c>
      <c r="AQ42" s="167"/>
      <c r="AR42" s="167"/>
      <c r="AS42" s="167"/>
      <c r="AT42" s="435"/>
      <c r="AU42" s="393"/>
      <c r="AW42" s="356">
        <v>0.49904761904761907</v>
      </c>
      <c r="AY42" s="356"/>
    </row>
    <row r="43" spans="2:61" s="98" customFormat="1" ht="62.25" hidden="1" customHeight="1" thickTop="1" x14ac:dyDescent="0.9">
      <c r="B43" s="97">
        <f>+B44</f>
        <v>7</v>
      </c>
      <c r="C43" s="370"/>
      <c r="D43" s="106"/>
      <c r="E43" s="106"/>
      <c r="F43" s="106"/>
      <c r="G43" s="577" t="s">
        <v>495</v>
      </c>
      <c r="H43" s="106"/>
      <c r="I43" s="106"/>
      <c r="J43" s="107" t="s">
        <v>20</v>
      </c>
      <c r="K43" s="108" t="s">
        <v>23</v>
      </c>
      <c r="L43" s="100" t="s">
        <v>21</v>
      </c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135">
        <f>IF(AT44="","",SUM(M43:W43)-(-(AT44-SUM(M43:W43))/$AT$3)*SUM($M$2:$W$2))</f>
        <v>0</v>
      </c>
      <c r="Y43" s="438"/>
      <c r="Z43" s="400">
        <v>0</v>
      </c>
      <c r="AA43" s="540">
        <f>+X45</f>
        <v>0</v>
      </c>
      <c r="AB43" s="135">
        <f t="shared" si="0"/>
        <v>0</v>
      </c>
      <c r="AC43" s="136">
        <f>+AD43+AB43</f>
        <v>150</v>
      </c>
      <c r="AD43" s="136">
        <v>150</v>
      </c>
      <c r="AE43" s="438"/>
      <c r="AF43" s="438"/>
      <c r="AG43" s="109"/>
      <c r="AH43" s="110"/>
      <c r="AI43" s="157"/>
      <c r="AJ43" s="161">
        <f t="shared" si="1"/>
        <v>0</v>
      </c>
      <c r="AK43" s="167">
        <f t="shared" si="2"/>
        <v>0</v>
      </c>
      <c r="AL43" s="167"/>
      <c r="AM43" s="167"/>
      <c r="AN43" s="339"/>
      <c r="AO43" s="340"/>
      <c r="AP43" s="167"/>
      <c r="AQ43" s="167"/>
      <c r="AR43" s="167"/>
      <c r="AS43" s="167"/>
      <c r="AT43" s="432"/>
      <c r="AU43" s="393"/>
      <c r="AW43" s="356"/>
      <c r="AY43" s="356"/>
    </row>
    <row r="44" spans="2:61" s="98" customFormat="1" ht="62.25" hidden="1" customHeight="1" x14ac:dyDescent="1.35">
      <c r="B44" s="132">
        <v>7</v>
      </c>
      <c r="C44" s="371">
        <f>+B44</f>
        <v>7</v>
      </c>
      <c r="D44" s="372" t="s">
        <v>494</v>
      </c>
      <c r="E44" s="111"/>
      <c r="F44" s="111" t="s">
        <v>35</v>
      </c>
      <c r="G44" s="578" t="str">
        <f>+G43</f>
        <v>7755-463-251</v>
      </c>
      <c r="H44" s="450"/>
      <c r="I44" s="111" t="s">
        <v>251</v>
      </c>
      <c r="J44" s="113"/>
      <c r="K44" s="130"/>
      <c r="L44" s="101" t="s">
        <v>17</v>
      </c>
      <c r="M44" s="214"/>
      <c r="N44" s="214"/>
      <c r="O44" s="214"/>
      <c r="P44" s="214"/>
      <c r="Q44" s="214"/>
      <c r="R44" s="214"/>
      <c r="S44" s="214"/>
      <c r="T44" s="214"/>
      <c r="U44" s="214"/>
      <c r="V44" s="424"/>
      <c r="W44" s="424"/>
      <c r="X44" s="123">
        <f>+IF(H45="s",0,IF(AB44=0,0,IF(COUNTA(M44:W44)=AN46+0.75,SUMIF($C:$C,B44,$AB:$AB)/AN46,SUMIF($C:$C,B44,$AB:$AB)/(COUNTA(M44:W44)))))</f>
        <v>0</v>
      </c>
      <c r="Y44" s="439"/>
      <c r="Z44" s="400"/>
      <c r="AA44" s="541"/>
      <c r="AB44" s="134">
        <f t="shared" si="0"/>
        <v>0</v>
      </c>
      <c r="AC44" s="137">
        <f>+AB44+AD44</f>
        <v>0</v>
      </c>
      <c r="AD44" s="137">
        <v>0</v>
      </c>
      <c r="AE44" s="439">
        <v>0</v>
      </c>
      <c r="AF44" s="439">
        <f>+AE44+Y44</f>
        <v>0</v>
      </c>
      <c r="AG44" s="140">
        <f>+AC43-AC44</f>
        <v>150</v>
      </c>
      <c r="AH44" s="131" t="str">
        <f>+IF(((AB45+(AB46/2))*60)=0,"",(J44*AB44)/((AB45+(AB46/2))*60))</f>
        <v/>
      </c>
      <c r="AI44" s="161">
        <f>+AB45+AB46/2</f>
        <v>0</v>
      </c>
      <c r="AJ44" s="161">
        <f t="shared" si="1"/>
        <v>0</v>
      </c>
      <c r="AK44" s="167">
        <f t="shared" si="2"/>
        <v>0</v>
      </c>
      <c r="AL44" s="167">
        <f>+AB44*J44</f>
        <v>0</v>
      </c>
      <c r="AM44" s="230" t="e">
        <f>+AB44-(AI44*K44/K46)</f>
        <v>#DIV/0!</v>
      </c>
      <c r="AN44" s="339"/>
      <c r="AO44" s="340"/>
      <c r="AP44" s="167"/>
      <c r="AQ44" s="167"/>
      <c r="AR44" s="167"/>
      <c r="AS44" s="167"/>
      <c r="AT44" s="433">
        <f>-300+AB43</f>
        <v>-300</v>
      </c>
      <c r="AU44" s="393">
        <v>1.5</v>
      </c>
      <c r="AW44" s="356">
        <v>150</v>
      </c>
      <c r="AY44" s="356">
        <f t="shared" ref="AY44" si="19">+AW44-AG44</f>
        <v>0</v>
      </c>
      <c r="AZ44" s="581"/>
      <c r="BA44" s="581"/>
      <c r="BB44" s="581"/>
      <c r="BC44" s="581"/>
      <c r="BD44" s="581"/>
      <c r="BE44" s="581"/>
      <c r="BF44" s="581"/>
      <c r="BG44" s="581"/>
      <c r="BH44" s="581"/>
      <c r="BI44" s="581"/>
    </row>
    <row r="45" spans="2:61" s="98" customFormat="1" ht="62.25" hidden="1" customHeight="1" x14ac:dyDescent="0.9">
      <c r="B45" s="125">
        <f>B44</f>
        <v>7</v>
      </c>
      <c r="C45" s="373"/>
      <c r="D45" s="184"/>
      <c r="E45" s="111">
        <f>+B44</f>
        <v>7</v>
      </c>
      <c r="F45" s="374"/>
      <c r="G45" s="578" t="str">
        <f>+G43</f>
        <v>7755-463-251</v>
      </c>
      <c r="H45" s="376" t="s">
        <v>400</v>
      </c>
      <c r="I45" s="113">
        <f>+IFERROR(IF(K46=0,0,IF((LOOKUP(2,1/(M45:W45&lt;&gt;""),M45:W45)-K46)&lt;0,0,IF(K46=0,"",LOOKUP(2,1/(M45:W45&lt;&gt;""),M45:W45)-K46))),0)</f>
        <v>0</v>
      </c>
      <c r="J45" s="113"/>
      <c r="K45" s="114" t="s">
        <v>22</v>
      </c>
      <c r="L45" s="102" t="s">
        <v>18</v>
      </c>
      <c r="M45" s="425"/>
      <c r="N45" s="425"/>
      <c r="O45" s="425"/>
      <c r="P45" s="425"/>
      <c r="Q45" s="425"/>
      <c r="R45" s="425"/>
      <c r="S45" s="425"/>
      <c r="T45" s="425"/>
      <c r="U45" s="425"/>
      <c r="V45" s="426"/>
      <c r="W45" s="426"/>
      <c r="X45" s="160">
        <f>+IF(H45="l",IF(COUNTA(M44:W44)=AN46+0.75,AB44-K44*AN46,AB44-(K44*COUNTA(M44:W44))),IF(H45="s",0,IF(COUNTA(M44:W44)=AN46+0.75,SUMIF($C:$C,B44,$AB:$AB)-K44*AN46,SUMIF($C:$C,B44,$AB:$AB)-K44*COUNTA(M44:W44))))</f>
        <v>0</v>
      </c>
      <c r="Y45" s="440"/>
      <c r="Z45" s="400"/>
      <c r="AA45" s="541"/>
      <c r="AB45" s="443">
        <f>+SUM(M45:W45)-U45*0.75</f>
        <v>0</v>
      </c>
      <c r="AC45" s="341"/>
      <c r="AD45" s="341"/>
      <c r="AE45" s="440"/>
      <c r="AF45" s="440"/>
      <c r="AG45" s="115"/>
      <c r="AH45" s="116"/>
      <c r="AI45" s="157"/>
      <c r="AJ45" s="161">
        <f t="shared" si="1"/>
        <v>0</v>
      </c>
      <c r="AK45" s="167">
        <f t="shared" si="2"/>
        <v>0</v>
      </c>
      <c r="AL45" s="167"/>
      <c r="AM45" s="167"/>
      <c r="AN45" s="339"/>
      <c r="AO45" s="340">
        <f>+IF(AN46=7.75,SUM(M45:S45)+T45*0.75,IF(AN46=8,SUM(M45:T45),IF(AN46=7.25,SUM(M45:S45)+T45*0.25,IF(AN46=8.25,SUM(M45:T45)+U45*0.25,IF(AN46=8.75,SUM(M45:T45)+U45*0.75,0)))))</f>
        <v>0</v>
      </c>
      <c r="AP45" s="167">
        <f>+AO45-AB45</f>
        <v>0</v>
      </c>
      <c r="AQ45" s="167"/>
      <c r="AR45" s="167"/>
      <c r="AS45" s="167"/>
      <c r="AT45" s="434"/>
      <c r="AU45" s="393"/>
      <c r="AW45" s="356"/>
      <c r="AY45" s="356"/>
    </row>
    <row r="46" spans="2:61" s="98" customFormat="1" ht="62.25" hidden="1" customHeight="1" thickBot="1" x14ac:dyDescent="0.95">
      <c r="B46" s="129">
        <f>B44</f>
        <v>7</v>
      </c>
      <c r="C46" s="375"/>
      <c r="D46" s="174" t="s">
        <v>93</v>
      </c>
      <c r="E46" s="175">
        <f>+E45+100</f>
        <v>107</v>
      </c>
      <c r="F46" s="175"/>
      <c r="G46" s="579" t="str">
        <f>+G43</f>
        <v>7755-463-251</v>
      </c>
      <c r="H46" s="454">
        <f>+AC43-H44</f>
        <v>150</v>
      </c>
      <c r="I46" s="397"/>
      <c r="J46" s="165" t="str">
        <f>+IF(K46="","",IF(K44=0,"",(K44*J44)/(K46*60)))</f>
        <v/>
      </c>
      <c r="K46" s="118"/>
      <c r="L46" s="104" t="s">
        <v>19</v>
      </c>
      <c r="M46" s="427"/>
      <c r="N46" s="427"/>
      <c r="O46" s="427"/>
      <c r="P46" s="427"/>
      <c r="Q46" s="427"/>
      <c r="R46" s="427"/>
      <c r="S46" s="427"/>
      <c r="T46" s="427"/>
      <c r="U46" s="427"/>
      <c r="V46" s="428"/>
      <c r="W46" s="428"/>
      <c r="X46" s="173"/>
      <c r="Y46" s="441"/>
      <c r="Z46" s="401" t="e">
        <v>#DIV/0!</v>
      </c>
      <c r="AA46" s="168" t="e">
        <f>+IF(COUNTA(M44:W44)=$AM$4+0.25,$AM$4-(AB44/K44),COUNTA(M44:W44)-(AB44/K44))+Z46</f>
        <v>#DIV/0!</v>
      </c>
      <c r="AB46" s="444">
        <f t="shared" si="3"/>
        <v>0</v>
      </c>
      <c r="AC46" s="139"/>
      <c r="AD46" s="139"/>
      <c r="AE46" s="441"/>
      <c r="AF46" s="441"/>
      <c r="AG46" s="119" t="str">
        <f>+IFERROR(AG44/(K44*$AT$3),"")</f>
        <v/>
      </c>
      <c r="AH46" s="162"/>
      <c r="AI46" s="161"/>
      <c r="AJ46" s="161">
        <f t="shared" si="1"/>
        <v>0</v>
      </c>
      <c r="AK46" s="167">
        <f t="shared" si="2"/>
        <v>0</v>
      </c>
      <c r="AL46" s="167"/>
      <c r="AM46" s="230"/>
      <c r="AN46" s="342">
        <f>+$AM$4</f>
        <v>8.25</v>
      </c>
      <c r="AO46" s="340">
        <f>+IF(AN46=7.75,SUM(M46:S46)+T46*0.75,IF(AN46=8,SUM(M46:T46),IF(AN46=7.25,SUM(M46:S46)+T46*0.25,IF(AN46=8.25,SUM(M46:T46)+U46*0.25,IF(AN46=8.75,SUM(M46:T46)+U46*0.75,0)))))</f>
        <v>0</v>
      </c>
      <c r="AP46" s="167">
        <f>+AO46-AB46</f>
        <v>0</v>
      </c>
      <c r="AQ46" s="167"/>
      <c r="AR46" s="167"/>
      <c r="AS46" s="167"/>
      <c r="AT46" s="435"/>
      <c r="AU46" s="393"/>
      <c r="AW46" s="356" t="s">
        <v>429</v>
      </c>
      <c r="AY46" s="356"/>
    </row>
    <row r="47" spans="2:61" s="98" customFormat="1" ht="62.25" hidden="1" customHeight="1" thickTop="1" x14ac:dyDescent="0.9">
      <c r="B47" s="97">
        <f>+B48</f>
        <v>8</v>
      </c>
      <c r="C47" s="370"/>
      <c r="D47" s="106"/>
      <c r="E47" s="106"/>
      <c r="F47" s="106"/>
      <c r="G47" s="582" t="s">
        <v>442</v>
      </c>
      <c r="H47" s="106"/>
      <c r="I47" s="106"/>
      <c r="J47" s="107" t="s">
        <v>20</v>
      </c>
      <c r="K47" s="108" t="s">
        <v>23</v>
      </c>
      <c r="L47" s="100" t="s">
        <v>21</v>
      </c>
      <c r="M47" s="423">
        <v>50</v>
      </c>
      <c r="N47" s="423">
        <v>100</v>
      </c>
      <c r="O47" s="423">
        <v>50</v>
      </c>
      <c r="P47" s="423"/>
      <c r="Q47" s="423"/>
      <c r="R47" s="423"/>
      <c r="S47" s="423"/>
      <c r="T47" s="423"/>
      <c r="U47" s="423"/>
      <c r="V47" s="423"/>
      <c r="W47" s="423"/>
      <c r="X47" s="135">
        <f>IF(AT48="","",SUM(M47:W47)-(-(AT48-SUM(M47:W47))/$AT$3)*SUM($M$2:$W$2))</f>
        <v>200</v>
      </c>
      <c r="Y47" s="438"/>
      <c r="Z47" s="400">
        <v>8.5</v>
      </c>
      <c r="AA47" s="540">
        <f>+X49</f>
        <v>2</v>
      </c>
      <c r="AB47" s="135">
        <f t="shared" si="0"/>
        <v>200</v>
      </c>
      <c r="AC47" s="136">
        <f>+AD47+AB47</f>
        <v>8335</v>
      </c>
      <c r="AD47" s="136">
        <v>8135</v>
      </c>
      <c r="AE47" s="438"/>
      <c r="AF47" s="438"/>
      <c r="AG47" s="109"/>
      <c r="AH47" s="110"/>
      <c r="AI47" s="157"/>
      <c r="AJ47" s="161">
        <f t="shared" si="1"/>
        <v>0</v>
      </c>
      <c r="AK47" s="167">
        <f t="shared" si="2"/>
        <v>0</v>
      </c>
      <c r="AL47" s="167"/>
      <c r="AM47" s="167"/>
      <c r="AN47" s="339"/>
      <c r="AO47" s="340"/>
      <c r="AP47" s="167"/>
      <c r="AQ47" s="167"/>
      <c r="AR47" s="167"/>
      <c r="AS47" s="167"/>
      <c r="AT47" s="432"/>
      <c r="AU47" s="393"/>
      <c r="AW47" s="356"/>
      <c r="AY47" s="356"/>
    </row>
    <row r="48" spans="2:61" s="98" customFormat="1" ht="62.25" hidden="1" customHeight="1" x14ac:dyDescent="0.9">
      <c r="B48" s="132">
        <v>8</v>
      </c>
      <c r="C48" s="371">
        <f>+B48</f>
        <v>8</v>
      </c>
      <c r="D48" s="372" t="s">
        <v>441</v>
      </c>
      <c r="E48" s="111"/>
      <c r="F48" s="111" t="s">
        <v>35</v>
      </c>
      <c r="G48" s="582" t="str">
        <f>+G47</f>
        <v>7741-793-052</v>
      </c>
      <c r="H48" s="450">
        <v>11500</v>
      </c>
      <c r="I48" s="111" t="s">
        <v>33</v>
      </c>
      <c r="J48" s="113">
        <v>55.14</v>
      </c>
      <c r="K48" s="130">
        <v>46</v>
      </c>
      <c r="L48" s="101" t="s">
        <v>17</v>
      </c>
      <c r="M48" s="214">
        <v>47</v>
      </c>
      <c r="N48" s="214">
        <v>47</v>
      </c>
      <c r="O48" s="214"/>
      <c r="P48" s="214"/>
      <c r="Q48" s="214"/>
      <c r="R48" s="214"/>
      <c r="S48" s="214"/>
      <c r="T48" s="214"/>
      <c r="U48" s="214"/>
      <c r="V48" s="424"/>
      <c r="W48" s="424"/>
      <c r="X48" s="123">
        <f>+IF(H49="s",0,IF(AB48=0,0,IF(COUNTA(M48:W48)=AN50+0.75,SUMIF($C:$C,B48,$AB:$AB)/AN50,SUMIF($C:$C,B48,$AB:$AB)/(COUNTA(M48:W48)))))</f>
        <v>47</v>
      </c>
      <c r="Y48" s="439"/>
      <c r="Z48" s="400"/>
      <c r="AA48" s="541"/>
      <c r="AB48" s="134">
        <f t="shared" si="0"/>
        <v>94</v>
      </c>
      <c r="AC48" s="137">
        <f>+AB48+AD48</f>
        <v>7387</v>
      </c>
      <c r="AD48" s="137">
        <v>7293</v>
      </c>
      <c r="AE48" s="439">
        <v>0</v>
      </c>
      <c r="AF48" s="439">
        <f>+AE48+Y48</f>
        <v>0</v>
      </c>
      <c r="AG48" s="140">
        <f>+AC47-AC48</f>
        <v>948</v>
      </c>
      <c r="AH48" s="131">
        <f>+IF(((AB49+(AB50/2))*60)=0,"",(J48*AB48)/((AB49+(AB50/2))*60))</f>
        <v>0.89057731958762887</v>
      </c>
      <c r="AI48" s="161">
        <f>+AB49+AB50/2</f>
        <v>97</v>
      </c>
      <c r="AJ48" s="161">
        <f t="shared" si="1"/>
        <v>97</v>
      </c>
      <c r="AK48" s="167">
        <f t="shared" si="2"/>
        <v>5820</v>
      </c>
      <c r="AL48" s="167">
        <f>+AB48*J48</f>
        <v>5183.16</v>
      </c>
      <c r="AM48" s="230">
        <f>+AB48-(AI48*K48/K50)</f>
        <v>2.9387755102040813</v>
      </c>
      <c r="AN48" s="339"/>
      <c r="AO48" s="340"/>
      <c r="AP48" s="167"/>
      <c r="AQ48" s="167"/>
      <c r="AR48" s="167"/>
      <c r="AS48" s="167"/>
      <c r="AT48" s="433">
        <f t="shared" ref="AT48" si="20">IF(AU48=0,"",AW48-(($AT$3*K48)+($AT$3*K48)*AU48)+AB47)</f>
        <v>-197.70000000000005</v>
      </c>
      <c r="AU48" s="393">
        <v>2.08</v>
      </c>
      <c r="AW48" s="356">
        <v>842</v>
      </c>
      <c r="AY48" s="356">
        <f t="shared" ref="AY48" si="21">+AW48-AG48</f>
        <v>-106</v>
      </c>
    </row>
    <row r="49" spans="2:51" s="98" customFormat="1" ht="62.25" hidden="1" customHeight="1" x14ac:dyDescent="0.9">
      <c r="B49" s="125">
        <f>+B48</f>
        <v>8</v>
      </c>
      <c r="C49" s="373"/>
      <c r="D49" s="184"/>
      <c r="E49" s="111">
        <f>+B48</f>
        <v>8</v>
      </c>
      <c r="F49" s="374"/>
      <c r="G49" s="582" t="str">
        <f>+G48</f>
        <v>7741-793-052</v>
      </c>
      <c r="H49" s="376" t="s">
        <v>400</v>
      </c>
      <c r="I49" s="113">
        <f>+IFERROR(IF(K50=0,0,IF((LOOKUP(2,1/(M49:W49&lt;&gt;""),M49:W49)-K50)&lt;0,0,IF(K50=0,"",LOOKUP(2,1/(M49:W49&lt;&gt;""),M49:W49)-K50))),0)</f>
        <v>0</v>
      </c>
      <c r="J49" s="113"/>
      <c r="K49" s="114" t="s">
        <v>22</v>
      </c>
      <c r="L49" s="102" t="s">
        <v>18</v>
      </c>
      <c r="M49" s="425">
        <v>48</v>
      </c>
      <c r="N49" s="425">
        <v>48</v>
      </c>
      <c r="O49" s="425"/>
      <c r="P49" s="425"/>
      <c r="Q49" s="425"/>
      <c r="R49" s="425"/>
      <c r="S49" s="425"/>
      <c r="T49" s="425"/>
      <c r="U49" s="425"/>
      <c r="V49" s="426"/>
      <c r="W49" s="426"/>
      <c r="X49" s="160">
        <f>+IF(H49="l",IF(COUNTA(M48:W48)=AN50+0.75,AB48-K48*AN50,AB48-(K48*COUNTA(M48:W48))),IF(H49="s",0,IF(COUNTA(M48:W48)=AN50+0.75,SUMIF($C:$C,B48,$AB:$AB)-K48*AN50,SUMIF($C:$C,B48,$AB:$AB)-K48*COUNTA(M48:W48))))</f>
        <v>2</v>
      </c>
      <c r="Y49" s="440"/>
      <c r="Z49" s="400"/>
      <c r="AA49" s="541"/>
      <c r="AB49" s="443">
        <f>+SUM(M49:W49)-U49*0.75</f>
        <v>96</v>
      </c>
      <c r="AC49" s="341"/>
      <c r="AD49" s="341"/>
      <c r="AE49" s="440"/>
      <c r="AF49" s="440"/>
      <c r="AG49" s="115"/>
      <c r="AH49" s="116"/>
      <c r="AI49" s="157"/>
      <c r="AJ49" s="161">
        <f t="shared" si="1"/>
        <v>0</v>
      </c>
      <c r="AK49" s="167">
        <f t="shared" si="2"/>
        <v>0</v>
      </c>
      <c r="AL49" s="167"/>
      <c r="AM49" s="167"/>
      <c r="AN49" s="339"/>
      <c r="AO49" s="340">
        <f>+IF(AN50=7.75,SUM(M49:S49)+T49*0.75,IF(AN50=8,SUM(M49:T49),IF(AN50=7.25,SUM(M49:S49)+T49*0.25,IF(AN50=8.25,SUM(M49:T49)+U49*0.25,IF(AN50=8.75,SUM(M49:T49)+U49*0.75,0)))))</f>
        <v>96</v>
      </c>
      <c r="AP49" s="167">
        <f>+AO49-AB49</f>
        <v>0</v>
      </c>
      <c r="AQ49" s="167"/>
      <c r="AR49" s="167"/>
      <c r="AS49" s="167"/>
      <c r="AT49" s="434"/>
      <c r="AU49" s="393"/>
      <c r="AW49" s="356"/>
      <c r="AY49" s="356"/>
    </row>
    <row r="50" spans="2:51" s="98" customFormat="1" ht="62.25" hidden="1" customHeight="1" thickBot="1" x14ac:dyDescent="0.95">
      <c r="B50" s="126">
        <f>+B48</f>
        <v>8</v>
      </c>
      <c r="C50" s="375"/>
      <c r="D50" s="174" t="s">
        <v>373</v>
      </c>
      <c r="E50" s="175">
        <f>+E49+100</f>
        <v>108</v>
      </c>
      <c r="F50" s="175"/>
      <c r="G50" s="582" t="str">
        <f>+G49</f>
        <v>7741-793-052</v>
      </c>
      <c r="H50" s="454">
        <f>+AC47-H48</f>
        <v>-3165</v>
      </c>
      <c r="I50" s="397"/>
      <c r="J50" s="165">
        <f>+IF(K50="","",IF(K48=0,"",(K48*J48)/(K50*60)))</f>
        <v>0.86273469387755108</v>
      </c>
      <c r="K50" s="118">
        <v>49</v>
      </c>
      <c r="L50" s="104" t="s">
        <v>19</v>
      </c>
      <c r="M50" s="427">
        <v>1</v>
      </c>
      <c r="N50" s="427">
        <v>1</v>
      </c>
      <c r="O50" s="427"/>
      <c r="P50" s="427"/>
      <c r="Q50" s="427"/>
      <c r="R50" s="427"/>
      <c r="S50" s="427"/>
      <c r="T50" s="427"/>
      <c r="U50" s="427"/>
      <c r="V50" s="428"/>
      <c r="W50" s="428"/>
      <c r="X50" s="173"/>
      <c r="Y50" s="441"/>
      <c r="Z50" s="401">
        <v>24.299090909090911</v>
      </c>
      <c r="AA50" s="169">
        <v>24.299090909090911</v>
      </c>
      <c r="AB50" s="444">
        <f t="shared" si="3"/>
        <v>2</v>
      </c>
      <c r="AC50" s="139"/>
      <c r="AD50" s="139"/>
      <c r="AE50" s="441"/>
      <c r="AF50" s="441"/>
      <c r="AG50" s="119">
        <f>+IFERROR(AG48/(K48*$AT$3),"")</f>
        <v>2.35527950310559</v>
      </c>
      <c r="AH50" s="162"/>
      <c r="AI50" s="161"/>
      <c r="AJ50" s="161">
        <f t="shared" si="1"/>
        <v>0</v>
      </c>
      <c r="AK50" s="167">
        <f t="shared" si="2"/>
        <v>0</v>
      </c>
      <c r="AL50" s="167"/>
      <c r="AM50" s="230"/>
      <c r="AN50" s="342">
        <f>+$AM$4</f>
        <v>8.25</v>
      </c>
      <c r="AO50" s="340">
        <f>+IF(AN50=7.75,SUM(M50:S50)+T50*0.75,IF(AN50=8,SUM(M50:T50),IF(AN50=7.25,SUM(M50:S50)+T50*0.25,IF(AN50=8.25,SUM(M50:T50)+U50*0.25,IF(AN50=8.75,SUM(M50:T50)+U50*0.75,0)))))</f>
        <v>2</v>
      </c>
      <c r="AP50" s="167">
        <f>+AO50-AB50</f>
        <v>0</v>
      </c>
      <c r="AQ50" s="167"/>
      <c r="AR50" s="167"/>
      <c r="AS50" s="167"/>
      <c r="AT50" s="435"/>
      <c r="AU50" s="393"/>
      <c r="AW50" s="356">
        <v>2.0919254658385094</v>
      </c>
      <c r="AY50" s="356"/>
    </row>
    <row r="51" spans="2:51" s="98" customFormat="1" ht="62.25" hidden="1" customHeight="1" thickTop="1" x14ac:dyDescent="0.9">
      <c r="B51" s="97">
        <f>+B52</f>
        <v>11</v>
      </c>
      <c r="C51" s="370"/>
      <c r="D51" s="106"/>
      <c r="E51" s="106"/>
      <c r="F51" s="106"/>
      <c r="G51" s="577" t="s">
        <v>474</v>
      </c>
      <c r="H51" s="106"/>
      <c r="I51" s="106"/>
      <c r="J51" s="107" t="s">
        <v>20</v>
      </c>
      <c r="K51" s="108" t="s">
        <v>23</v>
      </c>
      <c r="L51" s="100" t="s">
        <v>21</v>
      </c>
      <c r="M51" s="423">
        <v>60</v>
      </c>
      <c r="N51" s="423">
        <v>60</v>
      </c>
      <c r="O51" s="423"/>
      <c r="P51" s="423"/>
      <c r="Q51" s="423"/>
      <c r="R51" s="423"/>
      <c r="S51" s="423"/>
      <c r="T51" s="423"/>
      <c r="U51" s="423"/>
      <c r="V51" s="423"/>
      <c r="W51" s="423"/>
      <c r="X51" s="135">
        <f>IF(AT52="","",SUM(M51:W51)-(-(AT52-SUM(M51:W51))/$AT$3)*SUM($M$2:$W$2))</f>
        <v>120</v>
      </c>
      <c r="Y51" s="438"/>
      <c r="Z51" s="400">
        <v>-378.75</v>
      </c>
      <c r="AA51" s="540">
        <f>+X53</f>
        <v>-20</v>
      </c>
      <c r="AB51" s="135">
        <f t="shared" si="0"/>
        <v>120</v>
      </c>
      <c r="AC51" s="136">
        <f>+AD51+AB51</f>
        <v>1801</v>
      </c>
      <c r="AD51" s="136">
        <v>1681</v>
      </c>
      <c r="AE51" s="438"/>
      <c r="AF51" s="438"/>
      <c r="AG51" s="109"/>
      <c r="AH51" s="110"/>
      <c r="AI51" s="157"/>
      <c r="AJ51" s="161">
        <f t="shared" si="1"/>
        <v>0</v>
      </c>
      <c r="AK51" s="167">
        <f t="shared" si="2"/>
        <v>0</v>
      </c>
      <c r="AL51" s="167"/>
      <c r="AM51" s="167"/>
      <c r="AN51" s="339"/>
      <c r="AO51" s="340"/>
      <c r="AP51" s="167"/>
      <c r="AQ51" s="167"/>
      <c r="AR51" s="167"/>
      <c r="AS51" s="167"/>
      <c r="AT51" s="432"/>
      <c r="AU51" s="393"/>
      <c r="AW51" s="356"/>
      <c r="AY51" s="356"/>
    </row>
    <row r="52" spans="2:51" s="98" customFormat="1" ht="62.25" hidden="1" customHeight="1" x14ac:dyDescent="0.9">
      <c r="B52" s="132">
        <v>11</v>
      </c>
      <c r="C52" s="371">
        <v>11</v>
      </c>
      <c r="D52" s="372" t="s">
        <v>475</v>
      </c>
      <c r="E52" s="111"/>
      <c r="F52" s="111" t="s">
        <v>447</v>
      </c>
      <c r="G52" s="578" t="s">
        <v>474</v>
      </c>
      <c r="H52" s="450">
        <v>3360</v>
      </c>
      <c r="I52" s="111" t="s">
        <v>476</v>
      </c>
      <c r="J52" s="113">
        <v>38.65</v>
      </c>
      <c r="K52" s="130">
        <v>65</v>
      </c>
      <c r="L52" s="101" t="s">
        <v>17</v>
      </c>
      <c r="M52" s="214">
        <v>50</v>
      </c>
      <c r="N52" s="214">
        <v>60</v>
      </c>
      <c r="O52" s="214"/>
      <c r="P52" s="214"/>
      <c r="Q52" s="214"/>
      <c r="R52" s="214"/>
      <c r="S52" s="214"/>
      <c r="T52" s="214"/>
      <c r="U52" s="214"/>
      <c r="V52" s="214"/>
      <c r="W52" s="424"/>
      <c r="X52" s="123">
        <f>+IF(H53="s",0,IF(AB52=0,0,IF(COUNTA(M52:W52)=AN54+0.75,SUMIF($C:$C,B52,$AB:$AB)/AN54,SUMIF($C:$C,B52,$AB:$AB)/(COUNTA(M52:W52)))))</f>
        <v>55</v>
      </c>
      <c r="Y52" s="439"/>
      <c r="Z52" s="400"/>
      <c r="AA52" s="541"/>
      <c r="AB52" s="134">
        <f t="shared" si="0"/>
        <v>110</v>
      </c>
      <c r="AC52" s="137">
        <f>+AB52+AD52</f>
        <v>572</v>
      </c>
      <c r="AD52" s="137">
        <v>462</v>
      </c>
      <c r="AE52" s="439">
        <v>0</v>
      </c>
      <c r="AF52" s="439">
        <f>+AE52+Y52</f>
        <v>0</v>
      </c>
      <c r="AG52" s="140">
        <f>+AC51-AC52</f>
        <v>1229</v>
      </c>
      <c r="AH52" s="131">
        <f>+IF(((AB53+(AB54/2))*60)=0,"",(J52*AB52)/((AB53+(AB54/2))*60))</f>
        <v>0.73810763888888886</v>
      </c>
      <c r="AI52" s="161">
        <f>+AB53+AB54/2</f>
        <v>96</v>
      </c>
      <c r="AJ52" s="161">
        <f t="shared" si="1"/>
        <v>96</v>
      </c>
      <c r="AK52" s="167">
        <f t="shared" si="2"/>
        <v>5760</v>
      </c>
      <c r="AL52" s="167">
        <f>+AB52*J52</f>
        <v>4251.5</v>
      </c>
      <c r="AM52" s="230">
        <f>+AB52-(AI52*K52/K54)</f>
        <v>-14.799999999999997</v>
      </c>
      <c r="AN52" s="339"/>
      <c r="AO52" s="340"/>
      <c r="AP52" s="167"/>
      <c r="AQ52" s="167"/>
      <c r="AR52" s="167"/>
      <c r="AS52" s="167"/>
      <c r="AT52" s="433">
        <f>-400+AB51</f>
        <v>-280</v>
      </c>
      <c r="AU52" s="393">
        <v>1.5</v>
      </c>
      <c r="AW52" s="356">
        <v>1219</v>
      </c>
      <c r="AY52" s="356">
        <f t="shared" ref="AY52" si="22">+AW52-AG52</f>
        <v>-10</v>
      </c>
    </row>
    <row r="53" spans="2:51" s="98" customFormat="1" ht="62.25" hidden="1" customHeight="1" x14ac:dyDescent="0.9">
      <c r="B53" s="125">
        <f>+B52</f>
        <v>11</v>
      </c>
      <c r="C53" s="373"/>
      <c r="D53" s="184"/>
      <c r="E53" s="111">
        <f>+B52</f>
        <v>11</v>
      </c>
      <c r="F53" s="374"/>
      <c r="G53" s="578" t="s">
        <v>474</v>
      </c>
      <c r="H53" s="376" t="s">
        <v>400</v>
      </c>
      <c r="I53" s="113">
        <f>+IFERROR(IF(K54=0,0,IF((LOOKUP(2,1/(M53:W53&lt;&gt;""),M53:W53)-K54)&lt;0,0,IF(K54=0,"",LOOKUP(2,1/(M53:W53&lt;&gt;""),M53:W53)-K54))),0)</f>
        <v>0</v>
      </c>
      <c r="J53" s="113"/>
      <c r="K53" s="114" t="s">
        <v>22</v>
      </c>
      <c r="L53" s="102" t="s">
        <v>18</v>
      </c>
      <c r="M53" s="425">
        <v>48</v>
      </c>
      <c r="N53" s="425">
        <v>48</v>
      </c>
      <c r="O53" s="425"/>
      <c r="P53" s="425"/>
      <c r="Q53" s="425"/>
      <c r="R53" s="425"/>
      <c r="S53" s="425"/>
      <c r="T53" s="425"/>
      <c r="U53" s="425"/>
      <c r="V53" s="425"/>
      <c r="W53" s="426"/>
      <c r="X53" s="160">
        <f>+IF(H53="l",IF(COUNTA(M52:W52)=AN54+0.75,AB52-K52*AN54,AB52-(K52*COUNTA(M52:W52))),IF(H53="s",0,IF(COUNTA(M52:W52)=AN54+0.75,SUMIF($C:$C,B52,$AB:$AB)-K52*AN54,SUMIF($C:$C,B52,$AB:$AB)-K52*COUNTA(M52:W52))))</f>
        <v>-20</v>
      </c>
      <c r="Y53" s="440"/>
      <c r="Z53" s="400"/>
      <c r="AA53" s="541"/>
      <c r="AB53" s="443">
        <f>+SUM(M53:W53)-U53*0.75</f>
        <v>96</v>
      </c>
      <c r="AC53" s="341"/>
      <c r="AD53" s="341"/>
      <c r="AE53" s="440"/>
      <c r="AF53" s="440"/>
      <c r="AG53" s="115"/>
      <c r="AH53" s="116"/>
      <c r="AI53" s="157"/>
      <c r="AJ53" s="161">
        <f t="shared" si="1"/>
        <v>0</v>
      </c>
      <c r="AK53" s="167">
        <f t="shared" si="2"/>
        <v>0</v>
      </c>
      <c r="AL53" s="167"/>
      <c r="AM53" s="167"/>
      <c r="AN53" s="339"/>
      <c r="AO53" s="340">
        <f>+IF(AN54=7.75,SUM(M53:S53)+T53*0.75,IF(AN54=8,SUM(M53:T53),IF(AN54=7.25,SUM(M53:S53)+T53*0.25,IF(AN54=8.25,SUM(M53:T53)+U53*0.25,IF(AN54=8.75,SUM(M53:T53)+U53*0.75,0)))))</f>
        <v>96</v>
      </c>
      <c r="AP53" s="167">
        <f>+AO53-AB53</f>
        <v>0</v>
      </c>
      <c r="AQ53" s="167"/>
      <c r="AR53" s="167"/>
      <c r="AS53" s="167"/>
      <c r="AT53" s="434"/>
      <c r="AU53" s="393"/>
      <c r="AW53" s="356"/>
      <c r="AY53" s="356"/>
    </row>
    <row r="54" spans="2:51" s="98" customFormat="1" ht="62.25" hidden="1" customHeight="1" thickBot="1" x14ac:dyDescent="0.95">
      <c r="B54" s="126">
        <f>+B52</f>
        <v>11</v>
      </c>
      <c r="C54" s="375"/>
      <c r="D54" s="174" t="s">
        <v>403</v>
      </c>
      <c r="E54" s="175">
        <f>+E53+100</f>
        <v>111</v>
      </c>
      <c r="F54" s="175"/>
      <c r="G54" s="579" t="s">
        <v>474</v>
      </c>
      <c r="H54" s="454">
        <f>+AC51-H52</f>
        <v>-1559</v>
      </c>
      <c r="I54" s="397"/>
      <c r="J54" s="165">
        <f>+IF(K54="","",IF(K52=0,"",(K52*J52)/(K54*60)))</f>
        <v>0.8374166666666667</v>
      </c>
      <c r="K54" s="118">
        <v>50</v>
      </c>
      <c r="L54" s="104" t="s">
        <v>19</v>
      </c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8"/>
      <c r="X54" s="173"/>
      <c r="Y54" s="441"/>
      <c r="Z54" s="401">
        <v>39.325407692307692</v>
      </c>
      <c r="AA54" s="168">
        <f>+IF(COUNTA(M52:W52)=$AM$4+0.25,$AM$4-(AB52/K52),COUNTA(M52:W52)-(AB52/K52))+Z54</f>
        <v>39.633099999999999</v>
      </c>
      <c r="AB54" s="444">
        <f t="shared" si="3"/>
        <v>0</v>
      </c>
      <c r="AC54" s="139"/>
      <c r="AD54" s="139"/>
      <c r="AE54" s="441"/>
      <c r="AF54" s="441"/>
      <c r="AG54" s="119">
        <f>+IFERROR(AG52/(K52*$AT$3),"")</f>
        <v>2.1608791208791209</v>
      </c>
      <c r="AH54" s="162"/>
      <c r="AI54" s="161"/>
      <c r="AJ54" s="161">
        <f t="shared" si="1"/>
        <v>0</v>
      </c>
      <c r="AK54" s="167">
        <f t="shared" si="2"/>
        <v>0</v>
      </c>
      <c r="AL54" s="167"/>
      <c r="AM54" s="230"/>
      <c r="AN54" s="342">
        <f>+$AM$4</f>
        <v>8.25</v>
      </c>
      <c r="AO54" s="340">
        <f>+IF(AN54=7.75,SUM(M54:S54)+T54*0.75,IF(AN54=8,SUM(M54:T54),IF(AN54=7.25,SUM(M54:S54)+T54*0.25,IF(AN54=8.25,SUM(M54:T54)+U54*0.25,IF(AN54=8.75,SUM(M54:T54)+U54*0.75,0)))))</f>
        <v>0</v>
      </c>
      <c r="AP54" s="167">
        <f>+AO54-AB54</f>
        <v>0</v>
      </c>
      <c r="AQ54" s="167"/>
      <c r="AR54" s="167"/>
      <c r="AS54" s="167"/>
      <c r="AT54" s="435"/>
      <c r="AU54" s="393"/>
      <c r="AW54" s="356">
        <v>2.1432967032967034</v>
      </c>
      <c r="AY54" s="356"/>
    </row>
    <row r="55" spans="2:51" s="98" customFormat="1" ht="62.25" hidden="1" customHeight="1" thickTop="1" x14ac:dyDescent="0.9">
      <c r="B55" s="97">
        <f>+B56</f>
        <v>12</v>
      </c>
      <c r="C55" s="370"/>
      <c r="D55" s="106"/>
      <c r="E55" s="106"/>
      <c r="F55" s="106"/>
      <c r="G55" s="577" t="s">
        <v>433</v>
      </c>
      <c r="H55" s="106"/>
      <c r="I55" s="111"/>
      <c r="J55" s="107" t="s">
        <v>20</v>
      </c>
      <c r="K55" s="108" t="s">
        <v>23</v>
      </c>
      <c r="L55" s="100" t="s">
        <v>21</v>
      </c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135" t="str">
        <f>IF(AT56="","",SUM(M55:W55)-(-(AT56-SUM(M55:W55))/$AT$3)*SUM($M$2:$W$2))</f>
        <v/>
      </c>
      <c r="Y55" s="438"/>
      <c r="Z55" s="400">
        <v>0.5</v>
      </c>
      <c r="AA55" s="540">
        <f>+X57</f>
        <v>-16</v>
      </c>
      <c r="AB55" s="135">
        <f t="shared" si="0"/>
        <v>0</v>
      </c>
      <c r="AC55" s="136">
        <f>+AD55+AB55</f>
        <v>11741</v>
      </c>
      <c r="AD55" s="136">
        <v>11741</v>
      </c>
      <c r="AE55" s="438"/>
      <c r="AF55" s="438"/>
      <c r="AG55" s="109"/>
      <c r="AH55" s="110"/>
      <c r="AI55" s="157"/>
      <c r="AJ55" s="161">
        <f t="shared" si="1"/>
        <v>0</v>
      </c>
      <c r="AK55" s="167">
        <f t="shared" si="2"/>
        <v>0</v>
      </c>
      <c r="AL55" s="167"/>
      <c r="AM55" s="167"/>
      <c r="AN55" s="339"/>
      <c r="AO55" s="340"/>
      <c r="AP55" s="167"/>
      <c r="AQ55" s="167"/>
      <c r="AR55" s="167"/>
      <c r="AS55" s="167"/>
      <c r="AT55" s="432"/>
      <c r="AU55" s="393"/>
      <c r="AW55" s="356"/>
      <c r="AY55" s="356"/>
    </row>
    <row r="56" spans="2:51" s="98" customFormat="1" ht="62.25" hidden="1" customHeight="1" x14ac:dyDescent="0.9">
      <c r="B56" s="132">
        <v>12</v>
      </c>
      <c r="C56" s="371">
        <f>+B56</f>
        <v>12</v>
      </c>
      <c r="D56" s="372" t="s">
        <v>432</v>
      </c>
      <c r="E56" s="111"/>
      <c r="F56" s="111" t="s">
        <v>35</v>
      </c>
      <c r="G56" s="578" t="str">
        <f>+G55</f>
        <v>2843-709-800</v>
      </c>
      <c r="H56" s="450">
        <v>11080</v>
      </c>
      <c r="I56" s="111" t="s">
        <v>251</v>
      </c>
      <c r="J56" s="113">
        <v>50</v>
      </c>
      <c r="K56" s="130">
        <v>58</v>
      </c>
      <c r="L56" s="101" t="s">
        <v>17</v>
      </c>
      <c r="M56" s="214">
        <v>58</v>
      </c>
      <c r="N56" s="214">
        <v>42</v>
      </c>
      <c r="O56" s="214"/>
      <c r="P56" s="214"/>
      <c r="Q56" s="214"/>
      <c r="R56" s="214"/>
      <c r="S56" s="214"/>
      <c r="T56" s="214"/>
      <c r="U56" s="214"/>
      <c r="V56" s="214"/>
      <c r="W56" s="424"/>
      <c r="X56" s="123">
        <f>+IF(H57="s",0,IF(AB56=0,0,IF(COUNTA(M56:W56)=AN58+0.75,SUMIF($C:$C,B56,$AB:$AB)/AN58,SUMIF($C:$C,B56,$AB:$AB)/(COUNTA(M56:W56)))))</f>
        <v>50</v>
      </c>
      <c r="Y56" s="439"/>
      <c r="Z56" s="400"/>
      <c r="AA56" s="541"/>
      <c r="AB56" s="134">
        <f t="shared" si="0"/>
        <v>100</v>
      </c>
      <c r="AC56" s="137">
        <f>+AB56+AD56</f>
        <v>11373</v>
      </c>
      <c r="AD56" s="137">
        <v>11273</v>
      </c>
      <c r="AE56" s="439">
        <v>0</v>
      </c>
      <c r="AF56" s="439">
        <f>+AE56+Y56</f>
        <v>0</v>
      </c>
      <c r="AG56" s="140">
        <f>+AC55-AC56</f>
        <v>368</v>
      </c>
      <c r="AH56" s="131">
        <f>+IF(((AB57+(AB58/2))*60)=0,"",(J56*AB56)/((AB57+(AB58/2))*60))</f>
        <v>1.0288065843621399</v>
      </c>
      <c r="AI56" s="161">
        <f>+AB57+AB58/2</f>
        <v>81</v>
      </c>
      <c r="AJ56" s="161">
        <f t="shared" si="1"/>
        <v>81</v>
      </c>
      <c r="AK56" s="167">
        <f t="shared" si="2"/>
        <v>4860</v>
      </c>
      <c r="AL56" s="167">
        <f>+AB56*J56</f>
        <v>5000</v>
      </c>
      <c r="AM56" s="230">
        <f>+AB56-(AI56*K56/K58)</f>
        <v>13</v>
      </c>
      <c r="AN56" s="339"/>
      <c r="AO56" s="340"/>
      <c r="AP56" s="167"/>
      <c r="AQ56" s="167"/>
      <c r="AR56" s="167"/>
      <c r="AS56" s="167"/>
      <c r="AT56" s="433" t="str">
        <f t="shared" ref="AT56" si="23">IF(AU56=0,"",AW56-(($AT$3*K56)+($AT$3*K56)*AU56)+AB55)</f>
        <v/>
      </c>
      <c r="AU56" s="393"/>
      <c r="AW56" s="356">
        <v>468</v>
      </c>
      <c r="AY56" s="356">
        <f t="shared" ref="AY56" si="24">+AW56-AG56</f>
        <v>100</v>
      </c>
    </row>
    <row r="57" spans="2:51" s="98" customFormat="1" ht="62.25" hidden="1" customHeight="1" x14ac:dyDescent="0.9">
      <c r="B57" s="125">
        <f>B56</f>
        <v>12</v>
      </c>
      <c r="C57" s="373"/>
      <c r="D57" s="184"/>
      <c r="E57" s="111">
        <f>+B56</f>
        <v>12</v>
      </c>
      <c r="F57" s="377"/>
      <c r="G57" s="578" t="str">
        <f>+G55</f>
        <v>2843-709-800</v>
      </c>
      <c r="H57" s="376" t="s">
        <v>400</v>
      </c>
      <c r="I57" s="113">
        <f>+IFERROR(IF(K58=0,0,IF((LOOKUP(2,1/(M57:W57&lt;&gt;""),M57:W57)-K58)&lt;0,0,IF(K58=0,"",LOOKUP(2,1/(M57:W57&lt;&gt;""),M57:W57)-K58))),0)</f>
        <v>0</v>
      </c>
      <c r="J57" s="113">
        <v>1</v>
      </c>
      <c r="K57" s="114" t="s">
        <v>22</v>
      </c>
      <c r="L57" s="102" t="s">
        <v>18</v>
      </c>
      <c r="M57" s="425">
        <v>40</v>
      </c>
      <c r="N57" s="425">
        <v>40</v>
      </c>
      <c r="O57" s="425"/>
      <c r="P57" s="425"/>
      <c r="Q57" s="425"/>
      <c r="R57" s="425"/>
      <c r="S57" s="425"/>
      <c r="T57" s="425"/>
      <c r="U57" s="425"/>
      <c r="V57" s="426"/>
      <c r="W57" s="426"/>
      <c r="X57" s="160">
        <f>+IF(H57="l",IF(COUNTA(M56:W56)=AN58+0.75,AB56-K56*AN58,AB56-(K56*COUNTA(M56:W56))),IF(H57="s",0,IF(COUNTA(M56:W56)=AN58+0.75,SUMIF($C:$C,B56,$AB:$AB)-K56*AN58,SUMIF($C:$C,B56,$AB:$AB)-K56*COUNTA(M56:W56))))</f>
        <v>-16</v>
      </c>
      <c r="Y57" s="440"/>
      <c r="Z57" s="400"/>
      <c r="AA57" s="541"/>
      <c r="AB57" s="443">
        <f>+SUM(M57:W57)-U57*0.75</f>
        <v>80</v>
      </c>
      <c r="AC57" s="341"/>
      <c r="AD57" s="341"/>
      <c r="AE57" s="440"/>
      <c r="AF57" s="440"/>
      <c r="AG57" s="115"/>
      <c r="AH57" s="116"/>
      <c r="AI57" s="157"/>
      <c r="AJ57" s="161">
        <f t="shared" si="1"/>
        <v>0</v>
      </c>
      <c r="AK57" s="167">
        <f t="shared" si="2"/>
        <v>0</v>
      </c>
      <c r="AL57" s="167"/>
      <c r="AM57" s="230"/>
      <c r="AN57" s="339"/>
      <c r="AO57" s="340">
        <f>+IF(AN58=7.75,SUM(M57:S57)+T57*0.75,IF(AN58=8,SUM(M57:T57),IF(AN58=7.25,SUM(M57:S57)+T57*0.25,IF(AN58=8.25,SUM(M57:T57)+U57*0.25,IF(AN58=8.75,SUM(M57:T57)+U57*0.75,0)))))</f>
        <v>80</v>
      </c>
      <c r="AP57" s="167">
        <f>+AO57-AB57</f>
        <v>0</v>
      </c>
      <c r="AQ57" s="167"/>
      <c r="AR57" s="167"/>
      <c r="AS57" s="167"/>
      <c r="AT57" s="434"/>
      <c r="AU57" s="393"/>
      <c r="AW57" s="356"/>
      <c r="AY57" s="356"/>
    </row>
    <row r="58" spans="2:51" s="98" customFormat="1" ht="62.25" hidden="1" customHeight="1" thickBot="1" x14ac:dyDescent="0.95">
      <c r="B58" s="126">
        <f>B56</f>
        <v>12</v>
      </c>
      <c r="C58" s="375"/>
      <c r="D58" s="174" t="s">
        <v>366</v>
      </c>
      <c r="E58" s="175">
        <f>+E57+100</f>
        <v>112</v>
      </c>
      <c r="F58" s="175"/>
      <c r="G58" s="579" t="str">
        <f>+G55</f>
        <v>2843-709-800</v>
      </c>
      <c r="H58" s="454">
        <f>+AC55-H56</f>
        <v>661</v>
      </c>
      <c r="I58" s="397" t="s">
        <v>182</v>
      </c>
      <c r="J58" s="165">
        <f>+IF(K58="","",IF(K56=0,"",(K56*J56)/(K58*60)))</f>
        <v>0.89506172839506171</v>
      </c>
      <c r="K58" s="118">
        <v>54</v>
      </c>
      <c r="L58" s="104" t="s">
        <v>19</v>
      </c>
      <c r="M58" s="427">
        <v>1</v>
      </c>
      <c r="N58" s="427">
        <v>1</v>
      </c>
      <c r="O58" s="427"/>
      <c r="P58" s="427"/>
      <c r="Q58" s="427"/>
      <c r="R58" s="427"/>
      <c r="S58" s="427"/>
      <c r="T58" s="427"/>
      <c r="U58" s="427"/>
      <c r="V58" s="428"/>
      <c r="W58" s="428"/>
      <c r="X58" s="173"/>
      <c r="Y58" s="441"/>
      <c r="Z58" s="401">
        <v>20.200641379310341</v>
      </c>
      <c r="AA58" s="401">
        <v>20.200641379310341</v>
      </c>
      <c r="AB58" s="444">
        <f t="shared" si="3"/>
        <v>2</v>
      </c>
      <c r="AC58" s="139"/>
      <c r="AD58" s="139"/>
      <c r="AE58" s="441"/>
      <c r="AF58" s="441"/>
      <c r="AG58" s="119">
        <f>+IFERROR(AG56/(K56*$AT$3),"")</f>
        <v>0.72512315270935956</v>
      </c>
      <c r="AH58" s="162"/>
      <c r="AI58" s="161"/>
      <c r="AJ58" s="161">
        <f t="shared" si="1"/>
        <v>0</v>
      </c>
      <c r="AK58" s="167">
        <f t="shared" si="2"/>
        <v>0</v>
      </c>
      <c r="AL58" s="167"/>
      <c r="AM58" s="230"/>
      <c r="AN58" s="342">
        <f>+$AM$4</f>
        <v>8.25</v>
      </c>
      <c r="AO58" s="340">
        <f>+IF(AN58=7.75,SUM(M58:S58)+T58*0.75,IF(AN58=8,SUM(M58:T58),IF(AN58=7.25,SUM(M58:S58)+T58*0.25,IF(AN58=8.25,SUM(M58:T58)+U58*0.25,IF(AN58=8.75,SUM(M58:T58)+U58*0.75,0)))))</f>
        <v>2</v>
      </c>
      <c r="AP58" s="167">
        <f>+AO58-AB58</f>
        <v>0</v>
      </c>
      <c r="AQ58" s="167"/>
      <c r="AR58" s="167"/>
      <c r="AS58" s="167"/>
      <c r="AT58" s="435"/>
      <c r="AU58" s="393"/>
      <c r="AW58" s="356">
        <v>0.92216748768472911</v>
      </c>
      <c r="AY58" s="356"/>
    </row>
    <row r="59" spans="2:51" s="98" customFormat="1" ht="62.25" hidden="1" customHeight="1" thickTop="1" x14ac:dyDescent="0.9">
      <c r="B59" s="97">
        <f>+B60</f>
        <v>12</v>
      </c>
      <c r="C59" s="370"/>
      <c r="D59" s="106"/>
      <c r="E59" s="106"/>
      <c r="F59" s="106"/>
      <c r="G59" s="577" t="s">
        <v>440</v>
      </c>
      <c r="H59" s="106"/>
      <c r="I59" s="111"/>
      <c r="J59" s="107" t="s">
        <v>20</v>
      </c>
      <c r="K59" s="108" t="s">
        <v>23</v>
      </c>
      <c r="L59" s="100" t="s">
        <v>21</v>
      </c>
      <c r="M59" s="423">
        <v>75</v>
      </c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135">
        <f>IF(AT60="","",SUM(M59:W59)-(-(AT60-SUM(M59:W59))/$AT$3)*SUM($M$2:$W$2))</f>
        <v>75</v>
      </c>
      <c r="Y59" s="438"/>
      <c r="Z59" s="400">
        <v>0</v>
      </c>
      <c r="AA59" s="540">
        <f>+X61</f>
        <v>0</v>
      </c>
      <c r="AB59" s="135">
        <f t="shared" si="0"/>
        <v>75</v>
      </c>
      <c r="AC59" s="136">
        <f>+AD59+AB59</f>
        <v>375</v>
      </c>
      <c r="AD59" s="136">
        <v>300</v>
      </c>
      <c r="AE59" s="438"/>
      <c r="AF59" s="438"/>
      <c r="AG59" s="109"/>
      <c r="AH59" s="110"/>
      <c r="AI59" s="157"/>
      <c r="AJ59" s="161">
        <f t="shared" si="1"/>
        <v>0</v>
      </c>
      <c r="AK59" s="167">
        <f t="shared" si="2"/>
        <v>0</v>
      </c>
      <c r="AL59" s="167"/>
      <c r="AM59" s="167"/>
      <c r="AN59" s="339"/>
      <c r="AO59" s="340"/>
      <c r="AP59" s="167"/>
      <c r="AQ59" s="167"/>
      <c r="AR59" s="167"/>
      <c r="AS59" s="167"/>
      <c r="AT59" s="432"/>
      <c r="AU59" s="393"/>
      <c r="AW59" s="356"/>
      <c r="AY59" s="356"/>
    </row>
    <row r="60" spans="2:51" s="98" customFormat="1" ht="62.25" hidden="1" customHeight="1" x14ac:dyDescent="0.9">
      <c r="B60" s="132">
        <v>12</v>
      </c>
      <c r="C60" s="371">
        <f>+B60</f>
        <v>12</v>
      </c>
      <c r="D60" s="372" t="s">
        <v>439</v>
      </c>
      <c r="E60" s="111"/>
      <c r="F60" s="111" t="s">
        <v>35</v>
      </c>
      <c r="G60" s="578" t="str">
        <f>+G59</f>
        <v>7740-876-052</v>
      </c>
      <c r="H60" s="450"/>
      <c r="I60" s="111" t="s">
        <v>33</v>
      </c>
      <c r="J60" s="113">
        <v>55.78</v>
      </c>
      <c r="K60" s="130">
        <v>52</v>
      </c>
      <c r="L60" s="101" t="s">
        <v>17</v>
      </c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424"/>
      <c r="X60" s="123">
        <f>+IF(H61="s",0,IF(AB60=0,0,IF(COUNTA(M60:W60)=AN62+0.75,SUMIF($C:$C,B60,$AB:$AB)/AN62,SUMIF($C:$C,B60,$AB:$AB)/(COUNTA(M60:W60)))))</f>
        <v>0</v>
      </c>
      <c r="Y60" s="439"/>
      <c r="Z60" s="400"/>
      <c r="AA60" s="541"/>
      <c r="AB60" s="134">
        <f t="shared" si="0"/>
        <v>0</v>
      </c>
      <c r="AC60" s="137">
        <f>+AB60+AD60</f>
        <v>0</v>
      </c>
      <c r="AD60" s="137">
        <v>0</v>
      </c>
      <c r="AE60" s="439">
        <v>0</v>
      </c>
      <c r="AF60" s="439">
        <f>+AE60+Y60</f>
        <v>0</v>
      </c>
      <c r="AG60" s="140">
        <f>+AC59-AC60</f>
        <v>375</v>
      </c>
      <c r="AH60" s="131">
        <f>+IF(((AB61+(AB62/2))*60)=0,"",(J60*AB60)/((AB61+(AB62/2))*60))</f>
        <v>0</v>
      </c>
      <c r="AI60" s="161">
        <f>+AB61+AB62/2</f>
        <v>18</v>
      </c>
      <c r="AJ60" s="161">
        <f t="shared" si="1"/>
        <v>18</v>
      </c>
      <c r="AK60" s="167">
        <f t="shared" si="2"/>
        <v>1080</v>
      </c>
      <c r="AL60" s="167">
        <f>+AB60*J60</f>
        <v>0</v>
      </c>
      <c r="AM60" s="230">
        <f>+AB60-(AI60*K60/K62)</f>
        <v>-16.714285714285715</v>
      </c>
      <c r="AN60" s="339"/>
      <c r="AO60" s="340"/>
      <c r="AP60" s="167"/>
      <c r="AQ60" s="167"/>
      <c r="AR60" s="167"/>
      <c r="AS60" s="167"/>
      <c r="AT60" s="433">
        <f>-250+AB59</f>
        <v>-175</v>
      </c>
      <c r="AU60" s="393">
        <v>1.5</v>
      </c>
      <c r="AW60" s="356">
        <v>300</v>
      </c>
      <c r="AY60" s="356">
        <f t="shared" ref="AY60" si="25">+AW60-AG60</f>
        <v>-75</v>
      </c>
    </row>
    <row r="61" spans="2:51" s="98" customFormat="1" ht="62.25" hidden="1" customHeight="1" x14ac:dyDescent="0.9">
      <c r="B61" s="125">
        <f>B60</f>
        <v>12</v>
      </c>
      <c r="C61" s="373"/>
      <c r="D61" s="184"/>
      <c r="E61" s="111">
        <f>+B60</f>
        <v>12</v>
      </c>
      <c r="F61" s="377"/>
      <c r="G61" s="578" t="str">
        <f>+G59</f>
        <v>7740-876-052</v>
      </c>
      <c r="H61" s="376" t="s">
        <v>400</v>
      </c>
      <c r="I61" s="113">
        <f>+IFERROR(IF(K62=0,0,IF((LOOKUP(2,1/(M61:W61&lt;&gt;""),M61:W61)-K62)&lt;0,0,IF(K62=0,"",LOOKUP(2,1/(M61:W61&lt;&gt;""),M61:W61)-K62))),0)</f>
        <v>0</v>
      </c>
      <c r="J61" s="113"/>
      <c r="K61" s="114" t="s">
        <v>22</v>
      </c>
      <c r="L61" s="102" t="s">
        <v>18</v>
      </c>
      <c r="M61" s="425">
        <v>9</v>
      </c>
      <c r="N61" s="425">
        <v>9</v>
      </c>
      <c r="O61" s="425"/>
      <c r="P61" s="425"/>
      <c r="Q61" s="425"/>
      <c r="R61" s="425"/>
      <c r="S61" s="425"/>
      <c r="T61" s="425"/>
      <c r="U61" s="425"/>
      <c r="V61" s="426"/>
      <c r="W61" s="426"/>
      <c r="X61" s="160">
        <f>+IF(H61="l",IF(COUNTA(M60:W60)=AN62+0.75,AB60-K60*AN62,AB60-(K60*COUNTA(M60:W60))),IF(H61="s",0,IF(COUNTA(M60:W60)=AN62+0.75,SUMIF($C:$C,B60,$AB:$AB)-K60*AN62,SUMIF($C:$C,B60,$AB:$AB)-K60*COUNTA(M60:W60))))</f>
        <v>0</v>
      </c>
      <c r="Y61" s="440"/>
      <c r="Z61" s="400"/>
      <c r="AA61" s="541"/>
      <c r="AB61" s="443">
        <f>+SUM(M61:W61)-U61*0.75</f>
        <v>18</v>
      </c>
      <c r="AC61" s="341"/>
      <c r="AD61" s="341"/>
      <c r="AE61" s="440"/>
      <c r="AF61" s="440"/>
      <c r="AG61" s="115"/>
      <c r="AH61" s="116"/>
      <c r="AI61" s="157"/>
      <c r="AJ61" s="161">
        <f t="shared" si="1"/>
        <v>0</v>
      </c>
      <c r="AK61" s="167">
        <f t="shared" si="2"/>
        <v>0</v>
      </c>
      <c r="AL61" s="167"/>
      <c r="AM61" s="230"/>
      <c r="AN61" s="339"/>
      <c r="AO61" s="340">
        <f>+IF(AN62=7.75,SUM(M61:S61)+T61*0.75,IF(AN62=8,SUM(M61:T61),IF(AN62=7.25,SUM(M61:S61)+T61*0.25,IF(AN62=8.25,SUM(M61:T61)+U61*0.25,IF(AN62=8.75,SUM(M61:T61)+U61*0.75,0)))))</f>
        <v>18</v>
      </c>
      <c r="AP61" s="167">
        <f>+AO61-AB61</f>
        <v>0</v>
      </c>
      <c r="AQ61" s="167"/>
      <c r="AR61" s="167"/>
      <c r="AS61" s="167"/>
      <c r="AT61" s="434"/>
      <c r="AU61" s="393"/>
      <c r="AW61" s="356"/>
      <c r="AY61" s="356"/>
    </row>
    <row r="62" spans="2:51" s="98" customFormat="1" ht="62.25" hidden="1" customHeight="1" thickBot="1" x14ac:dyDescent="0.95">
      <c r="B62" s="126">
        <f>B60</f>
        <v>12</v>
      </c>
      <c r="C62" s="375"/>
      <c r="D62" s="174" t="s">
        <v>366</v>
      </c>
      <c r="E62" s="175">
        <f>+E61+100</f>
        <v>112</v>
      </c>
      <c r="F62" s="175"/>
      <c r="G62" s="579" t="str">
        <f>+G59</f>
        <v>7740-876-052</v>
      </c>
      <c r="H62" s="454">
        <f>+AC59-H60</f>
        <v>375</v>
      </c>
      <c r="I62" s="397" t="s">
        <v>182</v>
      </c>
      <c r="J62" s="165">
        <f>+IF(K62="","",IF(K60=0,"",(K60*J60)/(K62*60)))</f>
        <v>0.86326190476190479</v>
      </c>
      <c r="K62" s="118">
        <v>56</v>
      </c>
      <c r="L62" s="104" t="s">
        <v>19</v>
      </c>
      <c r="M62" s="427"/>
      <c r="N62" s="427"/>
      <c r="O62" s="427"/>
      <c r="P62" s="427"/>
      <c r="Q62" s="427"/>
      <c r="R62" s="427"/>
      <c r="S62" s="427"/>
      <c r="T62" s="427"/>
      <c r="U62" s="427"/>
      <c r="V62" s="428"/>
      <c r="W62" s="428"/>
      <c r="X62" s="173"/>
      <c r="Y62" s="441"/>
      <c r="Z62" s="401" t="e">
        <v>#DIV/0!</v>
      </c>
      <c r="AA62" s="168" t="e">
        <f>+IF(COUNTA(M60:W60)=$AM$4+0.25,$AM$4-(AB60/K60),COUNTA(M60:W60)-(AB60/K60))+Z62</f>
        <v>#DIV/0!</v>
      </c>
      <c r="AB62" s="444">
        <f t="shared" si="3"/>
        <v>0</v>
      </c>
      <c r="AC62" s="139"/>
      <c r="AD62" s="139"/>
      <c r="AE62" s="441"/>
      <c r="AF62" s="441"/>
      <c r="AG62" s="119">
        <f>+IFERROR(AG60/(K60*$AT$3),"")</f>
        <v>0.82417582417582413</v>
      </c>
      <c r="AH62" s="162"/>
      <c r="AI62" s="161"/>
      <c r="AJ62" s="161">
        <f t="shared" si="1"/>
        <v>0</v>
      </c>
      <c r="AK62" s="167">
        <f t="shared" si="2"/>
        <v>0</v>
      </c>
      <c r="AL62" s="167"/>
      <c r="AM62" s="230"/>
      <c r="AN62" s="342">
        <f>+$AM$4</f>
        <v>8.25</v>
      </c>
      <c r="AO62" s="340">
        <f>+IF(AN62=7.75,SUM(M62:S62)+T62*0.75,IF(AN62=8,SUM(M62:T62),IF(AN62=7.25,SUM(M62:S62)+T62*0.25,IF(AN62=8.25,SUM(M62:T62)+U62*0.25,IF(AN62=8.75,SUM(M62:T62)+U62*0.75,0)))))</f>
        <v>0</v>
      </c>
      <c r="AP62" s="167">
        <f>+AO62-AB62</f>
        <v>0</v>
      </c>
      <c r="AQ62" s="167"/>
      <c r="AR62" s="167"/>
      <c r="AS62" s="167"/>
      <c r="AT62" s="435"/>
      <c r="AU62" s="393"/>
      <c r="AW62" s="356" t="s">
        <v>429</v>
      </c>
      <c r="AY62" s="356"/>
    </row>
    <row r="63" spans="2:51" s="98" customFormat="1" ht="62.25" hidden="1" customHeight="1" thickTop="1" x14ac:dyDescent="0.9">
      <c r="B63" s="97">
        <f>+B64</f>
        <v>13</v>
      </c>
      <c r="C63" s="370"/>
      <c r="D63" s="106"/>
      <c r="E63" s="106"/>
      <c r="F63" s="106"/>
      <c r="G63" s="577" t="s">
        <v>442</v>
      </c>
      <c r="H63" s="106"/>
      <c r="I63" s="106"/>
      <c r="J63" s="107" t="s">
        <v>20</v>
      </c>
      <c r="K63" s="108" t="s">
        <v>23</v>
      </c>
      <c r="L63" s="100" t="s">
        <v>21</v>
      </c>
      <c r="M63" s="423">
        <v>100</v>
      </c>
      <c r="N63" s="423">
        <v>50</v>
      </c>
      <c r="O63" s="423">
        <v>100</v>
      </c>
      <c r="P63" s="423"/>
      <c r="Q63" s="423"/>
      <c r="R63" s="423"/>
      <c r="S63" s="423"/>
      <c r="T63" s="423"/>
      <c r="U63" s="423"/>
      <c r="V63" s="423"/>
      <c r="W63" s="423"/>
      <c r="X63" s="135">
        <f>IF(AT64="","",SUM(M63:W63)-(-(AT64-SUM(M63:W63))/$AT$3)*SUM($M$2:$W$2))</f>
        <v>250</v>
      </c>
      <c r="Y63" s="438"/>
      <c r="Z63" s="400">
        <v>0.75</v>
      </c>
      <c r="AA63" s="540">
        <f>+X65</f>
        <v>0</v>
      </c>
      <c r="AB63" s="135">
        <f t="shared" si="0"/>
        <v>250</v>
      </c>
      <c r="AC63" s="136">
        <f>+AD63+AB63</f>
        <v>3050</v>
      </c>
      <c r="AD63" s="136">
        <v>2800</v>
      </c>
      <c r="AE63" s="438"/>
      <c r="AF63" s="438"/>
      <c r="AG63" s="109"/>
      <c r="AH63" s="110"/>
      <c r="AI63" s="157"/>
      <c r="AJ63" s="161">
        <f t="shared" si="1"/>
        <v>0</v>
      </c>
      <c r="AK63" s="167">
        <f t="shared" si="2"/>
        <v>0</v>
      </c>
      <c r="AL63" s="167"/>
      <c r="AM63" s="167"/>
      <c r="AN63" s="339"/>
      <c r="AO63" s="340"/>
      <c r="AP63" s="167"/>
      <c r="AQ63" s="167"/>
      <c r="AR63" s="167"/>
      <c r="AS63" s="167"/>
      <c r="AT63" s="432"/>
      <c r="AU63" s="393"/>
      <c r="AW63" s="356"/>
      <c r="AY63" s="356"/>
    </row>
    <row r="64" spans="2:51" s="98" customFormat="1" ht="62.25" hidden="1" customHeight="1" x14ac:dyDescent="0.9">
      <c r="B64" s="132">
        <v>13</v>
      </c>
      <c r="C64" s="371">
        <f>+B64</f>
        <v>13</v>
      </c>
      <c r="D64" s="372" t="s">
        <v>441</v>
      </c>
      <c r="E64" s="111"/>
      <c r="F64" s="111" t="s">
        <v>35</v>
      </c>
      <c r="G64" s="578" t="str">
        <f>+G63</f>
        <v>7741-793-052</v>
      </c>
      <c r="H64" s="450">
        <v>8500</v>
      </c>
      <c r="I64" s="111" t="s">
        <v>33</v>
      </c>
      <c r="J64" s="113">
        <v>55.14</v>
      </c>
      <c r="K64" s="130">
        <v>43</v>
      </c>
      <c r="L64" s="101" t="s">
        <v>17</v>
      </c>
      <c r="M64" s="214">
        <v>43</v>
      </c>
      <c r="N64" s="214">
        <v>43</v>
      </c>
      <c r="O64" s="214"/>
      <c r="P64" s="214"/>
      <c r="Q64" s="214"/>
      <c r="R64" s="214"/>
      <c r="S64" s="214"/>
      <c r="T64" s="214"/>
      <c r="U64" s="214"/>
      <c r="V64" s="214"/>
      <c r="W64" s="424"/>
      <c r="X64" s="123">
        <f>+IF(H65="s",0,IF(AB64=0,0,IF(COUNTA(M64:W64)=AN66+0.75,SUMIF($C:$C,B64,$AB:$AB)/AN66,SUMIF($C:$C,B64,$AB:$AB)/(COUNTA(M64:W64)))))</f>
        <v>43</v>
      </c>
      <c r="Y64" s="439"/>
      <c r="Z64" s="400"/>
      <c r="AA64" s="541"/>
      <c r="AB64" s="134">
        <f t="shared" si="0"/>
        <v>86</v>
      </c>
      <c r="AC64" s="137">
        <f>+AB64+AD64</f>
        <v>2132</v>
      </c>
      <c r="AD64" s="137">
        <v>2046</v>
      </c>
      <c r="AE64" s="439"/>
      <c r="AF64" s="439">
        <f>+AE64+Y64</f>
        <v>0</v>
      </c>
      <c r="AG64" s="140">
        <f>+AC63-AC64</f>
        <v>918</v>
      </c>
      <c r="AH64" s="131">
        <f>+IF(((AB65+(AB66/2))*60)=0,"",(J64*AB64)/((AB65+(AB66/2))*60))</f>
        <v>0.85906521739130437</v>
      </c>
      <c r="AI64" s="161">
        <f>+AB65+AB66/2</f>
        <v>92</v>
      </c>
      <c r="AJ64" s="161">
        <f t="shared" si="1"/>
        <v>92</v>
      </c>
      <c r="AK64" s="167">
        <f t="shared" si="2"/>
        <v>5520</v>
      </c>
      <c r="AL64" s="167">
        <f>+AB64*J64</f>
        <v>4742.04</v>
      </c>
      <c r="AM64" s="230">
        <f>+AB64-(AI64*K64/K66)</f>
        <v>0</v>
      </c>
      <c r="AN64" s="339"/>
      <c r="AO64" s="340"/>
      <c r="AP64" s="167"/>
      <c r="AQ64" s="167"/>
      <c r="AR64" s="167"/>
      <c r="AS64" s="167"/>
      <c r="AT64" s="433">
        <f t="shared" ref="AT64" si="26">IF(AU64=0,"",AW64-(($AT$3*K64)+($AT$3*K64)*AU64)+AB63)</f>
        <v>-147.32500000000005</v>
      </c>
      <c r="AU64" s="393">
        <v>2.06</v>
      </c>
      <c r="AW64" s="356">
        <v>754</v>
      </c>
      <c r="AY64" s="356">
        <f t="shared" ref="AY64" si="27">+AW64-AG64</f>
        <v>-164</v>
      </c>
    </row>
    <row r="65" spans="2:62" s="98" customFormat="1" ht="62.25" hidden="1" customHeight="1" x14ac:dyDescent="0.9">
      <c r="B65" s="125">
        <f>+B64</f>
        <v>13</v>
      </c>
      <c r="C65" s="373"/>
      <c r="D65" s="184"/>
      <c r="E65" s="111">
        <f>+B64</f>
        <v>13</v>
      </c>
      <c r="F65" s="374"/>
      <c r="G65" s="578" t="str">
        <f>+G64</f>
        <v>7741-793-052</v>
      </c>
      <c r="H65" s="376" t="s">
        <v>400</v>
      </c>
      <c r="I65" s="113">
        <f>+IFERROR(IF(K66=0,0,IF((LOOKUP(2,1/(M65:W65&lt;&gt;""),M65:W65)-K66)&lt;0,0,IF(K66=0,"",LOOKUP(2,1/(M65:W65&lt;&gt;""),M65:W65)-K66))),0)</f>
        <v>0</v>
      </c>
      <c r="J65" s="113"/>
      <c r="K65" s="114" t="s">
        <v>22</v>
      </c>
      <c r="L65" s="102" t="s">
        <v>18</v>
      </c>
      <c r="M65" s="425">
        <v>46</v>
      </c>
      <c r="N65" s="425">
        <v>46</v>
      </c>
      <c r="O65" s="425"/>
      <c r="P65" s="425"/>
      <c r="Q65" s="425"/>
      <c r="R65" s="425"/>
      <c r="S65" s="425"/>
      <c r="T65" s="425"/>
      <c r="U65" s="425"/>
      <c r="V65" s="425"/>
      <c r="W65" s="426"/>
      <c r="X65" s="160">
        <f>+IF(H65="l",IF(COUNTA(M64:W64)=AN66+0.75,AB64-K64*AN66,AB64-(K64*COUNTA(M64:W64))),IF(H65="s",0,IF(COUNTA(M64:W64)=AN66+0.75,SUMIF($C:$C,B64,$AB:$AB)-K64*AN66,SUMIF($C:$C,B64,$AB:$AB)-K64*COUNTA(M64:W64))))</f>
        <v>0</v>
      </c>
      <c r="Y65" s="440"/>
      <c r="Z65" s="400"/>
      <c r="AA65" s="541"/>
      <c r="AB65" s="443">
        <f>+SUM(M65:W65)-U65*0.75</f>
        <v>92</v>
      </c>
      <c r="AC65" s="341"/>
      <c r="AD65" s="341"/>
      <c r="AE65" s="440"/>
      <c r="AF65" s="440"/>
      <c r="AG65" s="115"/>
      <c r="AH65" s="116"/>
      <c r="AI65" s="157"/>
      <c r="AJ65" s="161">
        <f t="shared" si="1"/>
        <v>0</v>
      </c>
      <c r="AK65" s="167">
        <f t="shared" si="2"/>
        <v>0</v>
      </c>
      <c r="AL65" s="167"/>
      <c r="AM65" s="167"/>
      <c r="AN65" s="339"/>
      <c r="AO65" s="340">
        <f>+IF(AN66=7.75,SUM(M65:S65)+T65*0.75,IF(AN66=8,SUM(M65:T65),IF(AN66=7.25,SUM(M65:S65)+T65*0.25,IF(AN66=8.25,SUM(M65:T65)+U65*0.25,IF(AN66=8.75,SUM(M65:T65)+U65*0.75,0)))))</f>
        <v>92</v>
      </c>
      <c r="AP65" s="167">
        <f>+AO65-AB65</f>
        <v>0</v>
      </c>
      <c r="AQ65" s="167"/>
      <c r="AR65" s="167"/>
      <c r="AS65" s="167"/>
      <c r="AT65" s="434"/>
      <c r="AU65" s="393"/>
      <c r="AW65" s="356"/>
      <c r="AY65" s="356"/>
    </row>
    <row r="66" spans="2:62" s="98" customFormat="1" ht="62.25" hidden="1" customHeight="1" thickBot="1" x14ac:dyDescent="0.95">
      <c r="B66" s="126">
        <f>+B64</f>
        <v>13</v>
      </c>
      <c r="C66" s="375"/>
      <c r="D66" s="174" t="s">
        <v>468</v>
      </c>
      <c r="E66" s="175">
        <f>+E65+100</f>
        <v>113</v>
      </c>
      <c r="F66" s="175"/>
      <c r="G66" s="579" t="str">
        <f>+G65</f>
        <v>7741-793-052</v>
      </c>
      <c r="H66" s="454">
        <f>+AC63-H64</f>
        <v>-5450</v>
      </c>
      <c r="I66" s="397"/>
      <c r="J66" s="165">
        <f>+IF(K66="","",IF(K64=0,"",(K64*J64)/(K66*60)))</f>
        <v>0.85906521739130437</v>
      </c>
      <c r="K66" s="429">
        <v>46</v>
      </c>
      <c r="L66" s="104" t="s">
        <v>19</v>
      </c>
      <c r="M66" s="427"/>
      <c r="N66" s="427"/>
      <c r="O66" s="427"/>
      <c r="P66" s="427"/>
      <c r="Q66" s="427"/>
      <c r="R66" s="427"/>
      <c r="S66" s="427"/>
      <c r="T66" s="427"/>
      <c r="U66" s="427"/>
      <c r="V66" s="427"/>
      <c r="W66" s="428"/>
      <c r="X66" s="173"/>
      <c r="Y66" s="441"/>
      <c r="Z66" s="448">
        <v>31.318505662285137</v>
      </c>
      <c r="AA66" s="168">
        <f>+IF(COUNTA(M64:W64)=$AM$4+0.25,$AM$4-(AB64/K64),COUNTA(M64:W64)-(AB64/K64))+Z66</f>
        <v>31.318505662285137</v>
      </c>
      <c r="AB66" s="444">
        <f t="shared" si="3"/>
        <v>0</v>
      </c>
      <c r="AC66" s="139"/>
      <c r="AD66" s="139"/>
      <c r="AE66" s="441"/>
      <c r="AF66" s="441"/>
      <c r="AG66" s="119">
        <f>+IFERROR(AG64/(K64*$AT$3),"")</f>
        <v>2.4398671096345517</v>
      </c>
      <c r="AH66" s="162"/>
      <c r="AI66" s="161"/>
      <c r="AJ66" s="161">
        <f t="shared" si="1"/>
        <v>0</v>
      </c>
      <c r="AK66" s="167">
        <f t="shared" si="2"/>
        <v>0</v>
      </c>
      <c r="AL66" s="167"/>
      <c r="AM66" s="230"/>
      <c r="AN66" s="342">
        <f>+$AM$4</f>
        <v>8.25</v>
      </c>
      <c r="AO66" s="340">
        <f>+IF(AN66=7.75,SUM(M66:S66)+T66*0.75,IF(AN66=8,SUM(M66:T66),IF(AN66=7.25,SUM(M66:S66)+T66*0.25,IF(AN66=8.25,SUM(M66:T66)+U66*0.25,IF(AN66=8.75,SUM(M66:T66)+U66*0.75,0)))))</f>
        <v>0</v>
      </c>
      <c r="AP66" s="167">
        <f>+AO66-AB66</f>
        <v>0</v>
      </c>
      <c r="AQ66" s="167"/>
      <c r="AR66" s="167"/>
      <c r="AS66" s="167"/>
      <c r="AT66" s="435"/>
      <c r="AU66" s="393"/>
      <c r="AW66" s="356">
        <v>2.003986710963455</v>
      </c>
      <c r="AY66" s="356"/>
    </row>
    <row r="67" spans="2:62" s="98" customFormat="1" ht="58.5" hidden="1" customHeight="1" thickTop="1" x14ac:dyDescent="0.9">
      <c r="B67" s="127">
        <f>+B68</f>
        <v>14</v>
      </c>
      <c r="C67" s="370"/>
      <c r="D67" s="106"/>
      <c r="E67" s="106"/>
      <c r="F67" s="106"/>
      <c r="G67" s="577" t="s">
        <v>489</v>
      </c>
      <c r="H67" s="106"/>
      <c r="I67" s="106"/>
      <c r="J67" s="107" t="s">
        <v>20</v>
      </c>
      <c r="K67" s="108" t="s">
        <v>23</v>
      </c>
      <c r="L67" s="100" t="s">
        <v>21</v>
      </c>
      <c r="M67" s="423">
        <v>60</v>
      </c>
      <c r="N67" s="423">
        <v>60</v>
      </c>
      <c r="O67" s="423"/>
      <c r="P67" s="423"/>
      <c r="Q67" s="423"/>
      <c r="R67" s="423"/>
      <c r="S67" s="423"/>
      <c r="T67" s="423"/>
      <c r="U67" s="423"/>
      <c r="V67" s="423"/>
      <c r="W67" s="423"/>
      <c r="X67" s="135">
        <f>IF(AT68="","",SUM(M67:W67)-(-(AT68-SUM(M67:W67))/$AT$3)*SUM($M$2:$W$2))</f>
        <v>120</v>
      </c>
      <c r="Y67" s="438"/>
      <c r="Z67" s="400">
        <v>-481.25</v>
      </c>
      <c r="AA67" s="540">
        <f>+X69</f>
        <v>-95</v>
      </c>
      <c r="AB67" s="135">
        <f t="shared" si="0"/>
        <v>120</v>
      </c>
      <c r="AC67" s="136">
        <f>+AD67+AB67</f>
        <v>1080</v>
      </c>
      <c r="AD67" s="136">
        <v>960</v>
      </c>
      <c r="AE67" s="438"/>
      <c r="AF67" s="438"/>
      <c r="AG67" s="109"/>
      <c r="AH67" s="110"/>
      <c r="AI67" s="157"/>
      <c r="AJ67" s="161">
        <f t="shared" si="1"/>
        <v>0</v>
      </c>
      <c r="AK67" s="167">
        <f t="shared" si="2"/>
        <v>0</v>
      </c>
      <c r="AL67" s="167"/>
      <c r="AM67" s="167"/>
      <c r="AN67" s="339"/>
      <c r="AO67" s="340"/>
      <c r="AP67" s="167"/>
      <c r="AQ67" s="167"/>
      <c r="AR67" s="167"/>
      <c r="AS67" s="167"/>
      <c r="AT67" s="432"/>
      <c r="AU67" s="393"/>
      <c r="AW67" s="356"/>
      <c r="AY67" s="356"/>
    </row>
    <row r="68" spans="2:62" s="98" customFormat="1" ht="58.5" hidden="1" customHeight="1" x14ac:dyDescent="0.9">
      <c r="B68" s="133">
        <v>14</v>
      </c>
      <c r="C68" s="371">
        <f>+B68</f>
        <v>14</v>
      </c>
      <c r="D68" s="372" t="s">
        <v>487</v>
      </c>
      <c r="E68" s="111"/>
      <c r="F68" s="111" t="s">
        <v>488</v>
      </c>
      <c r="G68" s="578" t="str">
        <f t="shared" ref="G68:G70" si="28">+G67</f>
        <v>BERGEN-302189</v>
      </c>
      <c r="H68" s="450"/>
      <c r="I68" s="111" t="s">
        <v>33</v>
      </c>
      <c r="J68" s="113">
        <v>48.52</v>
      </c>
      <c r="K68" s="130">
        <v>55</v>
      </c>
      <c r="L68" s="101" t="s">
        <v>17</v>
      </c>
      <c r="M68" s="214">
        <v>0</v>
      </c>
      <c r="N68" s="214">
        <v>15</v>
      </c>
      <c r="O68" s="214"/>
      <c r="P68" s="214"/>
      <c r="Q68" s="214"/>
      <c r="R68" s="214"/>
      <c r="S68" s="214"/>
      <c r="T68" s="214"/>
      <c r="U68" s="214"/>
      <c r="V68" s="214"/>
      <c r="W68" s="214"/>
      <c r="X68" s="123">
        <f>+IF(H69="s",0,IF(AB68=0,0,IF(COUNTA(M68:W68)=AN70+0.75,SUMIF($C:$C,B68,$AB:$AB)/AN70,SUMIF($C:$C,B68,$AB:$AB)/(COUNTA(M68:W68)))))</f>
        <v>7.5</v>
      </c>
      <c r="Y68" s="439"/>
      <c r="Z68" s="400"/>
      <c r="AA68" s="541"/>
      <c r="AB68" s="134">
        <f t="shared" si="0"/>
        <v>15</v>
      </c>
      <c r="AC68" s="137">
        <f>+AB68+AD68</f>
        <v>15</v>
      </c>
      <c r="AD68" s="137">
        <v>0</v>
      </c>
      <c r="AE68" s="439"/>
      <c r="AF68" s="439">
        <f>+AE68+Y68</f>
        <v>0</v>
      </c>
      <c r="AG68" s="140">
        <f>+AC67-AC68</f>
        <v>1065</v>
      </c>
      <c r="AH68" s="131">
        <f>+IF(((AB69+(AB70/2))*60)=0,"",(J68*AB68)/((AB69+(AB70/2))*60))</f>
        <v>0.12009900990099011</v>
      </c>
      <c r="AI68" s="161">
        <f>+AB69+AB70/2</f>
        <v>101</v>
      </c>
      <c r="AJ68" s="161">
        <f t="shared" si="1"/>
        <v>101</v>
      </c>
      <c r="AK68" s="167">
        <f t="shared" si="2"/>
        <v>6060</v>
      </c>
      <c r="AL68" s="167">
        <f>+AB68*J68</f>
        <v>727.80000000000007</v>
      </c>
      <c r="AM68" s="230">
        <f>+AB68-(AI68*K68/K70)</f>
        <v>-91.82692307692308</v>
      </c>
      <c r="AN68" s="339"/>
      <c r="AO68" s="340"/>
      <c r="AP68" s="167"/>
      <c r="AQ68" s="167"/>
      <c r="AR68" s="167"/>
      <c r="AS68" s="167"/>
      <c r="AT68" s="433">
        <f>-240+AB67</f>
        <v>-120</v>
      </c>
      <c r="AU68" s="393">
        <v>1.5</v>
      </c>
      <c r="AW68" s="356">
        <v>960</v>
      </c>
      <c r="AY68" s="356">
        <f t="shared" ref="AY68" si="29">+AW68-AG68</f>
        <v>-105</v>
      </c>
    </row>
    <row r="69" spans="2:62" s="98" customFormat="1" ht="58.5" hidden="1" customHeight="1" x14ac:dyDescent="0.9">
      <c r="B69" s="125">
        <f>+B68</f>
        <v>14</v>
      </c>
      <c r="C69" s="373"/>
      <c r="D69" s="184"/>
      <c r="E69" s="111">
        <f>+B68</f>
        <v>14</v>
      </c>
      <c r="F69" s="374"/>
      <c r="G69" s="578" t="str">
        <f t="shared" si="28"/>
        <v>BERGEN-302189</v>
      </c>
      <c r="H69" s="376" t="s">
        <v>400</v>
      </c>
      <c r="I69" s="113">
        <f>+IFERROR(IF(K70=0,0,IF((LOOKUP(2,1/(M69:W69&lt;&gt;""),M69:W69)-K70)&lt;0,0,IF(K70=0,"",LOOKUP(2,1/(M69:W69&lt;&gt;""),M69:W69)-K70))),0)</f>
        <v>0</v>
      </c>
      <c r="J69" s="113"/>
      <c r="K69" s="114" t="s">
        <v>22</v>
      </c>
      <c r="L69" s="102" t="s">
        <v>18</v>
      </c>
      <c r="M69" s="425">
        <v>50</v>
      </c>
      <c r="N69" s="425">
        <v>50</v>
      </c>
      <c r="O69" s="425"/>
      <c r="P69" s="425"/>
      <c r="Q69" s="425"/>
      <c r="R69" s="425"/>
      <c r="S69" s="425"/>
      <c r="T69" s="425"/>
      <c r="U69" s="425"/>
      <c r="V69" s="425"/>
      <c r="W69" s="425"/>
      <c r="X69" s="160">
        <f>+IF(H69="l",IF(COUNTA(M68:W68)=AN70+0.75,AB68-K68*AN70,AB68-(K68*COUNTA(M68:W68))),IF(H69="s",0,IF(COUNTA(M68:W68)=AN70+0.75,SUMIF($C:$C,B68,$AB:$AB)-K68*AN70,SUMIF($C:$C,B68,$AB:$AB)-K68*COUNTA(M68:W68))))</f>
        <v>-95</v>
      </c>
      <c r="Y69" s="440"/>
      <c r="Z69" s="400"/>
      <c r="AA69" s="541"/>
      <c r="AB69" s="443">
        <f>+SUM(M69:W69)-U69*0.75</f>
        <v>100</v>
      </c>
      <c r="AC69" s="341"/>
      <c r="AD69" s="341"/>
      <c r="AE69" s="440"/>
      <c r="AF69" s="440"/>
      <c r="AG69" s="115"/>
      <c r="AH69" s="116"/>
      <c r="AI69" s="157"/>
      <c r="AJ69" s="161">
        <f t="shared" si="1"/>
        <v>0</v>
      </c>
      <c r="AK69" s="167">
        <f t="shared" si="2"/>
        <v>0</v>
      </c>
      <c r="AL69" s="167"/>
      <c r="AM69" s="167"/>
      <c r="AN69" s="339"/>
      <c r="AO69" s="340">
        <f>+IF(AN70=7.75,SUM(M69:S69)+T69*0.75,IF(AN70=8,SUM(M69:T69),IF(AN70=7.25,SUM(M69:S69)+T69*0.25,IF(AN70=8.25,SUM(M69:T69)+U69*0.25,IF(AN70=8.75,SUM(M69:T69)+U69*0.75,0)))))</f>
        <v>100</v>
      </c>
      <c r="AP69" s="167">
        <f>+AO69-AB69</f>
        <v>0</v>
      </c>
      <c r="AQ69" s="167"/>
      <c r="AR69" s="167"/>
      <c r="AS69" s="167"/>
      <c r="AT69" s="434"/>
      <c r="AU69" s="393"/>
      <c r="AW69" s="356"/>
      <c r="AY69" s="356"/>
    </row>
    <row r="70" spans="2:62" s="98" customFormat="1" ht="58.5" hidden="1" customHeight="1" thickBot="1" x14ac:dyDescent="0.95">
      <c r="B70" s="126">
        <f>+B68</f>
        <v>14</v>
      </c>
      <c r="C70" s="375"/>
      <c r="D70" s="174" t="s">
        <v>112</v>
      </c>
      <c r="E70" s="175">
        <f>+E69+100</f>
        <v>114</v>
      </c>
      <c r="F70" s="175"/>
      <c r="G70" s="579" t="str">
        <f t="shared" si="28"/>
        <v>BERGEN-302189</v>
      </c>
      <c r="H70" s="454">
        <f>+AC67-H68</f>
        <v>1080</v>
      </c>
      <c r="I70" s="397"/>
      <c r="J70" s="165">
        <f>+IF(K70="","",IF(K68=0,"",(K68*J68)/(K70*60)))</f>
        <v>0.85532051282051291</v>
      </c>
      <c r="K70" s="118">
        <v>52</v>
      </c>
      <c r="L70" s="104" t="s">
        <v>19</v>
      </c>
      <c r="M70" s="427">
        <v>1</v>
      </c>
      <c r="N70" s="427">
        <v>1</v>
      </c>
      <c r="O70" s="427"/>
      <c r="P70" s="427"/>
      <c r="Q70" s="427"/>
      <c r="R70" s="427"/>
      <c r="S70" s="427"/>
      <c r="T70" s="427"/>
      <c r="U70" s="427"/>
      <c r="V70" s="427"/>
      <c r="W70" s="427"/>
      <c r="X70" s="173"/>
      <c r="Y70" s="441"/>
      <c r="Z70" s="401">
        <v>13.375</v>
      </c>
      <c r="AA70" s="168">
        <f>+IF(COUNTA(M68:W68)=$AM$4+0.25,$AM$4-(AB68/K68),COUNTA(M68:W68)-(AB68/K68))+Z70</f>
        <v>15.102272727272727</v>
      </c>
      <c r="AB70" s="444">
        <f t="shared" si="3"/>
        <v>2</v>
      </c>
      <c r="AC70" s="139"/>
      <c r="AD70" s="139"/>
      <c r="AE70" s="441"/>
      <c r="AF70" s="441"/>
      <c r="AG70" s="119">
        <f>+IFERROR(AG68/(K68*$AT$3),"")</f>
        <v>2.2129870129870128</v>
      </c>
      <c r="AH70" s="162"/>
      <c r="AI70" s="161"/>
      <c r="AJ70" s="161">
        <f t="shared" si="1"/>
        <v>0</v>
      </c>
      <c r="AK70" s="167">
        <f t="shared" si="2"/>
        <v>0</v>
      </c>
      <c r="AL70" s="167"/>
      <c r="AM70" s="230"/>
      <c r="AN70" s="342">
        <f>+$AM$4</f>
        <v>8.25</v>
      </c>
      <c r="AO70" s="340">
        <f>+IF(AN70=7.75,SUM(M70:S70)+T70*0.75,IF(AN70=8,SUM(M70:T70),IF(AN70=7.25,SUM(M70:S70)+T70*0.25,IF(AN70=8.25,SUM(M70:T70)+U70*0.25,IF(AN70=8.75,SUM(M70:T70)+U70*0.75,0)))))</f>
        <v>2</v>
      </c>
      <c r="AP70" s="167">
        <f>+AO70-AB70</f>
        <v>0</v>
      </c>
      <c r="AQ70" s="167"/>
      <c r="AR70" s="167"/>
      <c r="AS70" s="167"/>
      <c r="AT70" s="435"/>
      <c r="AU70" s="393"/>
      <c r="AW70" s="356">
        <v>1.9948051948051948</v>
      </c>
      <c r="AY70" s="356"/>
    </row>
    <row r="71" spans="2:62" s="98" customFormat="1" ht="62.25" hidden="1" customHeight="1" thickTop="1" x14ac:dyDescent="0.9">
      <c r="B71" s="97">
        <f>+B72</f>
        <v>15</v>
      </c>
      <c r="C71" s="370"/>
      <c r="D71" s="106"/>
      <c r="E71" s="106"/>
      <c r="F71" s="106"/>
      <c r="G71" s="577" t="s">
        <v>440</v>
      </c>
      <c r="H71" s="106"/>
      <c r="I71" s="106"/>
      <c r="J71" s="107" t="s">
        <v>20</v>
      </c>
      <c r="K71" s="108" t="s">
        <v>23</v>
      </c>
      <c r="L71" s="100" t="s">
        <v>21</v>
      </c>
      <c r="M71" s="423">
        <v>150</v>
      </c>
      <c r="N71" s="423">
        <v>75</v>
      </c>
      <c r="O71" s="423">
        <v>150</v>
      </c>
      <c r="P71" s="423"/>
      <c r="Q71" s="423"/>
      <c r="R71" s="423"/>
      <c r="S71" s="423"/>
      <c r="T71" s="423"/>
      <c r="U71" s="423"/>
      <c r="V71" s="423"/>
      <c r="W71" s="423"/>
      <c r="X71" s="135">
        <f>IF(AT72="","",SUM(M71:W71)-(-(AT72-SUM(M71:W71))/$AT$3)*SUM($M$2:$W$2))</f>
        <v>375</v>
      </c>
      <c r="Y71" s="438"/>
      <c r="Z71" s="400">
        <v>21</v>
      </c>
      <c r="AA71" s="540">
        <f>+X73</f>
        <v>0</v>
      </c>
      <c r="AB71" s="135">
        <f t="shared" ref="AB71:AB100" si="30">+SUM(L71:W71)</f>
        <v>375</v>
      </c>
      <c r="AC71" s="136">
        <f>+AD71+AB71</f>
        <v>5701</v>
      </c>
      <c r="AD71" s="136">
        <v>5326</v>
      </c>
      <c r="AE71" s="438"/>
      <c r="AF71" s="438"/>
      <c r="AG71" s="109"/>
      <c r="AH71" s="110"/>
      <c r="AI71" s="157"/>
      <c r="AJ71" s="161">
        <f t="shared" si="1"/>
        <v>0</v>
      </c>
      <c r="AK71" s="167">
        <f t="shared" si="2"/>
        <v>0</v>
      </c>
      <c r="AL71" s="167"/>
      <c r="AM71" s="167"/>
      <c r="AN71" s="339"/>
      <c r="AO71" s="340"/>
      <c r="AP71" s="167"/>
      <c r="AQ71" s="167"/>
      <c r="AR71" s="167"/>
      <c r="AS71" s="167"/>
      <c r="AT71" s="432"/>
      <c r="AU71" s="393"/>
      <c r="AW71" s="356"/>
      <c r="AY71" s="356"/>
    </row>
    <row r="72" spans="2:62" s="98" customFormat="1" ht="62.25" hidden="1" customHeight="1" x14ac:dyDescent="1.35">
      <c r="B72" s="132">
        <v>15</v>
      </c>
      <c r="C72" s="371">
        <f>+B72</f>
        <v>15</v>
      </c>
      <c r="D72" s="372" t="s">
        <v>439</v>
      </c>
      <c r="E72" s="111"/>
      <c r="F72" s="111" t="s">
        <v>35</v>
      </c>
      <c r="G72" s="578" t="str">
        <f>+G71</f>
        <v>7740-876-052</v>
      </c>
      <c r="H72" s="450">
        <v>7700</v>
      </c>
      <c r="I72" s="111" t="s">
        <v>33</v>
      </c>
      <c r="J72" s="113">
        <v>55.78</v>
      </c>
      <c r="K72" s="130">
        <v>52</v>
      </c>
      <c r="L72" s="101" t="s">
        <v>17</v>
      </c>
      <c r="M72" s="214">
        <v>52</v>
      </c>
      <c r="N72" s="214">
        <v>52</v>
      </c>
      <c r="O72" s="214"/>
      <c r="P72" s="214"/>
      <c r="Q72" s="214"/>
      <c r="R72" s="214"/>
      <c r="S72" s="214"/>
      <c r="T72" s="214"/>
      <c r="U72" s="214"/>
      <c r="V72" s="214"/>
      <c r="W72" s="214"/>
      <c r="X72" s="123">
        <f>+IF(H73="s",0,IF(AB72=0,0,IF(COUNTA(M72:W72)=AN74+0.75,SUMIF($C:$C,B72,$AB:$AB)/AN74,SUMIF($C:$C,B72,$AB:$AB)/(COUNTA(M72:W72)))))</f>
        <v>52</v>
      </c>
      <c r="Y72" s="439"/>
      <c r="Z72" s="400"/>
      <c r="AA72" s="541"/>
      <c r="AB72" s="134">
        <f t="shared" si="30"/>
        <v>104</v>
      </c>
      <c r="AC72" s="137">
        <f>+AB72+AD72</f>
        <v>4348</v>
      </c>
      <c r="AD72" s="137">
        <v>4244</v>
      </c>
      <c r="AE72" s="439">
        <v>0</v>
      </c>
      <c r="AF72" s="439">
        <f>+AE72+Y72</f>
        <v>0</v>
      </c>
      <c r="AG72" s="140">
        <f>+AC71-AC72</f>
        <v>1353</v>
      </c>
      <c r="AH72" s="131">
        <f>+IF(((AB73+(AB74/2))*60)=0,"",(J72*AB72)/((AB73+(AB74/2))*60))</f>
        <v>0.91212578616352202</v>
      </c>
      <c r="AI72" s="161">
        <f>+AB73+AB74/2</f>
        <v>106</v>
      </c>
      <c r="AJ72" s="161">
        <f t="shared" si="1"/>
        <v>106</v>
      </c>
      <c r="AK72" s="167">
        <f t="shared" si="2"/>
        <v>6360</v>
      </c>
      <c r="AL72" s="167">
        <f>+AB72*J72</f>
        <v>5801.12</v>
      </c>
      <c r="AM72" s="230">
        <f>+AB72-(AI72*K72/K74)</f>
        <v>5.5714285714285694</v>
      </c>
      <c r="AN72" s="339"/>
      <c r="AO72" s="340"/>
      <c r="AP72" s="167"/>
      <c r="AQ72" s="167"/>
      <c r="AR72" s="167"/>
      <c r="AS72" s="167"/>
      <c r="AT72" s="433">
        <f t="shared" ref="AT72" si="31">IF(AU72=0,"",AW72-(($AT$3*K72)+($AT$3*K72)*AU72)+AB71)</f>
        <v>1</v>
      </c>
      <c r="AU72" s="393">
        <v>2.2000000000000002</v>
      </c>
      <c r="AW72" s="356">
        <v>1082</v>
      </c>
      <c r="AY72" s="356">
        <f t="shared" ref="AY72" si="32">+AW72-AG72</f>
        <v>-271</v>
      </c>
      <c r="AZ72" s="581"/>
      <c r="BA72" s="581"/>
      <c r="BB72" s="581"/>
      <c r="BC72" s="581"/>
      <c r="BD72" s="581"/>
      <c r="BE72" s="581"/>
      <c r="BF72" s="581"/>
      <c r="BG72" s="581"/>
      <c r="BH72" s="581"/>
      <c r="BI72" s="581"/>
    </row>
    <row r="73" spans="2:62" s="98" customFormat="1" ht="62.25" hidden="1" customHeight="1" x14ac:dyDescent="0.9">
      <c r="B73" s="125">
        <f>+B72</f>
        <v>15</v>
      </c>
      <c r="C73" s="373"/>
      <c r="D73" s="184"/>
      <c r="E73" s="111">
        <f>+B72</f>
        <v>15</v>
      </c>
      <c r="F73" s="377"/>
      <c r="G73" s="578" t="str">
        <f>+G72</f>
        <v>7740-876-052</v>
      </c>
      <c r="H73" s="376" t="s">
        <v>399</v>
      </c>
      <c r="I73" s="113">
        <f>+IFERROR(IF(K74=0,0,IF((LOOKUP(2,1/(M73:W73&lt;&gt;""),M73:W73)-K74)&lt;0,0,IF(K74=0,"",LOOKUP(2,1/(M73:W73&lt;&gt;""),M73:W73)-K74))),0)</f>
        <v>0</v>
      </c>
      <c r="J73" s="113"/>
      <c r="K73" s="114" t="s">
        <v>22</v>
      </c>
      <c r="L73" s="102" t="s">
        <v>18</v>
      </c>
      <c r="M73" s="425">
        <v>52</v>
      </c>
      <c r="N73" s="425">
        <v>52</v>
      </c>
      <c r="O73" s="425"/>
      <c r="P73" s="425"/>
      <c r="Q73" s="425"/>
      <c r="R73" s="425"/>
      <c r="S73" s="425"/>
      <c r="T73" s="425"/>
      <c r="U73" s="425"/>
      <c r="V73" s="425"/>
      <c r="W73" s="425"/>
      <c r="X73" s="160">
        <f>+IF(H73="l",IF(COUNTA(M72:W72)=AN74+0.75,AB72-K72*AN74,AB72-(K72*COUNTA(M72:W72))),IF(H73="s",0,IF(COUNTA(M72:W72)=AN74+0.75,SUMIF($C:$C,B72,$AB:$AB)-K72*AN74,SUMIF($C:$C,B72,$AB:$AB)-K72*COUNTA(M72:W72))))</f>
        <v>0</v>
      </c>
      <c r="Y73" s="440"/>
      <c r="Z73" s="400"/>
      <c r="AA73" s="541"/>
      <c r="AB73" s="443">
        <f>+SUM(M73:W73)-U73*0.75</f>
        <v>104</v>
      </c>
      <c r="AC73" s="341"/>
      <c r="AD73" s="341"/>
      <c r="AE73" s="440"/>
      <c r="AF73" s="440"/>
      <c r="AG73" s="115"/>
      <c r="AH73" s="116"/>
      <c r="AI73" s="157"/>
      <c r="AJ73" s="161">
        <f t="shared" si="1"/>
        <v>0</v>
      </c>
      <c r="AK73" s="167">
        <f t="shared" si="2"/>
        <v>0</v>
      </c>
      <c r="AL73" s="167"/>
      <c r="AM73" s="167"/>
      <c r="AN73" s="339"/>
      <c r="AO73" s="340">
        <f>+IF(AN74=7.75,SUM(M73:S73)+T73*0.75,IF(AN74=8,SUM(M73:T73),IF(AN74=7.25,SUM(M73:S73)+T73*0.25,IF(AN74=8.25,SUM(M73:T73)+U73*0.25,IF(AN74=8.75,SUM(M73:T73)+U73*0.75,0)))))</f>
        <v>104</v>
      </c>
      <c r="AP73" s="167">
        <f>+AO73-AB73</f>
        <v>0</v>
      </c>
      <c r="AQ73" s="167"/>
      <c r="AR73" s="167"/>
      <c r="AS73" s="167"/>
      <c r="AT73" s="434"/>
      <c r="AU73" s="393"/>
      <c r="AW73" s="356"/>
      <c r="AY73" s="356"/>
    </row>
    <row r="74" spans="2:62" s="98" customFormat="1" ht="62.25" hidden="1" customHeight="1" thickBot="1" x14ac:dyDescent="0.95">
      <c r="B74" s="126">
        <f>+B72</f>
        <v>15</v>
      </c>
      <c r="C74" s="375"/>
      <c r="D74" s="174" t="s">
        <v>93</v>
      </c>
      <c r="E74" s="175">
        <f>+E73+100</f>
        <v>115</v>
      </c>
      <c r="F74" s="175"/>
      <c r="G74" s="579" t="str">
        <f>+G73</f>
        <v>7740-876-052</v>
      </c>
      <c r="H74" s="454">
        <f>+AC71-H72</f>
        <v>-1999</v>
      </c>
      <c r="I74" s="397"/>
      <c r="J74" s="165">
        <f>+IF(K74="","",IF(K72=0,"",(K72*J72)/(K74*60)))</f>
        <v>0.86326190476190479</v>
      </c>
      <c r="K74" s="118">
        <v>56</v>
      </c>
      <c r="L74" s="104" t="s">
        <v>19</v>
      </c>
      <c r="M74" s="427">
        <v>2</v>
      </c>
      <c r="N74" s="427">
        <v>2</v>
      </c>
      <c r="O74" s="427"/>
      <c r="P74" s="427"/>
      <c r="Q74" s="427"/>
      <c r="R74" s="427"/>
      <c r="S74" s="427"/>
      <c r="T74" s="427"/>
      <c r="U74" s="427"/>
      <c r="V74" s="427"/>
      <c r="W74" s="427"/>
      <c r="X74" s="173"/>
      <c r="Y74" s="441"/>
      <c r="Z74" s="401">
        <v>11.961538461538462</v>
      </c>
      <c r="AA74" s="448">
        <v>11.961538461538462</v>
      </c>
      <c r="AB74" s="444">
        <f t="shared" ref="AB74:AB102" si="33">+SUM(M74:W74)-U74*0.75</f>
        <v>4</v>
      </c>
      <c r="AC74" s="139"/>
      <c r="AD74" s="139"/>
      <c r="AE74" s="441"/>
      <c r="AF74" s="441"/>
      <c r="AG74" s="119">
        <f>+IFERROR(AG72/(K72*$AT$3),"")</f>
        <v>2.9736263736263737</v>
      </c>
      <c r="AH74" s="162"/>
      <c r="AI74" s="161"/>
      <c r="AJ74" s="161">
        <f t="shared" si="1"/>
        <v>0</v>
      </c>
      <c r="AK74" s="167">
        <f t="shared" si="2"/>
        <v>0</v>
      </c>
      <c r="AL74" s="167"/>
      <c r="AM74" s="230"/>
      <c r="AN74" s="342">
        <f>+$AM$4</f>
        <v>8.25</v>
      </c>
      <c r="AO74" s="340">
        <f>+IF(AN74=7.75,SUM(M74:S74)+T74*0.75,IF(AN74=8,SUM(M74:T74),IF(AN74=7.25,SUM(M74:S74)+T74*0.25,IF(AN74=8.25,SUM(M74:T74)+U74*0.25,IF(AN74=8.75,SUM(M74:T74)+U74*0.75,0)))))</f>
        <v>4</v>
      </c>
      <c r="AP74" s="167">
        <f>+AO74-AB74</f>
        <v>0</v>
      </c>
      <c r="AQ74" s="167"/>
      <c r="AR74" s="167"/>
      <c r="AS74" s="167"/>
      <c r="AT74" s="435"/>
      <c r="AU74" s="393"/>
      <c r="AW74" s="356">
        <v>2.378021978021978</v>
      </c>
      <c r="AY74" s="356"/>
    </row>
    <row r="75" spans="2:62" s="98" customFormat="1" ht="62.25" hidden="1" customHeight="1" thickTop="1" x14ac:dyDescent="0.9">
      <c r="B75" s="127">
        <f>+B76</f>
        <v>16</v>
      </c>
      <c r="C75" s="370"/>
      <c r="D75" s="106"/>
      <c r="E75" s="106"/>
      <c r="F75" s="106"/>
      <c r="G75" s="577" t="s">
        <v>463</v>
      </c>
      <c r="H75" s="106"/>
      <c r="I75" s="106"/>
      <c r="J75" s="107" t="s">
        <v>20</v>
      </c>
      <c r="K75" s="108" t="s">
        <v>23</v>
      </c>
      <c r="L75" s="100" t="s">
        <v>21</v>
      </c>
      <c r="M75" s="423"/>
      <c r="N75" s="423"/>
      <c r="O75" s="423"/>
      <c r="P75" s="423"/>
      <c r="Q75" s="423"/>
      <c r="R75" s="423"/>
      <c r="S75" s="423"/>
      <c r="T75" s="423"/>
      <c r="U75" s="423"/>
      <c r="V75" s="423"/>
      <c r="W75" s="423"/>
      <c r="X75" s="135" t="str">
        <f>IF(AT76="","",SUM(M75:W75)-(-(AT76-SUM(M75:W75))/$AT$3)*SUM($M$2:$W$2))</f>
        <v/>
      </c>
      <c r="Y75" s="438"/>
      <c r="Z75" s="400">
        <v>0</v>
      </c>
      <c r="AA75" s="540">
        <f>+X77</f>
        <v>0</v>
      </c>
      <c r="AB75" s="135">
        <f t="shared" si="30"/>
        <v>0</v>
      </c>
      <c r="AC75" s="136">
        <f>+AD75+AB75</f>
        <v>2169</v>
      </c>
      <c r="AD75" s="136">
        <v>2169</v>
      </c>
      <c r="AE75" s="438"/>
      <c r="AF75" s="438"/>
      <c r="AG75" s="109"/>
      <c r="AH75" s="110"/>
      <c r="AI75" s="157"/>
      <c r="AJ75" s="161">
        <f t="shared" si="1"/>
        <v>0</v>
      </c>
      <c r="AK75" s="167">
        <f t="shared" si="2"/>
        <v>0</v>
      </c>
      <c r="AL75" s="167"/>
      <c r="AM75" s="167"/>
      <c r="AN75" s="339"/>
      <c r="AO75" s="340"/>
      <c r="AP75" s="167"/>
      <c r="AQ75" s="167"/>
      <c r="AR75" s="167"/>
      <c r="AS75" s="167"/>
      <c r="AT75" s="432"/>
      <c r="AU75" s="393"/>
      <c r="AW75" s="356"/>
      <c r="AY75" s="356"/>
    </row>
    <row r="76" spans="2:62" s="98" customFormat="1" ht="62.25" hidden="1" customHeight="1" x14ac:dyDescent="0.9">
      <c r="B76" s="133">
        <v>16</v>
      </c>
      <c r="C76" s="371">
        <f>+B76</f>
        <v>16</v>
      </c>
      <c r="D76" s="372" t="s">
        <v>462</v>
      </c>
      <c r="E76" s="111"/>
      <c r="F76" s="111" t="s">
        <v>422</v>
      </c>
      <c r="G76" s="578" t="str">
        <f>+G75</f>
        <v>PIANO-Turquaz</v>
      </c>
      <c r="H76" s="450">
        <v>2155</v>
      </c>
      <c r="I76" s="111" t="s">
        <v>451</v>
      </c>
      <c r="J76" s="113">
        <v>33.86</v>
      </c>
      <c r="K76" s="130">
        <v>75</v>
      </c>
      <c r="L76" s="101" t="s">
        <v>17</v>
      </c>
      <c r="M76" s="214"/>
      <c r="N76" s="214"/>
      <c r="O76" s="214"/>
      <c r="P76" s="214"/>
      <c r="Q76" s="214"/>
      <c r="R76" s="214"/>
      <c r="S76" s="214"/>
      <c r="T76" s="214"/>
      <c r="U76" s="214"/>
      <c r="V76" s="424"/>
      <c r="W76" s="424"/>
      <c r="X76" s="123">
        <f>+IF(H77="s",0,IF(AB76=0,0,IF(COUNTA(M76:W76)=AN78+0.75,SUMIF($C:$C,B76,$AB:$AB)/AN78,SUMIF($C:$C,B76,$AB:$AB)/(COUNTA(M76:W76)))))</f>
        <v>0</v>
      </c>
      <c r="Y76" s="439"/>
      <c r="Z76" s="400"/>
      <c r="AA76" s="541"/>
      <c r="AB76" s="134">
        <f t="shared" si="30"/>
        <v>0</v>
      </c>
      <c r="AC76" s="137">
        <f>+AB76+AD76</f>
        <v>2095</v>
      </c>
      <c r="AD76" s="137">
        <v>2095</v>
      </c>
      <c r="AE76" s="439"/>
      <c r="AF76" s="439">
        <f>+AE76+Y76</f>
        <v>0</v>
      </c>
      <c r="AG76" s="140">
        <f>+AC75-AC76</f>
        <v>74</v>
      </c>
      <c r="AH76" s="131" t="str">
        <f>+IF(((AB77+(AB78/2))*60)=0,"",(J76*AB76)/((AB77+(AB78/2))*60))</f>
        <v/>
      </c>
      <c r="AI76" s="161">
        <f>+AB77+AB78/2</f>
        <v>0</v>
      </c>
      <c r="AJ76" s="161">
        <f t="shared" si="1"/>
        <v>0</v>
      </c>
      <c r="AK76" s="167">
        <f t="shared" si="2"/>
        <v>0</v>
      </c>
      <c r="AL76" s="167">
        <f>+AB76*J76</f>
        <v>0</v>
      </c>
      <c r="AM76" s="230">
        <f>+AB76-(AI76*K76/K78)</f>
        <v>0</v>
      </c>
      <c r="AN76" s="339"/>
      <c r="AO76" s="340"/>
      <c r="AP76" s="167"/>
      <c r="AQ76" s="167"/>
      <c r="AR76" s="167"/>
      <c r="AS76" s="167"/>
      <c r="AT76" s="433" t="str">
        <f t="shared" ref="AT76" si="34">IF(AU76=0,"",AW76-(($AT$3*K76)+($AT$3*K76)*AU76)+AB75)</f>
        <v/>
      </c>
      <c r="AU76" s="393"/>
      <c r="AW76" s="356">
        <v>74</v>
      </c>
      <c r="AY76" s="356">
        <f t="shared" ref="AY76" si="35">+AW76-AG76</f>
        <v>0</v>
      </c>
      <c r="AZ76" s="580"/>
      <c r="BA76" s="580"/>
      <c r="BB76" s="580"/>
      <c r="BC76" s="580"/>
      <c r="BD76" s="580"/>
      <c r="BE76" s="580"/>
      <c r="BF76" s="580"/>
      <c r="BG76" s="580"/>
      <c r="BH76" s="580"/>
      <c r="BI76" s="580"/>
      <c r="BJ76" s="580"/>
    </row>
    <row r="77" spans="2:62" s="98" customFormat="1" ht="62.25" hidden="1" customHeight="1" x14ac:dyDescent="0.9">
      <c r="B77" s="125">
        <f>+B76</f>
        <v>16</v>
      </c>
      <c r="C77" s="373"/>
      <c r="D77" s="184"/>
      <c r="E77" s="111">
        <f>+B76</f>
        <v>16</v>
      </c>
      <c r="F77" s="374"/>
      <c r="G77" s="578" t="str">
        <f>+G75</f>
        <v>PIANO-Turquaz</v>
      </c>
      <c r="H77" s="376" t="s">
        <v>400</v>
      </c>
      <c r="I77" s="113">
        <f>+IFERROR(IF(K78=0,0,IF((LOOKUP(2,1/(M77:W77&lt;&gt;""),M77:W77)-K78)&lt;0,0,IF(K78=0,"",LOOKUP(2,1/(M77:W77&lt;&gt;""),M77:W77)-K78))),0)</f>
        <v>0</v>
      </c>
      <c r="J77" s="113"/>
      <c r="K77" s="114" t="s">
        <v>22</v>
      </c>
      <c r="L77" s="102" t="s">
        <v>18</v>
      </c>
      <c r="M77" s="425"/>
      <c r="N77" s="425"/>
      <c r="O77" s="425"/>
      <c r="P77" s="425"/>
      <c r="Q77" s="425"/>
      <c r="R77" s="425"/>
      <c r="S77" s="425"/>
      <c r="T77" s="425"/>
      <c r="U77" s="425"/>
      <c r="V77" s="426"/>
      <c r="W77" s="426"/>
      <c r="X77" s="160">
        <f>+IF(H77="l",IF(COUNTA(M76:W76)=AN78+0.75,AB76-K76*AN78,AB76-(K76*COUNTA(M76:W76))),IF(H77="s",0,IF(COUNTA(M76:W76)=AN78+0.75,SUMIF($C:$C,B76,$AB:$AB)-K76*AN78,SUMIF($C:$C,B76,$AB:$AB)-K76*COUNTA(M76:W76))))</f>
        <v>0</v>
      </c>
      <c r="Y77" s="440"/>
      <c r="Z77" s="400"/>
      <c r="AA77" s="541"/>
      <c r="AB77" s="443">
        <f>+SUM(M77:W77)-U77*0.75</f>
        <v>0</v>
      </c>
      <c r="AC77" s="341"/>
      <c r="AD77" s="341"/>
      <c r="AE77" s="440"/>
      <c r="AF77" s="440"/>
      <c r="AG77" s="115"/>
      <c r="AH77" s="116"/>
      <c r="AI77" s="157"/>
      <c r="AJ77" s="161">
        <f t="shared" si="1"/>
        <v>0</v>
      </c>
      <c r="AK77" s="167">
        <f t="shared" si="2"/>
        <v>0</v>
      </c>
      <c r="AL77" s="167"/>
      <c r="AM77" s="167"/>
      <c r="AN77" s="339"/>
      <c r="AO77" s="340">
        <f>+IF(AN78=7.75,SUM(M77:S77)+T77*0.75,IF(AN78=8,SUM(M77:T77),IF(AN78=7.25,SUM(M77:S77)+T77*0.25,IF(AN78=8.25,SUM(M77:T77)+U77*0.25,IF(AN78=8.75,SUM(M77:T77)+U77*0.75,0)))))</f>
        <v>0</v>
      </c>
      <c r="AP77" s="167">
        <f>+AO77-AB77</f>
        <v>0</v>
      </c>
      <c r="AQ77" s="167"/>
      <c r="AR77" s="167"/>
      <c r="AS77" s="167"/>
      <c r="AT77" s="434"/>
      <c r="AU77" s="393"/>
      <c r="AW77" s="356"/>
      <c r="AY77" s="356"/>
    </row>
    <row r="78" spans="2:62" s="98" customFormat="1" ht="62.25" hidden="1" customHeight="1" thickBot="1" x14ac:dyDescent="0.95">
      <c r="B78" s="343">
        <f>+B76</f>
        <v>16</v>
      </c>
      <c r="C78" s="375"/>
      <c r="D78" s="378" t="s">
        <v>152</v>
      </c>
      <c r="E78" s="175">
        <f>+E77+100</f>
        <v>116</v>
      </c>
      <c r="F78" s="175"/>
      <c r="G78" s="579" t="str">
        <f>+G75</f>
        <v>PIANO-Turquaz</v>
      </c>
      <c r="H78" s="454">
        <f>+AC75-H76</f>
        <v>14</v>
      </c>
      <c r="I78" s="397"/>
      <c r="J78" s="165">
        <f>+IF(K78="","",IF(K76=0,"",(K76*J76)/(K78*60)))</f>
        <v>0.84650000000000003</v>
      </c>
      <c r="K78" s="118">
        <v>50</v>
      </c>
      <c r="L78" s="104" t="s">
        <v>19</v>
      </c>
      <c r="M78" s="427"/>
      <c r="N78" s="427"/>
      <c r="O78" s="427"/>
      <c r="P78" s="427"/>
      <c r="Q78" s="427"/>
      <c r="R78" s="427"/>
      <c r="S78" s="427"/>
      <c r="T78" s="427"/>
      <c r="U78" s="427"/>
      <c r="V78" s="428"/>
      <c r="W78" s="428"/>
      <c r="X78" s="173"/>
      <c r="Y78" s="441"/>
      <c r="Z78" s="169">
        <v>24.69</v>
      </c>
      <c r="AA78" s="169">
        <v>24.69</v>
      </c>
      <c r="AB78" s="444">
        <f t="shared" si="33"/>
        <v>0</v>
      </c>
      <c r="AC78" s="139"/>
      <c r="AD78" s="139"/>
      <c r="AE78" s="441"/>
      <c r="AF78" s="441"/>
      <c r="AG78" s="119">
        <f>+IFERROR(AG76/(K76*$AT$3),"")</f>
        <v>0.11276190476190476</v>
      </c>
      <c r="AH78" s="162"/>
      <c r="AI78" s="161"/>
      <c r="AJ78" s="161">
        <f t="shared" si="1"/>
        <v>0</v>
      </c>
      <c r="AK78" s="167">
        <f t="shared" si="2"/>
        <v>0</v>
      </c>
      <c r="AL78" s="167"/>
      <c r="AM78" s="230"/>
      <c r="AN78" s="342">
        <f>+$AM$4</f>
        <v>8.25</v>
      </c>
      <c r="AO78" s="340">
        <f>+IF(AN78=7.75,SUM(M78:S78)+T78*0.75,IF(AN78=8,SUM(M78:T78),IF(AN78=7.25,SUM(M78:S78)+T78*0.25,IF(AN78=8.25,SUM(M78:T78)+U78*0.25,IF(AN78=8.75,SUM(M78:T78)+U78*0.75,0)))))</f>
        <v>0</v>
      </c>
      <c r="AP78" s="167">
        <f>+AO78-AB78</f>
        <v>0</v>
      </c>
      <c r="AQ78" s="167"/>
      <c r="AR78" s="167"/>
      <c r="AS78" s="167"/>
      <c r="AT78" s="435"/>
      <c r="AU78" s="393"/>
      <c r="AW78" s="356">
        <v>0.11276190476190476</v>
      </c>
      <c r="AY78" s="356"/>
    </row>
    <row r="79" spans="2:62" s="98" customFormat="1" ht="62.25" hidden="1" customHeight="1" thickTop="1" x14ac:dyDescent="0.9">
      <c r="B79" s="127">
        <f>+B80</f>
        <v>16</v>
      </c>
      <c r="C79" s="370"/>
      <c r="D79" s="106"/>
      <c r="E79" s="106"/>
      <c r="F79" s="106"/>
      <c r="G79" s="577" t="s">
        <v>472</v>
      </c>
      <c r="H79" s="106"/>
      <c r="I79" s="106"/>
      <c r="J79" s="107" t="s">
        <v>20</v>
      </c>
      <c r="K79" s="108" t="s">
        <v>23</v>
      </c>
      <c r="L79" s="100" t="s">
        <v>21</v>
      </c>
      <c r="M79" s="423">
        <v>100</v>
      </c>
      <c r="N79" s="423">
        <v>100</v>
      </c>
      <c r="O79" s="423">
        <v>100</v>
      </c>
      <c r="P79" s="423"/>
      <c r="Q79" s="423"/>
      <c r="R79" s="423"/>
      <c r="S79" s="423"/>
      <c r="T79" s="423"/>
      <c r="U79" s="423"/>
      <c r="V79" s="423"/>
      <c r="W79" s="423"/>
      <c r="X79" s="135">
        <f>IF(AT80="","",SUM(M79:W79)-(-(AT80-SUM(M79:W79))/$AT$3)*SUM($M$2:$W$2))</f>
        <v>300</v>
      </c>
      <c r="Y79" s="438"/>
      <c r="Z79" s="400">
        <v>-114</v>
      </c>
      <c r="AA79" s="540">
        <f>+X81</f>
        <v>-26</v>
      </c>
      <c r="AB79" s="135">
        <f t="shared" si="30"/>
        <v>300</v>
      </c>
      <c r="AC79" s="136">
        <f>+AD79+AB79</f>
        <v>2701</v>
      </c>
      <c r="AD79" s="136">
        <v>2401</v>
      </c>
      <c r="AE79" s="438"/>
      <c r="AF79" s="438"/>
      <c r="AG79" s="109"/>
      <c r="AH79" s="110"/>
      <c r="AI79" s="157"/>
      <c r="AJ79" s="161">
        <f t="shared" si="1"/>
        <v>0</v>
      </c>
      <c r="AK79" s="167">
        <f t="shared" si="2"/>
        <v>0</v>
      </c>
      <c r="AL79" s="167"/>
      <c r="AM79" s="167"/>
      <c r="AN79" s="339"/>
      <c r="AO79" s="340"/>
      <c r="AP79" s="167"/>
      <c r="AQ79" s="167"/>
      <c r="AR79" s="167"/>
      <c r="AS79" s="167"/>
      <c r="AT79" s="432"/>
      <c r="AU79" s="393"/>
      <c r="AW79" s="356"/>
      <c r="AY79" s="356"/>
    </row>
    <row r="80" spans="2:62" s="98" customFormat="1" ht="62.25" hidden="1" customHeight="1" x14ac:dyDescent="0.9">
      <c r="B80" s="133">
        <v>16</v>
      </c>
      <c r="C80" s="371">
        <f>+B80</f>
        <v>16</v>
      </c>
      <c r="D80" s="372" t="s">
        <v>473</v>
      </c>
      <c r="E80" s="111"/>
      <c r="F80" s="111" t="s">
        <v>35</v>
      </c>
      <c r="G80" s="578" t="str">
        <f>+G79</f>
        <v>7674-739-401</v>
      </c>
      <c r="H80" s="450">
        <v>8333</v>
      </c>
      <c r="I80" s="111" t="s">
        <v>251</v>
      </c>
      <c r="J80" s="113">
        <v>34.549999999999997</v>
      </c>
      <c r="K80" s="130">
        <v>60</v>
      </c>
      <c r="L80" s="101" t="s">
        <v>17</v>
      </c>
      <c r="M80" s="214">
        <v>47</v>
      </c>
      <c r="N80" s="214">
        <v>47</v>
      </c>
      <c r="O80" s="214"/>
      <c r="P80" s="214"/>
      <c r="Q80" s="214"/>
      <c r="R80" s="214"/>
      <c r="S80" s="214"/>
      <c r="T80" s="214"/>
      <c r="U80" s="214"/>
      <c r="V80" s="214"/>
      <c r="W80" s="424"/>
      <c r="X80" s="123">
        <f>+IF(H81="s",0,IF(AB80=0,0,IF(COUNTA(M80:W80)=AN82+0.75,SUMIF($C:$C,B80,$AB:$AB)/AN82,SUMIF($C:$C,B80,$AB:$AB)/(COUNTA(M80:W80)))))</f>
        <v>47</v>
      </c>
      <c r="Y80" s="439"/>
      <c r="Z80" s="400"/>
      <c r="AA80" s="541"/>
      <c r="AB80" s="134">
        <f t="shared" si="30"/>
        <v>94</v>
      </c>
      <c r="AC80" s="137">
        <f>+AB80+AD80</f>
        <v>1597</v>
      </c>
      <c r="AD80" s="137">
        <v>1503</v>
      </c>
      <c r="AE80" s="439"/>
      <c r="AF80" s="439">
        <f>+AE80+Y80</f>
        <v>0</v>
      </c>
      <c r="AG80" s="140">
        <f>+AC79-AC80</f>
        <v>1104</v>
      </c>
      <c r="AH80" s="131">
        <f>+IF(((AB81+(AB82/2))*60)=0,"",(J80*AB80)/((AB81+(AB82/2))*60))</f>
        <v>0.6221647509578544</v>
      </c>
      <c r="AI80" s="161">
        <f>+AB81+AB82/2</f>
        <v>87</v>
      </c>
      <c r="AJ80" s="161">
        <f t="shared" si="1"/>
        <v>87</v>
      </c>
      <c r="AK80" s="167">
        <f t="shared" si="2"/>
        <v>5220</v>
      </c>
      <c r="AL80" s="167">
        <f>+AB80*J80</f>
        <v>3247.7</v>
      </c>
      <c r="AM80" s="230">
        <f>+AB80-(AI80*K80/K82)</f>
        <v>-36.5</v>
      </c>
      <c r="AN80" s="339"/>
      <c r="AO80" s="340"/>
      <c r="AP80" s="167"/>
      <c r="AQ80" s="167"/>
      <c r="AR80" s="167"/>
      <c r="AS80" s="167"/>
      <c r="AT80" s="433">
        <f t="shared" ref="AT80" si="36">IF(AU80=0,"",AW80-(($AT$3*K80)+($AT$3*K80)*AU80)+AB79)</f>
        <v>-140.75</v>
      </c>
      <c r="AU80" s="393">
        <v>1.55</v>
      </c>
      <c r="AW80" s="356">
        <v>898</v>
      </c>
      <c r="AY80" s="356">
        <f t="shared" ref="AY80" si="37">+AW80-AG80</f>
        <v>-206</v>
      </c>
      <c r="AZ80" s="580"/>
      <c r="BA80" s="580"/>
      <c r="BB80" s="580"/>
      <c r="BC80" s="580"/>
      <c r="BD80" s="580"/>
      <c r="BE80" s="580"/>
      <c r="BF80" s="580"/>
      <c r="BG80" s="580"/>
      <c r="BH80" s="580"/>
      <c r="BI80" s="580"/>
      <c r="BJ80" s="580"/>
    </row>
    <row r="81" spans="2:51" s="98" customFormat="1" ht="62.25" hidden="1" customHeight="1" x14ac:dyDescent="0.9">
      <c r="B81" s="125">
        <f>+B80</f>
        <v>16</v>
      </c>
      <c r="C81" s="373"/>
      <c r="D81" s="184"/>
      <c r="E81" s="111">
        <f>+B80</f>
        <v>16</v>
      </c>
      <c r="F81" s="374"/>
      <c r="G81" s="578" t="str">
        <f>+G79</f>
        <v>7674-739-401</v>
      </c>
      <c r="H81" s="376" t="s">
        <v>400</v>
      </c>
      <c r="I81" s="113">
        <f>+IFERROR(IF(K82=0,0,IF((LOOKUP(2,1/(M81:W81&lt;&gt;""),M81:W81)-K82)&lt;0,0,IF(K82=0,"",LOOKUP(2,1/(M81:W81&lt;&gt;""),M81:W81)-K82))),0)</f>
        <v>3</v>
      </c>
      <c r="J81" s="113"/>
      <c r="K81" s="114" t="s">
        <v>22</v>
      </c>
      <c r="L81" s="102" t="s">
        <v>18</v>
      </c>
      <c r="M81" s="425">
        <v>43</v>
      </c>
      <c r="N81" s="425">
        <v>43</v>
      </c>
      <c r="O81" s="425"/>
      <c r="P81" s="425"/>
      <c r="Q81" s="425"/>
      <c r="R81" s="425"/>
      <c r="S81" s="425"/>
      <c r="T81" s="425"/>
      <c r="U81" s="425"/>
      <c r="V81" s="425"/>
      <c r="W81" s="426"/>
      <c r="X81" s="160">
        <f>+IF(H81="l",IF(COUNTA(M80:W80)=AN82+0.75,AB80-K80*AN82,AB80-(K80*COUNTA(M80:W80))),IF(H81="s",0,IF(COUNTA(M80:W80)=AN82+0.75,SUMIF($C:$C,B80,$AB:$AB)-K80*AN82,SUMIF($C:$C,B80,$AB:$AB)-K80*COUNTA(M80:W80))))</f>
        <v>-26</v>
      </c>
      <c r="Y81" s="440"/>
      <c r="Z81" s="400"/>
      <c r="AA81" s="541"/>
      <c r="AB81" s="443">
        <f>+SUM(M81:W81)-U81*0.75</f>
        <v>86</v>
      </c>
      <c r="AC81" s="341"/>
      <c r="AD81" s="341"/>
      <c r="AE81" s="440"/>
      <c r="AF81" s="440"/>
      <c r="AG81" s="115"/>
      <c r="AH81" s="116"/>
      <c r="AI81" s="157"/>
      <c r="AJ81" s="161">
        <f t="shared" si="1"/>
        <v>0</v>
      </c>
      <c r="AK81" s="167">
        <f t="shared" si="2"/>
        <v>0</v>
      </c>
      <c r="AL81" s="167"/>
      <c r="AM81" s="167"/>
      <c r="AN81" s="339"/>
      <c r="AO81" s="340">
        <f>+IF(AN82=7.75,SUM(M81:S81)+T81*0.75,IF(AN82=8,SUM(M81:T81),IF(AN82=7.25,SUM(M81:S81)+T81*0.25,IF(AN82=8.25,SUM(M81:T81)+U81*0.25,IF(AN82=8.75,SUM(M81:T81)+U81*0.75,0)))))</f>
        <v>86</v>
      </c>
      <c r="AP81" s="167">
        <f>+AO81-AB81</f>
        <v>0</v>
      </c>
      <c r="AQ81" s="167"/>
      <c r="AR81" s="167"/>
      <c r="AS81" s="167"/>
      <c r="AT81" s="434"/>
      <c r="AU81" s="393"/>
      <c r="AW81" s="356"/>
      <c r="AY81" s="356"/>
    </row>
    <row r="82" spans="2:51" s="98" customFormat="1" ht="62.25" hidden="1" customHeight="1" thickBot="1" x14ac:dyDescent="0.95">
      <c r="B82" s="343">
        <f>+B80</f>
        <v>16</v>
      </c>
      <c r="C82" s="375"/>
      <c r="D82" s="378" t="s">
        <v>152</v>
      </c>
      <c r="E82" s="175">
        <f>+E81+100</f>
        <v>116</v>
      </c>
      <c r="F82" s="175"/>
      <c r="G82" s="579" t="str">
        <f>+G79</f>
        <v>7674-739-401</v>
      </c>
      <c r="H82" s="454">
        <f>+AC79-H80</f>
        <v>-5632</v>
      </c>
      <c r="I82" s="397"/>
      <c r="J82" s="165">
        <f>+IF(K82="","",IF(K80=0,"",(K80*J80)/(K82*60)))</f>
        <v>0.86375000000000002</v>
      </c>
      <c r="K82" s="118">
        <v>40</v>
      </c>
      <c r="L82" s="104" t="s">
        <v>19</v>
      </c>
      <c r="M82" s="427">
        <v>1</v>
      </c>
      <c r="N82" s="427">
        <v>1</v>
      </c>
      <c r="O82" s="427"/>
      <c r="P82" s="427"/>
      <c r="Q82" s="427"/>
      <c r="R82" s="427"/>
      <c r="S82" s="427"/>
      <c r="T82" s="427"/>
      <c r="U82" s="427"/>
      <c r="V82" s="427"/>
      <c r="W82" s="428"/>
      <c r="X82" s="173"/>
      <c r="Y82" s="441"/>
      <c r="Z82" s="401">
        <v>11.986700000000001</v>
      </c>
      <c r="AA82" s="168">
        <f>+IF(COUNTA(M80:W80)=$AM$4+0.25,$AM$4-(AB80/K80),COUNTA(M80:W80)-(AB80/K80))+Z82</f>
        <v>12.420033333333334</v>
      </c>
      <c r="AB82" s="444">
        <f t="shared" si="33"/>
        <v>2</v>
      </c>
      <c r="AC82" s="139"/>
      <c r="AD82" s="139"/>
      <c r="AE82" s="441"/>
      <c r="AF82" s="441"/>
      <c r="AG82" s="119">
        <f>+IFERROR(AG80/(K80*$AT$3),"")</f>
        <v>2.1028571428571428</v>
      </c>
      <c r="AH82" s="162"/>
      <c r="AI82" s="161"/>
      <c r="AJ82" s="161">
        <f t="shared" si="1"/>
        <v>0</v>
      </c>
      <c r="AK82" s="167">
        <f t="shared" si="2"/>
        <v>0</v>
      </c>
      <c r="AL82" s="167"/>
      <c r="AM82" s="230"/>
      <c r="AN82" s="342">
        <f>+$AM$4</f>
        <v>8.25</v>
      </c>
      <c r="AO82" s="340">
        <f>+IF(AN82=7.75,SUM(M82:S82)+T82*0.75,IF(AN82=8,SUM(M82:T82),IF(AN82=7.25,SUM(M82:S82)+T82*0.25,IF(AN82=8.25,SUM(M82:T82)+U82*0.25,IF(AN82=8.75,SUM(M82:T82)+U82*0.75,0)))))</f>
        <v>2</v>
      </c>
      <c r="AP82" s="167">
        <f>+AO82-AB82</f>
        <v>0</v>
      </c>
      <c r="AQ82" s="167"/>
      <c r="AR82" s="167"/>
      <c r="AS82" s="167"/>
      <c r="AT82" s="435"/>
      <c r="AU82" s="393"/>
      <c r="AW82" s="356">
        <v>1.7104761904761905</v>
      </c>
      <c r="AY82" s="356"/>
    </row>
    <row r="83" spans="2:51" s="98" customFormat="1" ht="62.25" hidden="1" customHeight="1" thickTop="1" x14ac:dyDescent="0.9">
      <c r="B83" s="97">
        <f>+B84</f>
        <v>17</v>
      </c>
      <c r="C83" s="370"/>
      <c r="D83" s="106"/>
      <c r="E83" s="106"/>
      <c r="F83" s="106"/>
      <c r="G83" s="577" t="s">
        <v>436</v>
      </c>
      <c r="H83" s="106"/>
      <c r="I83" s="111"/>
      <c r="J83" s="107" t="s">
        <v>20</v>
      </c>
      <c r="K83" s="108" t="s">
        <v>23</v>
      </c>
      <c r="L83" s="100" t="s">
        <v>21</v>
      </c>
      <c r="M83" s="423">
        <v>60</v>
      </c>
      <c r="N83" s="423">
        <v>60</v>
      </c>
      <c r="O83" s="423">
        <v>60</v>
      </c>
      <c r="P83" s="423"/>
      <c r="Q83" s="423"/>
      <c r="R83" s="423"/>
      <c r="S83" s="423"/>
      <c r="T83" s="423"/>
      <c r="U83" s="423"/>
      <c r="V83" s="423"/>
      <c r="W83" s="423"/>
      <c r="X83" s="135">
        <f>IF(AT84="","",SUM(M83:W83)-(-(AT84-SUM(M83:W83))/$AT$3)*SUM($M$2:$W$2))</f>
        <v>180</v>
      </c>
      <c r="Y83" s="438"/>
      <c r="Z83" s="400">
        <v>0.25</v>
      </c>
      <c r="AA83" s="540">
        <f>+X85</f>
        <v>0</v>
      </c>
      <c r="AB83" s="135">
        <f t="shared" si="30"/>
        <v>180</v>
      </c>
      <c r="AC83" s="136">
        <f>+AD83+AB83</f>
        <v>9542</v>
      </c>
      <c r="AD83" s="136">
        <v>9362</v>
      </c>
      <c r="AE83" s="438"/>
      <c r="AF83" s="438"/>
      <c r="AG83" s="109"/>
      <c r="AH83" s="110"/>
      <c r="AI83" s="157"/>
      <c r="AJ83" s="161">
        <f t="shared" si="1"/>
        <v>0</v>
      </c>
      <c r="AK83" s="167">
        <f t="shared" si="2"/>
        <v>0</v>
      </c>
      <c r="AL83" s="167"/>
      <c r="AM83" s="167"/>
      <c r="AN83" s="339"/>
      <c r="AO83" s="340"/>
      <c r="AP83" s="167"/>
      <c r="AQ83" s="167"/>
      <c r="AR83" s="167"/>
      <c r="AS83" s="167"/>
      <c r="AT83" s="432"/>
      <c r="AU83" s="393"/>
      <c r="AW83" s="356"/>
      <c r="AY83" s="356"/>
    </row>
    <row r="84" spans="2:51" s="98" customFormat="1" ht="62.25" hidden="1" customHeight="1" x14ac:dyDescent="0.9">
      <c r="B84" s="132">
        <v>17</v>
      </c>
      <c r="C84" s="371">
        <f>+B84</f>
        <v>17</v>
      </c>
      <c r="D84" s="372" t="s">
        <v>435</v>
      </c>
      <c r="E84" s="111"/>
      <c r="F84" s="111" t="s">
        <v>35</v>
      </c>
      <c r="G84" s="578" t="str">
        <f>+G83</f>
        <v>2628-510-630</v>
      </c>
      <c r="H84" s="450">
        <v>10010</v>
      </c>
      <c r="I84" s="111" t="s">
        <v>33</v>
      </c>
      <c r="J84" s="113">
        <v>44.34</v>
      </c>
      <c r="K84" s="130">
        <v>53</v>
      </c>
      <c r="L84" s="101" t="s">
        <v>17</v>
      </c>
      <c r="M84" s="214">
        <v>53</v>
      </c>
      <c r="N84" s="214">
        <v>53</v>
      </c>
      <c r="O84" s="214"/>
      <c r="P84" s="214"/>
      <c r="Q84" s="214"/>
      <c r="R84" s="214"/>
      <c r="S84" s="214"/>
      <c r="T84" s="214"/>
      <c r="U84" s="214"/>
      <c r="V84" s="214"/>
      <c r="W84" s="424"/>
      <c r="X84" s="123">
        <f>+IF(H85="s",0,IF(AB84=0,0,IF(COUNTA(M84:W84)=AN86+0.75,SUMIF($C:$C,B84,$AB:$AB)/AN86,SUMIF($C:$C,B84,$AB:$AB)/(COUNTA(M84:W84)))))</f>
        <v>53</v>
      </c>
      <c r="Y84" s="439"/>
      <c r="Z84" s="400"/>
      <c r="AA84" s="541"/>
      <c r="AB84" s="134">
        <f t="shared" si="30"/>
        <v>106</v>
      </c>
      <c r="AC84" s="137">
        <f>+AB84+AD84</f>
        <v>8770</v>
      </c>
      <c r="AD84" s="137">
        <v>8664</v>
      </c>
      <c r="AE84" s="439">
        <v>0</v>
      </c>
      <c r="AF84" s="439">
        <f>+AE84+Y84</f>
        <v>0</v>
      </c>
      <c r="AG84" s="140">
        <f>+AC83-AC84</f>
        <v>772</v>
      </c>
      <c r="AH84" s="131">
        <f>+IF(((AB85+(AB86/2))*60)=0,"",(J84*AB84)/((AB85+(AB86/2))*60))</f>
        <v>0.84230107526881715</v>
      </c>
      <c r="AI84" s="161">
        <f>+AB85+AB86/2</f>
        <v>93</v>
      </c>
      <c r="AJ84" s="161">
        <f t="shared" si="1"/>
        <v>93</v>
      </c>
      <c r="AK84" s="167">
        <f t="shared" si="2"/>
        <v>5580</v>
      </c>
      <c r="AL84" s="167">
        <f>+AB84*J84</f>
        <v>4700.04</v>
      </c>
      <c r="AM84" s="230">
        <f>+AB84-(AI84*K84/K86)</f>
        <v>-1.1521739130434838</v>
      </c>
      <c r="AN84" s="339"/>
      <c r="AO84" s="340"/>
      <c r="AP84" s="167"/>
      <c r="AQ84" s="167"/>
      <c r="AR84" s="167"/>
      <c r="AS84" s="167"/>
      <c r="AT84" s="433">
        <f t="shared" ref="AT84" si="38">IF(AU84=0,"",AW84-(($AT$3*K84)+($AT$3*K84)*AU84)+AB83)</f>
        <v>-281.375</v>
      </c>
      <c r="AU84" s="393">
        <v>1.5</v>
      </c>
      <c r="AW84" s="356">
        <v>698</v>
      </c>
      <c r="AY84" s="356">
        <f t="shared" ref="AY84" si="39">+AW84-AG84</f>
        <v>-74</v>
      </c>
    </row>
    <row r="85" spans="2:51" s="98" customFormat="1" ht="62.25" hidden="1" customHeight="1" x14ac:dyDescent="0.9">
      <c r="B85" s="125">
        <f>+B84</f>
        <v>17</v>
      </c>
      <c r="C85" s="373"/>
      <c r="D85" s="184"/>
      <c r="E85" s="111">
        <f>+B84</f>
        <v>17</v>
      </c>
      <c r="F85" s="374"/>
      <c r="G85" s="578" t="str">
        <f>+G83</f>
        <v>2628-510-630</v>
      </c>
      <c r="H85" s="376" t="s">
        <v>400</v>
      </c>
      <c r="I85" s="113">
        <f>+IFERROR(IF(K86=0,0,IF((LOOKUP(2,1/(M85:W85&lt;&gt;""),M85:W85)-K86)&lt;0,0,IF(K86=0,"",LOOKUP(2,1/(M85:W85&lt;&gt;""),M85:W85)-K86))),0)</f>
        <v>0</v>
      </c>
      <c r="J85" s="113"/>
      <c r="K85" s="114" t="s">
        <v>22</v>
      </c>
      <c r="L85" s="102" t="s">
        <v>18</v>
      </c>
      <c r="M85" s="425">
        <v>46</v>
      </c>
      <c r="N85" s="425">
        <v>46</v>
      </c>
      <c r="O85" s="425"/>
      <c r="P85" s="425"/>
      <c r="Q85" s="425"/>
      <c r="R85" s="425"/>
      <c r="S85" s="425"/>
      <c r="T85" s="425"/>
      <c r="U85" s="425"/>
      <c r="V85" s="426"/>
      <c r="W85" s="426"/>
      <c r="X85" s="160">
        <f>+IF(H85="l",IF(COUNTA(M84:W84)=AN86+0.75,AB84-K84*AN86,AB84-(K84*COUNTA(M84:W84))),IF(H85="s",0,IF(COUNTA(M84:W84)=AN86+0.75,SUMIF($C:$C,B84,$AB:$AB)-K84*AN86,SUMIF($C:$C,B84,$AB:$AB)-K84*COUNTA(M84:W84))))</f>
        <v>0</v>
      </c>
      <c r="Y85" s="440"/>
      <c r="Z85" s="400"/>
      <c r="AA85" s="541"/>
      <c r="AB85" s="443">
        <f>+SUM(M85:W85)-U85*0.75</f>
        <v>92</v>
      </c>
      <c r="AC85" s="341"/>
      <c r="AD85" s="341"/>
      <c r="AE85" s="440"/>
      <c r="AF85" s="440"/>
      <c r="AG85" s="115"/>
      <c r="AH85" s="116"/>
      <c r="AI85" s="157"/>
      <c r="AJ85" s="161">
        <f t="shared" si="1"/>
        <v>0</v>
      </c>
      <c r="AK85" s="167">
        <f t="shared" si="2"/>
        <v>0</v>
      </c>
      <c r="AL85" s="167"/>
      <c r="AM85" s="167"/>
      <c r="AN85" s="339"/>
      <c r="AO85" s="340">
        <f>+IF(AN86=7.75,SUM(M85:S85)+T85*0.75,IF(AN86=8,SUM(M85:T85),IF(AN86=7.25,SUM(M85:S85)+T85*0.25,IF(AN86=8.25,SUM(M85:T85)+U85*0.25,IF(AN86=8.75,SUM(M85:T85)+U85*0.75,0)))))</f>
        <v>92</v>
      </c>
      <c r="AP85" s="167">
        <f>+AO85-AB85</f>
        <v>0</v>
      </c>
      <c r="AQ85" s="167"/>
      <c r="AR85" s="167"/>
      <c r="AS85" s="167"/>
      <c r="AT85" s="434"/>
      <c r="AU85" s="393"/>
      <c r="AW85" s="356"/>
      <c r="AY85" s="356"/>
    </row>
    <row r="86" spans="2:51" s="98" customFormat="1" ht="62.25" hidden="1" customHeight="1" thickBot="1" x14ac:dyDescent="0.95">
      <c r="B86" s="126">
        <f>+B84</f>
        <v>17</v>
      </c>
      <c r="C86" s="375"/>
      <c r="D86" s="174" t="s">
        <v>379</v>
      </c>
      <c r="E86" s="175">
        <f>+E85+100</f>
        <v>117</v>
      </c>
      <c r="F86" s="175"/>
      <c r="G86" s="579" t="str">
        <f>+G83</f>
        <v>2628-510-630</v>
      </c>
      <c r="H86" s="454">
        <f>+AC83-H84</f>
        <v>-468</v>
      </c>
      <c r="I86" s="397"/>
      <c r="J86" s="165">
        <f>+IF(K86="","",IF(K84=0,"",(K84*J84)/(K86*60)))</f>
        <v>0.85145652173913045</v>
      </c>
      <c r="K86" s="118">
        <v>46</v>
      </c>
      <c r="L86" s="104" t="s">
        <v>19</v>
      </c>
      <c r="M86" s="427">
        <v>1</v>
      </c>
      <c r="N86" s="427">
        <v>1</v>
      </c>
      <c r="O86" s="427"/>
      <c r="P86" s="427"/>
      <c r="Q86" s="427"/>
      <c r="R86" s="427"/>
      <c r="S86" s="427"/>
      <c r="T86" s="427"/>
      <c r="U86" s="427"/>
      <c r="V86" s="428"/>
      <c r="W86" s="428"/>
      <c r="X86" s="173"/>
      <c r="Y86" s="441"/>
      <c r="Z86" s="401">
        <v>41.323268679526997</v>
      </c>
      <c r="AA86" s="169">
        <v>41.323268679526997</v>
      </c>
      <c r="AB86" s="444">
        <f t="shared" si="33"/>
        <v>2</v>
      </c>
      <c r="AC86" s="139"/>
      <c r="AD86" s="139"/>
      <c r="AE86" s="441"/>
      <c r="AF86" s="441"/>
      <c r="AG86" s="119">
        <f>+IFERROR(AG84/(K84*$AT$3),"")</f>
        <v>1.664690026954178</v>
      </c>
      <c r="AH86" s="162"/>
      <c r="AI86" s="161"/>
      <c r="AJ86" s="161">
        <f t="shared" si="1"/>
        <v>0</v>
      </c>
      <c r="AK86" s="167">
        <f t="shared" si="2"/>
        <v>0</v>
      </c>
      <c r="AL86" s="167"/>
      <c r="AM86" s="230"/>
      <c r="AN86" s="342">
        <f>+$AM$4</f>
        <v>8.25</v>
      </c>
      <c r="AO86" s="340">
        <f>+IF(AN86=7.75,SUM(M86:S86)+T86*0.75,IF(AN86=8,SUM(M86:T86),IF(AN86=7.25,SUM(M86:S86)+T86*0.25,IF(AN86=8.25,SUM(M86:T86)+U86*0.25,IF(AN86=8.75,SUM(M86:T86)+U86*0.75,0)))))</f>
        <v>2</v>
      </c>
      <c r="AP86" s="167">
        <f>+AO86-AB86</f>
        <v>0</v>
      </c>
      <c r="AQ86" s="167"/>
      <c r="AR86" s="167"/>
      <c r="AS86" s="167"/>
      <c r="AT86" s="435"/>
      <c r="AU86" s="393"/>
      <c r="AW86" s="356">
        <v>1.5051212938005392</v>
      </c>
      <c r="AY86" s="356"/>
    </row>
    <row r="87" spans="2:51" s="98" customFormat="1" ht="62.25" hidden="1" customHeight="1" thickTop="1" x14ac:dyDescent="0.9">
      <c r="B87" s="127">
        <f>+B88</f>
        <v>18</v>
      </c>
      <c r="C87" s="370"/>
      <c r="D87" s="106"/>
      <c r="E87" s="106"/>
      <c r="F87" s="106"/>
      <c r="G87" s="577" t="s">
        <v>436</v>
      </c>
      <c r="H87" s="106"/>
      <c r="I87" s="106"/>
      <c r="J87" s="107" t="s">
        <v>20</v>
      </c>
      <c r="K87" s="108" t="s">
        <v>23</v>
      </c>
      <c r="L87" s="100" t="s">
        <v>21</v>
      </c>
      <c r="M87" s="423"/>
      <c r="N87" s="423"/>
      <c r="O87" s="423"/>
      <c r="P87" s="423"/>
      <c r="Q87" s="423"/>
      <c r="R87" s="423"/>
      <c r="S87" s="423"/>
      <c r="T87" s="423"/>
      <c r="U87" s="423"/>
      <c r="V87" s="423"/>
      <c r="W87" s="423"/>
      <c r="X87" s="135" t="str">
        <f>IF(AT88="","",SUM(M87:W87)-(-(AT88-SUM(M87:W87))/$AT$3)*SUM($M$2:$W$2))</f>
        <v/>
      </c>
      <c r="Y87" s="438"/>
      <c r="Z87" s="400">
        <v>-71.75</v>
      </c>
      <c r="AA87" s="540">
        <f>+X89</f>
        <v>-6</v>
      </c>
      <c r="AB87" s="135">
        <f t="shared" si="30"/>
        <v>0</v>
      </c>
      <c r="AC87" s="136">
        <f>+AD87+AB87</f>
        <v>10340</v>
      </c>
      <c r="AD87" s="136">
        <v>10340</v>
      </c>
      <c r="AE87" s="438"/>
      <c r="AF87" s="438"/>
      <c r="AG87" s="109"/>
      <c r="AH87" s="110"/>
      <c r="AI87" s="157"/>
      <c r="AJ87" s="161">
        <f t="shared" ref="AJ87:AJ102" si="40">TRUNC(AI87)+(AI87-TRUNC(AI87))*60/100</f>
        <v>0</v>
      </c>
      <c r="AK87" s="167">
        <f t="shared" ref="AK87:AK102" si="41">+AI87*60</f>
        <v>0</v>
      </c>
      <c r="AL87" s="167"/>
      <c r="AM87" s="167"/>
      <c r="AN87" s="339"/>
      <c r="AO87" s="340"/>
      <c r="AP87" s="167"/>
      <c r="AQ87" s="167"/>
      <c r="AR87" s="167"/>
      <c r="AS87" s="167"/>
      <c r="AT87" s="432"/>
      <c r="AU87" s="393"/>
      <c r="AW87" s="356"/>
      <c r="AY87" s="356"/>
    </row>
    <row r="88" spans="2:51" s="98" customFormat="1" ht="62.25" hidden="1" customHeight="1" x14ac:dyDescent="0.9">
      <c r="B88" s="133">
        <v>18</v>
      </c>
      <c r="C88" s="371">
        <f>+B88</f>
        <v>18</v>
      </c>
      <c r="D88" s="372" t="s">
        <v>435</v>
      </c>
      <c r="E88" s="111"/>
      <c r="F88" s="111" t="s">
        <v>35</v>
      </c>
      <c r="G88" s="578" t="str">
        <f t="shared" ref="G88:G98" si="42">+G87</f>
        <v>2628-510-630</v>
      </c>
      <c r="H88" s="450">
        <v>10340</v>
      </c>
      <c r="I88" s="111" t="s">
        <v>33</v>
      </c>
      <c r="J88" s="113">
        <v>44.34</v>
      </c>
      <c r="K88" s="130">
        <v>53</v>
      </c>
      <c r="L88" s="101" t="s">
        <v>17</v>
      </c>
      <c r="M88" s="424">
        <v>50</v>
      </c>
      <c r="N88" s="424">
        <v>50</v>
      </c>
      <c r="O88" s="424"/>
      <c r="P88" s="424"/>
      <c r="Q88" s="424"/>
      <c r="R88" s="424"/>
      <c r="S88" s="424"/>
      <c r="T88" s="424"/>
      <c r="U88" s="424"/>
      <c r="V88" s="424"/>
      <c r="W88" s="424"/>
      <c r="X88" s="123">
        <f>+IF(H89="s",0,IF(AB88=0,0,IF(COUNTA(M88:W88)=AN90+0.75,SUMIF($C:$C,B88,$AB:$AB)/AN90,SUMIF($C:$C,B88,$AB:$AB)/(COUNTA(M88:W88)))))</f>
        <v>50</v>
      </c>
      <c r="Y88" s="439"/>
      <c r="Z88" s="400"/>
      <c r="AA88" s="541"/>
      <c r="AB88" s="134">
        <f t="shared" si="30"/>
        <v>100</v>
      </c>
      <c r="AC88" s="137">
        <f>+AB88+AD88</f>
        <v>9626</v>
      </c>
      <c r="AD88" s="137">
        <v>9526</v>
      </c>
      <c r="AE88" s="439">
        <v>0</v>
      </c>
      <c r="AF88" s="439">
        <f>+AE88+Y88</f>
        <v>0</v>
      </c>
      <c r="AG88" s="140">
        <f>+AC87-AC88</f>
        <v>714</v>
      </c>
      <c r="AH88" s="131">
        <f>+IF(((AB89+(AB90/2))*60)=0,"",(J88*AB88)/((AB89+(AB90/2))*60))</f>
        <v>0.79462365591397854</v>
      </c>
      <c r="AI88" s="161">
        <f>+AB89+AB90/2</f>
        <v>93</v>
      </c>
      <c r="AJ88" s="161">
        <f t="shared" si="40"/>
        <v>93</v>
      </c>
      <c r="AK88" s="167">
        <f t="shared" si="41"/>
        <v>5580</v>
      </c>
      <c r="AL88" s="167">
        <f>+AB88*J88</f>
        <v>4434</v>
      </c>
      <c r="AM88" s="230">
        <f>+AB88-(AI88*K88/K90)</f>
        <v>-7.1521739130434838</v>
      </c>
      <c r="AN88" s="339"/>
      <c r="AO88" s="340"/>
      <c r="AP88" s="167"/>
      <c r="AQ88" s="167"/>
      <c r="AR88" s="167"/>
      <c r="AS88" s="167"/>
      <c r="AT88" s="433" t="str">
        <f t="shared" ref="AT88" si="43">IF(AU88=0,"",AW88-(($AT$3*K88)+($AT$3*K88)*AU88)+AB87)</f>
        <v/>
      </c>
      <c r="AU88" s="393"/>
      <c r="AW88" s="356">
        <v>814</v>
      </c>
      <c r="AY88" s="356">
        <f t="shared" ref="AY88" si="44">+AW88-AG88</f>
        <v>100</v>
      </c>
    </row>
    <row r="89" spans="2:51" s="98" customFormat="1" ht="62.25" hidden="1" customHeight="1" x14ac:dyDescent="0.9">
      <c r="B89" s="125">
        <f>+B88</f>
        <v>18</v>
      </c>
      <c r="C89" s="373"/>
      <c r="D89" s="184"/>
      <c r="E89" s="111">
        <f>+B88</f>
        <v>18</v>
      </c>
      <c r="F89" s="374"/>
      <c r="G89" s="578" t="str">
        <f t="shared" si="42"/>
        <v>2628-510-630</v>
      </c>
      <c r="H89" s="376" t="s">
        <v>400</v>
      </c>
      <c r="I89" s="113">
        <f>+IFERROR(IF(K90=0,0,IF((LOOKUP(2,1/(M89:W89&lt;&gt;""),M89:W89)-K90)&lt;0,0,IF(K90=0,"",LOOKUP(2,1/(M89:W89&lt;&gt;""),M89:W89)-K90))),0)</f>
        <v>0</v>
      </c>
      <c r="J89" s="113"/>
      <c r="K89" s="114" t="s">
        <v>22</v>
      </c>
      <c r="L89" s="102" t="s">
        <v>18</v>
      </c>
      <c r="M89" s="425">
        <v>46</v>
      </c>
      <c r="N89" s="425">
        <v>46</v>
      </c>
      <c r="O89" s="425"/>
      <c r="P89" s="425"/>
      <c r="Q89" s="425"/>
      <c r="R89" s="425"/>
      <c r="S89" s="425"/>
      <c r="T89" s="425"/>
      <c r="U89" s="425"/>
      <c r="V89" s="425"/>
      <c r="W89" s="425"/>
      <c r="X89" s="160">
        <f>+IF(H89="l",IF(COUNTA(M88:W88)=AN90+0.75,AB88-K88*AN90,AB88-(K88*COUNTA(M88:W88))),IF(H89="s",0,IF(COUNTA(M88:W88)=AN90+0.75,SUMIF($C:$C,B88,$AB:$AB)-K88*AN90,SUMIF($C:$C,B88,$AB:$AB)-K88*COUNTA(M88:W88))))</f>
        <v>-6</v>
      </c>
      <c r="Y89" s="440"/>
      <c r="Z89" s="400"/>
      <c r="AA89" s="541"/>
      <c r="AB89" s="443">
        <f>+SUM(M89:W89)-U89*0.75</f>
        <v>92</v>
      </c>
      <c r="AC89" s="138"/>
      <c r="AD89" s="138"/>
      <c r="AE89" s="442"/>
      <c r="AF89" s="440"/>
      <c r="AG89" s="115"/>
      <c r="AH89" s="116"/>
      <c r="AI89" s="157"/>
      <c r="AJ89" s="161">
        <f t="shared" si="40"/>
        <v>0</v>
      </c>
      <c r="AK89" s="167">
        <f t="shared" si="41"/>
        <v>0</v>
      </c>
      <c r="AL89" s="167"/>
      <c r="AM89" s="167"/>
      <c r="AN89" s="339"/>
      <c r="AO89" s="340">
        <f>+IF(AN90=7.75,SUM(M89:S89)+T89*0.75,IF(AN90=8,SUM(M89:T89),IF(AN90=7.25,SUM(M89:S89)+T89*0.25,IF(AN90=8.25,SUM(M89:T89)+U89*0.25,IF(AN90=8.75,SUM(M89:T89)+U89*0.75,0)))))</f>
        <v>92</v>
      </c>
      <c r="AP89" s="167">
        <f>+AO89-AB89</f>
        <v>0</v>
      </c>
      <c r="AQ89" s="167"/>
      <c r="AR89" s="167"/>
      <c r="AS89" s="167"/>
      <c r="AT89" s="434"/>
      <c r="AU89" s="393"/>
      <c r="AW89" s="356"/>
      <c r="AY89" s="356"/>
    </row>
    <row r="90" spans="2:51" s="98" customFormat="1" ht="62.25" hidden="1" customHeight="1" thickBot="1" x14ac:dyDescent="0.95">
      <c r="B90" s="343">
        <f>+B88</f>
        <v>18</v>
      </c>
      <c r="C90" s="375"/>
      <c r="D90" s="378" t="s">
        <v>406</v>
      </c>
      <c r="E90" s="175">
        <f>+E89+100</f>
        <v>118</v>
      </c>
      <c r="F90" s="175"/>
      <c r="G90" s="579" t="str">
        <f t="shared" si="42"/>
        <v>2628-510-630</v>
      </c>
      <c r="H90" s="454">
        <f>+AC87-H88</f>
        <v>0</v>
      </c>
      <c r="I90" s="397"/>
      <c r="J90" s="165">
        <f>+IF(K90="","",IF(K88=0,"",(K88*J88)/(K90*60)))</f>
        <v>0.85145652173913045</v>
      </c>
      <c r="K90" s="118">
        <v>46</v>
      </c>
      <c r="L90" s="104" t="s">
        <v>19</v>
      </c>
      <c r="M90" s="428">
        <v>1</v>
      </c>
      <c r="N90" s="428">
        <v>1</v>
      </c>
      <c r="O90" s="428"/>
      <c r="P90" s="428"/>
      <c r="Q90" s="428"/>
      <c r="R90" s="428"/>
      <c r="S90" s="428"/>
      <c r="T90" s="428"/>
      <c r="U90" s="428"/>
      <c r="V90" s="428"/>
      <c r="W90" s="428"/>
      <c r="X90" s="173"/>
      <c r="Y90" s="441"/>
      <c r="Z90" s="401">
        <v>40.950645170328073</v>
      </c>
      <c r="AA90" s="401">
        <v>40.950645170328073</v>
      </c>
      <c r="AB90" s="444">
        <f t="shared" si="33"/>
        <v>2</v>
      </c>
      <c r="AC90" s="139"/>
      <c r="AD90" s="139"/>
      <c r="AE90" s="441"/>
      <c r="AF90" s="441"/>
      <c r="AG90" s="119">
        <f>+IFERROR(AG88/(K88*$AT$3),"")</f>
        <v>1.5396226415094341</v>
      </c>
      <c r="AH90" s="162"/>
      <c r="AI90" s="161"/>
      <c r="AJ90" s="161">
        <f t="shared" si="40"/>
        <v>0</v>
      </c>
      <c r="AK90" s="167">
        <f t="shared" si="41"/>
        <v>0</v>
      </c>
      <c r="AL90" s="167"/>
      <c r="AM90" s="230"/>
      <c r="AN90" s="342">
        <f>+$AM$4</f>
        <v>8.25</v>
      </c>
      <c r="AO90" s="340">
        <f>+IF(AN90=7.75,SUM(M90:S90)+T90*0.75,IF(AN90=8,SUM(M90:T90),IF(AN90=7.25,SUM(M90:S90)+T90*0.25,IF(AN90=8.25,SUM(M90:T90)+U90*0.25,IF(AN90=8.75,SUM(M90:T90)+U90*0.75,0)))))</f>
        <v>2</v>
      </c>
      <c r="AP90" s="167">
        <f>+AO90-AB90</f>
        <v>0</v>
      </c>
      <c r="AQ90" s="167"/>
      <c r="AR90" s="167"/>
      <c r="AS90" s="167"/>
      <c r="AT90" s="435"/>
      <c r="AU90" s="393"/>
      <c r="AW90" s="356">
        <v>1.755256064690027</v>
      </c>
      <c r="AY90" s="356"/>
    </row>
    <row r="91" spans="2:51" s="98" customFormat="1" ht="62.25" hidden="1" customHeight="1" thickTop="1" x14ac:dyDescent="0.9">
      <c r="B91" s="127">
        <f>+B92</f>
        <v>18</v>
      </c>
      <c r="C91" s="370"/>
      <c r="D91" s="106"/>
      <c r="E91" s="106"/>
      <c r="F91" s="106"/>
      <c r="G91" s="577" t="s">
        <v>495</v>
      </c>
      <c r="H91" s="106"/>
      <c r="I91" s="106"/>
      <c r="J91" s="107" t="s">
        <v>20</v>
      </c>
      <c r="K91" s="108" t="s">
        <v>23</v>
      </c>
      <c r="L91" s="100" t="s">
        <v>21</v>
      </c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23"/>
      <c r="X91" s="135">
        <f>IF(AT92="","",SUM(M91:W91)-(-(AT92-SUM(M91:W91))/$AT$3)*SUM($M$2:$W$2))</f>
        <v>0</v>
      </c>
      <c r="Y91" s="438"/>
      <c r="Z91" s="400"/>
      <c r="AA91" s="540">
        <f>+X93</f>
        <v>0</v>
      </c>
      <c r="AB91" s="135">
        <f t="shared" ref="AB91:AB92" si="45">+SUM(L91:W91)</f>
        <v>0</v>
      </c>
      <c r="AC91" s="136">
        <f>+AD91+AB91</f>
        <v>0</v>
      </c>
      <c r="AD91" s="136"/>
      <c r="AE91" s="438"/>
      <c r="AF91" s="438"/>
      <c r="AG91" s="109"/>
      <c r="AH91" s="110"/>
      <c r="AI91" s="157"/>
      <c r="AJ91" s="161">
        <f t="shared" ref="AJ91:AJ94" si="46">TRUNC(AI91)+(AI91-TRUNC(AI91))*60/100</f>
        <v>0</v>
      </c>
      <c r="AK91" s="167">
        <f t="shared" ref="AK91:AK94" si="47">+AI91*60</f>
        <v>0</v>
      </c>
      <c r="AL91" s="167"/>
      <c r="AM91" s="167"/>
      <c r="AN91" s="339"/>
      <c r="AO91" s="340"/>
      <c r="AP91" s="167"/>
      <c r="AQ91" s="167"/>
      <c r="AR91" s="167"/>
      <c r="AS91" s="167"/>
      <c r="AT91" s="432"/>
      <c r="AU91" s="393"/>
      <c r="AW91" s="356"/>
      <c r="AY91" s="356"/>
    </row>
    <row r="92" spans="2:51" s="98" customFormat="1" ht="62.25" hidden="1" customHeight="1" x14ac:dyDescent="0.9">
      <c r="B92" s="133">
        <v>18</v>
      </c>
      <c r="C92" s="371">
        <f>+B92</f>
        <v>18</v>
      </c>
      <c r="D92" s="372" t="s">
        <v>494</v>
      </c>
      <c r="E92" s="111"/>
      <c r="F92" s="111" t="s">
        <v>35</v>
      </c>
      <c r="G92" s="578" t="str">
        <f t="shared" si="42"/>
        <v>7755-463-251</v>
      </c>
      <c r="H92" s="450"/>
      <c r="I92" s="111" t="s">
        <v>251</v>
      </c>
      <c r="J92" s="113"/>
      <c r="K92" s="130"/>
      <c r="L92" s="101" t="s">
        <v>17</v>
      </c>
      <c r="M92" s="424"/>
      <c r="N92" s="424"/>
      <c r="O92" s="424"/>
      <c r="P92" s="424"/>
      <c r="Q92" s="424"/>
      <c r="R92" s="424"/>
      <c r="S92" s="424"/>
      <c r="T92" s="424"/>
      <c r="U92" s="424"/>
      <c r="V92" s="424"/>
      <c r="W92" s="424"/>
      <c r="X92" s="123">
        <f>+IF(H93="s",0,IF(AB92=0,0,IF(COUNTA(M92:W92)=AN94+0.75,SUMIF($C:$C,B92,$AB:$AB)/AN94,SUMIF($C:$C,B92,$AB:$AB)/(COUNTA(M92:W92)))))</f>
        <v>0</v>
      </c>
      <c r="Y92" s="439"/>
      <c r="Z92" s="400"/>
      <c r="AA92" s="541"/>
      <c r="AB92" s="134">
        <f t="shared" si="45"/>
        <v>0</v>
      </c>
      <c r="AC92" s="137">
        <f>+AB92+AD92</f>
        <v>0</v>
      </c>
      <c r="AD92" s="137"/>
      <c r="AE92" s="439">
        <v>0</v>
      </c>
      <c r="AF92" s="439">
        <f>+AE92+Y92</f>
        <v>0</v>
      </c>
      <c r="AG92" s="140">
        <f>+AC91-AC92</f>
        <v>0</v>
      </c>
      <c r="AH92" s="131" t="str">
        <f>+IF(((AB93+(AB94/2))*60)=0,"",(J92*AB92)/((AB93+(AB94/2))*60))</f>
        <v/>
      </c>
      <c r="AI92" s="161">
        <f>+AB93+AB94/2</f>
        <v>0</v>
      </c>
      <c r="AJ92" s="161">
        <f t="shared" si="46"/>
        <v>0</v>
      </c>
      <c r="AK92" s="167">
        <f t="shared" si="47"/>
        <v>0</v>
      </c>
      <c r="AL92" s="167">
        <f>+AB92*J92</f>
        <v>0</v>
      </c>
      <c r="AM92" s="230" t="e">
        <f>+AB92-(AI92*K92/K94)</f>
        <v>#DIV/0!</v>
      </c>
      <c r="AN92" s="339"/>
      <c r="AO92" s="340"/>
      <c r="AP92" s="167"/>
      <c r="AQ92" s="167"/>
      <c r="AR92" s="167"/>
      <c r="AS92" s="167"/>
      <c r="AT92" s="433">
        <f>-300+AB91</f>
        <v>-300</v>
      </c>
      <c r="AU92" s="393">
        <v>1.5</v>
      </c>
      <c r="AW92" s="356">
        <v>0</v>
      </c>
      <c r="AY92" s="356">
        <f t="shared" ref="AY92" si="48">+AW92-AG92</f>
        <v>0</v>
      </c>
    </row>
    <row r="93" spans="2:51" s="98" customFormat="1" ht="62.25" hidden="1" customHeight="1" x14ac:dyDescent="0.9">
      <c r="B93" s="125">
        <f>+B92</f>
        <v>18</v>
      </c>
      <c r="C93" s="373"/>
      <c r="D93" s="184"/>
      <c r="E93" s="111">
        <f>+B92</f>
        <v>18</v>
      </c>
      <c r="F93" s="374"/>
      <c r="G93" s="578" t="str">
        <f t="shared" si="42"/>
        <v>7755-463-251</v>
      </c>
      <c r="H93" s="376" t="s">
        <v>400</v>
      </c>
      <c r="I93" s="113">
        <f>+IFERROR(IF(K94=0,0,IF((LOOKUP(2,1/(M93:W93&lt;&gt;""),M93:W93)-K94)&lt;0,0,IF(K94=0,"",LOOKUP(2,1/(M93:W93&lt;&gt;""),M93:W93)-K94))),0)</f>
        <v>0</v>
      </c>
      <c r="J93" s="113"/>
      <c r="K93" s="114" t="s">
        <v>22</v>
      </c>
      <c r="L93" s="102" t="s">
        <v>18</v>
      </c>
      <c r="M93" s="425"/>
      <c r="N93" s="425"/>
      <c r="O93" s="425"/>
      <c r="P93" s="425"/>
      <c r="Q93" s="425"/>
      <c r="R93" s="425"/>
      <c r="S93" s="425"/>
      <c r="T93" s="425"/>
      <c r="U93" s="425"/>
      <c r="V93" s="425"/>
      <c r="W93" s="425"/>
      <c r="X93" s="160">
        <f>+IF(H93="l",IF(COUNTA(M92:W92)=AN94+0.75,AB92-K92*AN94,AB92-(K92*COUNTA(M92:W92))),IF(H93="s",0,IF(COUNTA(M92:W92)=AN94+0.75,SUMIF($C:$C,B92,$AB:$AB)-K92*AN94,SUMIF($C:$C,B92,$AB:$AB)-K92*COUNTA(M92:W92))))</f>
        <v>0</v>
      </c>
      <c r="Y93" s="440"/>
      <c r="Z93" s="400"/>
      <c r="AA93" s="541"/>
      <c r="AB93" s="443">
        <f>+SUM(M93:W93)-U93*0.75</f>
        <v>0</v>
      </c>
      <c r="AC93" s="138"/>
      <c r="AD93" s="138"/>
      <c r="AE93" s="442"/>
      <c r="AF93" s="440"/>
      <c r="AG93" s="115"/>
      <c r="AH93" s="116"/>
      <c r="AI93" s="157"/>
      <c r="AJ93" s="161">
        <f t="shared" si="46"/>
        <v>0</v>
      </c>
      <c r="AK93" s="167">
        <f t="shared" si="47"/>
        <v>0</v>
      </c>
      <c r="AL93" s="167"/>
      <c r="AM93" s="167"/>
      <c r="AN93" s="339"/>
      <c r="AO93" s="340">
        <f>+IF(AN94=7.75,SUM(M93:S93)+T93*0.75,IF(AN94=8,SUM(M93:T93),IF(AN94=7.25,SUM(M93:S93)+T93*0.25,IF(AN94=8.25,SUM(M93:T93)+U93*0.25,IF(AN94=8.75,SUM(M93:T93)+U93*0.75,0)))))</f>
        <v>0</v>
      </c>
      <c r="AP93" s="167">
        <f>+AO93-AB93</f>
        <v>0</v>
      </c>
      <c r="AQ93" s="167"/>
      <c r="AR93" s="167"/>
      <c r="AS93" s="167"/>
      <c r="AT93" s="434"/>
      <c r="AU93" s="393"/>
      <c r="AW93" s="356"/>
      <c r="AY93" s="356"/>
    </row>
    <row r="94" spans="2:51" s="98" customFormat="1" ht="62.25" hidden="1" customHeight="1" thickBot="1" x14ac:dyDescent="0.95">
      <c r="B94" s="343">
        <f>+B92</f>
        <v>18</v>
      </c>
      <c r="C94" s="375"/>
      <c r="D94" s="378" t="s">
        <v>406</v>
      </c>
      <c r="E94" s="175">
        <f>+E93+100</f>
        <v>118</v>
      </c>
      <c r="F94" s="175"/>
      <c r="G94" s="579" t="str">
        <f t="shared" si="42"/>
        <v>7755-463-251</v>
      </c>
      <c r="H94" s="454">
        <f>+AC91-H92</f>
        <v>0</v>
      </c>
      <c r="I94" s="397"/>
      <c r="J94" s="165" t="str">
        <f>+IF(K94="","",IF(K92=0,"",(K92*J92)/(K94*60)))</f>
        <v/>
      </c>
      <c r="K94" s="118"/>
      <c r="L94" s="104" t="s">
        <v>19</v>
      </c>
      <c r="M94" s="428"/>
      <c r="N94" s="428"/>
      <c r="O94" s="428"/>
      <c r="P94" s="428"/>
      <c r="Q94" s="428"/>
      <c r="R94" s="428"/>
      <c r="S94" s="428"/>
      <c r="T94" s="428"/>
      <c r="U94" s="428"/>
      <c r="V94" s="428"/>
      <c r="W94" s="428"/>
      <c r="X94" s="173"/>
      <c r="Y94" s="441"/>
      <c r="Z94" s="401"/>
      <c r="AA94" s="168" t="e">
        <f>+IF(COUNTA(M92:W92)=$AM$4+0.25,$AM$4-(AB92/K92),COUNTA(M92:W92)-(AB92/K92))+Z94</f>
        <v>#DIV/0!</v>
      </c>
      <c r="AB94" s="444">
        <f t="shared" ref="AB94" si="49">+SUM(M94:W94)-U94*0.75</f>
        <v>0</v>
      </c>
      <c r="AC94" s="139"/>
      <c r="AD94" s="139"/>
      <c r="AE94" s="441"/>
      <c r="AF94" s="441"/>
      <c r="AG94" s="119" t="str">
        <f>+IFERROR(AG92/(K92*$AT$3),"")</f>
        <v/>
      </c>
      <c r="AH94" s="162"/>
      <c r="AI94" s="161"/>
      <c r="AJ94" s="161">
        <f t="shared" si="46"/>
        <v>0</v>
      </c>
      <c r="AK94" s="167">
        <f t="shared" si="47"/>
        <v>0</v>
      </c>
      <c r="AL94" s="167"/>
      <c r="AM94" s="230"/>
      <c r="AN94" s="342">
        <f>+$AM$4</f>
        <v>8.25</v>
      </c>
      <c r="AO94" s="340">
        <f>+IF(AN94=7.75,SUM(M94:S94)+T94*0.75,IF(AN94=8,SUM(M94:T94),IF(AN94=7.25,SUM(M94:S94)+T94*0.25,IF(AN94=8.25,SUM(M94:T94)+U94*0.25,IF(AN94=8.75,SUM(M94:T94)+U94*0.75,0)))))</f>
        <v>0</v>
      </c>
      <c r="AP94" s="167">
        <f>+AO94-AB94</f>
        <v>0</v>
      </c>
      <c r="AQ94" s="167"/>
      <c r="AR94" s="167"/>
      <c r="AS94" s="167"/>
      <c r="AT94" s="435"/>
      <c r="AU94" s="393"/>
      <c r="AW94" s="356" t="s">
        <v>429</v>
      </c>
      <c r="AY94" s="356"/>
    </row>
    <row r="95" spans="2:51" s="98" customFormat="1" ht="62.25" hidden="1" customHeight="1" thickTop="1" x14ac:dyDescent="0.9">
      <c r="B95" s="127">
        <f>+B96</f>
        <v>20</v>
      </c>
      <c r="C95" s="370"/>
      <c r="D95" s="106"/>
      <c r="E95" s="106"/>
      <c r="F95" s="106"/>
      <c r="G95" s="577" t="s">
        <v>477</v>
      </c>
      <c r="H95" s="106"/>
      <c r="I95" s="106"/>
      <c r="J95" s="107" t="s">
        <v>20</v>
      </c>
      <c r="K95" s="108" t="s">
        <v>23</v>
      </c>
      <c r="L95" s="100" t="s">
        <v>21</v>
      </c>
      <c r="M95" s="423"/>
      <c r="N95" s="423"/>
      <c r="O95" s="423"/>
      <c r="P95" s="423"/>
      <c r="Q95" s="423"/>
      <c r="R95" s="423"/>
      <c r="S95" s="423"/>
      <c r="T95" s="423"/>
      <c r="U95" s="423"/>
      <c r="V95" s="423"/>
      <c r="W95" s="423"/>
      <c r="X95" s="135" t="str">
        <f>IF(AT96="","",SUM(M95:W95)-(-(AT96-SUM(M95:W95))/$AT$3)*SUM($M$2:$W$2))</f>
        <v/>
      </c>
      <c r="Y95" s="438"/>
      <c r="Z95" s="400">
        <v>88</v>
      </c>
      <c r="AA95" s="540">
        <f>+X97</f>
        <v>10</v>
      </c>
      <c r="AB95" s="135">
        <f t="shared" si="30"/>
        <v>0</v>
      </c>
      <c r="AC95" s="136">
        <f>+AD95+AB95</f>
        <v>2183</v>
      </c>
      <c r="AD95" s="136">
        <v>2183</v>
      </c>
      <c r="AE95" s="438"/>
      <c r="AF95" s="438"/>
      <c r="AG95" s="109"/>
      <c r="AH95" s="110"/>
      <c r="AI95" s="157"/>
      <c r="AJ95" s="161">
        <f t="shared" si="40"/>
        <v>0</v>
      </c>
      <c r="AK95" s="167">
        <f t="shared" si="41"/>
        <v>0</v>
      </c>
      <c r="AL95" s="167"/>
      <c r="AM95" s="167"/>
      <c r="AN95" s="339"/>
      <c r="AO95" s="340"/>
      <c r="AP95" s="167"/>
      <c r="AQ95" s="167"/>
      <c r="AR95" s="167"/>
      <c r="AS95" s="167"/>
      <c r="AT95" s="432"/>
      <c r="AU95" s="393"/>
      <c r="AW95" s="356"/>
      <c r="AY95" s="356"/>
    </row>
    <row r="96" spans="2:51" s="98" customFormat="1" ht="62.25" hidden="1" customHeight="1" x14ac:dyDescent="0.9">
      <c r="B96" s="133">
        <v>20</v>
      </c>
      <c r="C96" s="371">
        <f>+B96</f>
        <v>20</v>
      </c>
      <c r="D96" s="372" t="s">
        <v>478</v>
      </c>
      <c r="E96" s="111"/>
      <c r="F96" s="111" t="s">
        <v>422</v>
      </c>
      <c r="G96" s="578" t="str">
        <f t="shared" si="42"/>
        <v>ADA-Turquaz</v>
      </c>
      <c r="H96" s="450">
        <v>2145</v>
      </c>
      <c r="I96" s="111" t="s">
        <v>252</v>
      </c>
      <c r="J96" s="113">
        <v>13.23</v>
      </c>
      <c r="K96" s="130">
        <v>40</v>
      </c>
      <c r="L96" s="101" t="s">
        <v>17</v>
      </c>
      <c r="M96" s="214">
        <v>50</v>
      </c>
      <c r="N96" s="214">
        <v>40</v>
      </c>
      <c r="O96" s="214"/>
      <c r="P96" s="214"/>
      <c r="Q96" s="214"/>
      <c r="R96" s="214"/>
      <c r="S96" s="214"/>
      <c r="T96" s="214"/>
      <c r="U96" s="214"/>
      <c r="V96" s="214"/>
      <c r="W96" s="214"/>
      <c r="X96" s="123">
        <f>+IF(H97="s",0,IF(AB96=0,0,IF(COUNTA(M96:W96)=AN98+0.75,SUMIF($C:$C,B96,$AB:$AB)/AN98,SUMIF($C:$C,B96,$AB:$AB)/(COUNTA(M96:W96)))))</f>
        <v>45</v>
      </c>
      <c r="Y96" s="439"/>
      <c r="Z96" s="400"/>
      <c r="AA96" s="541"/>
      <c r="AB96" s="134">
        <f t="shared" si="30"/>
        <v>90</v>
      </c>
      <c r="AC96" s="137">
        <f>+AB96+AD96</f>
        <v>2032</v>
      </c>
      <c r="AD96" s="137">
        <v>1942</v>
      </c>
      <c r="AE96" s="439">
        <v>0</v>
      </c>
      <c r="AF96" s="439">
        <f>+AE96+Y96</f>
        <v>0</v>
      </c>
      <c r="AG96" s="140">
        <f>+AC95-AC96</f>
        <v>151</v>
      </c>
      <c r="AH96" s="131">
        <f>+IF(((AB97+(AB98/2))*60)=0,"",(J96*AB96)/((AB97+(AB98/2))*60))</f>
        <v>3.3075000000000001</v>
      </c>
      <c r="AI96" s="161">
        <f>+AB97+AB98/2</f>
        <v>6</v>
      </c>
      <c r="AJ96" s="161">
        <f t="shared" si="40"/>
        <v>6</v>
      </c>
      <c r="AK96" s="167">
        <f t="shared" si="41"/>
        <v>360</v>
      </c>
      <c r="AL96" s="167">
        <f>+AB96*J96</f>
        <v>1190.7</v>
      </c>
      <c r="AM96" s="230">
        <f>+AB96-(AI96*K96/K98)</f>
        <v>68.181818181818187</v>
      </c>
      <c r="AN96" s="339"/>
      <c r="AO96" s="340"/>
      <c r="AP96" s="167"/>
      <c r="AQ96" s="167"/>
      <c r="AR96" s="167"/>
      <c r="AS96" s="167"/>
      <c r="AT96" s="433" t="str">
        <f t="shared" ref="AT96" si="50">IF(AU96=0,"",AW96-(($AT$3*K96)+($AT$3*K96)*AU96)+AB95)</f>
        <v/>
      </c>
      <c r="AU96" s="393"/>
      <c r="AW96" s="356">
        <v>241</v>
      </c>
      <c r="AY96" s="356">
        <f t="shared" ref="AY96" si="51">+AW96-AG96</f>
        <v>90</v>
      </c>
    </row>
    <row r="97" spans="2:51" s="98" customFormat="1" ht="62.25" hidden="1" customHeight="1" x14ac:dyDescent="0.9">
      <c r="B97" s="125">
        <f>+B96</f>
        <v>20</v>
      </c>
      <c r="C97" s="373"/>
      <c r="D97" s="184"/>
      <c r="E97" s="111">
        <f>+B96</f>
        <v>20</v>
      </c>
      <c r="F97" s="374"/>
      <c r="G97" s="578" t="str">
        <f t="shared" si="42"/>
        <v>ADA-Turquaz</v>
      </c>
      <c r="H97" s="376" t="s">
        <v>400</v>
      </c>
      <c r="I97" s="113">
        <f>+IFERROR(IF(K98=0,0,IF((LOOKUP(2,1/(M97:W97&lt;&gt;""),M97:W97)-K98)&lt;0,0,IF(K98=0,"",LOOKUP(2,1/(M97:W97&lt;&gt;""),M97:W97)-K98))),0)</f>
        <v>0</v>
      </c>
      <c r="J97" s="113"/>
      <c r="K97" s="114" t="s">
        <v>22</v>
      </c>
      <c r="L97" s="102" t="s">
        <v>18</v>
      </c>
      <c r="M97" s="451">
        <v>3</v>
      </c>
      <c r="N97" s="451">
        <v>3</v>
      </c>
      <c r="O97" s="451"/>
      <c r="P97" s="451"/>
      <c r="Q97" s="451"/>
      <c r="R97" s="451"/>
      <c r="S97" s="451"/>
      <c r="T97" s="451"/>
      <c r="U97" s="451"/>
      <c r="V97" s="451"/>
      <c r="W97" s="451"/>
      <c r="X97" s="160">
        <f>+IF(H97="l",IF(COUNTA(M96:W96)=AN98+0.75,AB96-K96*AN98,AB96-(K96*COUNTA(M96:W96))),IF(H97="s",0,IF(COUNTA(M96:W96)=AN98+0.75,SUMIF($C:$C,B96,$AB:$AB)-K96*AN98,SUMIF($C:$C,B96,$AB:$AB)-K96*COUNTA(M96:W96))))</f>
        <v>10</v>
      </c>
      <c r="Y97" s="440"/>
      <c r="Z97" s="400"/>
      <c r="AA97" s="541"/>
      <c r="AB97" s="443">
        <f>+SUM(M97:W97)-U97*0.75</f>
        <v>6</v>
      </c>
      <c r="AC97" s="138"/>
      <c r="AD97" s="138"/>
      <c r="AE97" s="442"/>
      <c r="AF97" s="440"/>
      <c r="AG97" s="115"/>
      <c r="AH97" s="116"/>
      <c r="AI97" s="157"/>
      <c r="AJ97" s="161">
        <f t="shared" si="40"/>
        <v>0</v>
      </c>
      <c r="AK97" s="167">
        <f t="shared" si="41"/>
        <v>0</v>
      </c>
      <c r="AL97" s="167"/>
      <c r="AM97" s="167"/>
      <c r="AN97" s="339"/>
      <c r="AO97" s="340">
        <f>+IF(AN98=7.75,SUM(M97:S97)+T97*0.75,IF(AN98=8,SUM(M97:T97),IF(AN98=7.25,SUM(M97:S97)+T97*0.25,IF(AN98=8.25,SUM(M97:T97)+U97*0.25,IF(AN98=8.75,SUM(M97:T97)+U97*0.75,0)))))</f>
        <v>6</v>
      </c>
      <c r="AP97" s="167">
        <f>+AO97-AB97</f>
        <v>0</v>
      </c>
      <c r="AQ97" s="167"/>
      <c r="AR97" s="167"/>
      <c r="AS97" s="167"/>
      <c r="AT97" s="434"/>
      <c r="AU97" s="393"/>
      <c r="AW97" s="356"/>
      <c r="AY97" s="356"/>
    </row>
    <row r="98" spans="2:51" s="98" customFormat="1" ht="62.25" hidden="1" customHeight="1" thickBot="1" x14ac:dyDescent="0.95">
      <c r="B98" s="343">
        <f>+B96</f>
        <v>20</v>
      </c>
      <c r="C98" s="375"/>
      <c r="D98" s="378" t="s">
        <v>78</v>
      </c>
      <c r="E98" s="175">
        <f>+E97+100</f>
        <v>120</v>
      </c>
      <c r="F98" s="175"/>
      <c r="G98" s="579" t="str">
        <f t="shared" si="42"/>
        <v>ADA-Turquaz</v>
      </c>
      <c r="H98" s="454">
        <f>+AC95-H96</f>
        <v>38</v>
      </c>
      <c r="I98" s="397"/>
      <c r="J98" s="165">
        <f>+IF(K98="","",IF(K96=0,"",(K96*J96)/(K98*60)))</f>
        <v>0.80181818181818187</v>
      </c>
      <c r="K98" s="118">
        <v>11</v>
      </c>
      <c r="L98" s="104" t="s">
        <v>19</v>
      </c>
      <c r="M98" s="428"/>
      <c r="N98" s="428"/>
      <c r="O98" s="428"/>
      <c r="P98" s="428"/>
      <c r="Q98" s="428"/>
      <c r="R98" s="428"/>
      <c r="S98" s="428"/>
      <c r="T98" s="428"/>
      <c r="U98" s="428"/>
      <c r="V98" s="428"/>
      <c r="W98" s="428"/>
      <c r="X98" s="173"/>
      <c r="Y98" s="441"/>
      <c r="Z98" s="401">
        <v>19.29</v>
      </c>
      <c r="AA98" s="169">
        <v>19.29</v>
      </c>
      <c r="AB98" s="444">
        <f t="shared" si="33"/>
        <v>0</v>
      </c>
      <c r="AC98" s="139"/>
      <c r="AD98" s="139"/>
      <c r="AE98" s="441"/>
      <c r="AF98" s="441"/>
      <c r="AG98" s="119">
        <f>+IFERROR(AG96/(K96*$AT$3),"")</f>
        <v>0.43142857142857144</v>
      </c>
      <c r="AH98" s="162"/>
      <c r="AI98" s="161"/>
      <c r="AJ98" s="161">
        <f t="shared" si="40"/>
        <v>0</v>
      </c>
      <c r="AK98" s="167">
        <f t="shared" si="41"/>
        <v>0</v>
      </c>
      <c r="AL98" s="167"/>
      <c r="AM98" s="230"/>
      <c r="AN98" s="342">
        <f>+$AM$4</f>
        <v>8.25</v>
      </c>
      <c r="AO98" s="340">
        <f>+IF(AN98=7.75,SUM(M98:S98)+T98*0.75,IF(AN98=8,SUM(M98:T98),IF(AN98=7.25,SUM(M98:S98)+T98*0.25,IF(AN98=8.25,SUM(M98:T98)+U98*0.25,IF(AN98=8.75,SUM(M98:T98)+U98*0.75,0)))))</f>
        <v>0</v>
      </c>
      <c r="AP98" s="167">
        <f>+AO98-AB98</f>
        <v>0</v>
      </c>
      <c r="AQ98" s="167"/>
      <c r="AR98" s="167"/>
      <c r="AS98" s="167"/>
      <c r="AT98" s="435"/>
      <c r="AU98" s="393"/>
      <c r="AW98" s="356">
        <v>0.68857142857142861</v>
      </c>
      <c r="AY98" s="356"/>
    </row>
    <row r="99" spans="2:51" s="98" customFormat="1" ht="62.25" hidden="1" customHeight="1" thickTop="1" x14ac:dyDescent="0.9">
      <c r="B99" s="127">
        <f>+B100</f>
        <v>20</v>
      </c>
      <c r="C99" s="370"/>
      <c r="D99" s="106"/>
      <c r="E99" s="106"/>
      <c r="F99" s="106"/>
      <c r="G99" s="577" t="s">
        <v>459</v>
      </c>
      <c r="H99" s="106"/>
      <c r="I99" s="106"/>
      <c r="J99" s="107" t="s">
        <v>20</v>
      </c>
      <c r="K99" s="108" t="s">
        <v>23</v>
      </c>
      <c r="L99" s="100" t="s">
        <v>21</v>
      </c>
      <c r="M99" s="423"/>
      <c r="N99" s="423"/>
      <c r="O99" s="423"/>
      <c r="P99" s="423"/>
      <c r="Q99" s="423"/>
      <c r="R99" s="423"/>
      <c r="S99" s="423"/>
      <c r="T99" s="423"/>
      <c r="U99" s="423"/>
      <c r="V99" s="423"/>
      <c r="W99" s="423"/>
      <c r="X99" s="135" t="str">
        <f>IF(AT100="","",SUM(M99:W99)-(-(AT100-SUM(M99:W99))/$AT$3)*SUM($M$2:$W$2))</f>
        <v/>
      </c>
      <c r="Y99" s="438"/>
      <c r="Z99" s="400">
        <v>0</v>
      </c>
      <c r="AA99" s="540">
        <f>+X101</f>
        <v>0</v>
      </c>
      <c r="AB99" s="135">
        <f t="shared" si="30"/>
        <v>0</v>
      </c>
      <c r="AC99" s="136">
        <f>+AD99+AB99</f>
        <v>2869</v>
      </c>
      <c r="AD99" s="136">
        <v>2869</v>
      </c>
      <c r="AE99" s="438"/>
      <c r="AF99" s="438"/>
      <c r="AG99" s="109"/>
      <c r="AH99" s="110"/>
      <c r="AI99" s="157"/>
      <c r="AJ99" s="161">
        <f t="shared" si="40"/>
        <v>0</v>
      </c>
      <c r="AK99" s="167">
        <f t="shared" si="41"/>
        <v>0</v>
      </c>
      <c r="AL99" s="167"/>
      <c r="AM99" s="167"/>
      <c r="AN99" s="339"/>
      <c r="AO99" s="340"/>
      <c r="AP99" s="167"/>
      <c r="AQ99" s="167"/>
      <c r="AR99" s="167"/>
      <c r="AS99" s="167"/>
      <c r="AT99" s="432"/>
      <c r="AU99" s="393"/>
      <c r="AW99" s="356"/>
      <c r="AY99" s="356"/>
    </row>
    <row r="100" spans="2:51" s="98" customFormat="1" ht="62.25" hidden="1" customHeight="1" x14ac:dyDescent="0.9">
      <c r="B100" s="133">
        <v>20</v>
      </c>
      <c r="C100" s="371">
        <f>+B100</f>
        <v>20</v>
      </c>
      <c r="D100" s="372" t="s">
        <v>460</v>
      </c>
      <c r="E100" s="111"/>
      <c r="F100" s="111" t="s">
        <v>422</v>
      </c>
      <c r="G100" s="578" t="str">
        <f t="shared" ref="G100:G102" si="52">+G99</f>
        <v>ADA-PURPLE</v>
      </c>
      <c r="H100" s="450">
        <v>2869</v>
      </c>
      <c r="I100" s="111" t="s">
        <v>252</v>
      </c>
      <c r="J100" s="113">
        <v>13.23</v>
      </c>
      <c r="K100" s="130">
        <v>40</v>
      </c>
      <c r="L100" s="101" t="s">
        <v>17</v>
      </c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123">
        <f>+IF(H101="s",0,IF(AB100=0,0,IF(COUNTA(M100:W100)=AN102+0.75,SUMIF($C:$C,B100,$AB:$AB)/AN102,SUMIF($C:$C,B100,$AB:$AB)/(COUNTA(M100:W100)))))</f>
        <v>0</v>
      </c>
      <c r="Y100" s="439"/>
      <c r="Z100" s="400"/>
      <c r="AA100" s="541"/>
      <c r="AB100" s="134">
        <f t="shared" si="30"/>
        <v>0</v>
      </c>
      <c r="AC100" s="137">
        <f>+AB100+AD100</f>
        <v>2862</v>
      </c>
      <c r="AD100" s="137">
        <v>2862</v>
      </c>
      <c r="AE100" s="439">
        <v>0</v>
      </c>
      <c r="AF100" s="439">
        <f>+AE100+Y100</f>
        <v>0</v>
      </c>
      <c r="AG100" s="140">
        <f>+AC99-AC100</f>
        <v>7</v>
      </c>
      <c r="AH100" s="131" t="str">
        <f>+IF(((AB101+(AB102/2))*60)=0,"",(J100*AB100)/((AB101+(AB102/2))*60))</f>
        <v/>
      </c>
      <c r="AI100" s="161">
        <f>+AB101+AB102/2</f>
        <v>0</v>
      </c>
      <c r="AJ100" s="161">
        <f t="shared" si="40"/>
        <v>0</v>
      </c>
      <c r="AK100" s="167">
        <f t="shared" si="41"/>
        <v>0</v>
      </c>
      <c r="AL100" s="167">
        <f>+AB100*J100</f>
        <v>0</v>
      </c>
      <c r="AM100" s="230">
        <f>+AB100-(AI100*K100/K102)</f>
        <v>0</v>
      </c>
      <c r="AN100" s="339"/>
      <c r="AO100" s="340"/>
      <c r="AP100" s="167"/>
      <c r="AQ100" s="167"/>
      <c r="AR100" s="167"/>
      <c r="AS100" s="167"/>
      <c r="AT100" s="433" t="str">
        <f t="shared" ref="AT100" si="53">IF(AU100=0,"",AW100-(($AT$3*K100)+($AT$3*K100)*AU100)+AB99)</f>
        <v/>
      </c>
      <c r="AU100" s="393"/>
      <c r="AW100" s="356">
        <v>7</v>
      </c>
      <c r="AY100" s="356">
        <f t="shared" ref="AY100" si="54">+AW100-AG100</f>
        <v>0</v>
      </c>
    </row>
    <row r="101" spans="2:51" s="98" customFormat="1" ht="62.25" hidden="1" customHeight="1" x14ac:dyDescent="0.9">
      <c r="B101" s="125">
        <f>+B100</f>
        <v>20</v>
      </c>
      <c r="C101" s="373"/>
      <c r="D101" s="184"/>
      <c r="E101" s="111">
        <f>+B100</f>
        <v>20</v>
      </c>
      <c r="F101" s="374"/>
      <c r="G101" s="578" t="str">
        <f t="shared" si="52"/>
        <v>ADA-PURPLE</v>
      </c>
      <c r="H101" s="376" t="s">
        <v>400</v>
      </c>
      <c r="I101" s="113">
        <f>+IFERROR(IF(K102=0,0,IF((LOOKUP(2,1/(M101:W101&lt;&gt;""),M101:W101)-K102)&lt;0,0,IF(K102=0,"",LOOKUP(2,1/(M101:W101&lt;&gt;""),M101:W101)-K102))),0)</f>
        <v>0</v>
      </c>
      <c r="J101" s="113"/>
      <c r="K101" s="114" t="s">
        <v>22</v>
      </c>
      <c r="L101" s="102" t="s">
        <v>18</v>
      </c>
      <c r="M101" s="451"/>
      <c r="N101" s="451"/>
      <c r="O101" s="451"/>
      <c r="P101" s="451"/>
      <c r="Q101" s="451"/>
      <c r="R101" s="451"/>
      <c r="S101" s="451"/>
      <c r="T101" s="451"/>
      <c r="U101" s="451"/>
      <c r="V101" s="451"/>
      <c r="W101" s="451"/>
      <c r="X101" s="160">
        <f>+IF(H101="l",IF(COUNTA(M100:W100)=AN102+0.75,AB100-K100*AN102,AB100-(K100*COUNTA(M100:W100))),IF(H101="s",0,IF(COUNTA(M100:W100)=AN102+0.75,SUMIF($C:$C,B100,$AB:$AB)-K100*AN102,SUMIF($C:$C,B100,$AB:$AB)-K100*COUNTA(M100:W100))))</f>
        <v>0</v>
      </c>
      <c r="Y101" s="440"/>
      <c r="Z101" s="400"/>
      <c r="AA101" s="541"/>
      <c r="AB101" s="443">
        <f>+SUM(M101:W101)-U101*0.75</f>
        <v>0</v>
      </c>
      <c r="AC101" s="138"/>
      <c r="AD101" s="138"/>
      <c r="AE101" s="442"/>
      <c r="AF101" s="440"/>
      <c r="AG101" s="115"/>
      <c r="AH101" s="116"/>
      <c r="AI101" s="157"/>
      <c r="AJ101" s="161">
        <f t="shared" si="40"/>
        <v>0</v>
      </c>
      <c r="AK101" s="167">
        <f t="shared" si="41"/>
        <v>0</v>
      </c>
      <c r="AL101" s="167"/>
      <c r="AM101" s="167"/>
      <c r="AN101" s="339"/>
      <c r="AO101" s="340">
        <f>+IF(AN102=7.75,SUM(M101:S101)+T101*0.75,IF(AN102=8,SUM(M101:T101),IF(AN102=7.25,SUM(M101:S101)+T101*0.25,IF(AN102=8.25,SUM(M101:T101)+U101*0.25,IF(AN102=8.75,SUM(M101:T101)+U101*0.75,0)))))</f>
        <v>0</v>
      </c>
      <c r="AP101" s="167">
        <f>+AO101-AB101</f>
        <v>0</v>
      </c>
      <c r="AQ101" s="167"/>
      <c r="AR101" s="167"/>
      <c r="AS101" s="167"/>
      <c r="AT101" s="434"/>
      <c r="AU101" s="393"/>
      <c r="AW101" s="356"/>
      <c r="AY101" s="356"/>
    </row>
    <row r="102" spans="2:51" s="98" customFormat="1" ht="62.25" hidden="1" customHeight="1" thickBot="1" x14ac:dyDescent="0.95">
      <c r="B102" s="343">
        <f>+B100</f>
        <v>20</v>
      </c>
      <c r="C102" s="375"/>
      <c r="D102" s="378" t="s">
        <v>78</v>
      </c>
      <c r="E102" s="175">
        <f>+E101+100</f>
        <v>120</v>
      </c>
      <c r="F102" s="175"/>
      <c r="G102" s="579" t="str">
        <f t="shared" si="52"/>
        <v>ADA-PURPLE</v>
      </c>
      <c r="H102" s="454">
        <f>+AC99-H100</f>
        <v>0</v>
      </c>
      <c r="I102" s="397"/>
      <c r="J102" s="165">
        <f>+IF(K102="","",IF(K100=0,"",(K100*J100)/(K102*60)))</f>
        <v>0.80181818181818187</v>
      </c>
      <c r="K102" s="118">
        <v>11</v>
      </c>
      <c r="L102" s="104" t="s">
        <v>19</v>
      </c>
      <c r="M102" s="428"/>
      <c r="N102" s="428"/>
      <c r="O102" s="428"/>
      <c r="P102" s="428"/>
      <c r="Q102" s="428"/>
      <c r="R102" s="428"/>
      <c r="S102" s="428"/>
      <c r="T102" s="428"/>
      <c r="U102" s="428"/>
      <c r="V102" s="428"/>
      <c r="W102" s="428"/>
      <c r="X102" s="173"/>
      <c r="Y102" s="441"/>
      <c r="Z102" s="401">
        <v>19.29</v>
      </c>
      <c r="AA102" s="169">
        <v>19.29</v>
      </c>
      <c r="AB102" s="444">
        <f t="shared" si="33"/>
        <v>0</v>
      </c>
      <c r="AC102" s="139"/>
      <c r="AD102" s="139"/>
      <c r="AE102" s="441"/>
      <c r="AF102" s="441"/>
      <c r="AG102" s="119">
        <f>+IFERROR(AG100/(K100*$AT$3),"")</f>
        <v>0.02</v>
      </c>
      <c r="AH102" s="162"/>
      <c r="AI102" s="161"/>
      <c r="AJ102" s="161">
        <f t="shared" si="40"/>
        <v>0</v>
      </c>
      <c r="AK102" s="167">
        <f t="shared" si="41"/>
        <v>0</v>
      </c>
      <c r="AL102" s="167"/>
      <c r="AM102" s="230"/>
      <c r="AN102" s="342">
        <f>+$AM$4</f>
        <v>8.25</v>
      </c>
      <c r="AO102" s="340">
        <f>+IF(AN102=7.75,SUM(M102:S102)+T102*0.75,IF(AN102=8,SUM(M102:T102),IF(AN102=7.25,SUM(M102:S102)+T102*0.25,IF(AN102=8.25,SUM(M102:T102)+U102*0.25,IF(AN102=8.75,SUM(M102:T102)+U102*0.75,0)))))</f>
        <v>0</v>
      </c>
      <c r="AP102" s="167">
        <f>+AO102-AB102</f>
        <v>0</v>
      </c>
      <c r="AQ102" s="167"/>
      <c r="AR102" s="167"/>
      <c r="AS102" s="167"/>
      <c r="AT102" s="435"/>
      <c r="AU102" s="393"/>
      <c r="AW102" s="356">
        <v>0.02</v>
      </c>
      <c r="AY102" s="356"/>
    </row>
    <row r="103" spans="2:51" s="384" customFormat="1" ht="91.5" customHeight="1" thickTop="1" x14ac:dyDescent="0.9">
      <c r="B103" s="379"/>
      <c r="C103" s="379"/>
      <c r="D103" s="380"/>
      <c r="E103" s="380"/>
      <c r="F103" s="380"/>
      <c r="G103" s="380"/>
      <c r="H103" s="380"/>
      <c r="I103" s="380"/>
      <c r="J103" s="380"/>
      <c r="K103" s="380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0"/>
      <c r="Y103" s="381"/>
      <c r="Z103" s="380"/>
      <c r="AA103" s="380"/>
      <c r="AB103" s="380"/>
      <c r="AC103" s="380"/>
      <c r="AD103" s="380"/>
      <c r="AE103" s="380"/>
      <c r="AF103" s="380"/>
      <c r="AG103" s="380"/>
      <c r="AH103" s="382"/>
      <c r="AI103" s="383"/>
      <c r="AJ103" s="383"/>
      <c r="AN103" s="385"/>
      <c r="AO103" s="386"/>
      <c r="AU103" s="394"/>
    </row>
    <row r="104" spans="2:51" s="384" customFormat="1" ht="91.5" hidden="1" customHeight="1" thickTop="1" thickBot="1" x14ac:dyDescent="0.95">
      <c r="B104" s="379"/>
      <c r="C104" s="379"/>
      <c r="D104" s="380"/>
      <c r="E104" s="380"/>
      <c r="F104" s="380"/>
      <c r="G104" s="380"/>
      <c r="H104" s="380"/>
      <c r="I104" s="380"/>
      <c r="J104" s="380"/>
      <c r="K104" s="380"/>
      <c r="L104" s="346" t="s">
        <v>21</v>
      </c>
      <c r="M104" s="166">
        <f t="shared" ref="M104:W104" si="55">+SUMIF($L$6:$L$103,$L$104,M6:M103)</f>
        <v>1055</v>
      </c>
      <c r="N104" s="166">
        <f t="shared" si="55"/>
        <v>730</v>
      </c>
      <c r="O104" s="166">
        <f t="shared" si="55"/>
        <v>685</v>
      </c>
      <c r="P104" s="166">
        <f t="shared" si="55"/>
        <v>0</v>
      </c>
      <c r="Q104" s="166">
        <f t="shared" si="55"/>
        <v>0</v>
      </c>
      <c r="R104" s="166">
        <f t="shared" si="55"/>
        <v>0</v>
      </c>
      <c r="S104" s="166">
        <f t="shared" si="55"/>
        <v>0</v>
      </c>
      <c r="T104" s="166">
        <f t="shared" si="55"/>
        <v>0</v>
      </c>
      <c r="U104" s="166">
        <f t="shared" si="55"/>
        <v>0</v>
      </c>
      <c r="V104" s="166">
        <f t="shared" si="55"/>
        <v>0</v>
      </c>
      <c r="W104" s="166">
        <f t="shared" si="55"/>
        <v>0</v>
      </c>
      <c r="X104" s="332"/>
      <c r="Y104" s="223"/>
      <c r="Z104" s="332"/>
      <c r="AA104" s="575">
        <f>+SUM(M104:W104)</f>
        <v>2470</v>
      </c>
      <c r="AB104" s="576"/>
      <c r="AC104" s="380"/>
      <c r="AD104" s="380"/>
      <c r="AE104" s="380"/>
      <c r="AF104" s="380"/>
      <c r="AG104" s="380"/>
      <c r="AH104" s="382"/>
      <c r="AI104" s="383"/>
      <c r="AJ104" s="383"/>
      <c r="AN104" s="385"/>
      <c r="AU104" s="394"/>
    </row>
    <row r="105" spans="2:51" s="384" customFormat="1" ht="91.5" hidden="1" customHeight="1" thickTop="1" thickBot="1" x14ac:dyDescent="0.95">
      <c r="B105" s="379"/>
      <c r="C105" s="379"/>
      <c r="D105" s="380"/>
      <c r="E105" s="380"/>
      <c r="F105" s="380"/>
      <c r="G105" s="380"/>
      <c r="H105" s="380"/>
      <c r="I105" s="380"/>
      <c r="J105" s="380"/>
      <c r="K105" s="380"/>
      <c r="L105" s="347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32"/>
      <c r="Y105" s="344"/>
      <c r="Z105" s="332"/>
      <c r="AA105" s="332"/>
      <c r="AB105" s="332"/>
      <c r="AC105" s="380"/>
      <c r="AD105" s="380"/>
      <c r="AE105" s="380"/>
      <c r="AF105" s="380"/>
      <c r="AG105" s="380"/>
      <c r="AH105" s="382"/>
      <c r="AI105" s="383"/>
      <c r="AJ105" s="383"/>
      <c r="AN105" s="385"/>
      <c r="AU105" s="394"/>
    </row>
    <row r="106" spans="2:51" s="384" customFormat="1" ht="91.5" hidden="1" customHeight="1" thickTop="1" thickBot="1" x14ac:dyDescent="0.95">
      <c r="B106" s="379"/>
      <c r="C106" s="379"/>
      <c r="D106" s="380"/>
      <c r="E106" s="380"/>
      <c r="F106" s="380"/>
      <c r="G106" s="380"/>
      <c r="H106" s="380"/>
      <c r="I106" s="380"/>
      <c r="J106" s="380"/>
      <c r="K106" s="380"/>
      <c r="L106" s="346" t="s">
        <v>17</v>
      </c>
      <c r="M106" s="166">
        <f t="shared" ref="M106:W106" si="56">+SUMIF($L$6:$L$103,$L$106,M6:M103)</f>
        <v>829</v>
      </c>
      <c r="N106" s="166">
        <f t="shared" si="56"/>
        <v>793</v>
      </c>
      <c r="O106" s="166">
        <f t="shared" si="56"/>
        <v>0</v>
      </c>
      <c r="P106" s="166">
        <f t="shared" si="56"/>
        <v>0</v>
      </c>
      <c r="Q106" s="166">
        <f t="shared" si="56"/>
        <v>0</v>
      </c>
      <c r="R106" s="166">
        <f t="shared" si="56"/>
        <v>0</v>
      </c>
      <c r="S106" s="166">
        <f t="shared" si="56"/>
        <v>0</v>
      </c>
      <c r="T106" s="166">
        <f t="shared" si="56"/>
        <v>0</v>
      </c>
      <c r="U106" s="166">
        <f t="shared" si="56"/>
        <v>0</v>
      </c>
      <c r="V106" s="166">
        <f t="shared" si="56"/>
        <v>0</v>
      </c>
      <c r="W106" s="166">
        <f t="shared" si="56"/>
        <v>0</v>
      </c>
      <c r="X106" s="332"/>
      <c r="Y106" s="223"/>
      <c r="Z106" s="332"/>
      <c r="AA106" s="575">
        <f>+SUM(M106:W106)</f>
        <v>1622</v>
      </c>
      <c r="AB106" s="576"/>
      <c r="AC106" s="380"/>
      <c r="AD106" s="380"/>
      <c r="AE106" s="380"/>
      <c r="AF106" s="380"/>
      <c r="AG106" s="380"/>
      <c r="AH106" s="382"/>
      <c r="AI106" s="383"/>
      <c r="AJ106" s="383"/>
      <c r="AN106" s="385"/>
      <c r="AU106" s="394"/>
    </row>
    <row r="107" spans="2:51" s="384" customFormat="1" ht="91.5" hidden="1" customHeight="1" thickTop="1" thickBot="1" x14ac:dyDescent="0.95">
      <c r="B107" s="379"/>
      <c r="C107" s="379"/>
      <c r="D107" s="380"/>
      <c r="E107" s="380"/>
      <c r="F107" s="380"/>
      <c r="G107" s="380"/>
      <c r="H107" s="380"/>
      <c r="I107" s="380"/>
      <c r="J107" s="380"/>
      <c r="K107" s="380"/>
      <c r="L107" s="347"/>
      <c r="M107" s="344"/>
      <c r="N107" s="344"/>
      <c r="O107" s="344"/>
      <c r="P107" s="344"/>
      <c r="Q107" s="344"/>
      <c r="R107" s="344"/>
      <c r="S107" s="344"/>
      <c r="T107" s="344"/>
      <c r="U107" s="344"/>
      <c r="V107" s="344"/>
      <c r="W107" s="344"/>
      <c r="X107" s="332"/>
      <c r="Y107" s="344"/>
      <c r="Z107" s="332"/>
      <c r="AA107" s="332"/>
      <c r="AB107" s="332"/>
      <c r="AC107" s="380"/>
      <c r="AD107" s="380"/>
      <c r="AE107" s="380"/>
      <c r="AF107" s="380"/>
      <c r="AG107" s="380"/>
      <c r="AH107" s="382"/>
      <c r="AI107" s="383"/>
      <c r="AJ107" s="383"/>
      <c r="AN107" s="385"/>
      <c r="AU107" s="394"/>
    </row>
    <row r="108" spans="2:51" s="384" customFormat="1" ht="91.5" hidden="1" customHeight="1" thickTop="1" thickBot="1" x14ac:dyDescent="0.95">
      <c r="B108" s="379"/>
      <c r="C108" s="379"/>
      <c r="D108" s="387"/>
      <c r="E108" s="387"/>
      <c r="F108" s="387"/>
      <c r="G108" s="387"/>
      <c r="H108" s="387"/>
      <c r="I108" s="387"/>
      <c r="J108" s="388"/>
      <c r="K108" s="387"/>
      <c r="L108" s="346" t="s">
        <v>19</v>
      </c>
      <c r="M108" s="166">
        <f t="shared" ref="M108:W108" si="57">+SUMIF($L$6:$L$103,$L$108,M6:M103)</f>
        <v>13</v>
      </c>
      <c r="N108" s="166">
        <f t="shared" si="57"/>
        <v>13</v>
      </c>
      <c r="O108" s="166">
        <f t="shared" si="57"/>
        <v>0</v>
      </c>
      <c r="P108" s="166">
        <f t="shared" si="57"/>
        <v>0</v>
      </c>
      <c r="Q108" s="166">
        <f t="shared" si="57"/>
        <v>0</v>
      </c>
      <c r="R108" s="166">
        <f t="shared" si="57"/>
        <v>0</v>
      </c>
      <c r="S108" s="166">
        <f t="shared" si="57"/>
        <v>0</v>
      </c>
      <c r="T108" s="166">
        <f t="shared" si="57"/>
        <v>0</v>
      </c>
      <c r="U108" s="166">
        <f t="shared" si="57"/>
        <v>0</v>
      </c>
      <c r="V108" s="166">
        <f t="shared" si="57"/>
        <v>0</v>
      </c>
      <c r="W108" s="166">
        <f t="shared" si="57"/>
        <v>0</v>
      </c>
      <c r="X108" s="348"/>
      <c r="Y108" s="223"/>
      <c r="Z108" s="348"/>
      <c r="AA108" s="332"/>
      <c r="AB108" s="332"/>
      <c r="AC108" s="380"/>
      <c r="AD108" s="380"/>
      <c r="AE108" s="380"/>
      <c r="AF108" s="380"/>
      <c r="AG108" s="380"/>
      <c r="AH108" s="382"/>
      <c r="AI108" s="383"/>
      <c r="AJ108" s="383"/>
      <c r="AN108" s="385"/>
      <c r="AU108" s="394"/>
    </row>
    <row r="109" spans="2:51" s="384" customFormat="1" ht="62.25" hidden="1" customHeight="1" thickTop="1" x14ac:dyDescent="0.9">
      <c r="B109" s="379"/>
      <c r="C109" s="379"/>
      <c r="D109" s="387"/>
      <c r="E109" s="387"/>
      <c r="F109" s="387"/>
      <c r="G109" s="387"/>
      <c r="H109" s="387"/>
      <c r="I109" s="389"/>
      <c r="J109" s="388"/>
      <c r="K109" s="387"/>
      <c r="L109" s="347"/>
      <c r="M109" s="349"/>
      <c r="N109" s="345"/>
      <c r="O109" s="345"/>
      <c r="P109" s="345"/>
      <c r="Q109" s="345"/>
      <c r="R109" s="345"/>
      <c r="S109" s="345"/>
      <c r="T109" s="345"/>
      <c r="U109" s="345"/>
      <c r="V109" s="345"/>
      <c r="W109" s="345"/>
      <c r="X109" s="332"/>
      <c r="Y109" s="345"/>
      <c r="Z109" s="332"/>
      <c r="AA109" s="332"/>
      <c r="AB109" s="332"/>
      <c r="AC109" s="380"/>
      <c r="AD109" s="380"/>
      <c r="AE109" s="380"/>
      <c r="AF109" s="380"/>
      <c r="AG109" s="390"/>
      <c r="AH109" s="382"/>
      <c r="AI109" s="383"/>
      <c r="AJ109" s="383"/>
      <c r="AN109" s="385"/>
      <c r="AU109" s="394"/>
    </row>
    <row r="110" spans="2:51" s="98" customFormat="1" ht="62.25" hidden="1" customHeight="1" thickBot="1" x14ac:dyDescent="0.95">
      <c r="B110" s="94"/>
      <c r="C110" s="94"/>
      <c r="D110" s="92"/>
      <c r="E110" s="92"/>
      <c r="F110" s="92"/>
      <c r="G110" s="92"/>
      <c r="H110" s="92"/>
      <c r="I110" s="91"/>
      <c r="J110" s="93"/>
      <c r="K110" s="92"/>
      <c r="L110" s="350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91"/>
      <c r="AD110" s="91"/>
      <c r="AE110" s="91"/>
      <c r="AF110" s="91"/>
      <c r="AG110" s="91"/>
      <c r="AH110" s="95"/>
      <c r="AI110" s="158"/>
      <c r="AJ110" s="158"/>
      <c r="AN110" s="183"/>
      <c r="AU110" s="393"/>
    </row>
    <row r="111" spans="2:51" s="98" customFormat="1" ht="88.5" hidden="1" customHeight="1" thickTop="1" thickBot="1" x14ac:dyDescent="0.95">
      <c r="B111" s="94"/>
      <c r="C111" s="94"/>
      <c r="D111" s="92"/>
      <c r="E111" s="92"/>
      <c r="F111" s="92"/>
      <c r="G111" s="92"/>
      <c r="H111" s="92"/>
      <c r="I111" s="91"/>
      <c r="J111" s="93"/>
      <c r="K111" s="212" t="s">
        <v>18</v>
      </c>
      <c r="L111" s="351" t="s">
        <v>180</v>
      </c>
      <c r="M111" s="166">
        <f t="shared" ref="M111:W111" si="58">+IF(M114=0,0,SUMIFS($J$6:$J$103,$L$6:$L$103,$K$111))</f>
        <v>3</v>
      </c>
      <c r="N111" s="166">
        <f t="shared" si="58"/>
        <v>3</v>
      </c>
      <c r="O111" s="166">
        <f t="shared" si="58"/>
        <v>0</v>
      </c>
      <c r="P111" s="166">
        <f t="shared" si="58"/>
        <v>0</v>
      </c>
      <c r="Q111" s="166">
        <f t="shared" si="58"/>
        <v>0</v>
      </c>
      <c r="R111" s="166">
        <f t="shared" si="58"/>
        <v>0</v>
      </c>
      <c r="S111" s="166">
        <f t="shared" si="58"/>
        <v>0</v>
      </c>
      <c r="T111" s="166">
        <f t="shared" si="58"/>
        <v>0</v>
      </c>
      <c r="U111" s="166">
        <f t="shared" si="58"/>
        <v>0</v>
      </c>
      <c r="V111" s="166">
        <f t="shared" si="58"/>
        <v>0</v>
      </c>
      <c r="W111" s="166">
        <f t="shared" si="58"/>
        <v>0</v>
      </c>
      <c r="X111" s="2"/>
      <c r="Y111" s="223"/>
      <c r="Z111" s="2"/>
      <c r="AA111" s="1"/>
      <c r="AB111" s="1"/>
      <c r="AC111" s="91"/>
      <c r="AD111" s="91"/>
      <c r="AE111" s="91"/>
      <c r="AF111" s="91"/>
      <c r="AG111" s="91"/>
      <c r="AH111" s="95"/>
      <c r="AI111" s="158"/>
      <c r="AJ111" s="158"/>
      <c r="AN111" s="183"/>
      <c r="AU111" s="393"/>
    </row>
    <row r="112" spans="2:51" s="98" customFormat="1" ht="62.25" hidden="1" customHeight="1" thickTop="1" x14ac:dyDescent="0.9">
      <c r="B112" s="94"/>
      <c r="C112" s="94"/>
      <c r="D112" s="92"/>
      <c r="E112" s="92"/>
      <c r="F112" s="92"/>
      <c r="G112" s="92"/>
      <c r="H112" s="92"/>
      <c r="I112" s="92"/>
      <c r="J112" s="93"/>
      <c r="K112" s="212"/>
      <c r="L112" s="350"/>
      <c r="M112" s="352"/>
      <c r="N112" s="352"/>
      <c r="O112" s="352"/>
      <c r="P112" s="352"/>
      <c r="Q112" s="352"/>
      <c r="R112" s="352"/>
      <c r="S112" s="352"/>
      <c r="T112" s="352"/>
      <c r="U112" s="352"/>
      <c r="V112" s="352"/>
      <c r="W112" s="352"/>
      <c r="X112" s="1"/>
      <c r="Y112" s="352"/>
      <c r="Z112" s="1"/>
      <c r="AA112" s="1"/>
      <c r="AB112" s="1"/>
      <c r="AC112" s="91"/>
      <c r="AD112" s="91"/>
      <c r="AE112" s="91"/>
      <c r="AF112" s="91"/>
      <c r="AG112" s="91"/>
      <c r="AH112" s="95"/>
      <c r="AI112" s="158"/>
      <c r="AJ112" s="158"/>
      <c r="AN112" s="183"/>
      <c r="AU112" s="393"/>
    </row>
    <row r="113" spans="2:47" s="98" customFormat="1" ht="62.25" hidden="1" customHeight="1" thickBot="1" x14ac:dyDescent="0.95">
      <c r="B113" s="94"/>
      <c r="C113" s="94"/>
      <c r="D113" s="92"/>
      <c r="E113" s="92"/>
      <c r="F113" s="92"/>
      <c r="G113" s="92"/>
      <c r="H113" s="92"/>
      <c r="I113" s="92"/>
      <c r="J113" s="93"/>
      <c r="K113" s="212"/>
      <c r="L113" s="350"/>
      <c r="M113" s="1"/>
      <c r="N113" s="1"/>
      <c r="O113" s="1"/>
      <c r="P113" s="1"/>
      <c r="Q113" s="353"/>
      <c r="R113" s="353"/>
      <c r="S113" s="353"/>
      <c r="T113" s="353"/>
      <c r="U113" s="353"/>
      <c r="V113" s="353"/>
      <c r="W113" s="353"/>
      <c r="X113" s="1"/>
      <c r="Y113" s="353"/>
      <c r="Z113" s="1"/>
      <c r="AA113" s="1"/>
      <c r="AB113" s="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s="98" customFormat="1" ht="98.25" hidden="1" customHeight="1" thickTop="1" thickBot="1" x14ac:dyDescent="0.95">
      <c r="B114" s="94"/>
      <c r="C114" s="94"/>
      <c r="D114" s="92"/>
      <c r="E114" s="92"/>
      <c r="F114" s="92"/>
      <c r="G114" s="92"/>
      <c r="H114" s="92"/>
      <c r="I114" s="92"/>
      <c r="J114" s="93"/>
      <c r="K114" s="212"/>
      <c r="L114" s="351" t="s">
        <v>18</v>
      </c>
      <c r="M114" s="166">
        <f t="shared" ref="M114:W114" si="59">+SUMIF($L$6:$L$103,$L$114,M6:M103)</f>
        <v>708</v>
      </c>
      <c r="N114" s="166">
        <f t="shared" si="59"/>
        <v>715</v>
      </c>
      <c r="O114" s="166">
        <f t="shared" si="59"/>
        <v>0</v>
      </c>
      <c r="P114" s="166">
        <f t="shared" si="59"/>
        <v>0</v>
      </c>
      <c r="Q114" s="166">
        <f t="shared" si="59"/>
        <v>0</v>
      </c>
      <c r="R114" s="166">
        <f t="shared" si="59"/>
        <v>0</v>
      </c>
      <c r="S114" s="166">
        <f t="shared" si="59"/>
        <v>0</v>
      </c>
      <c r="T114" s="166">
        <f t="shared" si="59"/>
        <v>0</v>
      </c>
      <c r="U114" s="166">
        <f t="shared" si="59"/>
        <v>0</v>
      </c>
      <c r="V114" s="166">
        <f t="shared" si="59"/>
        <v>0</v>
      </c>
      <c r="W114" s="166">
        <f t="shared" si="59"/>
        <v>0</v>
      </c>
      <c r="X114" s="1"/>
      <c r="Y114" s="223"/>
      <c r="Z114" s="1"/>
      <c r="AA114" s="1"/>
      <c r="AB114" s="1"/>
      <c r="AC114" s="91"/>
      <c r="AD114" s="91"/>
      <c r="AE114" s="91"/>
      <c r="AF114" s="91"/>
      <c r="AG114" s="91"/>
      <c r="AH114" s="95"/>
      <c r="AI114" s="158"/>
      <c r="AJ114" s="158"/>
      <c r="AN114" s="183"/>
      <c r="AU114" s="393"/>
    </row>
    <row r="115" spans="2:47" s="98" customFormat="1" ht="62.25" hidden="1" customHeight="1" thickTop="1" x14ac:dyDescent="0.9">
      <c r="B115" s="94"/>
      <c r="C115" s="94"/>
      <c r="D115" s="92"/>
      <c r="E115" s="92"/>
      <c r="F115" s="92"/>
      <c r="G115" s="92"/>
      <c r="H115" s="92"/>
      <c r="I115" s="92"/>
      <c r="J115" s="93"/>
      <c r="K115" s="212"/>
      <c r="L115" s="350"/>
      <c r="M115" s="354"/>
      <c r="N115" s="354"/>
      <c r="O115" s="354"/>
      <c r="P115" s="354"/>
      <c r="Q115" s="354"/>
      <c r="R115" s="354"/>
      <c r="S115" s="354"/>
      <c r="T115" s="354"/>
      <c r="U115" s="354"/>
      <c r="V115" s="354"/>
      <c r="W115" s="354"/>
      <c r="X115" s="1"/>
      <c r="Y115" s="354"/>
      <c r="Z115" s="1"/>
      <c r="AA115" s="1"/>
      <c r="AB115" s="1"/>
      <c r="AC115" s="91"/>
      <c r="AD115" s="91"/>
      <c r="AE115" s="91"/>
      <c r="AF115" s="91"/>
      <c r="AG115" s="91"/>
      <c r="AH115" s="95"/>
      <c r="AI115" s="158"/>
      <c r="AJ115" s="158"/>
      <c r="AN115" s="183"/>
      <c r="AU115" s="393"/>
    </row>
    <row r="116" spans="2:47" s="98" customFormat="1" ht="62.25" hidden="1" customHeight="1" thickBot="1" x14ac:dyDescent="0.95">
      <c r="B116" s="94"/>
      <c r="C116" s="94"/>
      <c r="D116" s="92"/>
      <c r="E116" s="92"/>
      <c r="F116" s="92"/>
      <c r="G116" s="92"/>
      <c r="H116" s="92"/>
      <c r="I116" s="92"/>
      <c r="J116" s="93"/>
      <c r="K116" s="212"/>
      <c r="L116" s="350"/>
      <c r="M116" s="1"/>
      <c r="N116" s="1"/>
      <c r="O116" s="1"/>
      <c r="P116" s="1"/>
      <c r="Q116" s="353"/>
      <c r="R116" s="353"/>
      <c r="S116" s="353"/>
      <c r="T116" s="353"/>
      <c r="U116" s="353"/>
      <c r="V116" s="353"/>
      <c r="W116" s="353"/>
      <c r="X116" s="1"/>
      <c r="Y116" s="353"/>
      <c r="Z116" s="1"/>
      <c r="AA116" s="1"/>
      <c r="AB116" s="1"/>
      <c r="AC116" s="91"/>
      <c r="AD116" s="91"/>
      <c r="AE116" s="91"/>
      <c r="AF116" s="91"/>
      <c r="AG116" s="91"/>
      <c r="AH116" s="95"/>
      <c r="AI116" s="158"/>
      <c r="AJ116" s="158"/>
      <c r="AN116" s="183"/>
      <c r="AU116" s="393"/>
    </row>
    <row r="117" spans="2:47" s="98" customFormat="1" ht="94.5" hidden="1" customHeight="1" thickTop="1" thickBot="1" x14ac:dyDescent="0.95">
      <c r="B117" s="94"/>
      <c r="C117" s="94"/>
      <c r="D117" s="92"/>
      <c r="E117" s="92"/>
      <c r="F117" s="92"/>
      <c r="G117" s="92"/>
      <c r="H117" s="92"/>
      <c r="I117" s="92"/>
      <c r="J117" s="93"/>
      <c r="K117" s="92"/>
      <c r="L117" s="351" t="s">
        <v>13</v>
      </c>
      <c r="M117" s="166">
        <f>+M114+M111+M108</f>
        <v>724</v>
      </c>
      <c r="N117" s="166">
        <f t="shared" ref="N117:W117" si="60">+N114+N111+N108</f>
        <v>731</v>
      </c>
      <c r="O117" s="166">
        <f t="shared" si="60"/>
        <v>0</v>
      </c>
      <c r="P117" s="166">
        <f t="shared" si="60"/>
        <v>0</v>
      </c>
      <c r="Q117" s="166">
        <f t="shared" si="60"/>
        <v>0</v>
      </c>
      <c r="R117" s="166">
        <f t="shared" si="60"/>
        <v>0</v>
      </c>
      <c r="S117" s="166">
        <f t="shared" si="60"/>
        <v>0</v>
      </c>
      <c r="T117" s="166">
        <f t="shared" si="60"/>
        <v>0</v>
      </c>
      <c r="U117" s="166">
        <f t="shared" si="60"/>
        <v>0</v>
      </c>
      <c r="V117" s="166">
        <f t="shared" si="60"/>
        <v>0</v>
      </c>
      <c r="W117" s="166">
        <f t="shared" si="60"/>
        <v>0</v>
      </c>
      <c r="X117" s="1"/>
      <c r="Y117" s="223"/>
      <c r="Z117" s="1"/>
      <c r="AA117" s="1"/>
      <c r="AB117" s="1"/>
      <c r="AC117" s="91"/>
      <c r="AD117" s="91"/>
      <c r="AE117" s="91"/>
      <c r="AF117" s="91"/>
      <c r="AG117" s="91"/>
      <c r="AH117" s="95"/>
      <c r="AI117" s="155"/>
      <c r="AJ117" s="155"/>
      <c r="AN117" s="183"/>
      <c r="AU117" s="393"/>
    </row>
    <row r="118" spans="2:47" s="98" customFormat="1" ht="62.25" hidden="1" thickTop="1" x14ac:dyDescent="0.9">
      <c r="B118" s="94"/>
      <c r="C118" s="94"/>
      <c r="D118" s="92"/>
      <c r="E118" s="92"/>
      <c r="F118" s="92"/>
      <c r="G118" s="92"/>
      <c r="H118" s="92"/>
      <c r="I118" s="92"/>
      <c r="J118" s="93"/>
      <c r="K118" s="92"/>
      <c r="L118" s="35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91"/>
      <c r="AD118" s="91"/>
      <c r="AE118" s="91"/>
      <c r="AF118" s="91"/>
      <c r="AG118" s="91"/>
      <c r="AH118" s="95"/>
      <c r="AI118" s="158"/>
      <c r="AJ118" s="158"/>
      <c r="AN118" s="183"/>
      <c r="AU118" s="393"/>
    </row>
    <row r="119" spans="2:47" hidden="1" x14ac:dyDescent="0.9">
      <c r="J119" s="91"/>
      <c r="K119" s="91"/>
      <c r="T119" s="544"/>
      <c r="U119" s="544"/>
      <c r="V119" s="544"/>
      <c r="AI119" s="158"/>
      <c r="AJ119" s="158"/>
    </row>
    <row r="120" spans="2:47" ht="105" hidden="1" customHeight="1" x14ac:dyDescent="0.9">
      <c r="B120" s="391"/>
      <c r="AI120" s="158"/>
      <c r="AJ120" s="158"/>
    </row>
    <row r="121" spans="2:47" s="98" customFormat="1" x14ac:dyDescent="0.9">
      <c r="B121" s="94"/>
      <c r="C121" s="94"/>
      <c r="D121" s="92"/>
      <c r="E121" s="92"/>
      <c r="F121" s="92"/>
      <c r="G121" s="92"/>
      <c r="H121" s="92"/>
      <c r="I121" s="92"/>
      <c r="J121" s="93"/>
      <c r="K121" s="92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8"/>
      <c r="AJ121" s="158"/>
      <c r="AN121" s="183"/>
      <c r="AU121" s="393"/>
    </row>
    <row r="122" spans="2:47" s="98" customFormat="1" x14ac:dyDescent="0.9">
      <c r="B122" s="94"/>
      <c r="C122" s="94"/>
      <c r="D122" s="92"/>
      <c r="E122" s="92"/>
      <c r="F122" s="92"/>
      <c r="G122" s="92"/>
      <c r="H122" s="92"/>
      <c r="I122" s="91"/>
      <c r="J122" s="93"/>
      <c r="K122" s="92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8"/>
      <c r="AJ122" s="158"/>
      <c r="AN122" s="183"/>
      <c r="AU122" s="393"/>
    </row>
    <row r="123" spans="2:47" s="98" customFormat="1" x14ac:dyDescent="0.9">
      <c r="B123" s="94"/>
      <c r="C123" s="94"/>
      <c r="D123" s="92"/>
      <c r="E123" s="92"/>
      <c r="F123" s="92"/>
      <c r="G123" s="92"/>
      <c r="H123" s="92"/>
      <c r="I123" s="92"/>
      <c r="J123" s="93"/>
      <c r="K123" s="92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8"/>
      <c r="AJ123" s="158"/>
      <c r="AN123" s="183"/>
      <c r="AU123" s="393"/>
    </row>
    <row r="124" spans="2:47" s="98" customFormat="1" ht="66" customHeight="1" x14ac:dyDescent="0.9">
      <c r="B124" s="94"/>
      <c r="C124" s="94"/>
      <c r="D124" s="92"/>
      <c r="E124" s="92"/>
      <c r="F124" s="92"/>
      <c r="G124" s="92"/>
      <c r="H124" s="92"/>
      <c r="I124" s="92"/>
      <c r="J124" s="93"/>
      <c r="K124" s="92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8"/>
      <c r="AJ124" s="158"/>
      <c r="AN124" s="183"/>
      <c r="AU124" s="393"/>
    </row>
    <row r="126" spans="2:47" s="92" customFormat="1" x14ac:dyDescent="0.7">
      <c r="B126" s="94"/>
      <c r="C126" s="94"/>
      <c r="D126" s="92">
        <v>2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1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2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3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4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5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6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7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34" spans="2:47" s="92" customFormat="1" x14ac:dyDescent="0.7">
      <c r="B134" s="94"/>
      <c r="C134" s="94"/>
      <c r="H134" s="92">
        <v>8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5"/>
      <c r="AI134" s="155"/>
      <c r="AJ134" s="155"/>
      <c r="AK134" s="98"/>
      <c r="AL134" s="98"/>
      <c r="AM134" s="98"/>
      <c r="AN134" s="183"/>
      <c r="AO134" s="91"/>
      <c r="AP134" s="91"/>
      <c r="AU134" s="243"/>
    </row>
    <row r="135" spans="2:47" s="92" customFormat="1" x14ac:dyDescent="0.7">
      <c r="B135" s="94"/>
      <c r="C135" s="94"/>
      <c r="H135" s="92">
        <v>11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5"/>
      <c r="AI135" s="155"/>
      <c r="AJ135" s="155"/>
      <c r="AK135" s="98"/>
      <c r="AL135" s="98"/>
      <c r="AM135" s="98"/>
      <c r="AN135" s="183"/>
      <c r="AO135" s="91"/>
      <c r="AP135" s="91"/>
      <c r="AU135" s="243"/>
    </row>
    <row r="136" spans="2:47" s="92" customFormat="1" x14ac:dyDescent="0.7">
      <c r="B136" s="94"/>
      <c r="C136" s="94"/>
      <c r="H136" s="92">
        <v>12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5"/>
      <c r="AI136" s="155"/>
      <c r="AJ136" s="155"/>
      <c r="AK136" s="98"/>
      <c r="AL136" s="98"/>
      <c r="AM136" s="98"/>
      <c r="AN136" s="183"/>
      <c r="AO136" s="91"/>
      <c r="AP136" s="91"/>
      <c r="AU136" s="243"/>
    </row>
    <row r="137" spans="2:47" s="92" customFormat="1" x14ac:dyDescent="0.7">
      <c r="B137" s="94"/>
      <c r="C137" s="94"/>
      <c r="H137" s="92">
        <v>13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5"/>
      <c r="AI137" s="155"/>
      <c r="AJ137" s="155"/>
      <c r="AK137" s="98"/>
      <c r="AL137" s="98"/>
      <c r="AM137" s="98"/>
      <c r="AN137" s="183"/>
      <c r="AO137" s="91"/>
      <c r="AP137" s="91"/>
      <c r="AU137" s="243"/>
    </row>
    <row r="138" spans="2:47" s="92" customFormat="1" x14ac:dyDescent="0.7">
      <c r="B138" s="94"/>
      <c r="C138" s="94"/>
      <c r="H138" s="92">
        <v>14</v>
      </c>
      <c r="J138" s="93"/>
      <c r="L138" s="99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5"/>
      <c r="AI138" s="155"/>
      <c r="AJ138" s="155"/>
      <c r="AK138" s="98"/>
      <c r="AL138" s="98"/>
      <c r="AM138" s="98"/>
      <c r="AN138" s="183"/>
      <c r="AO138" s="91"/>
      <c r="AP138" s="91"/>
      <c r="AU138" s="243"/>
    </row>
    <row r="139" spans="2:47" s="92" customFormat="1" x14ac:dyDescent="0.7">
      <c r="B139" s="94"/>
      <c r="C139" s="94"/>
      <c r="H139" s="92">
        <v>15</v>
      </c>
      <c r="J139" s="93"/>
      <c r="L139" s="99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5"/>
      <c r="AI139" s="155"/>
      <c r="AJ139" s="155"/>
      <c r="AK139" s="98"/>
      <c r="AL139" s="98"/>
      <c r="AM139" s="98"/>
      <c r="AN139" s="183"/>
      <c r="AO139" s="91"/>
      <c r="AP139" s="91"/>
      <c r="AU139" s="243"/>
    </row>
    <row r="140" spans="2:47" s="92" customFormat="1" x14ac:dyDescent="0.7">
      <c r="B140" s="94"/>
      <c r="C140" s="94"/>
      <c r="H140" s="92">
        <v>17</v>
      </c>
      <c r="J140" s="93"/>
      <c r="L140" s="99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5"/>
      <c r="AI140" s="155"/>
      <c r="AJ140" s="155"/>
      <c r="AK140" s="98"/>
      <c r="AL140" s="98"/>
      <c r="AM140" s="98"/>
      <c r="AN140" s="183"/>
      <c r="AO140" s="91"/>
      <c r="AP140" s="91"/>
      <c r="AU140" s="243"/>
    </row>
    <row r="141" spans="2:47" s="92" customFormat="1" x14ac:dyDescent="0.7">
      <c r="B141" s="94"/>
      <c r="C141" s="94"/>
      <c r="H141" s="92">
        <v>18</v>
      </c>
      <c r="J141" s="93"/>
      <c r="L141" s="99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5"/>
      <c r="AI141" s="155"/>
      <c r="AJ141" s="155"/>
      <c r="AK141" s="98"/>
      <c r="AL141" s="98"/>
      <c r="AM141" s="98"/>
      <c r="AN141" s="183"/>
      <c r="AO141" s="91"/>
      <c r="AP141" s="91"/>
      <c r="AU141" s="243"/>
    </row>
    <row r="142" spans="2:47" s="92" customFormat="1" x14ac:dyDescent="0.7">
      <c r="B142" s="94"/>
      <c r="C142" s="94"/>
      <c r="H142" s="92">
        <v>19</v>
      </c>
      <c r="J142" s="93"/>
      <c r="L142" s="99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5"/>
      <c r="AI142" s="155"/>
      <c r="AJ142" s="155"/>
      <c r="AK142" s="98"/>
      <c r="AL142" s="98"/>
      <c r="AM142" s="98"/>
      <c r="AN142" s="183"/>
      <c r="AO142" s="91"/>
      <c r="AP142" s="91"/>
      <c r="AU142" s="243"/>
    </row>
    <row r="198" spans="2:47" s="92" customFormat="1" x14ac:dyDescent="0.7">
      <c r="B198" s="94"/>
      <c r="C198" s="94"/>
      <c r="G198" s="92">
        <v>1</v>
      </c>
      <c r="J198" s="93"/>
      <c r="L198" s="99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5"/>
      <c r="AI198" s="155"/>
      <c r="AJ198" s="155"/>
      <c r="AK198" s="98"/>
      <c r="AL198" s="98"/>
      <c r="AM198" s="98"/>
      <c r="AN198" s="183"/>
      <c r="AO198" s="91"/>
      <c r="AP198" s="91"/>
      <c r="AU198" s="243"/>
    </row>
  </sheetData>
  <autoFilter ref="A5:CT98">
    <filterColumn colId="9" showButton="0"/>
  </autoFilter>
  <mergeCells count="69">
    <mergeCell ref="T119:V119"/>
    <mergeCell ref="G91:G94"/>
    <mergeCell ref="AA91:AA93"/>
    <mergeCell ref="G95:G98"/>
    <mergeCell ref="AA95:AA97"/>
    <mergeCell ref="G99:G102"/>
    <mergeCell ref="AA99:AA101"/>
    <mergeCell ref="AA104:AB104"/>
    <mergeCell ref="AA106:AB106"/>
    <mergeCell ref="AZ72:BI72"/>
    <mergeCell ref="G75:G78"/>
    <mergeCell ref="AA75:AA77"/>
    <mergeCell ref="AZ76:BJ76"/>
    <mergeCell ref="G79:G82"/>
    <mergeCell ref="AA79:AA81"/>
    <mergeCell ref="AZ80:BJ80"/>
    <mergeCell ref="G63:G66"/>
    <mergeCell ref="AA63:AA65"/>
    <mergeCell ref="G67:G70"/>
    <mergeCell ref="AA67:AA69"/>
    <mergeCell ref="G87:G90"/>
    <mergeCell ref="AA87:AA89"/>
    <mergeCell ref="G71:G74"/>
    <mergeCell ref="AA71:AA73"/>
    <mergeCell ref="G83:G86"/>
    <mergeCell ref="AA83:AA85"/>
    <mergeCell ref="G51:G54"/>
    <mergeCell ref="AA51:AA53"/>
    <mergeCell ref="G55:G58"/>
    <mergeCell ref="AA55:AA57"/>
    <mergeCell ref="G59:G62"/>
    <mergeCell ref="AA59:AA61"/>
    <mergeCell ref="AZ40:BI40"/>
    <mergeCell ref="G43:G46"/>
    <mergeCell ref="AA43:AA45"/>
    <mergeCell ref="AZ44:BI44"/>
    <mergeCell ref="G47:G50"/>
    <mergeCell ref="AA47:AA49"/>
    <mergeCell ref="G31:G34"/>
    <mergeCell ref="AA31:AA33"/>
    <mergeCell ref="G35:G38"/>
    <mergeCell ref="AA35:AA37"/>
    <mergeCell ref="G39:G42"/>
    <mergeCell ref="AA39:AA41"/>
    <mergeCell ref="AZ16:BI16"/>
    <mergeCell ref="G19:G22"/>
    <mergeCell ref="AA19:AA21"/>
    <mergeCell ref="G27:G30"/>
    <mergeCell ref="AA27:AA29"/>
    <mergeCell ref="G23:G26"/>
    <mergeCell ref="AA23:AA25"/>
    <mergeCell ref="J5:K5"/>
    <mergeCell ref="AA6:AA8"/>
    <mergeCell ref="I6:I10"/>
    <mergeCell ref="G6:G10"/>
    <mergeCell ref="G15:G18"/>
    <mergeCell ref="AA15:AA17"/>
    <mergeCell ref="AG1:AH1"/>
    <mergeCell ref="AG2:AH3"/>
    <mergeCell ref="H3:I3"/>
    <mergeCell ref="K3:L3"/>
    <mergeCell ref="B4:G4"/>
    <mergeCell ref="K4:L4"/>
    <mergeCell ref="AG4:AH4"/>
    <mergeCell ref="F6:F10"/>
    <mergeCell ref="AZ7:BI7"/>
    <mergeCell ref="G11:G14"/>
    <mergeCell ref="AA11:AA13"/>
    <mergeCell ref="AZ12:BI12"/>
  </mergeCells>
  <conditionalFormatting sqref="I13">
    <cfRule type="cellIs" dxfId="670" priority="126" operator="greaterThan">
      <formula>0</formula>
    </cfRule>
  </conditionalFormatting>
  <conditionalFormatting sqref="I17">
    <cfRule type="cellIs" dxfId="669" priority="164" operator="greaterThan">
      <formula>0</formula>
    </cfRule>
  </conditionalFormatting>
  <conditionalFormatting sqref="I21">
    <cfRule type="cellIs" dxfId="668" priority="181" operator="greaterThan">
      <formula>0</formula>
    </cfRule>
  </conditionalFormatting>
  <conditionalFormatting sqref="I33">
    <cfRule type="cellIs" dxfId="667" priority="160" operator="greaterThan">
      <formula>0</formula>
    </cfRule>
  </conditionalFormatting>
  <conditionalFormatting sqref="I41">
    <cfRule type="cellIs" dxfId="666" priority="152" operator="greaterThan">
      <formula>0</formula>
    </cfRule>
  </conditionalFormatting>
  <conditionalFormatting sqref="I49">
    <cfRule type="cellIs" dxfId="665" priority="169" operator="greaterThan">
      <formula>0</formula>
    </cfRule>
  </conditionalFormatting>
  <conditionalFormatting sqref="I57">
    <cfRule type="cellIs" dxfId="664" priority="186" operator="greaterThan">
      <formula>0</formula>
    </cfRule>
  </conditionalFormatting>
  <conditionalFormatting sqref="I65">
    <cfRule type="cellIs" dxfId="663" priority="131" operator="greaterThan">
      <formula>0</formula>
    </cfRule>
  </conditionalFormatting>
  <conditionalFormatting sqref="I73">
    <cfRule type="cellIs" dxfId="662" priority="144" operator="greaterThan">
      <formula>0</formula>
    </cfRule>
  </conditionalFormatting>
  <conditionalFormatting sqref="I77">
    <cfRule type="cellIs" dxfId="661" priority="136" operator="greaterThan">
      <formula>0</formula>
    </cfRule>
  </conditionalFormatting>
  <conditionalFormatting sqref="I85">
    <cfRule type="cellIs" dxfId="660" priority="173" operator="greaterThan">
      <formula>0</formula>
    </cfRule>
  </conditionalFormatting>
  <conditionalFormatting sqref="I89">
    <cfRule type="cellIs" dxfId="659" priority="179" operator="greaterThan">
      <formula>0</formula>
    </cfRule>
  </conditionalFormatting>
  <conditionalFormatting sqref="J8">
    <cfRule type="cellIs" dxfId="658" priority="122" operator="greaterThan">
      <formula>0</formula>
    </cfRule>
  </conditionalFormatting>
  <conditionalFormatting sqref="J17">
    <cfRule type="cellIs" dxfId="657" priority="163" operator="greaterThan">
      <formula>0</formula>
    </cfRule>
  </conditionalFormatting>
  <conditionalFormatting sqref="J21">
    <cfRule type="cellIs" dxfId="656" priority="182" operator="greaterThan">
      <formula>0</formula>
    </cfRule>
  </conditionalFormatting>
  <conditionalFormatting sqref="J33">
    <cfRule type="cellIs" dxfId="655" priority="157" operator="greaterThan">
      <formula>0</formula>
    </cfRule>
  </conditionalFormatting>
  <conditionalFormatting sqref="J41">
    <cfRule type="cellIs" dxfId="654" priority="149" operator="greaterThan">
      <formula>0</formula>
    </cfRule>
  </conditionalFormatting>
  <conditionalFormatting sqref="J49">
    <cfRule type="cellIs" dxfId="653" priority="167" operator="greaterThan">
      <formula>0</formula>
    </cfRule>
  </conditionalFormatting>
  <conditionalFormatting sqref="J57">
    <cfRule type="cellIs" dxfId="652" priority="156" operator="greaterThan">
      <formula>0</formula>
    </cfRule>
  </conditionalFormatting>
  <conditionalFormatting sqref="J65">
    <cfRule type="cellIs" dxfId="651" priority="129" operator="greaterThan">
      <formula>0</formula>
    </cfRule>
  </conditionalFormatting>
  <conditionalFormatting sqref="J73">
    <cfRule type="cellIs" dxfId="650" priority="143" operator="greaterThan">
      <formula>0</formula>
    </cfRule>
  </conditionalFormatting>
  <conditionalFormatting sqref="J77">
    <cfRule type="cellIs" dxfId="649" priority="134" operator="greaterThan">
      <formula>0</formula>
    </cfRule>
  </conditionalFormatting>
  <conditionalFormatting sqref="J85">
    <cfRule type="cellIs" dxfId="648" priority="120" operator="greaterThan">
      <formula>0</formula>
    </cfRule>
  </conditionalFormatting>
  <conditionalFormatting sqref="J89">
    <cfRule type="cellIs" dxfId="647" priority="176" operator="greaterThan">
      <formula>0</formula>
    </cfRule>
  </conditionalFormatting>
  <conditionalFormatting sqref="Z6:Z22 Z55:Z58 Z71:Z77 Z103 X103 Z63:Z66">
    <cfRule type="cellIs" dxfId="646" priority="190" operator="lessThan">
      <formula>0</formula>
    </cfRule>
  </conditionalFormatting>
  <conditionalFormatting sqref="Z31:Z34 Z39:Z42 Z47:Z50">
    <cfRule type="cellIs" dxfId="645" priority="124" operator="lessThan">
      <formula>0</formula>
    </cfRule>
  </conditionalFormatting>
  <conditionalFormatting sqref="Z7">
    <cfRule type="iconSet" priority="140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644" priority="139" operator="lessThan">
      <formula>0</formula>
    </cfRule>
  </conditionalFormatting>
  <conditionalFormatting sqref="Z12">
    <cfRule type="iconSet" priority="127">
      <iconSet>
        <cfvo type="percent" val="0"/>
        <cfvo type="percent" val="&quot;$I$6&quot;"/>
        <cfvo type="percent" val="#REF!"/>
      </iconSet>
    </cfRule>
  </conditionalFormatting>
  <conditionalFormatting sqref="Z13">
    <cfRule type="cellIs" dxfId="643" priority="123" operator="lessThan">
      <formula>0</formula>
    </cfRule>
  </conditionalFormatting>
  <conditionalFormatting sqref="Z16">
    <cfRule type="iconSet" priority="166">
      <iconSet>
        <cfvo type="percent" val="0"/>
        <cfvo type="percent" val="&quot;$I$6&quot;"/>
        <cfvo type="percent" val="#REF!"/>
      </iconSet>
    </cfRule>
  </conditionalFormatting>
  <conditionalFormatting sqref="Z17">
    <cfRule type="cellIs" dxfId="642" priority="162" operator="lessThan">
      <formula>0</formula>
    </cfRule>
  </conditionalFormatting>
  <conditionalFormatting sqref="Z20">
    <cfRule type="iconSet" priority="185">
      <iconSet>
        <cfvo type="percent" val="0"/>
        <cfvo type="percent" val="&quot;$I$6&quot;"/>
        <cfvo type="percent" val="#REF!"/>
      </iconSet>
    </cfRule>
  </conditionalFormatting>
  <conditionalFormatting sqref="Z21">
    <cfRule type="cellIs" dxfId="641" priority="183" operator="lessThan">
      <formula>0</formula>
    </cfRule>
  </conditionalFormatting>
  <conditionalFormatting sqref="Z32">
    <cfRule type="iconSet" priority="159">
      <iconSet>
        <cfvo type="percent" val="0"/>
        <cfvo type="percent" val="&quot;$I$6&quot;"/>
        <cfvo type="percent" val="#REF!"/>
      </iconSet>
    </cfRule>
  </conditionalFormatting>
  <conditionalFormatting sqref="Z33">
    <cfRule type="cellIs" dxfId="640" priority="158" operator="lessThan">
      <formula>0</formula>
    </cfRule>
  </conditionalFormatting>
  <conditionalFormatting sqref="Z40">
    <cfRule type="iconSet" priority="151">
      <iconSet>
        <cfvo type="percent" val="0"/>
        <cfvo type="percent" val="&quot;$I$6&quot;"/>
        <cfvo type="percent" val="#REF!"/>
      </iconSet>
    </cfRule>
  </conditionalFormatting>
  <conditionalFormatting sqref="Z41">
    <cfRule type="cellIs" dxfId="639" priority="150" operator="lessThan">
      <formula>0</formula>
    </cfRule>
  </conditionalFormatting>
  <conditionalFormatting sqref="Z48">
    <cfRule type="iconSet" priority="171">
      <iconSet>
        <cfvo type="percent" val="0"/>
        <cfvo type="percent" val="&quot;$I$6&quot;"/>
        <cfvo type="percent" val="#REF!"/>
      </iconSet>
    </cfRule>
  </conditionalFormatting>
  <conditionalFormatting sqref="Z49">
    <cfRule type="cellIs" dxfId="638" priority="168" operator="lessThan">
      <formula>0</formula>
    </cfRule>
  </conditionalFormatting>
  <conditionalFormatting sqref="Z56">
    <cfRule type="iconSet" priority="188">
      <iconSet>
        <cfvo type="percent" val="0"/>
        <cfvo type="percent" val="&quot;$I$6&quot;"/>
        <cfvo type="percent" val="#REF!"/>
      </iconSet>
    </cfRule>
  </conditionalFormatting>
  <conditionalFormatting sqref="Z57">
    <cfRule type="cellIs" dxfId="637" priority="187" operator="lessThan">
      <formula>0</formula>
    </cfRule>
  </conditionalFormatting>
  <conditionalFormatting sqref="Z64">
    <cfRule type="iconSet" priority="132">
      <iconSet>
        <cfvo type="percent" val="0"/>
        <cfvo type="percent" val="&quot;$I$6&quot;"/>
        <cfvo type="percent" val="#REF!"/>
      </iconSet>
    </cfRule>
  </conditionalFormatting>
  <conditionalFormatting sqref="Z65">
    <cfRule type="cellIs" dxfId="636" priority="130" operator="lessThan">
      <formula>0</formula>
    </cfRule>
  </conditionalFormatting>
  <conditionalFormatting sqref="Z72">
    <cfRule type="iconSet" priority="147">
      <iconSet>
        <cfvo type="percent" val="0"/>
        <cfvo type="percent" val="&quot;$I$6&quot;"/>
        <cfvo type="percent" val="#REF!"/>
      </iconSet>
    </cfRule>
  </conditionalFormatting>
  <conditionalFormatting sqref="Z73">
    <cfRule type="cellIs" dxfId="635" priority="145" operator="lessThan">
      <formula>0</formula>
    </cfRule>
  </conditionalFormatting>
  <conditionalFormatting sqref="Z76">
    <cfRule type="iconSet" priority="138">
      <iconSet>
        <cfvo type="percent" val="0"/>
        <cfvo type="percent" val="&quot;$I$6&quot;"/>
        <cfvo type="percent" val="#REF!"/>
      </iconSet>
    </cfRule>
  </conditionalFormatting>
  <conditionalFormatting sqref="Z77">
    <cfRule type="cellIs" dxfId="634" priority="135" operator="lessThan">
      <formula>0</formula>
    </cfRule>
  </conditionalFormatting>
  <conditionalFormatting sqref="Z83:Z90">
    <cfRule type="cellIs" dxfId="633" priority="148" operator="lessThan">
      <formula>0</formula>
    </cfRule>
  </conditionalFormatting>
  <conditionalFormatting sqref="Z84">
    <cfRule type="iconSet" priority="175">
      <iconSet>
        <cfvo type="percent" val="0"/>
        <cfvo type="percent" val="&quot;$I$6&quot;"/>
        <cfvo type="percent" val="#REF!"/>
      </iconSet>
    </cfRule>
  </conditionalFormatting>
  <conditionalFormatting sqref="Z85">
    <cfRule type="cellIs" dxfId="632" priority="172" operator="lessThan">
      <formula>0</formula>
    </cfRule>
  </conditionalFormatting>
  <conditionalFormatting sqref="Z88">
    <cfRule type="iconSet" priority="178">
      <iconSet>
        <cfvo type="percent" val="0"/>
        <cfvo type="percent" val="&quot;$I$6&quot;"/>
        <cfvo type="percent" val="#REF!"/>
      </iconSet>
    </cfRule>
  </conditionalFormatting>
  <conditionalFormatting sqref="Z89">
    <cfRule type="cellIs" dxfId="631" priority="177" operator="lessThan">
      <formula>0</formula>
    </cfRule>
  </conditionalFormatting>
  <conditionalFormatting sqref="AA18">
    <cfRule type="cellIs" dxfId="630" priority="154" operator="lessThan">
      <formula>0</formula>
    </cfRule>
  </conditionalFormatting>
  <conditionalFormatting sqref="AA58">
    <cfRule type="cellIs" dxfId="629" priority="155" operator="lessThan">
      <formula>0</formula>
    </cfRule>
  </conditionalFormatting>
  <conditionalFormatting sqref="AG2:AH3">
    <cfRule type="cellIs" dxfId="628" priority="191" operator="lessThan">
      <formula>0.85</formula>
    </cfRule>
  </conditionalFormatting>
  <conditionalFormatting sqref="AP83:AP90 AP1:AP22 AP31:AP34 AP55:AP58 AP71:AP78 AP103:AP1048576 AP39:AP42 AP47:AP50 AP63:AP66">
    <cfRule type="cellIs" dxfId="627" priority="125" operator="notEqual">
      <formula>0</formula>
    </cfRule>
  </conditionalFormatting>
  <conditionalFormatting sqref="AT6:AT10 AT103:AT105">
    <cfRule type="cellIs" dxfId="626" priority="121" operator="lessThan">
      <formula>0</formula>
    </cfRule>
  </conditionalFormatting>
  <conditionalFormatting sqref="AA74">
    <cfRule type="cellIs" dxfId="625" priority="119" operator="lessThan">
      <formula>0</formula>
    </cfRule>
  </conditionalFormatting>
  <conditionalFormatting sqref="AA90">
    <cfRule type="cellIs" dxfId="624" priority="118" operator="lessThan">
      <formula>0</formula>
    </cfRule>
  </conditionalFormatting>
  <conditionalFormatting sqref="I25">
    <cfRule type="cellIs" dxfId="623" priority="114" operator="greaterThan">
      <formula>0</formula>
    </cfRule>
  </conditionalFormatting>
  <conditionalFormatting sqref="Z23:Z25">
    <cfRule type="cellIs" dxfId="622" priority="112" operator="lessThan">
      <formula>0</formula>
    </cfRule>
  </conditionalFormatting>
  <conditionalFormatting sqref="Z24">
    <cfRule type="iconSet" priority="117">
      <iconSet>
        <cfvo type="percent" val="0"/>
        <cfvo type="percent" val="&quot;$I$6&quot;"/>
        <cfvo type="percent" val="#REF!"/>
      </iconSet>
    </cfRule>
  </conditionalFormatting>
  <conditionalFormatting sqref="Z25">
    <cfRule type="cellIs" dxfId="621" priority="115" operator="lessThan">
      <formula>0</formula>
    </cfRule>
  </conditionalFormatting>
  <conditionalFormatting sqref="AP23:AP26">
    <cfRule type="cellIs" dxfId="620" priority="113" operator="notEqual">
      <formula>0</formula>
    </cfRule>
  </conditionalFormatting>
  <conditionalFormatting sqref="I53">
    <cfRule type="cellIs" dxfId="619" priority="109" operator="greaterThan">
      <formula>0</formula>
    </cfRule>
  </conditionalFormatting>
  <conditionalFormatting sqref="J53">
    <cfRule type="cellIs" dxfId="618" priority="107" operator="greaterThan">
      <formula>0</formula>
    </cfRule>
  </conditionalFormatting>
  <conditionalFormatting sqref="Z51:Z54">
    <cfRule type="cellIs" dxfId="617" priority="105" operator="lessThan">
      <formula>0</formula>
    </cfRule>
  </conditionalFormatting>
  <conditionalFormatting sqref="Z52">
    <cfRule type="iconSet" priority="111">
      <iconSet>
        <cfvo type="percent" val="0"/>
        <cfvo type="percent" val="&quot;$I$6&quot;"/>
        <cfvo type="percent" val="#REF!"/>
      </iconSet>
    </cfRule>
  </conditionalFormatting>
  <conditionalFormatting sqref="Z53">
    <cfRule type="cellIs" dxfId="616" priority="108" operator="lessThan">
      <formula>0</formula>
    </cfRule>
  </conditionalFormatting>
  <conditionalFormatting sqref="Z95:Z97">
    <cfRule type="cellIs" dxfId="615" priority="101" operator="lessThan">
      <formula>0</formula>
    </cfRule>
  </conditionalFormatting>
  <conditionalFormatting sqref="AP51:AP54">
    <cfRule type="cellIs" dxfId="614" priority="106" operator="notEqual">
      <formula>0</formula>
    </cfRule>
  </conditionalFormatting>
  <conditionalFormatting sqref="I97">
    <cfRule type="cellIs" dxfId="613" priority="103" operator="greaterThan">
      <formula>0</formula>
    </cfRule>
  </conditionalFormatting>
  <conditionalFormatting sqref="J97">
    <cfRule type="cellIs" dxfId="612" priority="99" operator="greaterThan">
      <formula>0</formula>
    </cfRule>
  </conditionalFormatting>
  <conditionalFormatting sqref="Z96">
    <cfRule type="iconSet" priority="102">
      <iconSet>
        <cfvo type="percent" val="0"/>
        <cfvo type="percent" val="&quot;$I$6&quot;"/>
        <cfvo type="percent" val="#REF!"/>
      </iconSet>
    </cfRule>
  </conditionalFormatting>
  <conditionalFormatting sqref="Z97">
    <cfRule type="cellIs" dxfId="611" priority="100" operator="lessThan">
      <formula>0</formula>
    </cfRule>
  </conditionalFormatting>
  <conditionalFormatting sqref="AP95:AP98">
    <cfRule type="cellIs" dxfId="610" priority="98" operator="notEqual">
      <formula>0</formula>
    </cfRule>
  </conditionalFormatting>
  <conditionalFormatting sqref="Z98">
    <cfRule type="cellIs" dxfId="609" priority="97" operator="lessThan">
      <formula>0</formula>
    </cfRule>
  </conditionalFormatting>
  <conditionalFormatting sqref="I81">
    <cfRule type="cellIs" dxfId="608" priority="93" operator="greaterThan">
      <formula>0</formula>
    </cfRule>
  </conditionalFormatting>
  <conditionalFormatting sqref="Z79:Z82">
    <cfRule type="cellIs" dxfId="607" priority="96" operator="lessThan">
      <formula>0</formula>
    </cfRule>
  </conditionalFormatting>
  <conditionalFormatting sqref="Z80">
    <cfRule type="iconSet" priority="95">
      <iconSet>
        <cfvo type="percent" val="0"/>
        <cfvo type="percent" val="&quot;$I$6&quot;"/>
        <cfvo type="percent" val="#REF!"/>
      </iconSet>
    </cfRule>
  </conditionalFormatting>
  <conditionalFormatting sqref="Z81">
    <cfRule type="cellIs" dxfId="606" priority="92" operator="lessThan">
      <formula>0</formula>
    </cfRule>
  </conditionalFormatting>
  <conditionalFormatting sqref="AP79:AP82">
    <cfRule type="cellIs" dxfId="605" priority="91" operator="notEqual">
      <formula>0</formula>
    </cfRule>
  </conditionalFormatting>
  <conditionalFormatting sqref="AA34">
    <cfRule type="cellIs" dxfId="604" priority="89" operator="lessThan">
      <formula>0</formula>
    </cfRule>
  </conditionalFormatting>
  <conditionalFormatting sqref="Z26">
    <cfRule type="cellIs" dxfId="603" priority="90" operator="lessThan">
      <formula>0</formula>
    </cfRule>
  </conditionalFormatting>
  <conditionalFormatting sqref="Z29">
    <cfRule type="cellIs" dxfId="602" priority="81" operator="lessThan">
      <formula>0</formula>
    </cfRule>
  </conditionalFormatting>
  <conditionalFormatting sqref="I29">
    <cfRule type="cellIs" dxfId="601" priority="80" operator="greaterThan">
      <formula>0</formula>
    </cfRule>
  </conditionalFormatting>
  <conditionalFormatting sqref="Z27:Z30">
    <cfRule type="cellIs" dxfId="600" priority="78" operator="lessThan">
      <formula>0</formula>
    </cfRule>
  </conditionalFormatting>
  <conditionalFormatting sqref="Z28">
    <cfRule type="iconSet" priority="82">
      <iconSet>
        <cfvo type="percent" val="0"/>
        <cfvo type="percent" val="&quot;$I$6&quot;"/>
        <cfvo type="percent" val="#REF!"/>
      </iconSet>
    </cfRule>
  </conditionalFormatting>
  <conditionalFormatting sqref="AP27:AP30">
    <cfRule type="cellIs" dxfId="599" priority="79" operator="notEqual">
      <formula>0</formula>
    </cfRule>
  </conditionalFormatting>
  <conditionalFormatting sqref="J13">
    <cfRule type="cellIs" dxfId="598" priority="74" operator="greaterThan">
      <formula>0</formula>
    </cfRule>
  </conditionalFormatting>
  <conditionalFormatting sqref="I69">
    <cfRule type="cellIs" dxfId="597" priority="71" operator="greaterThan">
      <formula>0</formula>
    </cfRule>
  </conditionalFormatting>
  <conditionalFormatting sqref="J69">
    <cfRule type="cellIs" dxfId="596" priority="68" operator="greaterThan">
      <formula>0</formula>
    </cfRule>
  </conditionalFormatting>
  <conditionalFormatting sqref="Z67:Z70">
    <cfRule type="cellIs" dxfId="595" priority="73" operator="lessThan">
      <formula>0</formula>
    </cfRule>
  </conditionalFormatting>
  <conditionalFormatting sqref="Z68">
    <cfRule type="iconSet" priority="70">
      <iconSet>
        <cfvo type="percent" val="0"/>
        <cfvo type="percent" val="&quot;$I$6&quot;"/>
        <cfvo type="percent" val="#REF!"/>
      </iconSet>
    </cfRule>
  </conditionalFormatting>
  <conditionalFormatting sqref="Z69">
    <cfRule type="cellIs" dxfId="594" priority="69" operator="lessThan">
      <formula>0</formula>
    </cfRule>
  </conditionalFormatting>
  <conditionalFormatting sqref="AP67:AP70">
    <cfRule type="cellIs" dxfId="593" priority="67" operator="notEqual">
      <formula>0</formula>
    </cfRule>
  </conditionalFormatting>
  <conditionalFormatting sqref="J25">
    <cfRule type="cellIs" dxfId="592" priority="64" operator="greaterThan">
      <formula>0</formula>
    </cfRule>
  </conditionalFormatting>
  <conditionalFormatting sqref="I101">
    <cfRule type="cellIs" dxfId="591" priority="61" operator="greaterThan">
      <formula>0</formula>
    </cfRule>
  </conditionalFormatting>
  <conditionalFormatting sqref="J101">
    <cfRule type="cellIs" dxfId="590" priority="57" operator="greaterThan">
      <formula>0</formula>
    </cfRule>
  </conditionalFormatting>
  <conditionalFormatting sqref="Z99:Z102">
    <cfRule type="cellIs" dxfId="589" priority="59" operator="lessThan">
      <formula>0</formula>
    </cfRule>
  </conditionalFormatting>
  <conditionalFormatting sqref="Z101">
    <cfRule type="cellIs" dxfId="588" priority="58" operator="lessThan">
      <formula>0</formula>
    </cfRule>
  </conditionalFormatting>
  <conditionalFormatting sqref="AP99:AP102">
    <cfRule type="cellIs" dxfId="587" priority="56" operator="notEqual">
      <formula>0</formula>
    </cfRule>
  </conditionalFormatting>
  <conditionalFormatting sqref="J29">
    <cfRule type="cellIs" dxfId="586" priority="53" operator="greaterThan">
      <formula>0</formula>
    </cfRule>
  </conditionalFormatting>
  <conditionalFormatting sqref="J81">
    <cfRule type="cellIs" dxfId="585" priority="52" operator="greaterThan">
      <formula>0</formula>
    </cfRule>
  </conditionalFormatting>
  <conditionalFormatting sqref="I37">
    <cfRule type="cellIs" dxfId="584" priority="48" operator="greaterThan">
      <formula>0</formula>
    </cfRule>
  </conditionalFormatting>
  <conditionalFormatting sqref="J37">
    <cfRule type="cellIs" dxfId="583" priority="45" operator="greaterThan">
      <formula>0</formula>
    </cfRule>
  </conditionalFormatting>
  <conditionalFormatting sqref="Z35:Z38">
    <cfRule type="cellIs" dxfId="582" priority="43" operator="lessThan">
      <formula>0</formula>
    </cfRule>
  </conditionalFormatting>
  <conditionalFormatting sqref="Z36">
    <cfRule type="iconSet" priority="47">
      <iconSet>
        <cfvo type="percent" val="0"/>
        <cfvo type="percent" val="&quot;$I$6&quot;"/>
        <cfvo type="percent" val="#REF!"/>
      </iconSet>
    </cfRule>
  </conditionalFormatting>
  <conditionalFormatting sqref="Z37">
    <cfRule type="cellIs" dxfId="581" priority="46" operator="lessThan">
      <formula>0</formula>
    </cfRule>
  </conditionalFormatting>
  <conditionalFormatting sqref="AP35:AP38">
    <cfRule type="cellIs" dxfId="580" priority="44" operator="notEqual">
      <formula>0</formula>
    </cfRule>
  </conditionalFormatting>
  <conditionalFormatting sqref="AA38">
    <cfRule type="cellIs" dxfId="579" priority="41" operator="lessThan">
      <formula>0</formula>
    </cfRule>
  </conditionalFormatting>
  <conditionalFormatting sqref="I45">
    <cfRule type="cellIs" dxfId="578" priority="36" operator="greaterThan">
      <formula>0</formula>
    </cfRule>
  </conditionalFormatting>
  <conditionalFormatting sqref="J45">
    <cfRule type="cellIs" dxfId="577" priority="33" operator="greaterThan">
      <formula>0</formula>
    </cfRule>
  </conditionalFormatting>
  <conditionalFormatting sqref="Z43:Z46">
    <cfRule type="cellIs" dxfId="576" priority="31" operator="lessThan">
      <formula>0</formula>
    </cfRule>
  </conditionalFormatting>
  <conditionalFormatting sqref="Z44">
    <cfRule type="iconSet" priority="35">
      <iconSet>
        <cfvo type="percent" val="0"/>
        <cfvo type="percent" val="&quot;$I$6&quot;"/>
        <cfvo type="percent" val="#REF!"/>
      </iconSet>
    </cfRule>
  </conditionalFormatting>
  <conditionalFormatting sqref="Z45">
    <cfRule type="cellIs" dxfId="575" priority="34" operator="lessThan">
      <formula>0</formula>
    </cfRule>
  </conditionalFormatting>
  <conditionalFormatting sqref="AP43:AP46">
    <cfRule type="cellIs" dxfId="574" priority="32" operator="notEqual">
      <formula>0</formula>
    </cfRule>
  </conditionalFormatting>
  <conditionalFormatting sqref="I61">
    <cfRule type="cellIs" dxfId="573" priority="23" operator="greaterThan">
      <formula>0</formula>
    </cfRule>
  </conditionalFormatting>
  <conditionalFormatting sqref="J61">
    <cfRule type="cellIs" dxfId="572" priority="22" operator="greaterThan">
      <formula>0</formula>
    </cfRule>
  </conditionalFormatting>
  <conditionalFormatting sqref="Z59:Z62">
    <cfRule type="cellIs" dxfId="571" priority="27" operator="lessThan">
      <formula>0</formula>
    </cfRule>
  </conditionalFormatting>
  <conditionalFormatting sqref="Z60">
    <cfRule type="iconSet" priority="25">
      <iconSet>
        <cfvo type="percent" val="0"/>
        <cfvo type="percent" val="&quot;$I$6&quot;"/>
        <cfvo type="percent" val="#REF!"/>
      </iconSet>
    </cfRule>
  </conditionalFormatting>
  <conditionalFormatting sqref="Z61">
    <cfRule type="cellIs" dxfId="570" priority="24" operator="lessThan">
      <formula>0</formula>
    </cfRule>
  </conditionalFormatting>
  <conditionalFormatting sqref="AP59:AP62">
    <cfRule type="cellIs" dxfId="569" priority="21" operator="notEqual">
      <formula>0</formula>
    </cfRule>
  </conditionalFormatting>
  <conditionalFormatting sqref="X6:X90 X95:X102">
    <cfRule type="cellIs" dxfId="568" priority="14" operator="lessThan">
      <formula>0</formula>
    </cfRule>
  </conditionalFormatting>
  <conditionalFormatting sqref="X7 X12 X16 X20 X24 X28 X32 X36 X40 X44 X48 X52 X56 X60 X64 X68 X72 X76 X80 X84 X88 X96 X100">
    <cfRule type="iconSet" priority="16">
      <iconSet>
        <cfvo type="percent" val="0"/>
        <cfvo type="percent" val="&quot;$I$6&quot;"/>
        <cfvo type="percent" val="#REF!"/>
      </iconSet>
    </cfRule>
  </conditionalFormatting>
  <conditionalFormatting sqref="X8 X13 X17 X21 X25 X29 X33 X37 X41 X45 X49 X53 X57 X61 X65 X69 X73 X77 X81 X85 X89 X97 X101">
    <cfRule type="cellIs" dxfId="567" priority="15" operator="lessThan">
      <formula>0</formula>
    </cfRule>
  </conditionalFormatting>
  <conditionalFormatting sqref="I93">
    <cfRule type="cellIs" dxfId="566" priority="12" operator="greaterThan">
      <formula>0</formula>
    </cfRule>
  </conditionalFormatting>
  <conditionalFormatting sqref="J93">
    <cfRule type="cellIs" dxfId="565" priority="9" operator="greaterThan">
      <formula>0</formula>
    </cfRule>
  </conditionalFormatting>
  <conditionalFormatting sqref="Z91:Z94">
    <cfRule type="cellIs" dxfId="564" priority="8" operator="lessThan">
      <formula>0</formula>
    </cfRule>
  </conditionalFormatting>
  <conditionalFormatting sqref="Z92">
    <cfRule type="iconSet" priority="11">
      <iconSet>
        <cfvo type="percent" val="0"/>
        <cfvo type="percent" val="&quot;$I$6&quot;"/>
        <cfvo type="percent" val="#REF!"/>
      </iconSet>
    </cfRule>
  </conditionalFormatting>
  <conditionalFormatting sqref="Z93">
    <cfRule type="cellIs" dxfId="563" priority="10" operator="lessThan">
      <formula>0</formula>
    </cfRule>
  </conditionalFormatting>
  <conditionalFormatting sqref="AP91:AP94">
    <cfRule type="cellIs" dxfId="562" priority="7" operator="notEqual">
      <formula>0</formula>
    </cfRule>
  </conditionalFormatting>
  <conditionalFormatting sqref="X91:X94">
    <cfRule type="cellIs" dxfId="561" priority="2" operator="lessThan">
      <formula>0</formula>
    </cfRule>
  </conditionalFormatting>
  <conditionalFormatting sqref="X92">
    <cfRule type="iconSet" priority="4">
      <iconSet>
        <cfvo type="percent" val="0"/>
        <cfvo type="percent" val="&quot;$I$6&quot;"/>
        <cfvo type="percent" val="#REF!"/>
      </iconSet>
    </cfRule>
  </conditionalFormatting>
  <conditionalFormatting sqref="X93">
    <cfRule type="cellIs" dxfId="560" priority="3" operator="lessThan">
      <formula>0</formula>
    </cfRule>
  </conditionalFormatting>
  <conditionalFormatting sqref="AT11:AT102">
    <cfRule type="cellIs" dxfId="559" priority="1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1" id="{183EAA94-B567-4C57-AFB9-0B91375A7B9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128" id="{35E5EA99-FA35-4F3E-8685-52BCDB52C4A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AA11</xm:sqref>
        </x14:conditionalFormatting>
        <x14:conditionalFormatting xmlns:xm="http://schemas.microsoft.com/office/excel/2006/main">
          <x14:cfRule type="iconSet" priority="165" id="{E710377C-C296-41C0-9A71-245F8BADC3C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AA15</xm:sqref>
        </x14:conditionalFormatting>
        <x14:conditionalFormatting xmlns:xm="http://schemas.microsoft.com/office/excel/2006/main">
          <x14:cfRule type="iconSet" priority="184" id="{5CD15316-4078-4ED8-ADB7-4F83119B058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AA19</xm:sqref>
        </x14:conditionalFormatting>
        <x14:conditionalFormatting xmlns:xm="http://schemas.microsoft.com/office/excel/2006/main">
          <x14:cfRule type="iconSet" priority="161" id="{8C3198F2-DD29-4963-A477-486AE54136C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AA31</xm:sqref>
        </x14:conditionalFormatting>
        <x14:conditionalFormatting xmlns:xm="http://schemas.microsoft.com/office/excel/2006/main">
          <x14:cfRule type="iconSet" priority="153" id="{532C4182-1432-4D09-A31B-CC39074957C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AA39</xm:sqref>
        </x14:conditionalFormatting>
        <x14:conditionalFormatting xmlns:xm="http://schemas.microsoft.com/office/excel/2006/main">
          <x14:cfRule type="iconSet" priority="170" id="{1A2F47C4-31D8-40EE-A55D-1AE1F8AD68E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AA47</xm:sqref>
        </x14:conditionalFormatting>
        <x14:conditionalFormatting xmlns:xm="http://schemas.microsoft.com/office/excel/2006/main">
          <x14:cfRule type="iconSet" priority="189" id="{8DEFDDDA-8951-41B9-BF0A-980874B68C1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AA55</xm:sqref>
        </x14:conditionalFormatting>
        <x14:conditionalFormatting xmlns:xm="http://schemas.microsoft.com/office/excel/2006/main">
          <x14:cfRule type="iconSet" priority="133" id="{00D29846-BB47-4A92-87FA-6898266130C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AA63</xm:sqref>
        </x14:conditionalFormatting>
        <x14:conditionalFormatting xmlns:xm="http://schemas.microsoft.com/office/excel/2006/main">
          <x14:cfRule type="iconSet" priority="146" id="{25C275A2-759A-4247-86A8-730C9E237D8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AA71</xm:sqref>
        </x14:conditionalFormatting>
        <x14:conditionalFormatting xmlns:xm="http://schemas.microsoft.com/office/excel/2006/main">
          <x14:cfRule type="iconSet" priority="137" id="{40886467-E83E-4366-9FAA-CE86AF6D120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AA75</xm:sqref>
        </x14:conditionalFormatting>
        <x14:conditionalFormatting xmlns:xm="http://schemas.microsoft.com/office/excel/2006/main">
          <x14:cfRule type="iconSet" priority="174" id="{3049453A-EB58-4AC9-B7D9-FAF73B1CF9D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AA83</xm:sqref>
        </x14:conditionalFormatting>
        <x14:conditionalFormatting xmlns:xm="http://schemas.microsoft.com/office/excel/2006/main">
          <x14:cfRule type="iconSet" priority="180" id="{9C3B8258-301B-4969-AD78-03EC1A8F8C6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AA87</xm:sqref>
        </x14:conditionalFormatting>
        <x14:conditionalFormatting xmlns:xm="http://schemas.microsoft.com/office/excel/2006/main">
          <x14:cfRule type="iconSet" priority="116" id="{D6430371-C49A-4FCF-8573-A6F53D08888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AA23</xm:sqref>
        </x14:conditionalFormatting>
        <x14:conditionalFormatting xmlns:xm="http://schemas.microsoft.com/office/excel/2006/main">
          <x14:cfRule type="iconSet" priority="110" id="{852912E5-3FF4-4D6E-B0A4-80587A08ED2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AA51</xm:sqref>
        </x14:conditionalFormatting>
        <x14:conditionalFormatting xmlns:xm="http://schemas.microsoft.com/office/excel/2006/main">
          <x14:cfRule type="iconSet" priority="104" id="{32A3F493-A7F9-4DEF-AC19-D559306E5EB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AA95</xm:sqref>
        </x14:conditionalFormatting>
        <x14:conditionalFormatting xmlns:xm="http://schemas.microsoft.com/office/excel/2006/main">
          <x14:cfRule type="iconSet" priority="94" id="{FD423D07-02E4-4566-81AD-FB9FAE1E012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AA79</xm:sqref>
        </x14:conditionalFormatting>
        <x14:conditionalFormatting xmlns:xm="http://schemas.microsoft.com/office/excel/2006/main">
          <x14:cfRule type="iconSet" priority="83" id="{E96F44AF-2C7A-440A-A02D-BC2CBE9E83F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AA27</xm:sqref>
        </x14:conditionalFormatting>
        <x14:conditionalFormatting xmlns:xm="http://schemas.microsoft.com/office/excel/2006/main">
          <x14:cfRule type="iconSet" priority="72" id="{58235D62-D88A-48C1-92CF-D2B4008CFDB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AA67</xm:sqref>
        </x14:conditionalFormatting>
        <x14:conditionalFormatting xmlns:xm="http://schemas.microsoft.com/office/excel/2006/main">
          <x14:cfRule type="iconSet" priority="60" id="{0F9AD65E-C156-46AE-AD4D-C511789705A4}">
            <x14:iconSet>
              <x14:cfvo type="percent">
                <xm:f>0</xm:f>
              </x14:cfvo>
              <x14:cfvo type="percent">
                <xm:f>"$I$6"</xm:f>
              </x14:cfvo>
              <x14:cfvo type="percent">
                <xm:f>'11-05-2026'!#REF!</xm:f>
              </x14:cfvo>
            </x14:iconSet>
          </x14:cfRule>
          <xm:sqref>Z100</xm:sqref>
        </x14:conditionalFormatting>
        <x14:conditionalFormatting xmlns:xm="http://schemas.microsoft.com/office/excel/2006/main">
          <x14:cfRule type="iconSet" priority="62" id="{1D82D616-7E58-4B84-A295-070D809D32C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AA99</xm:sqref>
        </x14:conditionalFormatting>
        <x14:conditionalFormatting xmlns:xm="http://schemas.microsoft.com/office/excel/2006/main">
          <x14:cfRule type="iconSet" priority="49" id="{B126BC66-1E9C-4E33-9036-FAB27A40250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AA35</xm:sqref>
        </x14:conditionalFormatting>
        <x14:conditionalFormatting xmlns:xm="http://schemas.microsoft.com/office/excel/2006/main">
          <x14:cfRule type="iconSet" priority="37" id="{E32AFC80-E778-4328-BC05-90948BAE697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AA43</xm:sqref>
        </x14:conditionalFormatting>
        <x14:conditionalFormatting xmlns:xm="http://schemas.microsoft.com/office/excel/2006/main">
          <x14:cfRule type="iconSet" priority="26" id="{9ECADE1D-767D-4382-91CC-3FC9356AFFD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AA59</xm:sqref>
        </x14:conditionalFormatting>
        <x14:conditionalFormatting xmlns:xm="http://schemas.microsoft.com/office/excel/2006/main">
          <x14:cfRule type="iconSet" priority="13" id="{F4D1B3C0-03E0-436A-A172-EDD7A575C5F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AB56"/>
  <sheetViews>
    <sheetView view="pageBreakPreview" topLeftCell="B1" zoomScale="50" zoomScaleNormal="50" zoomScaleSheetLayoutView="50" workbookViewId="0">
      <pane xSplit="8" ySplit="18" topLeftCell="J19" activePane="bottomRight" state="frozen"/>
      <selection activeCell="B1" sqref="B1"/>
      <selection pane="topRight" activeCell="J1" sqref="J1"/>
      <selection pane="bottomLeft" activeCell="B19" sqref="B19"/>
      <selection pane="bottomRight" activeCell="B31" sqref="B31"/>
    </sheetView>
  </sheetViews>
  <sheetFormatPr defaultColWidth="7.7109375" defaultRowHeight="32.25" customHeight="1" x14ac:dyDescent="0.25"/>
  <cols>
    <col min="1" max="1" width="2" style="186" hidden="1" customWidth="1"/>
    <col min="2" max="2" width="19.28515625" style="186" customWidth="1"/>
    <col min="3" max="10" width="15.42578125" style="186" customWidth="1"/>
    <col min="11" max="12" width="15.42578125" style="186" hidden="1" customWidth="1"/>
    <col min="13" max="17" width="15.42578125" style="186" customWidth="1"/>
    <col min="18" max="18" width="15.42578125" style="264" customWidth="1"/>
    <col min="19" max="20" width="15.42578125" style="186" customWidth="1"/>
    <col min="21" max="21" width="15.42578125" style="186" hidden="1" customWidth="1"/>
    <col min="22" max="22" width="15.42578125" style="186" customWidth="1"/>
    <col min="23" max="23" width="15.42578125" style="186" hidden="1" customWidth="1"/>
    <col min="24" max="25" width="15.42578125" style="186" customWidth="1"/>
    <col min="26" max="26" width="1.85546875" style="186" hidden="1" customWidth="1"/>
    <col min="27" max="27" width="9.28515625" style="186" hidden="1" customWidth="1"/>
    <col min="28" max="30" width="0" style="186" hidden="1" customWidth="1"/>
    <col min="31" max="16384" width="7.7109375" style="186"/>
  </cols>
  <sheetData>
    <row r="1" spans="1:28" ht="21" customHeight="1" x14ac:dyDescent="0.25">
      <c r="A1" s="186" t="s">
        <v>174</v>
      </c>
      <c r="B1" s="186" t="s">
        <v>174</v>
      </c>
      <c r="C1" s="188">
        <v>1</v>
      </c>
      <c r="D1" s="188">
        <v>2</v>
      </c>
      <c r="E1" s="188">
        <v>3</v>
      </c>
      <c r="F1" s="188">
        <v>4</v>
      </c>
      <c r="G1" s="188">
        <v>5</v>
      </c>
      <c r="H1" s="188">
        <v>6</v>
      </c>
      <c r="I1" s="188">
        <v>7</v>
      </c>
      <c r="J1" s="188">
        <v>8</v>
      </c>
      <c r="K1" s="188">
        <v>9</v>
      </c>
      <c r="L1" s="188">
        <v>10</v>
      </c>
      <c r="M1" s="188">
        <v>11</v>
      </c>
      <c r="N1" s="188">
        <v>12</v>
      </c>
      <c r="O1" s="188">
        <v>13</v>
      </c>
      <c r="P1" s="188">
        <v>14</v>
      </c>
      <c r="Q1" s="188">
        <v>15</v>
      </c>
      <c r="R1" s="314">
        <v>16</v>
      </c>
      <c r="S1" s="188">
        <v>17</v>
      </c>
      <c r="T1" s="188">
        <v>18</v>
      </c>
      <c r="U1" s="188">
        <v>19</v>
      </c>
      <c r="V1" s="188">
        <v>20</v>
      </c>
      <c r="W1" s="188">
        <v>22</v>
      </c>
      <c r="X1" s="188" t="s">
        <v>174</v>
      </c>
      <c r="Y1" s="188"/>
      <c r="Z1" s="186" t="s">
        <v>174</v>
      </c>
      <c r="AA1" s="198"/>
      <c r="AB1" s="198">
        <v>0.84499999999999997</v>
      </c>
    </row>
    <row r="2" spans="1:28" ht="30" customHeight="1" x14ac:dyDescent="0.25">
      <c r="B2" s="228" t="s">
        <v>191</v>
      </c>
      <c r="C2" s="201" t="s">
        <v>132</v>
      </c>
      <c r="D2" s="201" t="s">
        <v>133</v>
      </c>
      <c r="E2" s="201" t="s">
        <v>134</v>
      </c>
      <c r="F2" s="201" t="s">
        <v>135</v>
      </c>
      <c r="G2" s="201" t="s">
        <v>136</v>
      </c>
      <c r="H2" s="201" t="s">
        <v>137</v>
      </c>
      <c r="I2" s="201" t="s">
        <v>138</v>
      </c>
      <c r="J2" s="201" t="s">
        <v>139</v>
      </c>
      <c r="K2" s="201" t="s">
        <v>140</v>
      </c>
      <c r="L2" s="201" t="s">
        <v>377</v>
      </c>
      <c r="M2" s="201" t="s">
        <v>141</v>
      </c>
      <c r="N2" s="201" t="s">
        <v>142</v>
      </c>
      <c r="O2" s="201" t="s">
        <v>143</v>
      </c>
      <c r="P2" s="201" t="s">
        <v>144</v>
      </c>
      <c r="Q2" s="201" t="s">
        <v>145</v>
      </c>
      <c r="R2" s="315" t="s">
        <v>146</v>
      </c>
      <c r="S2" s="201" t="s">
        <v>147</v>
      </c>
      <c r="T2" s="201" t="s">
        <v>148</v>
      </c>
      <c r="U2" s="201" t="s">
        <v>149</v>
      </c>
      <c r="V2" s="201" t="s">
        <v>340</v>
      </c>
      <c r="W2" s="201"/>
      <c r="X2" s="229" t="s">
        <v>150</v>
      </c>
      <c r="Y2" s="392" t="s">
        <v>178</v>
      </c>
      <c r="AA2" s="198"/>
      <c r="AB2" s="198"/>
    </row>
    <row r="3" spans="1:28" s="261" customFormat="1" ht="30" hidden="1" customHeight="1" x14ac:dyDescent="0.25">
      <c r="B3" s="262">
        <v>46023</v>
      </c>
      <c r="C3" s="263">
        <f ca="1">+C46</f>
        <v>0.86551716295091474</v>
      </c>
      <c r="D3" s="263">
        <f t="shared" ref="D3:Y3" ca="1" si="0">+D46</f>
        <v>0.51580551173535316</v>
      </c>
      <c r="E3" s="263">
        <f t="shared" ca="1" si="0"/>
        <v>0.85199638173681935</v>
      </c>
      <c r="F3" s="263">
        <f t="shared" ca="1" si="0"/>
        <v>0.66285205027089511</v>
      </c>
      <c r="G3" s="263">
        <f t="shared" ca="1" si="0"/>
        <v>0.88372251571712146</v>
      </c>
      <c r="H3" s="263" t="str">
        <f t="shared" ca="1" si="0"/>
        <v/>
      </c>
      <c r="I3" s="263">
        <f t="shared" ca="1" si="0"/>
        <v>0.74400066005067711</v>
      </c>
      <c r="J3" s="263">
        <f t="shared" ca="1" si="0"/>
        <v>0.87412025694601148</v>
      </c>
      <c r="K3" s="263" t="str">
        <f t="shared" si="0"/>
        <v/>
      </c>
      <c r="L3" s="263" t="str">
        <f t="shared" si="0"/>
        <v/>
      </c>
      <c r="M3" s="263">
        <f t="shared" ca="1" si="0"/>
        <v>0.48295726450351117</v>
      </c>
      <c r="N3" s="263">
        <f t="shared" ca="1" si="0"/>
        <v>0.9276938176243158</v>
      </c>
      <c r="O3" s="263">
        <f t="shared" ca="1" si="0"/>
        <v>0.61029219187547767</v>
      </c>
      <c r="P3" s="263">
        <f t="shared" ca="1" si="0"/>
        <v>0.66633095503690909</v>
      </c>
      <c r="Q3" s="263">
        <f t="shared" ca="1" si="0"/>
        <v>0.80827850432422499</v>
      </c>
      <c r="R3" s="263">
        <f t="shared" ca="1" si="0"/>
        <v>0.58250880916456016</v>
      </c>
      <c r="S3" s="263">
        <f t="shared" ca="1" si="0"/>
        <v>0.84312473803920984</v>
      </c>
      <c r="T3" s="263">
        <f t="shared" ca="1" si="0"/>
        <v>0.81139890177021279</v>
      </c>
      <c r="U3" s="263" t="str">
        <f t="shared" ca="1" si="0"/>
        <v/>
      </c>
      <c r="V3" s="263">
        <f t="shared" ca="1" si="0"/>
        <v>1.0279443385526781</v>
      </c>
      <c r="W3" s="263" t="str">
        <f t="shared" si="0"/>
        <v/>
      </c>
      <c r="X3" s="263">
        <f t="shared" ca="1" si="0"/>
        <v>0.74991223553103659</v>
      </c>
      <c r="Y3" s="263">
        <f t="shared" si="0"/>
        <v>0.80032727272727266</v>
      </c>
    </row>
    <row r="4" spans="1:28" s="261" customFormat="1" ht="30" hidden="1" customHeight="1" x14ac:dyDescent="0.25">
      <c r="B4" s="262">
        <v>46054</v>
      </c>
      <c r="C4" s="392" t="s">
        <v>182</v>
      </c>
      <c r="D4" s="392" t="s">
        <v>182</v>
      </c>
      <c r="E4" s="392" t="s">
        <v>182</v>
      </c>
      <c r="F4" s="392" t="s">
        <v>182</v>
      </c>
      <c r="G4" s="392" t="s">
        <v>182</v>
      </c>
      <c r="H4" s="392" t="s">
        <v>182</v>
      </c>
      <c r="I4" s="392" t="s">
        <v>182</v>
      </c>
      <c r="J4" s="392" t="s">
        <v>182</v>
      </c>
      <c r="K4" s="392" t="s">
        <v>182</v>
      </c>
      <c r="L4" s="392" t="s">
        <v>182</v>
      </c>
      <c r="M4" s="392" t="s">
        <v>182</v>
      </c>
      <c r="N4" s="392" t="s">
        <v>182</v>
      </c>
      <c r="O4" s="392" t="s">
        <v>182</v>
      </c>
      <c r="P4" s="392" t="s">
        <v>182</v>
      </c>
      <c r="Q4" s="392" t="s">
        <v>182</v>
      </c>
      <c r="R4" s="392" t="s">
        <v>182</v>
      </c>
      <c r="S4" s="392" t="s">
        <v>182</v>
      </c>
      <c r="T4" s="392" t="s">
        <v>182</v>
      </c>
      <c r="U4" s="392" t="s">
        <v>182</v>
      </c>
      <c r="V4" s="392" t="s">
        <v>182</v>
      </c>
      <c r="W4" s="392" t="s">
        <v>182</v>
      </c>
      <c r="X4" s="392" t="s">
        <v>182</v>
      </c>
      <c r="Y4" s="392" t="s">
        <v>182</v>
      </c>
    </row>
    <row r="5" spans="1:28" s="261" customFormat="1" ht="30" hidden="1" customHeight="1" x14ac:dyDescent="0.25">
      <c r="B5" s="262">
        <v>46082</v>
      </c>
      <c r="C5" s="392" t="s">
        <v>182</v>
      </c>
      <c r="D5" s="392" t="s">
        <v>182</v>
      </c>
      <c r="E5" s="392" t="s">
        <v>182</v>
      </c>
      <c r="F5" s="392" t="s">
        <v>182</v>
      </c>
      <c r="G5" s="392" t="s">
        <v>182</v>
      </c>
      <c r="H5" s="392" t="s">
        <v>182</v>
      </c>
      <c r="I5" s="392" t="s">
        <v>182</v>
      </c>
      <c r="J5" s="392" t="s">
        <v>182</v>
      </c>
      <c r="K5" s="392" t="s">
        <v>182</v>
      </c>
      <c r="L5" s="392" t="s">
        <v>182</v>
      </c>
      <c r="M5" s="392" t="s">
        <v>182</v>
      </c>
      <c r="N5" s="392" t="s">
        <v>182</v>
      </c>
      <c r="O5" s="392" t="s">
        <v>182</v>
      </c>
      <c r="P5" s="392" t="s">
        <v>182</v>
      </c>
      <c r="Q5" s="392" t="s">
        <v>182</v>
      </c>
      <c r="R5" s="392" t="s">
        <v>182</v>
      </c>
      <c r="S5" s="392" t="s">
        <v>182</v>
      </c>
      <c r="T5" s="392" t="s">
        <v>182</v>
      </c>
      <c r="U5" s="392" t="s">
        <v>182</v>
      </c>
      <c r="V5" s="392" t="s">
        <v>182</v>
      </c>
      <c r="W5" s="392" t="s">
        <v>182</v>
      </c>
      <c r="X5" s="392" t="s">
        <v>182</v>
      </c>
      <c r="Y5" s="392" t="s">
        <v>182</v>
      </c>
    </row>
    <row r="6" spans="1:28" s="261" customFormat="1" ht="30" hidden="1" customHeight="1" x14ac:dyDescent="0.25">
      <c r="B6" s="262">
        <v>46113</v>
      </c>
      <c r="C6" s="392" t="s">
        <v>182</v>
      </c>
      <c r="D6" s="392" t="s">
        <v>182</v>
      </c>
      <c r="E6" s="392" t="s">
        <v>182</v>
      </c>
      <c r="F6" s="392" t="s">
        <v>182</v>
      </c>
      <c r="G6" s="392" t="s">
        <v>182</v>
      </c>
      <c r="H6" s="392" t="s">
        <v>182</v>
      </c>
      <c r="I6" s="392" t="s">
        <v>182</v>
      </c>
      <c r="J6" s="392" t="s">
        <v>182</v>
      </c>
      <c r="K6" s="392" t="s">
        <v>182</v>
      </c>
      <c r="L6" s="392" t="s">
        <v>182</v>
      </c>
      <c r="M6" s="392" t="s">
        <v>182</v>
      </c>
      <c r="N6" s="392" t="s">
        <v>182</v>
      </c>
      <c r="O6" s="392" t="s">
        <v>182</v>
      </c>
      <c r="P6" s="392" t="s">
        <v>182</v>
      </c>
      <c r="Q6" s="392" t="s">
        <v>182</v>
      </c>
      <c r="R6" s="392" t="s">
        <v>182</v>
      </c>
      <c r="S6" s="392" t="s">
        <v>182</v>
      </c>
      <c r="T6" s="392" t="s">
        <v>182</v>
      </c>
      <c r="U6" s="392" t="s">
        <v>182</v>
      </c>
      <c r="V6" s="392" t="s">
        <v>182</v>
      </c>
      <c r="W6" s="392" t="s">
        <v>182</v>
      </c>
      <c r="X6" s="392" t="s">
        <v>182</v>
      </c>
      <c r="Y6" s="392" t="s">
        <v>182</v>
      </c>
    </row>
    <row r="7" spans="1:28" s="261" customFormat="1" ht="30" hidden="1" customHeight="1" x14ac:dyDescent="0.25">
      <c r="B7" s="262">
        <v>46143</v>
      </c>
      <c r="C7" s="392" t="s">
        <v>182</v>
      </c>
      <c r="D7" s="392" t="s">
        <v>182</v>
      </c>
      <c r="E7" s="392" t="s">
        <v>182</v>
      </c>
      <c r="F7" s="392" t="s">
        <v>182</v>
      </c>
      <c r="G7" s="392" t="s">
        <v>182</v>
      </c>
      <c r="H7" s="392" t="s">
        <v>182</v>
      </c>
      <c r="I7" s="392" t="s">
        <v>182</v>
      </c>
      <c r="J7" s="392" t="s">
        <v>182</v>
      </c>
      <c r="K7" s="392" t="s">
        <v>182</v>
      </c>
      <c r="L7" s="392" t="s">
        <v>182</v>
      </c>
      <c r="M7" s="392" t="s">
        <v>182</v>
      </c>
      <c r="N7" s="392" t="s">
        <v>182</v>
      </c>
      <c r="O7" s="392" t="s">
        <v>182</v>
      </c>
      <c r="P7" s="392" t="s">
        <v>182</v>
      </c>
      <c r="Q7" s="392" t="s">
        <v>182</v>
      </c>
      <c r="R7" s="392" t="s">
        <v>182</v>
      </c>
      <c r="S7" s="392" t="s">
        <v>182</v>
      </c>
      <c r="T7" s="392" t="s">
        <v>182</v>
      </c>
      <c r="U7" s="392" t="s">
        <v>182</v>
      </c>
      <c r="V7" s="392" t="s">
        <v>182</v>
      </c>
      <c r="W7" s="392" t="s">
        <v>182</v>
      </c>
      <c r="X7" s="392" t="s">
        <v>182</v>
      </c>
      <c r="Y7" s="392" t="s">
        <v>182</v>
      </c>
    </row>
    <row r="8" spans="1:28" s="261" customFormat="1" ht="30" hidden="1" customHeight="1" x14ac:dyDescent="0.25">
      <c r="B8" s="262">
        <v>46174</v>
      </c>
      <c r="C8" s="392" t="s">
        <v>182</v>
      </c>
      <c r="D8" s="392" t="s">
        <v>182</v>
      </c>
      <c r="E8" s="392" t="s">
        <v>182</v>
      </c>
      <c r="F8" s="392" t="s">
        <v>182</v>
      </c>
      <c r="G8" s="392" t="s">
        <v>182</v>
      </c>
      <c r="H8" s="392" t="s">
        <v>182</v>
      </c>
      <c r="I8" s="392" t="s">
        <v>182</v>
      </c>
      <c r="J8" s="392" t="s">
        <v>182</v>
      </c>
      <c r="K8" s="392" t="s">
        <v>182</v>
      </c>
      <c r="L8" s="392" t="s">
        <v>182</v>
      </c>
      <c r="M8" s="392" t="s">
        <v>182</v>
      </c>
      <c r="N8" s="392" t="s">
        <v>182</v>
      </c>
      <c r="O8" s="392" t="s">
        <v>182</v>
      </c>
      <c r="P8" s="392" t="s">
        <v>182</v>
      </c>
      <c r="Q8" s="392" t="s">
        <v>182</v>
      </c>
      <c r="R8" s="392" t="s">
        <v>182</v>
      </c>
      <c r="S8" s="392" t="s">
        <v>182</v>
      </c>
      <c r="T8" s="392" t="s">
        <v>182</v>
      </c>
      <c r="U8" s="392" t="s">
        <v>182</v>
      </c>
      <c r="V8" s="392" t="s">
        <v>182</v>
      </c>
      <c r="W8" s="392" t="s">
        <v>182</v>
      </c>
      <c r="X8" s="392" t="s">
        <v>182</v>
      </c>
      <c r="Y8" s="392" t="s">
        <v>182</v>
      </c>
    </row>
    <row r="9" spans="1:28" s="261" customFormat="1" ht="30" hidden="1" customHeight="1" x14ac:dyDescent="0.25">
      <c r="B9" s="262">
        <v>46204</v>
      </c>
      <c r="C9" s="392" t="s">
        <v>182</v>
      </c>
      <c r="D9" s="392" t="s">
        <v>182</v>
      </c>
      <c r="E9" s="392" t="s">
        <v>182</v>
      </c>
      <c r="F9" s="392" t="s">
        <v>182</v>
      </c>
      <c r="G9" s="392" t="s">
        <v>182</v>
      </c>
      <c r="H9" s="392" t="s">
        <v>182</v>
      </c>
      <c r="I9" s="392" t="s">
        <v>182</v>
      </c>
      <c r="J9" s="392" t="s">
        <v>182</v>
      </c>
      <c r="K9" s="392" t="s">
        <v>182</v>
      </c>
      <c r="L9" s="392" t="s">
        <v>182</v>
      </c>
      <c r="M9" s="392" t="s">
        <v>182</v>
      </c>
      <c r="N9" s="392" t="s">
        <v>182</v>
      </c>
      <c r="O9" s="392" t="s">
        <v>182</v>
      </c>
      <c r="P9" s="392" t="s">
        <v>182</v>
      </c>
      <c r="Q9" s="392" t="s">
        <v>182</v>
      </c>
      <c r="R9" s="392" t="s">
        <v>182</v>
      </c>
      <c r="S9" s="392" t="s">
        <v>182</v>
      </c>
      <c r="T9" s="392" t="s">
        <v>182</v>
      </c>
      <c r="U9" s="392" t="s">
        <v>182</v>
      </c>
      <c r="V9" s="392" t="s">
        <v>182</v>
      </c>
      <c r="W9" s="392" t="s">
        <v>182</v>
      </c>
      <c r="X9" s="392" t="s">
        <v>182</v>
      </c>
      <c r="Y9" s="392" t="s">
        <v>182</v>
      </c>
    </row>
    <row r="10" spans="1:28" s="261" customFormat="1" ht="30" hidden="1" customHeight="1" x14ac:dyDescent="0.25">
      <c r="B10" s="262">
        <v>46235</v>
      </c>
      <c r="C10" s="392" t="s">
        <v>182</v>
      </c>
      <c r="D10" s="392" t="s">
        <v>182</v>
      </c>
      <c r="E10" s="392" t="s">
        <v>182</v>
      </c>
      <c r="F10" s="392" t="s">
        <v>182</v>
      </c>
      <c r="G10" s="392" t="s">
        <v>182</v>
      </c>
      <c r="H10" s="392" t="s">
        <v>182</v>
      </c>
      <c r="I10" s="392" t="s">
        <v>182</v>
      </c>
      <c r="J10" s="392" t="s">
        <v>182</v>
      </c>
      <c r="K10" s="392" t="s">
        <v>182</v>
      </c>
      <c r="L10" s="392" t="s">
        <v>182</v>
      </c>
      <c r="M10" s="392" t="s">
        <v>182</v>
      </c>
      <c r="N10" s="392" t="s">
        <v>182</v>
      </c>
      <c r="O10" s="392" t="s">
        <v>182</v>
      </c>
      <c r="P10" s="392" t="s">
        <v>182</v>
      </c>
      <c r="Q10" s="392" t="s">
        <v>182</v>
      </c>
      <c r="R10" s="392" t="s">
        <v>182</v>
      </c>
      <c r="S10" s="392" t="s">
        <v>182</v>
      </c>
      <c r="T10" s="392" t="s">
        <v>182</v>
      </c>
      <c r="U10" s="392" t="s">
        <v>182</v>
      </c>
      <c r="V10" s="392" t="s">
        <v>182</v>
      </c>
      <c r="W10" s="392" t="s">
        <v>182</v>
      </c>
      <c r="X10" s="392" t="s">
        <v>182</v>
      </c>
      <c r="Y10" s="392" t="s">
        <v>182</v>
      </c>
    </row>
    <row r="11" spans="1:28" s="261" customFormat="1" ht="30" hidden="1" customHeight="1" x14ac:dyDescent="0.25">
      <c r="B11" s="262">
        <v>46266</v>
      </c>
      <c r="C11" s="392" t="s">
        <v>182</v>
      </c>
      <c r="D11" s="392" t="s">
        <v>182</v>
      </c>
      <c r="E11" s="392" t="s">
        <v>182</v>
      </c>
      <c r="F11" s="392" t="s">
        <v>182</v>
      </c>
      <c r="G11" s="392" t="s">
        <v>182</v>
      </c>
      <c r="H11" s="392" t="s">
        <v>182</v>
      </c>
      <c r="I11" s="392" t="s">
        <v>182</v>
      </c>
      <c r="J11" s="392" t="s">
        <v>182</v>
      </c>
      <c r="K11" s="392" t="s">
        <v>182</v>
      </c>
      <c r="L11" s="392" t="s">
        <v>182</v>
      </c>
      <c r="M11" s="392" t="s">
        <v>182</v>
      </c>
      <c r="N11" s="392" t="s">
        <v>182</v>
      </c>
      <c r="O11" s="392" t="s">
        <v>182</v>
      </c>
      <c r="P11" s="392" t="s">
        <v>182</v>
      </c>
      <c r="Q11" s="392" t="s">
        <v>182</v>
      </c>
      <c r="R11" s="392" t="s">
        <v>182</v>
      </c>
      <c r="S11" s="392" t="s">
        <v>182</v>
      </c>
      <c r="T11" s="392" t="s">
        <v>182</v>
      </c>
      <c r="U11" s="392" t="s">
        <v>182</v>
      </c>
      <c r="V11" s="392" t="s">
        <v>182</v>
      </c>
      <c r="W11" s="392" t="s">
        <v>182</v>
      </c>
      <c r="X11" s="392" t="s">
        <v>182</v>
      </c>
      <c r="Y11" s="392" t="s">
        <v>182</v>
      </c>
    </row>
    <row r="12" spans="1:28" s="261" customFormat="1" ht="30" hidden="1" customHeight="1" x14ac:dyDescent="0.25">
      <c r="B12" s="262">
        <v>46296</v>
      </c>
      <c r="C12" s="392" t="s">
        <v>182</v>
      </c>
      <c r="D12" s="392" t="s">
        <v>182</v>
      </c>
      <c r="E12" s="392" t="s">
        <v>182</v>
      </c>
      <c r="F12" s="392" t="s">
        <v>182</v>
      </c>
      <c r="G12" s="392" t="s">
        <v>182</v>
      </c>
      <c r="H12" s="392" t="s">
        <v>182</v>
      </c>
      <c r="I12" s="392" t="s">
        <v>182</v>
      </c>
      <c r="J12" s="392" t="s">
        <v>182</v>
      </c>
      <c r="K12" s="392" t="s">
        <v>182</v>
      </c>
      <c r="L12" s="392" t="s">
        <v>182</v>
      </c>
      <c r="M12" s="392" t="s">
        <v>182</v>
      </c>
      <c r="N12" s="392" t="s">
        <v>182</v>
      </c>
      <c r="O12" s="392" t="s">
        <v>182</v>
      </c>
      <c r="P12" s="392" t="s">
        <v>182</v>
      </c>
      <c r="Q12" s="392" t="s">
        <v>182</v>
      </c>
      <c r="R12" s="392" t="s">
        <v>182</v>
      </c>
      <c r="S12" s="392" t="s">
        <v>182</v>
      </c>
      <c r="T12" s="392" t="s">
        <v>182</v>
      </c>
      <c r="U12" s="392" t="s">
        <v>182</v>
      </c>
      <c r="V12" s="392" t="s">
        <v>182</v>
      </c>
      <c r="W12" s="392" t="s">
        <v>182</v>
      </c>
      <c r="X12" s="392" t="s">
        <v>182</v>
      </c>
      <c r="Y12" s="392" t="s">
        <v>182</v>
      </c>
    </row>
    <row r="13" spans="1:28" s="261" customFormat="1" ht="30" hidden="1" customHeight="1" x14ac:dyDescent="0.25">
      <c r="B13" s="262">
        <v>46327</v>
      </c>
      <c r="C13" s="392" t="s">
        <v>182</v>
      </c>
      <c r="D13" s="392" t="s">
        <v>182</v>
      </c>
      <c r="E13" s="392" t="s">
        <v>182</v>
      </c>
      <c r="F13" s="392" t="s">
        <v>182</v>
      </c>
      <c r="G13" s="392" t="s">
        <v>182</v>
      </c>
      <c r="H13" s="392" t="s">
        <v>182</v>
      </c>
      <c r="I13" s="392" t="s">
        <v>182</v>
      </c>
      <c r="J13" s="392" t="s">
        <v>182</v>
      </c>
      <c r="K13" s="392" t="s">
        <v>182</v>
      </c>
      <c r="L13" s="392" t="s">
        <v>182</v>
      </c>
      <c r="M13" s="392" t="s">
        <v>182</v>
      </c>
      <c r="N13" s="392" t="s">
        <v>182</v>
      </c>
      <c r="O13" s="392" t="s">
        <v>182</v>
      </c>
      <c r="P13" s="392" t="s">
        <v>182</v>
      </c>
      <c r="Q13" s="392" t="s">
        <v>182</v>
      </c>
      <c r="R13" s="392" t="s">
        <v>182</v>
      </c>
      <c r="S13" s="392" t="s">
        <v>182</v>
      </c>
      <c r="T13" s="392" t="s">
        <v>182</v>
      </c>
      <c r="U13" s="392" t="s">
        <v>182</v>
      </c>
      <c r="V13" s="392" t="s">
        <v>182</v>
      </c>
      <c r="W13" s="392" t="s">
        <v>182</v>
      </c>
      <c r="X13" s="392" t="s">
        <v>182</v>
      </c>
      <c r="Y13" s="392" t="s">
        <v>182</v>
      </c>
    </row>
    <row r="14" spans="1:28" s="261" customFormat="1" ht="30" hidden="1" customHeight="1" x14ac:dyDescent="0.25">
      <c r="B14" s="262">
        <v>46357</v>
      </c>
      <c r="C14" s="392" t="s">
        <v>182</v>
      </c>
      <c r="D14" s="392" t="s">
        <v>182</v>
      </c>
      <c r="E14" s="392" t="s">
        <v>182</v>
      </c>
      <c r="F14" s="392" t="s">
        <v>182</v>
      </c>
      <c r="G14" s="392" t="s">
        <v>182</v>
      </c>
      <c r="H14" s="392" t="s">
        <v>182</v>
      </c>
      <c r="I14" s="392" t="s">
        <v>182</v>
      </c>
      <c r="J14" s="392" t="s">
        <v>182</v>
      </c>
      <c r="K14" s="392" t="s">
        <v>182</v>
      </c>
      <c r="L14" s="392" t="s">
        <v>182</v>
      </c>
      <c r="M14" s="392" t="s">
        <v>182</v>
      </c>
      <c r="N14" s="392" t="s">
        <v>182</v>
      </c>
      <c r="O14" s="392" t="s">
        <v>182</v>
      </c>
      <c r="P14" s="392" t="s">
        <v>182</v>
      </c>
      <c r="Q14" s="392" t="s">
        <v>182</v>
      </c>
      <c r="R14" s="392" t="s">
        <v>182</v>
      </c>
      <c r="S14" s="392" t="s">
        <v>182</v>
      </c>
      <c r="T14" s="392" t="s">
        <v>182</v>
      </c>
      <c r="U14" s="392" t="s">
        <v>182</v>
      </c>
      <c r="V14" s="392" t="s">
        <v>182</v>
      </c>
      <c r="W14" s="392" t="s">
        <v>182</v>
      </c>
      <c r="X14" s="392" t="s">
        <v>182</v>
      </c>
      <c r="Y14" s="392" t="s">
        <v>182</v>
      </c>
    </row>
    <row r="15" spans="1:28" s="264" customFormat="1" ht="42" hidden="1" customHeight="1" x14ac:dyDescent="0.25">
      <c r="B15" s="265" t="s">
        <v>194</v>
      </c>
      <c r="C15" s="263">
        <f ca="1">+AVERAGE(C3:C14)</f>
        <v>0.86551716295091474</v>
      </c>
      <c r="D15" s="263">
        <f t="shared" ref="D15:Y15" ca="1" si="1">+AVERAGE(D3:D14)</f>
        <v>0.51580551173535316</v>
      </c>
      <c r="E15" s="263">
        <f t="shared" ca="1" si="1"/>
        <v>0.85199638173681935</v>
      </c>
      <c r="F15" s="263">
        <f t="shared" ca="1" si="1"/>
        <v>0.66285205027089511</v>
      </c>
      <c r="G15" s="263">
        <f t="shared" ca="1" si="1"/>
        <v>0.88372251571712146</v>
      </c>
      <c r="H15" s="263" t="e">
        <f t="shared" ca="1" si="1"/>
        <v>#DIV/0!</v>
      </c>
      <c r="I15" s="263">
        <f t="shared" ca="1" si="1"/>
        <v>0.74400066005067711</v>
      </c>
      <c r="J15" s="263">
        <f t="shared" ca="1" si="1"/>
        <v>0.87412025694601148</v>
      </c>
      <c r="K15" s="263" t="e">
        <f t="shared" si="1"/>
        <v>#DIV/0!</v>
      </c>
      <c r="L15" s="392" t="s">
        <v>182</v>
      </c>
      <c r="M15" s="263">
        <f t="shared" ca="1" si="1"/>
        <v>0.48295726450351117</v>
      </c>
      <c r="N15" s="263">
        <f t="shared" ca="1" si="1"/>
        <v>0.9276938176243158</v>
      </c>
      <c r="O15" s="263">
        <f t="shared" ca="1" si="1"/>
        <v>0.61029219187547767</v>
      </c>
      <c r="P15" s="263">
        <f t="shared" ca="1" si="1"/>
        <v>0.66633095503690909</v>
      </c>
      <c r="Q15" s="263">
        <f t="shared" ca="1" si="1"/>
        <v>0.80827850432422499</v>
      </c>
      <c r="R15" s="263" t="s">
        <v>182</v>
      </c>
      <c r="S15" s="263">
        <f t="shared" ca="1" si="1"/>
        <v>0.84312473803920984</v>
      </c>
      <c r="T15" s="263">
        <f t="shared" ca="1" si="1"/>
        <v>0.81139890177021279</v>
      </c>
      <c r="U15" s="263" t="e">
        <f t="shared" ca="1" si="1"/>
        <v>#DIV/0!</v>
      </c>
      <c r="V15" s="263" t="s">
        <v>182</v>
      </c>
      <c r="W15" s="263" t="e">
        <f t="shared" si="1"/>
        <v>#DIV/0!</v>
      </c>
      <c r="X15" s="263">
        <f ca="1">+AVERAGE(X3:X14)</f>
        <v>0.74991223553103659</v>
      </c>
      <c r="Y15" s="263">
        <f t="shared" si="1"/>
        <v>0.80032727272727266</v>
      </c>
      <c r="Z15" s="261"/>
    </row>
    <row r="16" spans="1:28" ht="21" customHeight="1" x14ac:dyDescent="0.25"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316"/>
      <c r="S16" s="242"/>
      <c r="T16" s="242"/>
      <c r="U16" s="242"/>
      <c r="V16" s="242"/>
      <c r="W16" s="242"/>
      <c r="X16" s="242"/>
      <c r="Y16" s="242"/>
      <c r="AA16" s="198"/>
      <c r="AB16" s="198"/>
    </row>
    <row r="17" spans="1:28" s="200" customFormat="1" ht="32.25" customHeight="1" x14ac:dyDescent="0.25">
      <c r="A17" s="200" t="s">
        <v>174</v>
      </c>
      <c r="B17" s="200" t="s">
        <v>174</v>
      </c>
      <c r="C17" s="201" t="s">
        <v>132</v>
      </c>
      <c r="D17" s="201" t="s">
        <v>133</v>
      </c>
      <c r="E17" s="201" t="s">
        <v>134</v>
      </c>
      <c r="F17" s="201" t="s">
        <v>135</v>
      </c>
      <c r="G17" s="201" t="s">
        <v>136</v>
      </c>
      <c r="H17" s="201" t="s">
        <v>137</v>
      </c>
      <c r="I17" s="201" t="s">
        <v>138</v>
      </c>
      <c r="J17" s="201" t="s">
        <v>139</v>
      </c>
      <c r="K17" s="201" t="s">
        <v>140</v>
      </c>
      <c r="L17" s="201" t="s">
        <v>377</v>
      </c>
      <c r="M17" s="201" t="s">
        <v>141</v>
      </c>
      <c r="N17" s="201" t="s">
        <v>142</v>
      </c>
      <c r="O17" s="201" t="s">
        <v>143</v>
      </c>
      <c r="P17" s="201" t="s">
        <v>144</v>
      </c>
      <c r="Q17" s="201" t="s">
        <v>145</v>
      </c>
      <c r="R17" s="315" t="s">
        <v>146</v>
      </c>
      <c r="S17" s="201" t="s">
        <v>147</v>
      </c>
      <c r="T17" s="201" t="s">
        <v>148</v>
      </c>
      <c r="U17" s="201" t="s">
        <v>149</v>
      </c>
      <c r="V17" s="201" t="s">
        <v>339</v>
      </c>
      <c r="W17" s="201" t="s">
        <v>176</v>
      </c>
      <c r="X17" s="202" t="s">
        <v>150</v>
      </c>
      <c r="Y17" s="221" t="s">
        <v>178</v>
      </c>
      <c r="Z17" s="203">
        <v>0.84499999999999997</v>
      </c>
      <c r="AA17" s="204"/>
      <c r="AB17" s="200" t="s">
        <v>174</v>
      </c>
    </row>
    <row r="18" spans="1:28" ht="25.5" customHeight="1" thickBot="1" x14ac:dyDescent="0.3">
      <c r="A18" s="186" t="s">
        <v>174</v>
      </c>
      <c r="B18" s="186" t="s">
        <v>174</v>
      </c>
      <c r="C18" s="205" t="s">
        <v>77</v>
      </c>
      <c r="D18" s="205" t="s">
        <v>404</v>
      </c>
      <c r="E18" s="205" t="s">
        <v>423</v>
      </c>
      <c r="F18" s="205" t="s">
        <v>96</v>
      </c>
      <c r="G18" s="205" t="s">
        <v>453</v>
      </c>
      <c r="H18" s="205" t="s">
        <v>93</v>
      </c>
      <c r="I18" s="205" t="s">
        <v>93</v>
      </c>
      <c r="J18" s="205" t="s">
        <v>452</v>
      </c>
      <c r="K18" s="205"/>
      <c r="L18" s="205"/>
      <c r="M18" s="205" t="s">
        <v>398</v>
      </c>
      <c r="N18" s="205" t="s">
        <v>366</v>
      </c>
      <c r="O18" s="205" t="s">
        <v>379</v>
      </c>
      <c r="P18" s="207" t="s">
        <v>112</v>
      </c>
      <c r="Q18" s="205" t="s">
        <v>93</v>
      </c>
      <c r="R18" s="317" t="s">
        <v>152</v>
      </c>
      <c r="S18" s="205" t="s">
        <v>379</v>
      </c>
      <c r="T18" s="205" t="s">
        <v>406</v>
      </c>
      <c r="U18" s="207"/>
      <c r="V18" s="205" t="s">
        <v>78</v>
      </c>
      <c r="W18" s="205" t="s">
        <v>179</v>
      </c>
      <c r="X18" s="206" t="s">
        <v>174</v>
      </c>
      <c r="Y18" s="206"/>
      <c r="Z18" s="197" t="s">
        <v>174</v>
      </c>
      <c r="AB18" s="186" t="s">
        <v>174</v>
      </c>
    </row>
    <row r="19" spans="1:28" ht="32.25" customHeight="1" thickBot="1" x14ac:dyDescent="0.3">
      <c r="A19" s="186" t="s">
        <v>174</v>
      </c>
      <c r="B19" s="398" t="s">
        <v>464</v>
      </c>
      <c r="C19" s="392">
        <f ca="1">+IFERROR(SUMIF(INDIRECT("'" &amp; B19 &amp; "'!$B:$B"),$C$1,INDIRECT("'" &amp; B19 &amp; "'!$aL:$aL"))/SUMIF(INDIRECT("'" &amp; B19 &amp; "'!$B:$B"),$C$1,INDIRECT("'" &amp; B19 &amp; "'!$AK:$AK")),"")</f>
        <v>0.92614075792730088</v>
      </c>
      <c r="D19" s="392">
        <f ca="1">+IFERROR(SUMIF(INDIRECT("'" &amp; B19 &amp; "'!$B:$B"),$D$1,INDIRECT("'" &amp; B19 &amp; "'!$aL:$aL"))/SUMIF(INDIRECT("'" &amp; B19 &amp; "'!$B:$B"),$D$1,INDIRECT("'" &amp; B19 &amp; "'!$AK:$AK")),"")</f>
        <v>0.78896575511209655</v>
      </c>
      <c r="E19" s="392">
        <f ca="1">+IFERROR(SUMIF(INDIRECT("'" &amp; B19 &amp; "'!$B:$B"),$E$1,INDIRECT("'" &amp; B19 &amp; "'!$aL:$aL"))/SUMIF(INDIRECT("'" &amp; B19 &amp; "'!$B:$B"),$E$1,INDIRECT("'" &amp; B19 &amp; "'!$AK:$AK")),"")</f>
        <v>0.84932510288065843</v>
      </c>
      <c r="F19" s="392">
        <f ca="1">+IFERROR(SUMIF(INDIRECT("'" &amp; B19 &amp; "'!$B:$B"),$F$1,INDIRECT("'" &amp; B19 &amp; "'!$aL:$aL"))/SUMIF(INDIRECT("'" &amp; B19 &amp; "'!$B:$B"),$F$1,INDIRECT("'" &amp; B19 &amp; "'!$AK:$AK")),"")</f>
        <v>0.85184629803186507</v>
      </c>
      <c r="G19" s="392">
        <f ca="1">+IFERROR(SUMIF(INDIRECT("'" &amp; B19 &amp; "'!$B:$B"),$G$1,INDIRECT("'" &amp; B19 &amp; "'!$aL:$aL"))/SUMIF(INDIRECT("'" &amp; B19 &amp; "'!$B:$B"),$G$1,INDIRECT("'" &amp; B19 &amp; "'!$AK:$AK")),"")</f>
        <v>0.9855564995751912</v>
      </c>
      <c r="H19" s="392" t="str">
        <f ca="1">+IFERROR(SUMIF(INDIRECT("'" &amp; B19 &amp; "'!$B:$B"),$H$1,INDIRECT("'" &amp; B19 &amp; "'!$aL:$aL"))/SUMIF(INDIRECT("'" &amp; B19 &amp; "'!$B:$B"),$H$1,INDIRECT("'" &amp; B19 &amp; "'!$AK:$AK")),"")</f>
        <v/>
      </c>
      <c r="I19" s="392">
        <f ca="1">+IFERROR(SUMIF(INDIRECT("'" &amp; B19 &amp; "'!$B:$B"),$I$1,INDIRECT("'" &amp; B19 &amp; "'!$aL:$aL"))/SUMIF(INDIRECT("'" &amp; B19 &amp; "'!$B:$B"),$I$1,INDIRECT("'" &amp; B19 &amp; "'!$AK:$AK")),"")</f>
        <v>0.55953347912110796</v>
      </c>
      <c r="J19" s="392">
        <f ca="1">+IFERROR(SUMIF(INDIRECT("'" &amp; B19 &amp; "'!$B:$B"),$J$1,INDIRECT("'" &amp; B19 &amp; "'!$aL:$aL"))/SUMIF(INDIRECT("'" &amp; B19 &amp; "'!$B:$B"),$J$1,INDIRECT("'" &amp; B19 &amp; "'!$AK:$AK")),"")</f>
        <v>0.87277725710715404</v>
      </c>
      <c r="K19" s="392" t="s">
        <v>182</v>
      </c>
      <c r="L19" s="392" t="s">
        <v>182</v>
      </c>
      <c r="M19" s="392">
        <f ca="1">+IFERROR(SUMIF(INDIRECT("'" &amp; B19 &amp; "'!$B:$B"),$M$1,INDIRECT("'" &amp; B19 &amp; "'!$aL:$aL"))/SUMIF(INDIRECT("'" &amp; B19 &amp; "'!$B:$B"),$M$1,INDIRECT("'" &amp; B19 &amp; "'!$AK:$AK")),"")</f>
        <v>0.82093737373737374</v>
      </c>
      <c r="N19" s="392">
        <f ca="1">+IFERROR(SUMIF(INDIRECT("'" &amp; B19 &amp; "'!$B:$B"),$N$1,INDIRECT("'" &amp; B19 &amp; "'!$aL:$aL"))/SUMIF(INDIRECT("'" &amp; B19 &amp; "'!$B:$B"),$N$1,INDIRECT("'" &amp; B19 &amp; "'!$AK:$AK")),"")</f>
        <v>0.90437081091286697</v>
      </c>
      <c r="O19" s="392">
        <f ca="1">+IFERROR(SUMIF(INDIRECT("'" &amp; B19 &amp; "'!$B:$B"),$O$1,INDIRECT("'" &amp; B19 &amp; "'!$aL:$aL"))/SUMIF(INDIRECT("'" &amp; B19 &amp; "'!$B:$B"),$O$1,INDIRECT("'" &amp; B19 &amp; "'!$AK:$AK")),"")</f>
        <v>0.84225077441077434</v>
      </c>
      <c r="P19" s="392">
        <f ca="1">+IFERROR(SUMIF(INDIRECT("'" &amp; B19 &amp; "'!$B:$B"),$P$1,INDIRECT("'" &amp; B19 &amp; "'!$aL:$aL"))/SUMIF(INDIRECT("'" &amp; B19 &amp; "'!$B:$B"),$P$1,INDIRECT("'" &amp; B19 &amp; "'!$AK:$AK")),"")</f>
        <v>0.59324320124320129</v>
      </c>
      <c r="Q19" s="312">
        <f ca="1">+IFERROR(SUMIF(INDIRECT("'" &amp; B19 &amp; "'!$B:$B"),$Q$1,INDIRECT("'" &amp; B19 &amp; "'!$aL:$aL"))/SUMIF(INDIRECT("'" &amp; B19 &amp; "'!$B:$B"),$Q$1,INDIRECT("'" &amp; B19 &amp; "'!$AK:$AK")),"")</f>
        <v>0.19222027972027972</v>
      </c>
      <c r="R19" s="392">
        <f ca="1">+IFERROR(SUMIF(INDIRECT("'" &amp; B19 &amp; "'!$B:$B"),$R$1,INDIRECT("'" &amp; B19 &amp; "'!$aL:$aL"))/SUMIF(INDIRECT("'" &amp; B19 &amp; "'!$B:$B"),$R$1,INDIRECT("'" &amp; B19 &amp; "'!$AK:$AK")),"")</f>
        <v>0.85539598000204065</v>
      </c>
      <c r="S19" s="392">
        <f ca="1">+IFERROR(SUMIF(INDIRECT("'" &amp; B19 &amp; "'!$B:$B"),$S$1,INDIRECT("'" &amp; B19 &amp; "'!$aL:$aL"))/SUMIF(INDIRECT("'" &amp; B19 &amp; "'!$B:$B"),$S$1,INDIRECT("'" &amp; B19 &amp; "'!$AK:$AK")),"")</f>
        <v>0.87118724082934618</v>
      </c>
      <c r="T19" s="392">
        <f ca="1">+IFERROR(SUMIF(INDIRECT("'" &amp; B19 &amp; "'!$B:$B"),$T$1,INDIRECT("'" &amp; B19 &amp; "'!$aL:$aL"))/SUMIF(INDIRECT("'" &amp; B19 &amp; "'!$B:$B"),$T$1,INDIRECT("'" &amp; B19 &amp; "'!$AK:$AK")),"")</f>
        <v>0.8767554713804715</v>
      </c>
      <c r="U19" s="392" t="str">
        <f t="shared" ref="U19" ca="1" si="2">+IFERROR(SUMIF(INDIRECT("'" &amp; C19 &amp; "'!$B:$B"),$T$1,INDIRECT("'" &amp; C19 &amp; "'!$aL:$aL"))/SUMIF(INDIRECT("'" &amp; C19 &amp; "'!$B:$B"),$T$1,INDIRECT("'" &amp; C19 &amp; "'!$AK:$AK")),"")</f>
        <v/>
      </c>
      <c r="V19" s="392">
        <f ca="1">+IFERROR(SUMIF(INDIRECT("'" &amp; B19 &amp; "'!$B:$B"),$V$1,INDIRECT("'" &amp; B19 &amp; "'!$aL:$aL"))/SUMIF(INDIRECT("'" &amp; B19 &amp; "'!$B:$B"),$V$1,INDIRECT("'" &amp; B19 &amp; "'!$AK:$AK")),"")</f>
        <v>0.57686363636363636</v>
      </c>
      <c r="W19" s="392" t="s">
        <v>182</v>
      </c>
      <c r="X19" s="392">
        <f ca="1">+IFERROR(INDIRECT("'" &amp; B19 &amp; "'!AG2"),"")</f>
        <v>0.77993733242626773</v>
      </c>
      <c r="Y19" s="392">
        <v>0.82430000000000003</v>
      </c>
      <c r="Z19" s="186" t="s">
        <v>174</v>
      </c>
      <c r="AA19" s="224"/>
      <c r="AB19" s="186" t="s">
        <v>174</v>
      </c>
    </row>
    <row r="20" spans="1:28" ht="32.25" customHeight="1" thickBot="1" x14ac:dyDescent="0.3">
      <c r="B20" s="398" t="s">
        <v>467</v>
      </c>
      <c r="C20" s="312">
        <f t="shared" ref="C20:C45" ca="1" si="3">+IFERROR(SUMIF(INDIRECT("'" &amp; B20 &amp; "'!$B:$B"),$C$1,INDIRECT("'" &amp; B20 &amp; "'!$aL:$aL"))/SUMIF(INDIRECT("'" &amp; B20 &amp; "'!$B:$B"),$C$1,INDIRECT("'" &amp; B20 &amp; "'!$AK:$AK")),"")</f>
        <v>0.53183150183150185</v>
      </c>
      <c r="D20" s="392">
        <f t="shared" ref="D20:D45" ca="1" si="4">+IFERROR(SUMIF(INDIRECT("'" &amp; B20 &amp; "'!$B:$B"),$D$1,INDIRECT("'" &amp; B20 &amp; "'!$aL:$aL"))/SUMIF(INDIRECT("'" &amp; B20 &amp; "'!$B:$B"),$D$1,INDIRECT("'" &amp; B20 &amp; "'!$AK:$AK")),"")</f>
        <v>0.4549695702671312</v>
      </c>
      <c r="E20" s="392">
        <f t="shared" ref="E20:E45" ca="1" si="5">+IFERROR(SUMIF(INDIRECT("'" &amp; B20 &amp; "'!$B:$B"),$E$1,INDIRECT("'" &amp; B20 &amp; "'!$aL:$aL"))/SUMIF(INDIRECT("'" &amp; B20 &amp; "'!$B:$B"),$E$1,INDIRECT("'" &amp; B20 &amp; "'!$AK:$AK")),"")</f>
        <v>0.65753243486073676</v>
      </c>
      <c r="F20" s="392">
        <f t="shared" ref="F20:F45" ca="1" si="6">+IFERROR(SUMIF(INDIRECT("'" &amp; B20 &amp; "'!$B:$B"),$F$1,INDIRECT("'" &amp; B20 &amp; "'!$aL:$aL"))/SUMIF(INDIRECT("'" &amp; B20 &amp; "'!$B:$B"),$F$1,INDIRECT("'" &amp; B20 &amp; "'!$AK:$AK")),"")</f>
        <v>0.8909710358370152</v>
      </c>
      <c r="G20" s="392">
        <f t="shared" ref="G20:G45" ca="1" si="7">+IFERROR(SUMIF(INDIRECT("'" &amp; B20 &amp; "'!$B:$B"),$G$1,INDIRECT("'" &amp; B20 &amp; "'!$aL:$aL"))/SUMIF(INDIRECT("'" &amp; B20 &amp; "'!$B:$B"),$G$1,INDIRECT("'" &amp; B20 &amp; "'!$AK:$AK")),"")</f>
        <v>0.99082568807339455</v>
      </c>
      <c r="H20" s="392" t="str">
        <f t="shared" ref="H20:H45" ca="1" si="8">+IFERROR(SUMIF(INDIRECT("'" &amp; B20 &amp; "'!$B:$B"),$H$1,INDIRECT("'" &amp; B20 &amp; "'!$aL:$aL"))/SUMIF(INDIRECT("'" &amp; B20 &amp; "'!$B:$B"),$H$1,INDIRECT("'" &amp; B20 &amp; "'!$AK:$AK")),"")</f>
        <v/>
      </c>
      <c r="I20" s="392">
        <f t="shared" ref="I20:I45" ca="1" si="9">+IFERROR(SUMIF(INDIRECT("'" &amp; B20 &amp; "'!$B:$B"),$I$1,INDIRECT("'" &amp; B20 &amp; "'!$aL:$aL"))/SUMIF(INDIRECT("'" &amp; B20 &amp; "'!$B:$B"),$I$1,INDIRECT("'" &amp; B20 &amp; "'!$AK:$AK")),"")</f>
        <v>0.58040750360750359</v>
      </c>
      <c r="J20" s="392">
        <f t="shared" ref="J20:J45" ca="1" si="10">+IFERROR(SUMIF(INDIRECT("'" &amp; B20 &amp; "'!$B:$B"),$J$1,INDIRECT("'" &amp; B20 &amp; "'!$aL:$aL"))/SUMIF(INDIRECT("'" &amp; B20 &amp; "'!$B:$B"),$J$1,INDIRECT("'" &amp; B20 &amp; "'!$AK:$AK")),"")</f>
        <v>0.87271163475699565</v>
      </c>
      <c r="K20" s="392" t="s">
        <v>182</v>
      </c>
      <c r="L20" s="392" t="s">
        <v>182</v>
      </c>
      <c r="M20" s="392">
        <f t="shared" ref="M20:M45" ca="1" si="11">+IFERROR(SUMIF(INDIRECT("'" &amp; B20 &amp; "'!$B:$B"),$M$1,INDIRECT("'" &amp; B20 &amp; "'!$aL:$aL"))/SUMIF(INDIRECT("'" &amp; B20 &amp; "'!$B:$B"),$M$1,INDIRECT("'" &amp; B20 &amp; "'!$AK:$AK")),"")</f>
        <v>0.75423692636072581</v>
      </c>
      <c r="N20" s="392">
        <f t="shared" ref="N20:N45" ca="1" si="12">+IFERROR(SUMIF(INDIRECT("'" &amp; B20 &amp; "'!$B:$B"),$N$1,INDIRECT("'" &amp; B20 &amp; "'!$aL:$aL"))/SUMIF(INDIRECT("'" &amp; B20 &amp; "'!$B:$B"),$N$1,INDIRECT("'" &amp; B20 &amp; "'!$AK:$AK")),"")</f>
        <v>0.8388394139615053</v>
      </c>
      <c r="O20" s="392">
        <f t="shared" ref="O20:O45" ca="1" si="13">+IFERROR(SUMIF(INDIRECT("'" &amp; B20 &amp; "'!$B:$B"),$O$1,INDIRECT("'" &amp; B20 &amp; "'!$aL:$aL"))/SUMIF(INDIRECT("'" &amp; B20 &amp; "'!$B:$B"),$O$1,INDIRECT("'" &amp; B20 &amp; "'!$AK:$AK")),"")</f>
        <v>0.72686636409480587</v>
      </c>
      <c r="P20" s="392">
        <f t="shared" ref="P20:P45" ca="1" si="14">+IFERROR(SUMIF(INDIRECT("'" &amp; B20 &amp; "'!$B:$B"),$P$1,INDIRECT("'" &amp; B20 &amp; "'!$aL:$aL"))/SUMIF(INDIRECT("'" &amp; B20 &amp; "'!$B:$B"),$P$1,INDIRECT("'" &amp; B20 &amp; "'!$AK:$AK")),"")</f>
        <v>0.85168141592920366</v>
      </c>
      <c r="Q20" s="392">
        <f t="shared" ref="Q20:Q45" ca="1" si="15">+IFERROR(SUMIF(INDIRECT("'" &amp; B20 &amp; "'!$B:$B"),$Q$1,INDIRECT("'" &amp; B20 &amp; "'!$aL:$aL"))/SUMIF(INDIRECT("'" &amp; B20 &amp; "'!$B:$B"),$Q$1,INDIRECT("'" &amp; B20 &amp; "'!$AK:$AK")),"")</f>
        <v>0.19001978021978022</v>
      </c>
      <c r="R20" s="318">
        <f t="shared" ref="R20:R45" ca="1" si="16">+IFERROR(SUMIF(INDIRECT("'" &amp; B20 &amp; "'!$B:$B"),$R$1,INDIRECT("'" &amp; B20 &amp; "'!$aL:$aL"))/SUMIF(INDIRECT("'" &amp; B20 &amp; "'!$B:$B"),$R$1,INDIRECT("'" &amp; B20 &amp; "'!$AK:$AK")),"")</f>
        <v>0.3218247234247234</v>
      </c>
      <c r="S20" s="392">
        <f t="shared" ref="S20:S45" ca="1" si="17">+IFERROR(SUMIF(INDIRECT("'" &amp; B20 &amp; "'!$B:$B"),$S$1,INDIRECT("'" &amp; B20 &amp; "'!$aL:$aL"))/SUMIF(INDIRECT("'" &amp; B20 &amp; "'!$B:$B"),$S$1,INDIRECT("'" &amp; B20 &amp; "'!$AK:$AK")),"")</f>
        <v>0.87389638932496083</v>
      </c>
      <c r="T20" s="392">
        <f t="shared" ref="T20:T22" ca="1" si="18">+IFERROR(SUMIF(INDIRECT("'" &amp; B20 &amp; "'!$B:$B"),$T$1,INDIRECT("'" &amp; B20 &amp; "'!$aL:$aL"))/SUMIF(INDIRECT("'" &amp; B20 &amp; "'!$B:$B"),$T$1,INDIRECT("'" &amp; B20 &amp; "'!$AK:$AK")),"")</f>
        <v>0.68149278350515474</v>
      </c>
      <c r="U20" s="392" t="str">
        <f t="shared" ref="U20" ca="1" si="19">+IFERROR(SUMIF(INDIRECT("'" &amp; C20 &amp; "'!$B:$B"),$T$1,INDIRECT("'" &amp; C20 &amp; "'!$aL:$aL"))/SUMIF(INDIRECT("'" &amp; C20 &amp; "'!$B:$B"),$T$1,INDIRECT("'" &amp; C20 &amp; "'!$AK:$AK")),"")</f>
        <v/>
      </c>
      <c r="V20" s="392">
        <f ca="1">+IFERROR(SUMIF(INDIRECT("'" &amp; B20 &amp; "'!$B:$B"),$V$1,INDIRECT("'" &amp; B20 &amp; "'!$aL:$aL"))/SUMIF(INDIRECT("'" &amp; B20 &amp; "'!$B:$B"),$V$1,INDIRECT("'" &amp; B20 &amp; "'!$AK:$AK")),"")</f>
        <v>0.93240000000000012</v>
      </c>
      <c r="W20" s="392" t="s">
        <v>182</v>
      </c>
      <c r="X20" s="392">
        <f t="shared" ref="X20:X45" ca="1" si="20">+IFERROR(INDIRECT("'" &amp; B20 &amp; "'!AG2"),"")</f>
        <v>0.68669422064770902</v>
      </c>
      <c r="Y20" s="392">
        <v>0.70250000000000001</v>
      </c>
      <c r="Z20" s="186" t="s">
        <v>174</v>
      </c>
      <c r="AA20" s="224"/>
    </row>
    <row r="21" spans="1:28" ht="32.25" customHeight="1" thickBot="1" x14ac:dyDescent="0.3">
      <c r="A21" s="186" t="s">
        <v>174</v>
      </c>
      <c r="B21" s="398" t="s">
        <v>469</v>
      </c>
      <c r="C21" s="392">
        <f t="shared" ca="1" si="3"/>
        <v>0.89249999999999996</v>
      </c>
      <c r="D21" s="312">
        <f t="shared" ca="1" si="4"/>
        <v>0.12114975315414152</v>
      </c>
      <c r="E21" s="392">
        <f t="shared" ca="1" si="5"/>
        <v>0.85431526212202546</v>
      </c>
      <c r="F21" s="392">
        <f t="shared" ca="1" si="6"/>
        <v>0.92656277056277059</v>
      </c>
      <c r="G21" s="392">
        <f t="shared" ca="1" si="7"/>
        <v>0.99082568807339455</v>
      </c>
      <c r="H21" s="392" t="str">
        <f t="shared" ca="1" si="8"/>
        <v/>
      </c>
      <c r="I21" s="392">
        <f t="shared" ca="1" si="9"/>
        <v>0.76914059405940594</v>
      </c>
      <c r="J21" s="392">
        <f t="shared" ca="1" si="10"/>
        <v>0.86380641399416913</v>
      </c>
      <c r="K21" s="392" t="s">
        <v>182</v>
      </c>
      <c r="L21" s="392" t="s">
        <v>182</v>
      </c>
      <c r="M21" s="392">
        <f t="shared" ca="1" si="11"/>
        <v>0.89408502312344362</v>
      </c>
      <c r="N21" s="392">
        <f t="shared" ca="1" si="12"/>
        <v>0.86008836524300447</v>
      </c>
      <c r="O21" s="312">
        <f t="shared" ca="1" si="13"/>
        <v>8.885513784461152E-2</v>
      </c>
      <c r="P21" s="318">
        <f t="shared" ca="1" si="14"/>
        <v>0.82387417877762292</v>
      </c>
      <c r="Q21" s="392">
        <f t="shared" ca="1" si="15"/>
        <v>0.92156499636891798</v>
      </c>
      <c r="R21" s="392">
        <f t="shared" ca="1" si="16"/>
        <v>0.50553843193843195</v>
      </c>
      <c r="S21" s="392">
        <f t="shared" ca="1" si="17"/>
        <v>0.72391836734693882</v>
      </c>
      <c r="T21" s="392">
        <f t="shared" ca="1" si="18"/>
        <v>0.84848994741725958</v>
      </c>
      <c r="U21" s="392" t="str">
        <f t="shared" ref="U21:U22" ca="1" si="21">+IFERROR(SUMIF(INDIRECT("'" &amp; C21 &amp; "'!$B:$B"),$T$1,INDIRECT("'" &amp; C21 &amp; "'!$aL:$aL"))/SUMIF(INDIRECT("'" &amp; C21 &amp; "'!$B:$B"),$T$1,INDIRECT("'" &amp; C21 &amp; "'!$AK:$AK")),"")</f>
        <v/>
      </c>
      <c r="V21" s="392">
        <f ca="1">+IFERROR(SUMIF(INDIRECT("'" &amp; B21 &amp; "'!$B:$B"),$V$1,INDIRECT("'" &amp; B21 &amp; "'!$aL:$aL"))/SUMIF(INDIRECT("'" &amp; B21 &amp; "'!$B:$B"),$V$1,INDIRECT("'" &amp; B21 &amp; "'!$AK:$AK")),"")</f>
        <v>0.70112473572938694</v>
      </c>
      <c r="W21" s="392" t="s">
        <v>182</v>
      </c>
      <c r="X21" s="392">
        <f t="shared" ca="1" si="20"/>
        <v>0.75113239049302682</v>
      </c>
      <c r="Y21" s="392">
        <v>0.78290000000000004</v>
      </c>
      <c r="Z21" s="197" t="s">
        <v>174</v>
      </c>
      <c r="AA21" s="224"/>
      <c r="AB21" s="186" t="s">
        <v>174</v>
      </c>
    </row>
    <row r="22" spans="1:28" ht="32.25" customHeight="1" x14ac:dyDescent="0.25">
      <c r="B22" s="398" t="s">
        <v>470</v>
      </c>
      <c r="C22" s="392">
        <f t="shared" ca="1" si="3"/>
        <v>0.89249999999999996</v>
      </c>
      <c r="D22" s="392">
        <f t="shared" ca="1" si="4"/>
        <v>2.3877497665732956E-2</v>
      </c>
      <c r="E22" s="392">
        <f t="shared" ca="1" si="5"/>
        <v>0.91212578616352202</v>
      </c>
      <c r="F22" s="392">
        <f t="shared" ca="1" si="6"/>
        <v>0.92656277056277059</v>
      </c>
      <c r="G22" s="392">
        <f t="shared" ca="1" si="7"/>
        <v>0.99257317605941464</v>
      </c>
      <c r="H22" s="392" t="str">
        <f t="shared" ca="1" si="8"/>
        <v/>
      </c>
      <c r="I22" s="392">
        <f t="shared" ca="1" si="9"/>
        <v>0.86545454545454548</v>
      </c>
      <c r="J22" s="392">
        <f t="shared" ca="1" si="10"/>
        <v>0.86380641399416913</v>
      </c>
      <c r="K22" s="392" t="s">
        <v>182</v>
      </c>
      <c r="L22" s="392" t="s">
        <v>182</v>
      </c>
      <c r="M22" s="392">
        <f t="shared" ca="1" si="11"/>
        <v>0.8173469607315762</v>
      </c>
      <c r="N22" s="392">
        <f t="shared" ca="1" si="12"/>
        <v>0.86008836524300447</v>
      </c>
      <c r="O22" s="392">
        <f t="shared" ca="1" si="13"/>
        <v>0</v>
      </c>
      <c r="P22" s="392">
        <f t="shared" ca="1" si="14"/>
        <v>0.86556223602484483</v>
      </c>
      <c r="Q22" s="392">
        <f t="shared" ca="1" si="15"/>
        <v>0.92966666666666675</v>
      </c>
      <c r="R22" s="392">
        <f t="shared" ca="1" si="16"/>
        <v>0.58501741221741221</v>
      </c>
      <c r="S22" s="392">
        <f t="shared" ca="1" si="17"/>
        <v>0.90632503840245793</v>
      </c>
      <c r="T22" s="392">
        <f t="shared" ca="1" si="18"/>
        <v>0.86127723704866566</v>
      </c>
      <c r="U22" s="392" t="str">
        <f t="shared" ca="1" si="21"/>
        <v/>
      </c>
      <c r="V22" s="392">
        <f ca="1">+IFERROR(SUMIF(INDIRECT("'" &amp; B22 &amp; "'!$B:$B"),$V$1,INDIRECT("'" &amp; B22 &amp; "'!$aL:$aL"))/SUMIF(INDIRECT("'" &amp; B22 &amp; "'!$B:$B"),$V$1,INDIRECT("'" &amp; B22 &amp; "'!$AK:$AK")),"")</f>
        <v>0.66360000000000008</v>
      </c>
      <c r="W22" s="392" t="s">
        <v>182</v>
      </c>
      <c r="X22" s="392">
        <f t="shared" ca="1" si="20"/>
        <v>0.76321748954920354</v>
      </c>
      <c r="Y22" s="392">
        <v>0.83209999999999995</v>
      </c>
      <c r="Z22" s="197"/>
      <c r="AA22" s="224"/>
    </row>
    <row r="23" spans="1:28" ht="32.25" customHeight="1" thickBot="1" x14ac:dyDescent="0.3">
      <c r="A23" s="186" t="s">
        <v>174</v>
      </c>
      <c r="B23" s="398" t="s">
        <v>479</v>
      </c>
      <c r="C23" s="392">
        <f t="shared" ca="1" si="3"/>
        <v>0.89249999999999996</v>
      </c>
      <c r="D23" s="392">
        <f t="shared" ca="1" si="4"/>
        <v>0.30767539682539685</v>
      </c>
      <c r="E23" s="392">
        <f t="shared" ca="1" si="5"/>
        <v>0.78459780219780217</v>
      </c>
      <c r="F23" s="392">
        <f t="shared" ca="1" si="6"/>
        <v>0.69386435786435785</v>
      </c>
      <c r="G23" s="392">
        <f t="shared" ca="1" si="7"/>
        <v>0.99257317605941464</v>
      </c>
      <c r="H23" s="392" t="str">
        <f t="shared" ca="1" si="8"/>
        <v/>
      </c>
      <c r="I23" s="392">
        <f t="shared" ca="1" si="9"/>
        <v>0.66433939393939401</v>
      </c>
      <c r="J23" s="392">
        <f t="shared" ca="1" si="10"/>
        <v>0.86380641399416913</v>
      </c>
      <c r="K23" s="392" t="s">
        <v>182</v>
      </c>
      <c r="L23" s="392" t="s">
        <v>182</v>
      </c>
      <c r="M23" s="392">
        <f t="shared" ca="1" si="11"/>
        <v>0.64440073868882741</v>
      </c>
      <c r="N23" s="392">
        <f t="shared" ca="1" si="12"/>
        <v>0.95803866100895807</v>
      </c>
      <c r="O23" s="392">
        <f t="shared" ca="1" si="13"/>
        <v>0.13128571428571428</v>
      </c>
      <c r="P23" s="392">
        <f t="shared" ca="1" si="14"/>
        <v>0.87544322344322356</v>
      </c>
      <c r="Q23" s="392">
        <f t="shared" ca="1" si="15"/>
        <v>0.92966666666666675</v>
      </c>
      <c r="R23" s="392">
        <f t="shared" ca="1" si="16"/>
        <v>0.5490074431703883</v>
      </c>
      <c r="S23" s="392">
        <f t="shared" ca="1" si="17"/>
        <v>0.85365284178187417</v>
      </c>
      <c r="T23" s="392">
        <f t="shared" ref="T23:T45" ca="1" si="22">+IFERROR(SUMIF(INDIRECT("'" &amp; B23 &amp; "'!$B:$B"),$T$1,INDIRECT("'" &amp; B23 &amp; "'!$aL:$aL"))/SUMIF(INDIRECT("'" &amp; B23 &amp; "'!$B:$B"),$T$1,INDIRECT("'" &amp; B23 &amp; "'!$AK:$AK")),"")</f>
        <v>0.76102242703533041</v>
      </c>
      <c r="U23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3" s="392">
        <f ca="1">+IFERROR(SUMIF(INDIRECT("'" &amp; B23 &amp; "'!$B:$B"),$V$1,INDIRECT("'" &amp; B23 &amp; "'!$aL:$aL"))/SUMIF(INDIRECT("'" &amp; B23 &amp; "'!$B:$B"),$V$1,INDIRECT("'" &amp; B23 &amp; "'!$AK:$AK")),"")</f>
        <v>0.80620312500000002</v>
      </c>
      <c r="W23" s="392" t="s">
        <v>182</v>
      </c>
      <c r="X23" s="392">
        <f t="shared" ca="1" si="20"/>
        <v>0.73416173408176844</v>
      </c>
      <c r="Y23" s="392">
        <v>0.78339999999999999</v>
      </c>
      <c r="Z23" s="186" t="s">
        <v>174</v>
      </c>
      <c r="AA23" s="224"/>
      <c r="AB23" s="186" t="s">
        <v>174</v>
      </c>
    </row>
    <row r="24" spans="1:28" ht="32.25" customHeight="1" thickBot="1" x14ac:dyDescent="0.3">
      <c r="A24" s="186" t="s">
        <v>174</v>
      </c>
      <c r="B24" s="398" t="s">
        <v>481</v>
      </c>
      <c r="C24" s="392">
        <f t="shared" ca="1" si="3"/>
        <v>0.93130434782608706</v>
      </c>
      <c r="D24" s="392">
        <f t="shared" ca="1" si="4"/>
        <v>0.2937099509147702</v>
      </c>
      <c r="E24" s="392">
        <f t="shared" ca="1" si="5"/>
        <v>0.91631705916140149</v>
      </c>
      <c r="F24" s="312">
        <f t="shared" ca="1" si="6"/>
        <v>0.17052343482723228</v>
      </c>
      <c r="G24" s="392">
        <f t="shared" ca="1" si="7"/>
        <v>1.020388809862494</v>
      </c>
      <c r="H24" s="392" t="str">
        <f t="shared" ca="1" si="8"/>
        <v/>
      </c>
      <c r="I24" s="392">
        <f t="shared" ca="1" si="9"/>
        <v>0.72274285714285713</v>
      </c>
      <c r="J24" s="392">
        <f t="shared" ca="1" si="10"/>
        <v>0.86816656308266005</v>
      </c>
      <c r="K24" s="392" t="s">
        <v>182</v>
      </c>
      <c r="L24" s="392" t="s">
        <v>182</v>
      </c>
      <c r="M24" s="312">
        <f t="shared" ca="1" si="11"/>
        <v>0.34044417957886369</v>
      </c>
      <c r="N24" s="392">
        <f t="shared" ca="1" si="12"/>
        <v>0.97745128048158347</v>
      </c>
      <c r="O24" s="392">
        <f t="shared" ca="1" si="13"/>
        <v>0.59329380764163364</v>
      </c>
      <c r="P24" s="392">
        <f t="shared" ca="1" si="14"/>
        <v>0.86196070426129123</v>
      </c>
      <c r="Q24" s="392">
        <f t="shared" ca="1" si="15"/>
        <v>0.91421661891117478</v>
      </c>
      <c r="R24" s="392">
        <f t="shared" ca="1" si="16"/>
        <v>0.62529180472719237</v>
      </c>
      <c r="S24" s="392">
        <f t="shared" ca="1" si="17"/>
        <v>0.84374584555229726</v>
      </c>
      <c r="T24" s="392">
        <f t="shared" ca="1" si="22"/>
        <v>0.8726412512218964</v>
      </c>
      <c r="U24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4" s="392">
        <f t="shared" ref="V24:V45" ca="1" si="23">+IFERROR(SUMIF(INDIRECT("'" &amp; B24 &amp; "'!$B:$B"),$V$1,INDIRECT("'" &amp; B24 &amp; "'!$aL:$aL"))/SUMIF(INDIRECT("'" &amp; B24 &amp; "'!$B:$B"),$V$1,INDIRECT("'" &amp; B24 &amp; "'!$AK:$AK")),"")</f>
        <v>0.80181818181818187</v>
      </c>
      <c r="W24" s="392" t="s">
        <v>182</v>
      </c>
      <c r="X24" s="392">
        <f t="shared" ca="1" si="20"/>
        <v>0.74079661372226857</v>
      </c>
      <c r="Y24" s="392">
        <v>0.83289999999999997</v>
      </c>
      <c r="Z24" s="186" t="s">
        <v>174</v>
      </c>
      <c r="AA24" s="224"/>
      <c r="AB24" s="186" t="s">
        <v>174</v>
      </c>
    </row>
    <row r="25" spans="1:28" ht="32.25" customHeight="1" thickBot="1" x14ac:dyDescent="0.3">
      <c r="B25" s="398" t="s">
        <v>483</v>
      </c>
      <c r="C25" s="392">
        <f t="shared" ca="1" si="3"/>
        <v>0.93130434782608706</v>
      </c>
      <c r="D25" s="392">
        <f t="shared" ca="1" si="4"/>
        <v>0.61907428427292222</v>
      </c>
      <c r="E25" s="392">
        <f t="shared" ca="1" si="5"/>
        <v>0.80988620013080448</v>
      </c>
      <c r="F25" s="392">
        <f t="shared" ca="1" si="6"/>
        <v>0</v>
      </c>
      <c r="G25" s="392">
        <f t="shared" ca="1" si="7"/>
        <v>1.014072403050811</v>
      </c>
      <c r="H25" s="392" t="str">
        <f t="shared" ca="1" si="8"/>
        <v/>
      </c>
      <c r="I25" s="392">
        <f t="shared" ca="1" si="9"/>
        <v>0.86299324564521862</v>
      </c>
      <c r="J25" s="392">
        <f t="shared" ca="1" si="10"/>
        <v>0.86402814919071069</v>
      </c>
      <c r="K25" s="392" t="s">
        <v>182</v>
      </c>
      <c r="L25" s="392" t="s">
        <v>182</v>
      </c>
      <c r="M25" s="392">
        <f t="shared" ca="1" si="11"/>
        <v>0.10752996254681649</v>
      </c>
      <c r="N25" s="392">
        <f t="shared" ca="1" si="12"/>
        <v>0.97759201207477064</v>
      </c>
      <c r="O25" s="392">
        <f t="shared" ca="1" si="13"/>
        <v>0.67059399332591774</v>
      </c>
      <c r="P25" s="392">
        <f t="shared" ca="1" si="14"/>
        <v>0.86033149811648812</v>
      </c>
      <c r="Q25" s="392">
        <f t="shared" ca="1" si="15"/>
        <v>0.92232719298245625</v>
      </c>
      <c r="R25" s="312">
        <f t="shared" ca="1" si="16"/>
        <v>0.24908505747126439</v>
      </c>
      <c r="S25" s="392">
        <f t="shared" ca="1" si="17"/>
        <v>0.84175305895439378</v>
      </c>
      <c r="T25" s="392">
        <f t="shared" ca="1" si="22"/>
        <v>0.7781831664812755</v>
      </c>
      <c r="U25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5" s="392">
        <f t="shared" ca="1" si="23"/>
        <v>0.79274999999999995</v>
      </c>
      <c r="W25" s="392" t="s">
        <v>182</v>
      </c>
      <c r="X25" s="392">
        <f t="shared" ca="1" si="20"/>
        <v>0.71567701306628961</v>
      </c>
      <c r="Y25" s="392">
        <v>0.78449999999999998</v>
      </c>
      <c r="AA25" s="224"/>
    </row>
    <row r="26" spans="1:28" ht="32.25" customHeight="1" x14ac:dyDescent="0.25">
      <c r="A26" s="186" t="s">
        <v>174</v>
      </c>
      <c r="B26" s="398" t="s">
        <v>484</v>
      </c>
      <c r="C26" s="392">
        <f t="shared" ca="1" si="3"/>
        <v>0.89249999999999996</v>
      </c>
      <c r="D26" s="392">
        <f t="shared" ca="1" si="4"/>
        <v>0.6052894660894661</v>
      </c>
      <c r="E26" s="392">
        <f t="shared" ca="1" si="5"/>
        <v>0.83363516483516487</v>
      </c>
      <c r="F26" s="392">
        <f t="shared" ca="1" si="6"/>
        <v>0.54829931972789125</v>
      </c>
      <c r="G26" s="392">
        <f t="shared" ca="1" si="7"/>
        <v>1.0111259457053849</v>
      </c>
      <c r="H26" s="392" t="str">
        <f t="shared" ca="1" si="8"/>
        <v/>
      </c>
      <c r="I26" s="392">
        <f t="shared" ca="1" si="9"/>
        <v>0.53334432989690728</v>
      </c>
      <c r="J26" s="392">
        <f t="shared" ca="1" si="10"/>
        <v>0.87271163475699565</v>
      </c>
      <c r="K26" s="392" t="s">
        <v>182</v>
      </c>
      <c r="L26" s="392" t="s">
        <v>182</v>
      </c>
      <c r="M26" s="392">
        <f t="shared" ca="1" si="11"/>
        <v>2.6291666666666668E-2</v>
      </c>
      <c r="N26" s="392">
        <f t="shared" ca="1" si="12"/>
        <v>0.97739297739297737</v>
      </c>
      <c r="O26" s="392">
        <f t="shared" ca="1" si="13"/>
        <v>0.83109565217391301</v>
      </c>
      <c r="P26" s="392">
        <f t="shared" ca="1" si="14"/>
        <v>0.85726386554621858</v>
      </c>
      <c r="Q26" s="392">
        <f t="shared" ca="1" si="15"/>
        <v>0.91806474950262262</v>
      </c>
      <c r="R26" s="392">
        <f t="shared" ca="1" si="16"/>
        <v>0.72116916099773243</v>
      </c>
      <c r="S26" s="392">
        <f t="shared" ca="1" si="17"/>
        <v>0.84820399385560685</v>
      </c>
      <c r="T26" s="392">
        <f t="shared" ca="1" si="22"/>
        <v>0.86127723704866566</v>
      </c>
      <c r="U26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6" s="392">
        <f t="shared" ca="1" si="23"/>
        <v>0.75893023255813952</v>
      </c>
      <c r="W26" s="392" t="s">
        <v>182</v>
      </c>
      <c r="X26" s="392">
        <f t="shared" ca="1" si="20"/>
        <v>0.76205667840555291</v>
      </c>
      <c r="Y26" s="392">
        <v>0.80210000000000004</v>
      </c>
      <c r="Z26" s="197" t="s">
        <v>174</v>
      </c>
      <c r="AA26" s="224"/>
      <c r="AB26" s="186" t="s">
        <v>174</v>
      </c>
    </row>
    <row r="27" spans="1:28" ht="32.25" customHeight="1" thickBot="1" x14ac:dyDescent="0.3">
      <c r="B27" s="398" t="s">
        <v>490</v>
      </c>
      <c r="C27" s="392">
        <f t="shared" ca="1" si="3"/>
        <v>0.89249999999999996</v>
      </c>
      <c r="D27" s="392">
        <f t="shared" ca="1" si="4"/>
        <v>0.68470687830687826</v>
      </c>
      <c r="E27" s="392">
        <f t="shared" ca="1" si="5"/>
        <v>0.92966666666666675</v>
      </c>
      <c r="F27" s="392">
        <f t="shared" ca="1" si="6"/>
        <v>0.74231292517006808</v>
      </c>
      <c r="G27" s="392">
        <f t="shared" ca="1" si="7"/>
        <v>0.9043168669336894</v>
      </c>
      <c r="H27" s="392" t="str">
        <f t="shared" ca="1" si="8"/>
        <v/>
      </c>
      <c r="I27" s="392">
        <f t="shared" ca="1" si="9"/>
        <v>0.83787216494845373</v>
      </c>
      <c r="J27" s="392">
        <f t="shared" ca="1" si="10"/>
        <v>0.89220147275405004</v>
      </c>
      <c r="K27" s="392" t="s">
        <v>182</v>
      </c>
      <c r="L27" s="392" t="s">
        <v>182</v>
      </c>
      <c r="M27" s="392">
        <f t="shared" ca="1" si="11"/>
        <v>4.6011904761904761E-2</v>
      </c>
      <c r="N27" s="392">
        <f t="shared" ca="1" si="12"/>
        <v>0.97739297739297737</v>
      </c>
      <c r="O27" s="392">
        <f t="shared" ca="1" si="13"/>
        <v>0.85864436183395287</v>
      </c>
      <c r="P27" s="392">
        <f t="shared" ca="1" si="14"/>
        <v>0.86641688910458636</v>
      </c>
      <c r="Q27" s="392">
        <f t="shared" ca="1" si="15"/>
        <v>0.95236606981370953</v>
      </c>
      <c r="R27" s="392">
        <f t="shared" ca="1" si="16"/>
        <v>0.74231292517006808</v>
      </c>
      <c r="S27" s="392">
        <f t="shared" ca="1" si="17"/>
        <v>0.84275514592933953</v>
      </c>
      <c r="T27" s="392">
        <f t="shared" ca="1" si="22"/>
        <v>0.81858461538461547</v>
      </c>
      <c r="U27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7" s="392">
        <f t="shared" ca="1" si="23"/>
        <v>0.86729999999999996</v>
      </c>
      <c r="W27" s="392" t="s">
        <v>182</v>
      </c>
      <c r="X27" s="392">
        <f t="shared" ca="1" si="20"/>
        <v>0.80455883634499548</v>
      </c>
      <c r="Y27" s="392">
        <v>0.84279999999999999</v>
      </c>
    </row>
    <row r="28" spans="1:28" ht="32.25" customHeight="1" thickBot="1" x14ac:dyDescent="0.3">
      <c r="B28" s="398" t="s">
        <v>491</v>
      </c>
      <c r="C28" s="392">
        <f t="shared" ca="1" si="3"/>
        <v>0.89249999999999996</v>
      </c>
      <c r="D28" s="392">
        <f t="shared" ca="1" si="4"/>
        <v>0.66699894179894181</v>
      </c>
      <c r="E28" s="392">
        <f t="shared" ca="1" si="5"/>
        <v>0.90360124610591908</v>
      </c>
      <c r="F28" s="392">
        <f t="shared" ca="1" si="6"/>
        <v>0.65970034843205572</v>
      </c>
      <c r="G28" s="312">
        <f t="shared" ca="1" si="7"/>
        <v>0.52571428571428569</v>
      </c>
      <c r="H28" s="392" t="str">
        <f t="shared" ca="1" si="8"/>
        <v/>
      </c>
      <c r="I28" s="392">
        <f t="shared" ca="1" si="9"/>
        <v>0.80620800000000015</v>
      </c>
      <c r="J28" s="392">
        <f t="shared" ca="1" si="10"/>
        <v>0.87271163475699565</v>
      </c>
      <c r="K28" s="392" t="s">
        <v>182</v>
      </c>
      <c r="L28" s="392" t="s">
        <v>182</v>
      </c>
      <c r="M28" s="392">
        <f t="shared" ca="1" si="11"/>
        <v>0.3239238095238095</v>
      </c>
      <c r="N28" s="392">
        <f t="shared" ca="1" si="12"/>
        <v>0.97739297739297737</v>
      </c>
      <c r="O28" s="392">
        <f t="shared" ca="1" si="13"/>
        <v>0.86077763975155275</v>
      </c>
      <c r="P28" s="312">
        <f t="shared" ca="1" si="14"/>
        <v>0.42009523809523813</v>
      </c>
      <c r="Q28" s="392">
        <f t="shared" ca="1" si="15"/>
        <v>0.97071155261221498</v>
      </c>
      <c r="R28" s="392">
        <f t="shared" ca="1" si="16"/>
        <v>0.59151148459383751</v>
      </c>
      <c r="S28" s="392">
        <f t="shared" ca="1" si="17"/>
        <v>0.84275514592933953</v>
      </c>
      <c r="T28" s="392">
        <f t="shared" ca="1" si="22"/>
        <v>0.86870204081632663</v>
      </c>
      <c r="U28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8" s="392">
        <f t="shared" ca="1" si="23"/>
        <v>0.91960465116279066</v>
      </c>
      <c r="W28" s="392" t="s">
        <v>182</v>
      </c>
      <c r="X28" s="392">
        <f t="shared" ca="1" si="20"/>
        <v>0.74524184051570985</v>
      </c>
      <c r="Y28" s="392">
        <v>0.83250000000000002</v>
      </c>
    </row>
    <row r="29" spans="1:28" ht="32.25" customHeight="1" x14ac:dyDescent="0.25">
      <c r="B29" s="398" t="s">
        <v>492</v>
      </c>
      <c r="C29" s="392">
        <f t="shared" ca="1" si="3"/>
        <v>0.89249999999999996</v>
      </c>
      <c r="D29" s="392">
        <f t="shared" ca="1" si="4"/>
        <v>0.87603992367532657</v>
      </c>
      <c r="E29" s="392">
        <f t="shared" ca="1" si="5"/>
        <v>0.90586090699918353</v>
      </c>
      <c r="F29" s="392">
        <f t="shared" ca="1" si="6"/>
        <v>0.67983134223471531</v>
      </c>
      <c r="G29" s="392">
        <f t="shared" ca="1" si="7"/>
        <v>0.40423829990448901</v>
      </c>
      <c r="H29" s="392" t="str">
        <f t="shared" ca="1" si="8"/>
        <v/>
      </c>
      <c r="I29" s="392">
        <f t="shared" ca="1" si="9"/>
        <v>0.842672837720567</v>
      </c>
      <c r="J29" s="392">
        <f t="shared" ca="1" si="10"/>
        <v>0.89213817537643936</v>
      </c>
      <c r="K29" s="392" t="s">
        <v>182</v>
      </c>
      <c r="L29" s="392" t="s">
        <v>182</v>
      </c>
      <c r="M29" s="392">
        <f t="shared" ca="1" si="11"/>
        <v>0.28217098943323726</v>
      </c>
      <c r="N29" s="392">
        <f t="shared" ca="1" si="12"/>
        <v>0.9819271286363197</v>
      </c>
      <c r="O29" s="392">
        <f t="shared" ca="1" si="13"/>
        <v>0.86077763975155275</v>
      </c>
      <c r="P29" s="392">
        <f t="shared" ca="1" si="14"/>
        <v>0</v>
      </c>
      <c r="Q29" s="392">
        <f t="shared" ca="1" si="15"/>
        <v>0.94639169226268838</v>
      </c>
      <c r="R29" s="392">
        <f t="shared" ca="1" si="16"/>
        <v>0.6217865353037767</v>
      </c>
      <c r="S29" s="392">
        <f t="shared" ca="1" si="17"/>
        <v>0.8270027132951463</v>
      </c>
      <c r="T29" s="392">
        <f t="shared" ca="1" si="22"/>
        <v>0.71373698798891294</v>
      </c>
      <c r="U29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9" s="392">
        <f t="shared" ca="1" si="23"/>
        <v>1.2072375</v>
      </c>
      <c r="W29" s="392" t="s">
        <v>182</v>
      </c>
      <c r="X29" s="392">
        <f t="shared" ca="1" si="20"/>
        <v>0.73453604759318569</v>
      </c>
      <c r="Y29" s="392">
        <v>0.78359999999999996</v>
      </c>
    </row>
    <row r="30" spans="1:28" ht="32.25" customHeight="1" x14ac:dyDescent="0.25">
      <c r="B30" s="398" t="s">
        <v>496</v>
      </c>
      <c r="C30" s="392">
        <f t="shared" ca="1" si="3"/>
        <v>0.8181250000000001</v>
      </c>
      <c r="D30" s="392">
        <f t="shared" ca="1" si="4"/>
        <v>0.74720872274143302</v>
      </c>
      <c r="E30" s="392">
        <f t="shared" ca="1" si="5"/>
        <v>0.86709294871794873</v>
      </c>
      <c r="F30" s="392">
        <f t="shared" ca="1" si="6"/>
        <v>0.86375000000000002</v>
      </c>
      <c r="G30" s="392">
        <f t="shared" ca="1" si="7"/>
        <v>0.77245934959349583</v>
      </c>
      <c r="H30" s="392" t="str">
        <f t="shared" ca="1" si="8"/>
        <v/>
      </c>
      <c r="I30" s="392">
        <f t="shared" ca="1" si="9"/>
        <v>0.88329896907216499</v>
      </c>
      <c r="J30" s="392">
        <f t="shared" ca="1" si="10"/>
        <v>0.89057731958762887</v>
      </c>
      <c r="K30" s="392" t="s">
        <v>182</v>
      </c>
      <c r="L30" s="392" t="s">
        <v>182</v>
      </c>
      <c r="M30" s="392">
        <f t="shared" ca="1" si="11"/>
        <v>0.73810763888888886</v>
      </c>
      <c r="N30" s="392">
        <f t="shared" ca="1" si="12"/>
        <v>0.84175084175084181</v>
      </c>
      <c r="O30" s="392">
        <f t="shared" ca="1" si="13"/>
        <v>0.85906521739130437</v>
      </c>
      <c r="P30" s="392">
        <f t="shared" ca="1" si="14"/>
        <v>0.12009900990099011</v>
      </c>
      <c r="Q30" s="392">
        <f t="shared" ca="1" si="15"/>
        <v>0.91212578616352202</v>
      </c>
      <c r="R30" s="392">
        <f t="shared" ca="1" si="16"/>
        <v>0.6221647509578544</v>
      </c>
      <c r="S30" s="392">
        <f t="shared" ca="1" si="17"/>
        <v>0.84230107526881715</v>
      </c>
      <c r="T30" s="392">
        <f t="shared" ca="1" si="22"/>
        <v>0.79462365591397854</v>
      </c>
      <c r="U30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0" s="392">
        <f t="shared" ca="1" si="23"/>
        <v>3.3075000000000001</v>
      </c>
      <c r="W30" s="392" t="s">
        <v>182</v>
      </c>
      <c r="X30" s="392">
        <f t="shared" ca="1" si="20"/>
        <v>0.78093662952646237</v>
      </c>
      <c r="Y30" s="392" t="s">
        <v>182</v>
      </c>
    </row>
    <row r="31" spans="1:28" ht="32.25" customHeight="1" x14ac:dyDescent="0.25">
      <c r="B31" s="398"/>
      <c r="C31" s="392" t="str">
        <f t="shared" ca="1" si="3"/>
        <v/>
      </c>
      <c r="D31" s="392" t="str">
        <f t="shared" ca="1" si="4"/>
        <v/>
      </c>
      <c r="E31" s="392" t="str">
        <f t="shared" ca="1" si="5"/>
        <v/>
      </c>
      <c r="F31" s="392" t="str">
        <f t="shared" ca="1" si="6"/>
        <v/>
      </c>
      <c r="G31" s="392" t="str">
        <f t="shared" ca="1" si="7"/>
        <v/>
      </c>
      <c r="H31" s="392" t="str">
        <f t="shared" ca="1" si="8"/>
        <v/>
      </c>
      <c r="I31" s="392" t="str">
        <f t="shared" ca="1" si="9"/>
        <v/>
      </c>
      <c r="J31" s="392" t="str">
        <f t="shared" ca="1" si="10"/>
        <v/>
      </c>
      <c r="K31" s="392" t="s">
        <v>182</v>
      </c>
      <c r="L31" s="392" t="s">
        <v>182</v>
      </c>
      <c r="M31" s="392" t="str">
        <f t="shared" ca="1" si="11"/>
        <v/>
      </c>
      <c r="N31" s="392" t="str">
        <f t="shared" ca="1" si="12"/>
        <v/>
      </c>
      <c r="O31" s="392" t="str">
        <f t="shared" ca="1" si="13"/>
        <v/>
      </c>
      <c r="P31" s="392" t="str">
        <f t="shared" ca="1" si="14"/>
        <v/>
      </c>
      <c r="Q31" s="392" t="str">
        <f t="shared" ca="1" si="15"/>
        <v/>
      </c>
      <c r="R31" s="392" t="str">
        <f t="shared" ca="1" si="16"/>
        <v/>
      </c>
      <c r="S31" s="392" t="str">
        <f t="shared" ca="1" si="17"/>
        <v/>
      </c>
      <c r="T31" s="392" t="str">
        <f t="shared" ca="1" si="22"/>
        <v/>
      </c>
      <c r="U31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1" s="392" t="str">
        <f t="shared" ca="1" si="23"/>
        <v/>
      </c>
      <c r="W31" s="392" t="s">
        <v>182</v>
      </c>
      <c r="X31" s="392" t="str">
        <f t="shared" ca="1" si="20"/>
        <v/>
      </c>
      <c r="Y31" s="392" t="s">
        <v>182</v>
      </c>
    </row>
    <row r="32" spans="1:28" ht="32.25" customHeight="1" x14ac:dyDescent="0.25">
      <c r="B32" s="398"/>
      <c r="C32" s="392" t="str">
        <f t="shared" ca="1" si="3"/>
        <v/>
      </c>
      <c r="D32" s="392" t="str">
        <f t="shared" ca="1" si="4"/>
        <v/>
      </c>
      <c r="E32" s="392" t="str">
        <f t="shared" ca="1" si="5"/>
        <v/>
      </c>
      <c r="F32" s="392" t="str">
        <f t="shared" ca="1" si="6"/>
        <v/>
      </c>
      <c r="G32" s="392" t="str">
        <f t="shared" ca="1" si="7"/>
        <v/>
      </c>
      <c r="H32" s="392" t="str">
        <f t="shared" ca="1" si="8"/>
        <v/>
      </c>
      <c r="I32" s="392" t="str">
        <f t="shared" ca="1" si="9"/>
        <v/>
      </c>
      <c r="J32" s="392" t="str">
        <f t="shared" ca="1" si="10"/>
        <v/>
      </c>
      <c r="K32" s="392" t="s">
        <v>182</v>
      </c>
      <c r="L32" s="392" t="s">
        <v>182</v>
      </c>
      <c r="M32" s="392" t="str">
        <f t="shared" ca="1" si="11"/>
        <v/>
      </c>
      <c r="N32" s="392" t="str">
        <f t="shared" ca="1" si="12"/>
        <v/>
      </c>
      <c r="O32" s="392" t="str">
        <f t="shared" ca="1" si="13"/>
        <v/>
      </c>
      <c r="P32" s="392" t="str">
        <f t="shared" ca="1" si="14"/>
        <v/>
      </c>
      <c r="Q32" s="392" t="str">
        <f t="shared" ca="1" si="15"/>
        <v/>
      </c>
      <c r="R32" s="392" t="str">
        <f t="shared" ca="1" si="16"/>
        <v/>
      </c>
      <c r="S32" s="392" t="str">
        <f t="shared" ca="1" si="17"/>
        <v/>
      </c>
      <c r="T32" s="392" t="str">
        <f t="shared" ca="1" si="22"/>
        <v/>
      </c>
      <c r="U32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2" s="392" t="str">
        <f t="shared" ca="1" si="23"/>
        <v/>
      </c>
      <c r="W32" s="392" t="s">
        <v>182</v>
      </c>
      <c r="X32" s="392" t="str">
        <f t="shared" ca="1" si="20"/>
        <v/>
      </c>
      <c r="Y32" s="392" t="s">
        <v>182</v>
      </c>
    </row>
    <row r="33" spans="1:28" ht="32.25" customHeight="1" x14ac:dyDescent="0.25">
      <c r="B33" s="398"/>
      <c r="C33" s="392" t="str">
        <f t="shared" ca="1" si="3"/>
        <v/>
      </c>
      <c r="D33" s="392" t="str">
        <f t="shared" ca="1" si="4"/>
        <v/>
      </c>
      <c r="E33" s="392" t="str">
        <f t="shared" ca="1" si="5"/>
        <v/>
      </c>
      <c r="F33" s="392" t="str">
        <f t="shared" ca="1" si="6"/>
        <v/>
      </c>
      <c r="G33" s="392" t="str">
        <f t="shared" ca="1" si="7"/>
        <v/>
      </c>
      <c r="H33" s="392" t="str">
        <f t="shared" ca="1" si="8"/>
        <v/>
      </c>
      <c r="I33" s="392" t="str">
        <f t="shared" ca="1" si="9"/>
        <v/>
      </c>
      <c r="J33" s="392" t="str">
        <f t="shared" ca="1" si="10"/>
        <v/>
      </c>
      <c r="K33" s="392" t="s">
        <v>182</v>
      </c>
      <c r="L33" s="392" t="s">
        <v>182</v>
      </c>
      <c r="M33" s="392" t="str">
        <f t="shared" ca="1" si="11"/>
        <v/>
      </c>
      <c r="N33" s="392" t="str">
        <f t="shared" ca="1" si="12"/>
        <v/>
      </c>
      <c r="O33" s="392" t="str">
        <f t="shared" ca="1" si="13"/>
        <v/>
      </c>
      <c r="P33" s="392" t="str">
        <f t="shared" ca="1" si="14"/>
        <v/>
      </c>
      <c r="Q33" s="392" t="str">
        <f t="shared" ca="1" si="15"/>
        <v/>
      </c>
      <c r="R33" s="392" t="str">
        <f t="shared" ca="1" si="16"/>
        <v/>
      </c>
      <c r="S33" s="392" t="str">
        <f t="shared" ca="1" si="17"/>
        <v/>
      </c>
      <c r="T33" s="392" t="str">
        <f t="shared" ca="1" si="22"/>
        <v/>
      </c>
      <c r="U33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3" s="392" t="str">
        <f t="shared" ca="1" si="23"/>
        <v/>
      </c>
      <c r="W33" s="392" t="s">
        <v>182</v>
      </c>
      <c r="X33" s="392" t="str">
        <f t="shared" ca="1" si="20"/>
        <v/>
      </c>
      <c r="Y33" s="392" t="s">
        <v>182</v>
      </c>
      <c r="Z33" s="186" t="s">
        <v>174</v>
      </c>
      <c r="AA33" s="224"/>
    </row>
    <row r="34" spans="1:28" ht="32.25" customHeight="1" x14ac:dyDescent="0.25">
      <c r="A34" s="186" t="s">
        <v>174</v>
      </c>
      <c r="B34" s="398"/>
      <c r="C34" s="392" t="str">
        <f t="shared" ca="1" si="3"/>
        <v/>
      </c>
      <c r="D34" s="392" t="str">
        <f t="shared" ca="1" si="4"/>
        <v/>
      </c>
      <c r="E34" s="392" t="str">
        <f t="shared" ca="1" si="5"/>
        <v/>
      </c>
      <c r="F34" s="392" t="str">
        <f t="shared" ca="1" si="6"/>
        <v/>
      </c>
      <c r="G34" s="392" t="str">
        <f t="shared" ca="1" si="7"/>
        <v/>
      </c>
      <c r="H34" s="392" t="str">
        <f t="shared" ca="1" si="8"/>
        <v/>
      </c>
      <c r="I34" s="392" t="str">
        <f t="shared" ca="1" si="9"/>
        <v/>
      </c>
      <c r="J34" s="392" t="str">
        <f t="shared" ca="1" si="10"/>
        <v/>
      </c>
      <c r="K34" s="392" t="s">
        <v>182</v>
      </c>
      <c r="L34" s="392" t="s">
        <v>182</v>
      </c>
      <c r="M34" s="392" t="str">
        <f t="shared" ca="1" si="11"/>
        <v/>
      </c>
      <c r="N34" s="392" t="str">
        <f t="shared" ca="1" si="12"/>
        <v/>
      </c>
      <c r="O34" s="392" t="str">
        <f t="shared" ca="1" si="13"/>
        <v/>
      </c>
      <c r="P34" s="392" t="str">
        <f t="shared" ca="1" si="14"/>
        <v/>
      </c>
      <c r="Q34" s="392" t="str">
        <f t="shared" ca="1" si="15"/>
        <v/>
      </c>
      <c r="R34" s="392" t="str">
        <f t="shared" ca="1" si="16"/>
        <v/>
      </c>
      <c r="S34" s="392" t="str">
        <f t="shared" ca="1" si="17"/>
        <v/>
      </c>
      <c r="T34" s="392" t="str">
        <f t="shared" ca="1" si="22"/>
        <v/>
      </c>
      <c r="U34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4" s="392" t="str">
        <f t="shared" ca="1" si="23"/>
        <v/>
      </c>
      <c r="W34" s="392" t="s">
        <v>182</v>
      </c>
      <c r="X34" s="392" t="str">
        <f t="shared" ca="1" si="20"/>
        <v/>
      </c>
      <c r="Y34" s="392" t="s">
        <v>182</v>
      </c>
      <c r="Z34" s="197" t="s">
        <v>174</v>
      </c>
      <c r="AA34" s="224"/>
      <c r="AB34" s="186" t="s">
        <v>174</v>
      </c>
    </row>
    <row r="35" spans="1:28" ht="32.25" customHeight="1" x14ac:dyDescent="0.25">
      <c r="B35" s="398"/>
      <c r="C35" s="392" t="str">
        <f t="shared" ca="1" si="3"/>
        <v/>
      </c>
      <c r="D35" s="392" t="str">
        <f t="shared" ca="1" si="4"/>
        <v/>
      </c>
      <c r="E35" s="392" t="str">
        <f t="shared" ca="1" si="5"/>
        <v/>
      </c>
      <c r="F35" s="392" t="str">
        <f t="shared" ca="1" si="6"/>
        <v/>
      </c>
      <c r="G35" s="392" t="str">
        <f t="shared" ca="1" si="7"/>
        <v/>
      </c>
      <c r="H35" s="392" t="str">
        <f t="shared" ca="1" si="8"/>
        <v/>
      </c>
      <c r="I35" s="392" t="str">
        <f t="shared" ca="1" si="9"/>
        <v/>
      </c>
      <c r="J35" s="392" t="str">
        <f t="shared" ca="1" si="10"/>
        <v/>
      </c>
      <c r="K35" s="392" t="s">
        <v>182</v>
      </c>
      <c r="L35" s="392" t="s">
        <v>182</v>
      </c>
      <c r="M35" s="392" t="str">
        <f t="shared" ca="1" si="11"/>
        <v/>
      </c>
      <c r="N35" s="392" t="str">
        <f t="shared" ca="1" si="12"/>
        <v/>
      </c>
      <c r="O35" s="392" t="str">
        <f t="shared" ca="1" si="13"/>
        <v/>
      </c>
      <c r="P35" s="392" t="str">
        <f t="shared" ca="1" si="14"/>
        <v/>
      </c>
      <c r="Q35" s="392" t="str">
        <f t="shared" ca="1" si="15"/>
        <v/>
      </c>
      <c r="R35" s="392" t="str">
        <f t="shared" ca="1" si="16"/>
        <v/>
      </c>
      <c r="S35" s="392" t="str">
        <f t="shared" ca="1" si="17"/>
        <v/>
      </c>
      <c r="T35" s="392" t="str">
        <f t="shared" ca="1" si="22"/>
        <v/>
      </c>
      <c r="U35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5" s="392" t="str">
        <f t="shared" ca="1" si="23"/>
        <v/>
      </c>
      <c r="W35" s="392" t="s">
        <v>182</v>
      </c>
      <c r="X35" s="392" t="str">
        <f t="shared" ca="1" si="20"/>
        <v/>
      </c>
      <c r="Y35" s="392" t="s">
        <v>182</v>
      </c>
      <c r="Z35" s="197"/>
      <c r="AA35" s="224"/>
    </row>
    <row r="36" spans="1:28" ht="32.25" customHeight="1" x14ac:dyDescent="0.25">
      <c r="A36" s="186" t="s">
        <v>174</v>
      </c>
      <c r="B36" s="398"/>
      <c r="C36" s="392" t="str">
        <f t="shared" ca="1" si="3"/>
        <v/>
      </c>
      <c r="D36" s="392" t="str">
        <f t="shared" ca="1" si="4"/>
        <v/>
      </c>
      <c r="E36" s="392" t="str">
        <f t="shared" ca="1" si="5"/>
        <v/>
      </c>
      <c r="F36" s="392" t="str">
        <f t="shared" ca="1" si="6"/>
        <v/>
      </c>
      <c r="G36" s="392" t="str">
        <f t="shared" ca="1" si="7"/>
        <v/>
      </c>
      <c r="H36" s="392" t="str">
        <f t="shared" ca="1" si="8"/>
        <v/>
      </c>
      <c r="I36" s="392" t="str">
        <f t="shared" ca="1" si="9"/>
        <v/>
      </c>
      <c r="J36" s="392" t="str">
        <f t="shared" ca="1" si="10"/>
        <v/>
      </c>
      <c r="K36" s="392" t="s">
        <v>182</v>
      </c>
      <c r="L36" s="392" t="s">
        <v>182</v>
      </c>
      <c r="M36" s="392" t="str">
        <f t="shared" ca="1" si="11"/>
        <v/>
      </c>
      <c r="N36" s="392" t="str">
        <f t="shared" ca="1" si="12"/>
        <v/>
      </c>
      <c r="O36" s="392" t="str">
        <f t="shared" ca="1" si="13"/>
        <v/>
      </c>
      <c r="P36" s="392" t="str">
        <f t="shared" ca="1" si="14"/>
        <v/>
      </c>
      <c r="Q36" s="392" t="str">
        <f t="shared" ca="1" si="15"/>
        <v/>
      </c>
      <c r="R36" s="392" t="str">
        <f t="shared" ca="1" si="16"/>
        <v/>
      </c>
      <c r="S36" s="392" t="str">
        <f t="shared" ca="1" si="17"/>
        <v/>
      </c>
      <c r="T36" s="392" t="str">
        <f t="shared" ca="1" si="22"/>
        <v/>
      </c>
      <c r="U36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6" s="392" t="str">
        <f t="shared" ca="1" si="23"/>
        <v/>
      </c>
      <c r="W36" s="392" t="s">
        <v>182</v>
      </c>
      <c r="X36" s="392" t="str">
        <f t="shared" ca="1" si="20"/>
        <v/>
      </c>
      <c r="Y36" s="392" t="s">
        <v>182</v>
      </c>
      <c r="Z36" s="186" t="s">
        <v>174</v>
      </c>
      <c r="AA36" s="224"/>
      <c r="AB36" s="186" t="s">
        <v>174</v>
      </c>
    </row>
    <row r="37" spans="1:28" ht="32.25" customHeight="1" x14ac:dyDescent="0.25">
      <c r="A37" s="186" t="s">
        <v>174</v>
      </c>
      <c r="B37" s="398"/>
      <c r="C37" s="392" t="str">
        <f t="shared" ca="1" si="3"/>
        <v/>
      </c>
      <c r="D37" s="392" t="str">
        <f t="shared" ca="1" si="4"/>
        <v/>
      </c>
      <c r="E37" s="392" t="str">
        <f t="shared" ca="1" si="5"/>
        <v/>
      </c>
      <c r="F37" s="392" t="str">
        <f t="shared" ca="1" si="6"/>
        <v/>
      </c>
      <c r="G37" s="392" t="str">
        <f t="shared" ca="1" si="7"/>
        <v/>
      </c>
      <c r="H37" s="392" t="str">
        <f t="shared" ca="1" si="8"/>
        <v/>
      </c>
      <c r="I37" s="392" t="str">
        <f t="shared" ca="1" si="9"/>
        <v/>
      </c>
      <c r="J37" s="392" t="str">
        <f t="shared" ca="1" si="10"/>
        <v/>
      </c>
      <c r="K37" s="392" t="s">
        <v>182</v>
      </c>
      <c r="L37" s="392" t="s">
        <v>182</v>
      </c>
      <c r="M37" s="392" t="str">
        <f t="shared" ca="1" si="11"/>
        <v/>
      </c>
      <c r="N37" s="392" t="str">
        <f t="shared" ca="1" si="12"/>
        <v/>
      </c>
      <c r="O37" s="392" t="str">
        <f t="shared" ca="1" si="13"/>
        <v/>
      </c>
      <c r="P37" s="392" t="str">
        <f t="shared" ca="1" si="14"/>
        <v/>
      </c>
      <c r="Q37" s="392" t="str">
        <f t="shared" ca="1" si="15"/>
        <v/>
      </c>
      <c r="R37" s="392" t="str">
        <f t="shared" ca="1" si="16"/>
        <v/>
      </c>
      <c r="S37" s="392" t="str">
        <f t="shared" ca="1" si="17"/>
        <v/>
      </c>
      <c r="T37" s="392" t="str">
        <f t="shared" ca="1" si="22"/>
        <v/>
      </c>
      <c r="U37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7" s="392" t="str">
        <f t="shared" ca="1" si="23"/>
        <v/>
      </c>
      <c r="W37" s="392" t="s">
        <v>182</v>
      </c>
      <c r="X37" s="392" t="str">
        <f t="shared" ca="1" si="20"/>
        <v/>
      </c>
      <c r="Y37" s="392" t="s">
        <v>182</v>
      </c>
      <c r="Z37" s="186" t="s">
        <v>174</v>
      </c>
      <c r="AA37" s="224"/>
      <c r="AB37" s="186" t="s">
        <v>174</v>
      </c>
    </row>
    <row r="38" spans="1:28" ht="32.25" customHeight="1" x14ac:dyDescent="0.25">
      <c r="B38" s="398"/>
      <c r="C38" s="392" t="str">
        <f t="shared" ca="1" si="3"/>
        <v/>
      </c>
      <c r="D38" s="392" t="str">
        <f t="shared" ca="1" si="4"/>
        <v/>
      </c>
      <c r="E38" s="392" t="str">
        <f t="shared" ca="1" si="5"/>
        <v/>
      </c>
      <c r="F38" s="392" t="str">
        <f t="shared" ca="1" si="6"/>
        <v/>
      </c>
      <c r="G38" s="392" t="str">
        <f t="shared" ca="1" si="7"/>
        <v/>
      </c>
      <c r="H38" s="392" t="str">
        <f t="shared" ca="1" si="8"/>
        <v/>
      </c>
      <c r="I38" s="392" t="str">
        <f t="shared" ca="1" si="9"/>
        <v/>
      </c>
      <c r="J38" s="392" t="str">
        <f t="shared" ca="1" si="10"/>
        <v/>
      </c>
      <c r="K38" s="392" t="s">
        <v>182</v>
      </c>
      <c r="L38" s="392" t="s">
        <v>182</v>
      </c>
      <c r="M38" s="392" t="str">
        <f t="shared" ca="1" si="11"/>
        <v/>
      </c>
      <c r="N38" s="392" t="str">
        <f t="shared" ca="1" si="12"/>
        <v/>
      </c>
      <c r="O38" s="392" t="str">
        <f t="shared" ca="1" si="13"/>
        <v/>
      </c>
      <c r="P38" s="392" t="str">
        <f t="shared" ca="1" si="14"/>
        <v/>
      </c>
      <c r="Q38" s="392" t="str">
        <f t="shared" ca="1" si="15"/>
        <v/>
      </c>
      <c r="R38" s="392" t="str">
        <f t="shared" ca="1" si="16"/>
        <v/>
      </c>
      <c r="S38" s="392" t="str">
        <f t="shared" ca="1" si="17"/>
        <v/>
      </c>
      <c r="T38" s="392" t="str">
        <f t="shared" ca="1" si="22"/>
        <v/>
      </c>
      <c r="U38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8" s="392" t="str">
        <f t="shared" ca="1" si="23"/>
        <v/>
      </c>
      <c r="W38" s="392" t="s">
        <v>182</v>
      </c>
      <c r="X38" s="392" t="str">
        <f t="shared" ca="1" si="20"/>
        <v/>
      </c>
      <c r="Y38" s="392" t="s">
        <v>182</v>
      </c>
      <c r="AA38" s="224"/>
    </row>
    <row r="39" spans="1:28" ht="32.25" customHeight="1" x14ac:dyDescent="0.25">
      <c r="A39" s="186" t="s">
        <v>174</v>
      </c>
      <c r="B39" s="398"/>
      <c r="C39" s="392" t="str">
        <f t="shared" ca="1" si="3"/>
        <v/>
      </c>
      <c r="D39" s="392" t="str">
        <f t="shared" ca="1" si="4"/>
        <v/>
      </c>
      <c r="E39" s="392" t="str">
        <f t="shared" ca="1" si="5"/>
        <v/>
      </c>
      <c r="F39" s="392" t="str">
        <f t="shared" ca="1" si="6"/>
        <v/>
      </c>
      <c r="G39" s="392" t="str">
        <f t="shared" ca="1" si="7"/>
        <v/>
      </c>
      <c r="H39" s="392" t="str">
        <f t="shared" ca="1" si="8"/>
        <v/>
      </c>
      <c r="I39" s="392" t="str">
        <f t="shared" ca="1" si="9"/>
        <v/>
      </c>
      <c r="J39" s="392" t="str">
        <f t="shared" ca="1" si="10"/>
        <v/>
      </c>
      <c r="K39" s="392" t="s">
        <v>182</v>
      </c>
      <c r="L39" s="392" t="s">
        <v>182</v>
      </c>
      <c r="M39" s="392" t="str">
        <f t="shared" ca="1" si="11"/>
        <v/>
      </c>
      <c r="N39" s="392" t="str">
        <f t="shared" ca="1" si="12"/>
        <v/>
      </c>
      <c r="O39" s="392" t="str">
        <f t="shared" ca="1" si="13"/>
        <v/>
      </c>
      <c r="P39" s="392" t="str">
        <f t="shared" ca="1" si="14"/>
        <v/>
      </c>
      <c r="Q39" s="392" t="str">
        <f t="shared" ca="1" si="15"/>
        <v/>
      </c>
      <c r="R39" s="392" t="str">
        <f t="shared" ca="1" si="16"/>
        <v/>
      </c>
      <c r="S39" s="392" t="str">
        <f t="shared" ca="1" si="17"/>
        <v/>
      </c>
      <c r="T39" s="392" t="str">
        <f t="shared" ca="1" si="22"/>
        <v/>
      </c>
      <c r="U39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9" s="392" t="str">
        <f t="shared" ca="1" si="23"/>
        <v/>
      </c>
      <c r="W39" s="392" t="s">
        <v>182</v>
      </c>
      <c r="X39" s="392" t="str">
        <f t="shared" ca="1" si="20"/>
        <v/>
      </c>
      <c r="Y39" s="392" t="s">
        <v>182</v>
      </c>
      <c r="Z39" s="197" t="s">
        <v>174</v>
      </c>
      <c r="AA39" s="224"/>
      <c r="AB39" s="186" t="s">
        <v>174</v>
      </c>
    </row>
    <row r="40" spans="1:28" ht="32.25" customHeight="1" x14ac:dyDescent="0.25">
      <c r="B40" s="398"/>
      <c r="C40" s="392" t="str">
        <f t="shared" ca="1" si="3"/>
        <v/>
      </c>
      <c r="D40" s="392" t="str">
        <f t="shared" ca="1" si="4"/>
        <v/>
      </c>
      <c r="E40" s="392" t="str">
        <f t="shared" ca="1" si="5"/>
        <v/>
      </c>
      <c r="F40" s="392" t="str">
        <f t="shared" ca="1" si="6"/>
        <v/>
      </c>
      <c r="G40" s="392" t="str">
        <f t="shared" ca="1" si="7"/>
        <v/>
      </c>
      <c r="H40" s="392" t="str">
        <f t="shared" ca="1" si="8"/>
        <v/>
      </c>
      <c r="I40" s="392" t="str">
        <f t="shared" ca="1" si="9"/>
        <v/>
      </c>
      <c r="J40" s="392" t="str">
        <f t="shared" ca="1" si="10"/>
        <v/>
      </c>
      <c r="K40" s="392" t="s">
        <v>182</v>
      </c>
      <c r="L40" s="392" t="s">
        <v>182</v>
      </c>
      <c r="M40" s="392" t="str">
        <f t="shared" ca="1" si="11"/>
        <v/>
      </c>
      <c r="N40" s="392" t="str">
        <f t="shared" ca="1" si="12"/>
        <v/>
      </c>
      <c r="O40" s="392" t="str">
        <f t="shared" ca="1" si="13"/>
        <v/>
      </c>
      <c r="P40" s="392" t="str">
        <f t="shared" ca="1" si="14"/>
        <v/>
      </c>
      <c r="Q40" s="392" t="str">
        <f t="shared" ca="1" si="15"/>
        <v/>
      </c>
      <c r="R40" s="392" t="str">
        <f t="shared" ca="1" si="16"/>
        <v/>
      </c>
      <c r="S40" s="392" t="str">
        <f t="shared" ca="1" si="17"/>
        <v/>
      </c>
      <c r="T40" s="392" t="str">
        <f t="shared" ca="1" si="22"/>
        <v/>
      </c>
      <c r="U40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0" s="392" t="str">
        <f t="shared" ca="1" si="23"/>
        <v/>
      </c>
      <c r="W40" s="392" t="s">
        <v>182</v>
      </c>
      <c r="X40" s="392" t="str">
        <f t="shared" ca="1" si="20"/>
        <v/>
      </c>
      <c r="Y40" s="392" t="s">
        <v>182</v>
      </c>
    </row>
    <row r="41" spans="1:28" ht="32.25" customHeight="1" x14ac:dyDescent="0.25">
      <c r="B41" s="398"/>
      <c r="C41" s="392" t="str">
        <f t="shared" ca="1" si="3"/>
        <v/>
      </c>
      <c r="D41" s="392" t="str">
        <f t="shared" ca="1" si="4"/>
        <v/>
      </c>
      <c r="E41" s="392" t="str">
        <f t="shared" ca="1" si="5"/>
        <v/>
      </c>
      <c r="F41" s="392" t="str">
        <f t="shared" ca="1" si="6"/>
        <v/>
      </c>
      <c r="G41" s="392" t="str">
        <f t="shared" ca="1" si="7"/>
        <v/>
      </c>
      <c r="H41" s="392" t="str">
        <f t="shared" ca="1" si="8"/>
        <v/>
      </c>
      <c r="I41" s="392" t="str">
        <f t="shared" ca="1" si="9"/>
        <v/>
      </c>
      <c r="J41" s="392" t="str">
        <f t="shared" ca="1" si="10"/>
        <v/>
      </c>
      <c r="K41" s="392" t="s">
        <v>182</v>
      </c>
      <c r="L41" s="392" t="s">
        <v>182</v>
      </c>
      <c r="M41" s="392" t="str">
        <f t="shared" ca="1" si="11"/>
        <v/>
      </c>
      <c r="N41" s="392" t="str">
        <f t="shared" ca="1" si="12"/>
        <v/>
      </c>
      <c r="O41" s="392" t="str">
        <f t="shared" ca="1" si="13"/>
        <v/>
      </c>
      <c r="P41" s="392" t="str">
        <f t="shared" ca="1" si="14"/>
        <v/>
      </c>
      <c r="Q41" s="392" t="str">
        <f t="shared" ca="1" si="15"/>
        <v/>
      </c>
      <c r="R41" s="392" t="str">
        <f t="shared" ca="1" si="16"/>
        <v/>
      </c>
      <c r="S41" s="392" t="str">
        <f t="shared" ca="1" si="17"/>
        <v/>
      </c>
      <c r="T41" s="392" t="str">
        <f t="shared" ca="1" si="22"/>
        <v/>
      </c>
      <c r="U41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1" s="392" t="str">
        <f t="shared" ca="1" si="23"/>
        <v/>
      </c>
      <c r="W41" s="392" t="s">
        <v>182</v>
      </c>
      <c r="X41" s="392" t="str">
        <f t="shared" ca="1" si="20"/>
        <v/>
      </c>
      <c r="Y41" s="392" t="s">
        <v>182</v>
      </c>
    </row>
    <row r="42" spans="1:28" ht="32.25" customHeight="1" x14ac:dyDescent="0.25">
      <c r="B42" s="398"/>
      <c r="C42" s="392" t="str">
        <f t="shared" ca="1" si="3"/>
        <v/>
      </c>
      <c r="D42" s="392" t="str">
        <f t="shared" ca="1" si="4"/>
        <v/>
      </c>
      <c r="E42" s="392" t="str">
        <f t="shared" ca="1" si="5"/>
        <v/>
      </c>
      <c r="F42" s="392" t="str">
        <f t="shared" ca="1" si="6"/>
        <v/>
      </c>
      <c r="G42" s="392" t="str">
        <f t="shared" ca="1" si="7"/>
        <v/>
      </c>
      <c r="H42" s="392" t="str">
        <f t="shared" ca="1" si="8"/>
        <v/>
      </c>
      <c r="I42" s="392" t="str">
        <f t="shared" ca="1" si="9"/>
        <v/>
      </c>
      <c r="J42" s="392" t="str">
        <f t="shared" ca="1" si="10"/>
        <v/>
      </c>
      <c r="K42" s="392" t="s">
        <v>182</v>
      </c>
      <c r="L42" s="392" t="s">
        <v>182</v>
      </c>
      <c r="M42" s="392" t="str">
        <f t="shared" ca="1" si="11"/>
        <v/>
      </c>
      <c r="N42" s="392" t="str">
        <f t="shared" ca="1" si="12"/>
        <v/>
      </c>
      <c r="O42" s="392" t="str">
        <f t="shared" ca="1" si="13"/>
        <v/>
      </c>
      <c r="P42" s="392" t="str">
        <f t="shared" ca="1" si="14"/>
        <v/>
      </c>
      <c r="Q42" s="392" t="str">
        <f t="shared" ca="1" si="15"/>
        <v/>
      </c>
      <c r="R42" s="392" t="str">
        <f t="shared" ca="1" si="16"/>
        <v/>
      </c>
      <c r="S42" s="392" t="str">
        <f t="shared" ca="1" si="17"/>
        <v/>
      </c>
      <c r="T42" s="392" t="str">
        <f t="shared" ca="1" si="22"/>
        <v/>
      </c>
      <c r="U42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2" s="392" t="str">
        <f t="shared" ca="1" si="23"/>
        <v/>
      </c>
      <c r="W42" s="392" t="s">
        <v>182</v>
      </c>
      <c r="X42" s="392" t="str">
        <f t="shared" ca="1" si="20"/>
        <v/>
      </c>
      <c r="Y42" s="392" t="s">
        <v>182</v>
      </c>
    </row>
    <row r="43" spans="1:28" ht="32.25" customHeight="1" x14ac:dyDescent="0.25">
      <c r="B43" s="398"/>
      <c r="C43" s="392" t="str">
        <f t="shared" ca="1" si="3"/>
        <v/>
      </c>
      <c r="D43" s="392" t="str">
        <f t="shared" ca="1" si="4"/>
        <v/>
      </c>
      <c r="E43" s="392" t="str">
        <f t="shared" ca="1" si="5"/>
        <v/>
      </c>
      <c r="F43" s="392" t="str">
        <f t="shared" ca="1" si="6"/>
        <v/>
      </c>
      <c r="G43" s="392" t="str">
        <f t="shared" ca="1" si="7"/>
        <v/>
      </c>
      <c r="H43" s="392" t="str">
        <f t="shared" ca="1" si="8"/>
        <v/>
      </c>
      <c r="I43" s="392" t="str">
        <f t="shared" ca="1" si="9"/>
        <v/>
      </c>
      <c r="J43" s="392" t="str">
        <f t="shared" ca="1" si="10"/>
        <v/>
      </c>
      <c r="K43" s="392" t="s">
        <v>182</v>
      </c>
      <c r="L43" s="392" t="s">
        <v>182</v>
      </c>
      <c r="M43" s="392" t="str">
        <f t="shared" ca="1" si="11"/>
        <v/>
      </c>
      <c r="N43" s="392" t="str">
        <f t="shared" ca="1" si="12"/>
        <v/>
      </c>
      <c r="O43" s="392" t="str">
        <f t="shared" ca="1" si="13"/>
        <v/>
      </c>
      <c r="P43" s="392" t="str">
        <f t="shared" ca="1" si="14"/>
        <v/>
      </c>
      <c r="Q43" s="392" t="str">
        <f t="shared" ca="1" si="15"/>
        <v/>
      </c>
      <c r="R43" s="392" t="str">
        <f t="shared" ca="1" si="16"/>
        <v/>
      </c>
      <c r="S43" s="392" t="str">
        <f t="shared" ca="1" si="17"/>
        <v/>
      </c>
      <c r="T43" s="392" t="str">
        <f t="shared" ca="1" si="22"/>
        <v/>
      </c>
      <c r="U43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3" s="392" t="str">
        <f t="shared" ca="1" si="23"/>
        <v/>
      </c>
      <c r="W43" s="392" t="s">
        <v>182</v>
      </c>
      <c r="X43" s="392" t="str">
        <f t="shared" ca="1" si="20"/>
        <v/>
      </c>
      <c r="Y43" s="392" t="s">
        <v>182</v>
      </c>
    </row>
    <row r="44" spans="1:28" ht="32.25" customHeight="1" x14ac:dyDescent="0.25">
      <c r="B44" s="398"/>
      <c r="C44" s="392" t="str">
        <f t="shared" ca="1" si="3"/>
        <v/>
      </c>
      <c r="D44" s="392" t="str">
        <f t="shared" ca="1" si="4"/>
        <v/>
      </c>
      <c r="E44" s="392" t="str">
        <f t="shared" ca="1" si="5"/>
        <v/>
      </c>
      <c r="F44" s="392" t="str">
        <f t="shared" ca="1" si="6"/>
        <v/>
      </c>
      <c r="G44" s="392" t="str">
        <f t="shared" ca="1" si="7"/>
        <v/>
      </c>
      <c r="H44" s="392" t="str">
        <f t="shared" ca="1" si="8"/>
        <v/>
      </c>
      <c r="I44" s="392" t="str">
        <f t="shared" ca="1" si="9"/>
        <v/>
      </c>
      <c r="J44" s="392" t="str">
        <f t="shared" ca="1" si="10"/>
        <v/>
      </c>
      <c r="K44" s="392" t="s">
        <v>182</v>
      </c>
      <c r="L44" s="392" t="s">
        <v>182</v>
      </c>
      <c r="M44" s="392" t="str">
        <f t="shared" ca="1" si="11"/>
        <v/>
      </c>
      <c r="N44" s="392" t="str">
        <f t="shared" ca="1" si="12"/>
        <v/>
      </c>
      <c r="O44" s="392" t="str">
        <f t="shared" ca="1" si="13"/>
        <v/>
      </c>
      <c r="P44" s="392" t="str">
        <f t="shared" ca="1" si="14"/>
        <v/>
      </c>
      <c r="Q44" s="392" t="str">
        <f t="shared" ca="1" si="15"/>
        <v/>
      </c>
      <c r="R44" s="392" t="str">
        <f t="shared" ca="1" si="16"/>
        <v/>
      </c>
      <c r="S44" s="392" t="str">
        <f t="shared" ca="1" si="17"/>
        <v/>
      </c>
      <c r="T44" s="392" t="str">
        <f t="shared" ca="1" si="22"/>
        <v/>
      </c>
      <c r="U44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4" s="392" t="str">
        <f t="shared" ca="1" si="23"/>
        <v/>
      </c>
      <c r="W44" s="392" t="s">
        <v>182</v>
      </c>
      <c r="X44" s="392" t="str">
        <f t="shared" ca="1" si="20"/>
        <v/>
      </c>
      <c r="Y44" s="392" t="s">
        <v>182</v>
      </c>
    </row>
    <row r="45" spans="1:28" ht="32.25" customHeight="1" x14ac:dyDescent="0.25">
      <c r="B45" s="398"/>
      <c r="C45" s="392" t="str">
        <f t="shared" ca="1" si="3"/>
        <v/>
      </c>
      <c r="D45" s="392" t="str">
        <f t="shared" ca="1" si="4"/>
        <v/>
      </c>
      <c r="E45" s="392" t="str">
        <f t="shared" ca="1" si="5"/>
        <v/>
      </c>
      <c r="F45" s="392" t="str">
        <f t="shared" ca="1" si="6"/>
        <v/>
      </c>
      <c r="G45" s="392" t="str">
        <f t="shared" ca="1" si="7"/>
        <v/>
      </c>
      <c r="H45" s="392" t="str">
        <f t="shared" ca="1" si="8"/>
        <v/>
      </c>
      <c r="I45" s="392" t="str">
        <f t="shared" ca="1" si="9"/>
        <v/>
      </c>
      <c r="J45" s="392" t="str">
        <f t="shared" ca="1" si="10"/>
        <v/>
      </c>
      <c r="K45" s="392" t="s">
        <v>182</v>
      </c>
      <c r="L45" s="392" t="s">
        <v>182</v>
      </c>
      <c r="M45" s="392" t="str">
        <f t="shared" ca="1" si="11"/>
        <v/>
      </c>
      <c r="N45" s="392" t="str">
        <f t="shared" ca="1" si="12"/>
        <v/>
      </c>
      <c r="O45" s="392" t="str">
        <f t="shared" ca="1" si="13"/>
        <v/>
      </c>
      <c r="P45" s="392" t="str">
        <f t="shared" ca="1" si="14"/>
        <v/>
      </c>
      <c r="Q45" s="392" t="str">
        <f t="shared" ca="1" si="15"/>
        <v/>
      </c>
      <c r="R45" s="392" t="str">
        <f t="shared" ca="1" si="16"/>
        <v/>
      </c>
      <c r="S45" s="392" t="str">
        <f t="shared" ca="1" si="17"/>
        <v/>
      </c>
      <c r="T45" s="392" t="str">
        <f t="shared" ca="1" si="22"/>
        <v/>
      </c>
      <c r="U45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5" s="392" t="str">
        <f t="shared" ca="1" si="23"/>
        <v/>
      </c>
      <c r="W45" s="392" t="s">
        <v>182</v>
      </c>
      <c r="X45" s="392" t="str">
        <f t="shared" ca="1" si="20"/>
        <v/>
      </c>
      <c r="Y45" s="392" t="s">
        <v>182</v>
      </c>
    </row>
    <row r="46" spans="1:28" ht="32.25" customHeight="1" x14ac:dyDescent="0.25">
      <c r="B46" s="399"/>
      <c r="C46" s="392">
        <f ca="1">+IFERROR(AVERAGE(C19:C45),"")</f>
        <v>0.86551716295091474</v>
      </c>
      <c r="D46" s="392">
        <f t="shared" ref="D46:Y46" ca="1" si="24">+IFERROR(AVERAGE(D19:D45),"")</f>
        <v>0.51580551173535316</v>
      </c>
      <c r="E46" s="392">
        <f t="shared" ca="1" si="24"/>
        <v>0.85199638173681935</v>
      </c>
      <c r="F46" s="392">
        <f t="shared" ca="1" si="24"/>
        <v>0.66285205027089511</v>
      </c>
      <c r="G46" s="392">
        <f t="shared" ca="1" si="24"/>
        <v>0.88372251571712146</v>
      </c>
      <c r="H46" s="392" t="str">
        <f t="shared" ca="1" si="24"/>
        <v/>
      </c>
      <c r="I46" s="392">
        <f t="shared" ca="1" si="24"/>
        <v>0.74400066005067711</v>
      </c>
      <c r="J46" s="392">
        <f t="shared" ca="1" si="24"/>
        <v>0.87412025694601148</v>
      </c>
      <c r="K46" s="392" t="str">
        <f t="shared" si="24"/>
        <v/>
      </c>
      <c r="L46" s="392" t="str">
        <f t="shared" si="24"/>
        <v/>
      </c>
      <c r="M46" s="392">
        <f t="shared" ca="1" si="24"/>
        <v>0.48295726450351117</v>
      </c>
      <c r="N46" s="392">
        <f t="shared" ca="1" si="24"/>
        <v>0.9276938176243158</v>
      </c>
      <c r="O46" s="392">
        <f t="shared" ca="1" si="24"/>
        <v>0.61029219187547767</v>
      </c>
      <c r="P46" s="392">
        <f t="shared" ca="1" si="24"/>
        <v>0.66633095503690909</v>
      </c>
      <c r="Q46" s="392">
        <f t="shared" ca="1" si="24"/>
        <v>0.80827850432422499</v>
      </c>
      <c r="R46" s="392">
        <f t="shared" ca="1" si="24"/>
        <v>0.58250880916456016</v>
      </c>
      <c r="S46" s="392">
        <f t="shared" ca="1" si="24"/>
        <v>0.84312473803920984</v>
      </c>
      <c r="T46" s="392">
        <f t="shared" ca="1" si="24"/>
        <v>0.81139890177021279</v>
      </c>
      <c r="U46" s="392" t="str">
        <f t="shared" ca="1" si="24"/>
        <v/>
      </c>
      <c r="V46" s="392">
        <f t="shared" ca="1" si="24"/>
        <v>1.0279443385526781</v>
      </c>
      <c r="W46" s="392" t="str">
        <f t="shared" si="24"/>
        <v/>
      </c>
      <c r="X46" s="392">
        <f t="shared" ca="1" si="24"/>
        <v>0.74991223553103659</v>
      </c>
      <c r="Y46" s="392">
        <f t="shared" si="24"/>
        <v>0.80032727272727266</v>
      </c>
    </row>
    <row r="49" spans="3:3" ht="32.25" customHeight="1" thickBot="1" x14ac:dyDescent="0.3"/>
    <row r="50" spans="3:3" ht="32.25" customHeight="1" thickBot="1" x14ac:dyDescent="0.3">
      <c r="C50" s="312" t="s">
        <v>182</v>
      </c>
    </row>
    <row r="52" spans="3:3" ht="32.25" customHeight="1" x14ac:dyDescent="0.25">
      <c r="C52" s="313" t="s">
        <v>182</v>
      </c>
    </row>
    <row r="53" spans="3:3" ht="32.25" customHeight="1" thickBot="1" x14ac:dyDescent="0.3"/>
    <row r="54" spans="3:3" ht="32.25" customHeight="1" thickBot="1" x14ac:dyDescent="0.3">
      <c r="C54" s="318" t="s">
        <v>182</v>
      </c>
    </row>
    <row r="55" spans="3:3" ht="32.25" customHeight="1" thickBot="1" x14ac:dyDescent="0.3"/>
    <row r="56" spans="3:3" ht="32.25" customHeight="1" thickBot="1" x14ac:dyDescent="0.3">
      <c r="C56" s="319" t="s">
        <v>182</v>
      </c>
    </row>
  </sheetData>
  <sheetProtection algorithmName="SHA-512" hashValue="Q/UnEgZ+xBLR9r/eBQ9OvvzsEyIDZBqMQi909NKw4bL2nKltwvWFcOWqfiGCzyvi/MdW1z/nP4LVwC62TXD7vg==" saltValue="pElN5vijlAZ2s/FZaEXqIA==" spinCount="100000" sheet="1" objects="1" scenarios="1"/>
  <conditionalFormatting sqref="A19:B45">
    <cfRule type="cellIs" dxfId="558" priority="498" operator="equal">
      <formula>"."</formula>
    </cfRule>
  </conditionalFormatting>
  <conditionalFormatting sqref="A50:B50 D50:XFD50 A54:B54 D54:XFD54 A55:XFD55 A56:B56 D56:XFD56 A57:XFD1048576">
    <cfRule type="cellIs" dxfId="557" priority="1575" operator="equal">
      <formula>"."</formula>
    </cfRule>
  </conditionalFormatting>
  <conditionalFormatting sqref="A46:Y46">
    <cfRule type="cellIs" dxfId="556" priority="1573" operator="equal">
      <formula>"."</formula>
    </cfRule>
  </conditionalFormatting>
  <conditionalFormatting sqref="A1:U2 W1:XFD2">
    <cfRule type="cellIs" dxfId="555" priority="1578" operator="equal">
      <formula>"."</formula>
    </cfRule>
  </conditionalFormatting>
  <conditionalFormatting sqref="A17:XFD18 A16:U16 W16:XFD16">
    <cfRule type="cellIs" dxfId="554" priority="355" operator="equal">
      <formula>"."</formula>
    </cfRule>
  </conditionalFormatting>
  <conditionalFormatting sqref="A51:XFD53">
    <cfRule type="cellIs" dxfId="553" priority="1571" operator="equal">
      <formula>"."</formula>
    </cfRule>
  </conditionalFormatting>
  <conditionalFormatting sqref="C52 C19:D19 F19:M23 O20:Q20 C46:Y46 C22:D45 D20 C21 Q21:S21 O19:P19 S20 T20:U21 R19:W19 O22:U22 V20:W22 F25:M27 G24:L24 O23:W24 O26:W27 O25:Q25 S25:W25 F29:M45 F28 H28:M28 O29:W45 O28 Q28:W28">
    <cfRule type="cellIs" dxfId="552" priority="1570" operator="between">
      <formula>$AA$1</formula>
      <formula>$AB$1</formula>
    </cfRule>
  </conditionalFormatting>
  <conditionalFormatting sqref="C52">
    <cfRule type="cellIs" dxfId="551" priority="1569" operator="equal">
      <formula>"."</formula>
    </cfRule>
    <cfRule type="cellIs" dxfId="550" priority="1572" operator="between">
      <formula>$AA$1</formula>
      <formula>$AB$1</formula>
    </cfRule>
  </conditionalFormatting>
  <conditionalFormatting sqref="C19:D19 F19:M23 O20:Q20 A47:W47 A48:XFD49 C22:D45 D20 C21 Q21:S21 O19:P19 S20 T20:U21 R19:W19 O22:U22 V20:W22 F25:M27 G24:L24 O23:W24 O26:W27 O25:Q25 S25:W25 F29:M45 F28 H28:M28 O29:W45 O28 Q28:W28">
    <cfRule type="cellIs" dxfId="549" priority="1576" operator="equal">
      <formula>"."</formula>
    </cfRule>
  </conditionalFormatting>
  <conditionalFormatting sqref="C19:D19 F19:M23 O20:Q20 C46:Y46 L15 C22:D45 D20 C21 Q21:S21 O19:P19 S20 T20:U21 R19:W19 O22:U22 V20:W22 F25:M27 G24:L24 O23:W24 O26:W27 O25:Q25 S25:W25 F29:M45 F28 H28:M28 O29:W45 O28 Q28:W28">
    <cfRule type="cellIs" dxfId="548" priority="1577" operator="between">
      <formula>$AA$1</formula>
      <formula>$AB$1</formula>
    </cfRule>
  </conditionalFormatting>
  <conditionalFormatting sqref="C19:D19 F19:M23 O20:Q20 C46:Y46 C22:D45 D20 C21 Q21:S21 O19:P19 S20 T20:U21 R19:W19 O22:U22 V20:W22 F25:M27 G24:L24 O23:W24 O26:W27 O25:Q25 S25:W25 F29:M45 F28 H28:M28 O29:W45 O28 Q28:W28">
    <cfRule type="cellIs" dxfId="547" priority="1498" operator="between">
      <formula>$AA$1</formula>
      <formula>$AB$1</formula>
    </cfRule>
    <cfRule type="cellIs" dxfId="546" priority="1499" operator="equal">
      <formula>"."</formula>
    </cfRule>
    <cfRule type="cellIs" dxfId="545" priority="1501" operator="between">
      <formula>$AA$1</formula>
      <formula>$AB$1</formula>
    </cfRule>
    <cfRule type="cellIs" dxfId="544" priority="1502" operator="equal">
      <formula>"."</formula>
    </cfRule>
    <cfRule type="cellIs" dxfId="543" priority="1503" operator="between">
      <formula>$AA$1</formula>
      <formula>$AB$1</formula>
    </cfRule>
    <cfRule type="cellIs" dxfId="542" priority="1504" operator="equal">
      <formula>"."</formula>
    </cfRule>
    <cfRule type="cellIs" dxfId="541" priority="1505" operator="between">
      <formula>$AA$1</formula>
      <formula>$AB$1</formula>
    </cfRule>
    <cfRule type="cellIs" dxfId="540" priority="1506" operator="equal">
      <formula>"."</formula>
    </cfRule>
    <cfRule type="cellIs" dxfId="539" priority="1507" operator="between">
      <formula>$AA$1</formula>
      <formula>$AB$1</formula>
    </cfRule>
    <cfRule type="cellIs" dxfId="538" priority="1508" operator="equal">
      <formula>"."</formula>
    </cfRule>
    <cfRule type="cellIs" dxfId="537" priority="1509" operator="between">
      <formula>$AA$1</formula>
      <formula>$AB$1</formula>
    </cfRule>
    <cfRule type="cellIs" dxfId="536" priority="1510" operator="equal">
      <formula>"."</formula>
    </cfRule>
    <cfRule type="cellIs" dxfId="535" priority="1511" operator="between">
      <formula>$AA$1</formula>
      <formula>$AB$1</formula>
    </cfRule>
    <cfRule type="cellIs" dxfId="534" priority="1512" operator="equal">
      <formula>"."</formula>
    </cfRule>
    <cfRule type="cellIs" dxfId="533" priority="1514" operator="between">
      <formula>$AA$1</formula>
      <formula>$AB$1</formula>
    </cfRule>
    <cfRule type="cellIs" dxfId="532" priority="1515" operator="equal">
      <formula>"."</formula>
    </cfRule>
    <cfRule type="cellIs" dxfId="531" priority="1516" operator="between">
      <formula>$AA$1</formula>
      <formula>$AB$1</formula>
    </cfRule>
    <cfRule type="cellIs" dxfId="530" priority="1517" operator="equal">
      <formula>"."</formula>
    </cfRule>
    <cfRule type="cellIs" dxfId="529" priority="1518" operator="between">
      <formula>$AA$1</formula>
      <formula>$AB$1</formula>
    </cfRule>
    <cfRule type="cellIs" dxfId="528" priority="1519" operator="equal">
      <formula>"."</formula>
    </cfRule>
    <cfRule type="cellIs" dxfId="527" priority="1520" operator="between">
      <formula>$AA$1</formula>
      <formula>$AB$1</formula>
    </cfRule>
    <cfRule type="cellIs" dxfId="526" priority="1521" operator="equal">
      <formula>"."</formula>
    </cfRule>
    <cfRule type="cellIs" dxfId="525" priority="1522" operator="between">
      <formula>$AA$1</formula>
      <formula>$AB$1</formula>
    </cfRule>
    <cfRule type="cellIs" dxfId="524" priority="1523" operator="equal">
      <formula>"."</formula>
    </cfRule>
    <cfRule type="cellIs" dxfId="523" priority="1524" operator="between">
      <formula>$AA$1</formula>
      <formula>$AB$1</formula>
    </cfRule>
    <cfRule type="cellIs" dxfId="522" priority="1525" operator="equal">
      <formula>"."</formula>
    </cfRule>
    <cfRule type="cellIs" dxfId="521" priority="1526" operator="between">
      <formula>$AA$1</formula>
      <formula>$AB$1</formula>
    </cfRule>
    <cfRule type="cellIs" dxfId="520" priority="1527" operator="equal">
      <formula>"."</formula>
    </cfRule>
    <cfRule type="cellIs" dxfId="519" priority="1528" operator="between">
      <formula>$AA$1</formula>
      <formula>$AB$1</formula>
    </cfRule>
    <cfRule type="cellIs" dxfId="518" priority="1529" operator="equal">
      <formula>"."</formula>
    </cfRule>
    <cfRule type="cellIs" dxfId="517" priority="1530" operator="between">
      <formula>$AA$1</formula>
      <formula>$AB$1</formula>
    </cfRule>
    <cfRule type="cellIs" dxfId="516" priority="1531" operator="equal">
      <formula>"."</formula>
    </cfRule>
    <cfRule type="cellIs" dxfId="515" priority="1532" operator="between">
      <formula>$AA$1</formula>
      <formula>$AB$1</formula>
    </cfRule>
    <cfRule type="cellIs" dxfId="514" priority="1533" operator="equal">
      <formula>"."</formula>
    </cfRule>
    <cfRule type="cellIs" dxfId="513" priority="1534" operator="between">
      <formula>$AA$1</formula>
      <formula>$AB$1</formula>
    </cfRule>
    <cfRule type="cellIs" dxfId="512" priority="1535" operator="equal">
      <formula>"."</formula>
    </cfRule>
    <cfRule type="cellIs" dxfId="511" priority="1536" operator="between">
      <formula>$AA$1</formula>
      <formula>$AB$1</formula>
    </cfRule>
    <cfRule type="cellIs" dxfId="510" priority="1537" operator="equal">
      <formula>"."</formula>
    </cfRule>
    <cfRule type="cellIs" dxfId="509" priority="1538" operator="between">
      <formula>$AA$1</formula>
      <formula>$AB$1</formula>
    </cfRule>
    <cfRule type="cellIs" dxfId="508" priority="1539" operator="equal">
      <formula>"."</formula>
    </cfRule>
    <cfRule type="cellIs" dxfId="507" priority="1540" operator="between">
      <formula>$AA$1</formula>
      <formula>$AB$1</formula>
    </cfRule>
    <cfRule type="cellIs" dxfId="506" priority="1541" operator="equal">
      <formula>"."</formula>
    </cfRule>
    <cfRule type="cellIs" dxfId="505" priority="1542" operator="between">
      <formula>$AA$1</formula>
      <formula>$AB$1</formula>
    </cfRule>
    <cfRule type="cellIs" dxfId="504" priority="1543" operator="equal">
      <formula>"."</formula>
    </cfRule>
    <cfRule type="cellIs" dxfId="503" priority="1544" operator="between">
      <formula>$AA$1</formula>
      <formula>$AB$1</formula>
    </cfRule>
    <cfRule type="cellIs" dxfId="502" priority="1545" operator="equal">
      <formula>"."</formula>
    </cfRule>
    <cfRule type="cellIs" dxfId="501" priority="1546" operator="between">
      <formula>$AA$1</formula>
      <formula>$AB$1</formula>
    </cfRule>
    <cfRule type="cellIs" dxfId="500" priority="1547" operator="equal">
      <formula>"."</formula>
    </cfRule>
    <cfRule type="cellIs" dxfId="499" priority="1548" operator="between">
      <formula>$AA$1</formula>
      <formula>$AB$1</formula>
    </cfRule>
    <cfRule type="cellIs" dxfId="498" priority="1549" operator="equal">
      <formula>"."</formula>
    </cfRule>
    <cfRule type="cellIs" dxfId="497" priority="1550" operator="between">
      <formula>$AA$1</formula>
      <formula>$AB$1</formula>
    </cfRule>
    <cfRule type="cellIs" dxfId="496" priority="1551" operator="equal">
      <formula>"."</formula>
    </cfRule>
    <cfRule type="cellIs" dxfId="495" priority="1552" operator="between">
      <formula>$AA$1</formula>
      <formula>$AB$1</formula>
    </cfRule>
    <cfRule type="cellIs" dxfId="494" priority="1553" operator="equal">
      <formula>"."</formula>
    </cfRule>
    <cfRule type="cellIs" dxfId="493" priority="1554" operator="between">
      <formula>$AA$1</formula>
      <formula>$AB$1</formula>
    </cfRule>
    <cfRule type="cellIs" dxfId="492" priority="1555" operator="equal">
      <formula>"."</formula>
    </cfRule>
    <cfRule type="cellIs" dxfId="491" priority="1556" operator="between">
      <formula>$AA$1</formula>
      <formula>$AB$1</formula>
    </cfRule>
    <cfRule type="cellIs" dxfId="490" priority="1557" operator="equal">
      <formula>"."</formula>
    </cfRule>
    <cfRule type="cellIs" dxfId="489" priority="1558" operator="between">
      <formula>$AA$1</formula>
      <formula>$AB$1</formula>
    </cfRule>
    <cfRule type="cellIs" dxfId="488" priority="1559" operator="equal">
      <formula>"."</formula>
    </cfRule>
    <cfRule type="cellIs" dxfId="487" priority="1560" operator="between">
      <formula>$AA$1</formula>
      <formula>$AB$1</formula>
    </cfRule>
    <cfRule type="cellIs" dxfId="486" priority="1561" operator="equal">
      <formula>"."</formula>
    </cfRule>
    <cfRule type="cellIs" dxfId="485" priority="1562" operator="between">
      <formula>$AA$1</formula>
      <formula>$AB$1</formula>
    </cfRule>
    <cfRule type="cellIs" dxfId="484" priority="1564" operator="equal">
      <formula>"."</formula>
    </cfRule>
  </conditionalFormatting>
  <conditionalFormatting sqref="C15:K15 M15:Q15 S15:U15 W15:Y15">
    <cfRule type="cellIs" dxfId="483" priority="1574" operator="lessThan">
      <formula>0.8</formula>
    </cfRule>
  </conditionalFormatting>
  <conditionalFormatting sqref="C19:M19 C22:M23 D20:M20 C21 E21:M21 C25:M27 C24:E24 G24:L24 C29:M45 C28:F28 H28:M28">
    <cfRule type="cellIs" dxfId="482" priority="987" operator="equal">
      <formula>"."</formula>
    </cfRule>
    <cfRule type="cellIs" dxfId="481" priority="988" operator="between">
      <formula>$AA$1</formula>
      <formula>$AB$1</formula>
    </cfRule>
  </conditionalFormatting>
  <conditionalFormatting sqref="C3:U3 W3:Y3">
    <cfRule type="cellIs" dxfId="480" priority="1565" operator="lessThan">
      <formula>0.8</formula>
    </cfRule>
  </conditionalFormatting>
  <conditionalFormatting sqref="C4:U14 W4:Y14">
    <cfRule type="cellIs" dxfId="479" priority="1270" operator="equal">
      <formula>"."</formula>
    </cfRule>
    <cfRule type="cellIs" dxfId="478" priority="1271" operator="between">
      <formula>$AA$1</formula>
      <formula>$AB$1</formula>
    </cfRule>
    <cfRule type="cellIs" dxfId="477" priority="1272" operator="equal">
      <formula>"."</formula>
    </cfRule>
    <cfRule type="cellIs" dxfId="476" priority="1273" operator="between">
      <formula>$AA$1</formula>
      <formula>$AB$1</formula>
    </cfRule>
    <cfRule type="cellIs" dxfId="475" priority="1274" operator="equal">
      <formula>"."</formula>
    </cfRule>
    <cfRule type="cellIs" dxfId="474" priority="1276" operator="between">
      <formula>$AA$1</formula>
      <formula>$AB$1</formula>
    </cfRule>
    <cfRule type="cellIs" dxfId="473" priority="1277" operator="equal">
      <formula>"."</formula>
    </cfRule>
    <cfRule type="cellIs" dxfId="472" priority="1278" operator="between">
      <formula>$AA$1</formula>
      <formula>$AB$1</formula>
    </cfRule>
    <cfRule type="cellIs" dxfId="471" priority="1279" operator="equal">
      <formula>"."</formula>
    </cfRule>
    <cfRule type="cellIs" dxfId="470" priority="1280" operator="between">
      <formula>$AA$1</formula>
      <formula>$AB$1</formula>
    </cfRule>
    <cfRule type="cellIs" dxfId="469" priority="1281" operator="equal">
      <formula>"."</formula>
    </cfRule>
    <cfRule type="cellIs" dxfId="468" priority="1282" operator="between">
      <formula>$AA$1</formula>
      <formula>$AB$1</formula>
    </cfRule>
    <cfRule type="cellIs" dxfId="467" priority="1283" operator="equal">
      <formula>"."</formula>
    </cfRule>
    <cfRule type="cellIs" dxfId="466" priority="1284" operator="between">
      <formula>$AA$1</formula>
      <formula>$AB$1</formula>
    </cfRule>
    <cfRule type="cellIs" dxfId="465" priority="1285" operator="equal">
      <formula>"."</formula>
    </cfRule>
    <cfRule type="cellIs" dxfId="464" priority="1286" operator="between">
      <formula>$AA$1</formula>
      <formula>$AB$1</formula>
    </cfRule>
    <cfRule type="cellIs" dxfId="463" priority="1287" operator="equal">
      <formula>"."</formula>
    </cfRule>
    <cfRule type="cellIs" dxfId="462" priority="1288" operator="between">
      <formula>$AA$1</formula>
      <formula>$AB$1</formula>
    </cfRule>
    <cfRule type="cellIs" dxfId="461" priority="1289" operator="equal">
      <formula>"."</formula>
    </cfRule>
    <cfRule type="cellIs" dxfId="460" priority="1290" operator="between">
      <formula>$AA$1</formula>
      <formula>$AB$1</formula>
    </cfRule>
    <cfRule type="cellIs" dxfId="459" priority="1291" operator="equal">
      <formula>"."</formula>
    </cfRule>
    <cfRule type="cellIs" dxfId="458" priority="1292" operator="between">
      <formula>$AA$1</formula>
      <formula>$AB$1</formula>
    </cfRule>
    <cfRule type="cellIs" dxfId="457" priority="1293" operator="equal">
      <formula>"."</formula>
    </cfRule>
    <cfRule type="cellIs" dxfId="456" priority="1294" operator="between">
      <formula>$AA$1</formula>
      <formula>$AB$1</formula>
    </cfRule>
    <cfRule type="cellIs" dxfId="455" priority="1295" operator="equal">
      <formula>"."</formula>
    </cfRule>
    <cfRule type="cellIs" dxfId="454" priority="1296" operator="between">
      <formula>$AA$1</formula>
      <formula>$AB$1</formula>
    </cfRule>
    <cfRule type="cellIs" dxfId="453" priority="1297" operator="equal">
      <formula>"."</formula>
    </cfRule>
    <cfRule type="cellIs" dxfId="452" priority="1298" operator="between">
      <formula>$AA$1</formula>
      <formula>$AB$1</formula>
    </cfRule>
    <cfRule type="cellIs" dxfId="451" priority="1299" operator="equal">
      <formula>"."</formula>
    </cfRule>
    <cfRule type="cellIs" dxfId="450" priority="1300" operator="between">
      <formula>$AA$1</formula>
      <formula>$AB$1</formula>
    </cfRule>
    <cfRule type="cellIs" dxfId="449" priority="1301" operator="equal">
      <formula>"."</formula>
    </cfRule>
    <cfRule type="cellIs" dxfId="448" priority="1302" operator="between">
      <formula>$AA$1</formula>
      <formula>$AB$1</formula>
    </cfRule>
    <cfRule type="cellIs" dxfId="447" priority="1303" operator="equal">
      <formula>"."</formula>
    </cfRule>
    <cfRule type="cellIs" dxfId="446" priority="1304" operator="between">
      <formula>$AA$1</formula>
      <formula>$AB$1</formula>
    </cfRule>
    <cfRule type="cellIs" dxfId="445" priority="1305" operator="equal">
      <formula>"."</formula>
    </cfRule>
    <cfRule type="cellIs" dxfId="444" priority="1306" operator="between">
      <formula>$AA$1</formula>
      <formula>$AB$1</formula>
    </cfRule>
    <cfRule type="cellIs" dxfId="443" priority="1307" operator="equal">
      <formula>"."</formula>
    </cfRule>
    <cfRule type="cellIs" dxfId="442" priority="1308" operator="between">
      <formula>$AA$1</formula>
      <formula>$AB$1</formula>
    </cfRule>
    <cfRule type="cellIs" dxfId="441" priority="1309" operator="equal">
      <formula>"."</formula>
    </cfRule>
    <cfRule type="cellIs" dxfId="440" priority="1310" operator="between">
      <formula>$AA$1</formula>
      <formula>$AB$1</formula>
    </cfRule>
    <cfRule type="cellIs" dxfId="439" priority="1311" operator="equal">
      <formula>"."</formula>
    </cfRule>
    <cfRule type="cellIs" dxfId="438" priority="1312" operator="between">
      <formula>$AA$1</formula>
      <formula>$AB$1</formula>
    </cfRule>
    <cfRule type="cellIs" dxfId="437" priority="1313" operator="equal">
      <formula>"."</formula>
    </cfRule>
    <cfRule type="cellIs" dxfId="436" priority="1314" operator="between">
      <formula>$AA$1</formula>
      <formula>$AB$1</formula>
    </cfRule>
    <cfRule type="cellIs" dxfId="435" priority="1315" operator="equal">
      <formula>"."</formula>
    </cfRule>
    <cfRule type="cellIs" dxfId="434" priority="1316" operator="between">
      <formula>$AA$1</formula>
      <formula>$AB$1</formula>
    </cfRule>
    <cfRule type="cellIs" dxfId="433" priority="1317" operator="equal">
      <formula>"."</formula>
    </cfRule>
    <cfRule type="cellIs" dxfId="432" priority="1318" operator="between">
      <formula>$AA$1</formula>
      <formula>$AB$1</formula>
    </cfRule>
    <cfRule type="cellIs" dxfId="431" priority="1319" operator="equal">
      <formula>"."</formula>
    </cfRule>
    <cfRule type="cellIs" dxfId="430" priority="1320" operator="between">
      <formula>$AA$1</formula>
      <formula>$AB$1</formula>
    </cfRule>
    <cfRule type="cellIs" dxfId="429" priority="1321" operator="equal">
      <formula>"."</formula>
    </cfRule>
    <cfRule type="cellIs" dxfId="428" priority="1322" operator="between">
      <formula>$AA$1</formula>
      <formula>$AB$1</formula>
    </cfRule>
    <cfRule type="cellIs" dxfId="427" priority="1323" operator="equal">
      <formula>"."</formula>
    </cfRule>
    <cfRule type="cellIs" dxfId="426" priority="1324" operator="between">
      <formula>$AA$1</formula>
      <formula>$AB$1</formula>
    </cfRule>
    <cfRule type="cellIs" dxfId="425" priority="1325" operator="equal">
      <formula>"."</formula>
    </cfRule>
    <cfRule type="cellIs" dxfId="424" priority="1326" operator="between">
      <formula>$AA$1</formula>
      <formula>$AB$1</formula>
    </cfRule>
    <cfRule type="cellIs" dxfId="423" priority="1327" operator="equal">
      <formula>"."</formula>
    </cfRule>
    <cfRule type="cellIs" dxfId="422" priority="1328" operator="between">
      <formula>$AA$1</formula>
      <formula>$AB$1</formula>
    </cfRule>
    <cfRule type="cellIs" dxfId="421" priority="1329" operator="equal">
      <formula>"."</formula>
    </cfRule>
    <cfRule type="cellIs" dxfId="420" priority="1330" operator="between">
      <formula>$AA$1</formula>
      <formula>$AB$1</formula>
    </cfRule>
    <cfRule type="cellIs" dxfId="419" priority="1331" operator="equal">
      <formula>"."</formula>
    </cfRule>
    <cfRule type="cellIs" dxfId="418" priority="1332" operator="between">
      <formula>$AA$1</formula>
      <formula>$AB$1</formula>
    </cfRule>
    <cfRule type="cellIs" dxfId="417" priority="1333" operator="equal">
      <formula>"."</formula>
    </cfRule>
    <cfRule type="cellIs" dxfId="416" priority="1334" operator="between">
      <formula>$AA$1</formula>
      <formula>$AB$1</formula>
    </cfRule>
    <cfRule type="cellIs" dxfId="415" priority="1335" operator="equal">
      <formula>"."</formula>
    </cfRule>
    <cfRule type="cellIs" dxfId="414" priority="1336" operator="between">
      <formula>$AA$1</formula>
      <formula>$AB$1</formula>
    </cfRule>
    <cfRule type="cellIs" dxfId="413" priority="1337" operator="equal">
      <formula>"."</formula>
    </cfRule>
    <cfRule type="cellIs" dxfId="412" priority="1338" operator="between">
      <formula>$AA$1</formula>
      <formula>$AB$1</formula>
    </cfRule>
    <cfRule type="cellIs" dxfId="411" priority="1340" operator="equal">
      <formula>"."</formula>
    </cfRule>
    <cfRule type="cellIs" dxfId="410" priority="1341" operator="between">
      <formula>$AA$1</formula>
      <formula>$AB$1</formula>
    </cfRule>
  </conditionalFormatting>
  <conditionalFormatting sqref="C46:Y46 O20:Q20 C19:D19 F19:M23 C22:D45 D20 C21 Q21:S21 O19:P19 S20 T20:U21 R19:W19 O22:U22 V20:W22 F25:M27 G24:L24 O23:W24 O26:W27 O25:Q25 S25:W25 F29:M45 F28 H28:M28 O29:W45 O28 Q28:W28">
    <cfRule type="cellIs" dxfId="409" priority="1497" operator="equal">
      <formula>"."</formula>
    </cfRule>
  </conditionalFormatting>
  <conditionalFormatting sqref="C46:Y46">
    <cfRule type="cellIs" dxfId="408" priority="1495" operator="equal">
      <formula>"."</formula>
    </cfRule>
    <cfRule type="cellIs" dxfId="407" priority="1496" operator="between">
      <formula>$AA$1</formula>
      <formula>$AB$1</formula>
    </cfRule>
  </conditionalFormatting>
  <conditionalFormatting sqref="E19:E45">
    <cfRule type="cellIs" dxfId="406" priority="919" operator="equal">
      <formula>"."</formula>
    </cfRule>
    <cfRule type="cellIs" dxfId="405" priority="920" operator="between">
      <formula>$AA$1</formula>
      <formula>$AB$1</formula>
    </cfRule>
    <cfRule type="cellIs" dxfId="404" priority="921" operator="equal">
      <formula>"."</formula>
    </cfRule>
    <cfRule type="cellIs" dxfId="403" priority="922" operator="between">
      <formula>$AA$1</formula>
      <formula>$AB$1</formula>
    </cfRule>
    <cfRule type="cellIs" dxfId="402" priority="923" operator="equal">
      <formula>"."</formula>
    </cfRule>
    <cfRule type="cellIs" dxfId="401" priority="924" operator="between">
      <formula>$AA$1</formula>
      <formula>$AB$1</formula>
    </cfRule>
    <cfRule type="cellIs" dxfId="400" priority="925" operator="equal">
      <formula>"."</formula>
    </cfRule>
    <cfRule type="cellIs" dxfId="399" priority="926" operator="between">
      <formula>$AA$1</formula>
      <formula>$AB$1</formula>
    </cfRule>
    <cfRule type="cellIs" dxfId="398" priority="927" operator="equal">
      <formula>"."</formula>
    </cfRule>
    <cfRule type="cellIs" dxfId="397" priority="928" operator="between">
      <formula>$AA$1</formula>
      <formula>$AB$1</formula>
    </cfRule>
    <cfRule type="cellIs" dxfId="396" priority="929" operator="equal">
      <formula>"."</formula>
    </cfRule>
    <cfRule type="cellIs" dxfId="395" priority="930" operator="between">
      <formula>$AA$1</formula>
      <formula>$AB$1</formula>
    </cfRule>
    <cfRule type="cellIs" dxfId="394" priority="931" operator="equal">
      <formula>"."</formula>
    </cfRule>
    <cfRule type="cellIs" dxfId="393" priority="932" operator="between">
      <formula>$AA$1</formula>
      <formula>$AB$1</formula>
    </cfRule>
    <cfRule type="cellIs" dxfId="392" priority="933" operator="equal">
      <formula>"."</formula>
    </cfRule>
    <cfRule type="cellIs" dxfId="391" priority="934" operator="between">
      <formula>$AA$1</formula>
      <formula>$AB$1</formula>
    </cfRule>
    <cfRule type="cellIs" dxfId="390" priority="935" operator="equal">
      <formula>"."</formula>
    </cfRule>
    <cfRule type="cellIs" dxfId="389" priority="936" operator="between">
      <formula>$AA$1</formula>
      <formula>$AB$1</formula>
    </cfRule>
    <cfRule type="cellIs" dxfId="388" priority="937" operator="equal">
      <formula>"."</formula>
    </cfRule>
    <cfRule type="cellIs" dxfId="387" priority="938" operator="between">
      <formula>$AA$1</formula>
      <formula>$AB$1</formula>
    </cfRule>
    <cfRule type="cellIs" dxfId="386" priority="939" operator="equal">
      <formula>"."</formula>
    </cfRule>
    <cfRule type="cellIs" dxfId="385" priority="940" operator="between">
      <formula>$AA$1</formula>
      <formula>$AB$1</formula>
    </cfRule>
    <cfRule type="cellIs" dxfId="384" priority="941" operator="equal">
      <formula>"."</formula>
    </cfRule>
    <cfRule type="cellIs" dxfId="383" priority="942" operator="between">
      <formula>$AA$1</formula>
      <formula>$AB$1</formula>
    </cfRule>
    <cfRule type="cellIs" dxfId="382" priority="943" operator="equal">
      <formula>"."</formula>
    </cfRule>
    <cfRule type="cellIs" dxfId="381" priority="944" operator="between">
      <formula>$AA$1</formula>
      <formula>$AB$1</formula>
    </cfRule>
    <cfRule type="cellIs" dxfId="380" priority="945" operator="equal">
      <formula>"."</formula>
    </cfRule>
    <cfRule type="cellIs" dxfId="379" priority="946" operator="between">
      <formula>$AA$1</formula>
      <formula>$AB$1</formula>
    </cfRule>
    <cfRule type="cellIs" dxfId="378" priority="947" operator="equal">
      <formula>"."</formula>
    </cfRule>
    <cfRule type="cellIs" dxfId="377" priority="948" operator="between">
      <formula>$AA$1</formula>
      <formula>$AB$1</formula>
    </cfRule>
    <cfRule type="cellIs" dxfId="376" priority="949" operator="equal">
      <formula>"."</formula>
    </cfRule>
    <cfRule type="cellIs" dxfId="375" priority="950" operator="between">
      <formula>$AA$1</formula>
      <formula>$AB$1</formula>
    </cfRule>
    <cfRule type="cellIs" dxfId="374" priority="951" operator="equal">
      <formula>"."</formula>
    </cfRule>
    <cfRule type="cellIs" dxfId="373" priority="952" operator="between">
      <formula>$AA$1</formula>
      <formula>$AB$1</formula>
    </cfRule>
    <cfRule type="cellIs" dxfId="372" priority="953" operator="equal">
      <formula>"."</formula>
    </cfRule>
    <cfRule type="cellIs" dxfId="371" priority="954" operator="between">
      <formula>$AA$1</formula>
      <formula>$AB$1</formula>
    </cfRule>
    <cfRule type="cellIs" dxfId="370" priority="955" operator="equal">
      <formula>"."</formula>
    </cfRule>
    <cfRule type="cellIs" dxfId="369" priority="956" operator="between">
      <formula>$AA$1</formula>
      <formula>$AB$1</formula>
    </cfRule>
    <cfRule type="cellIs" dxfId="368" priority="957" operator="equal">
      <formula>"."</formula>
    </cfRule>
    <cfRule type="cellIs" dxfId="367" priority="958" operator="between">
      <formula>$AA$1</formula>
      <formula>$AB$1</formula>
    </cfRule>
    <cfRule type="cellIs" dxfId="366" priority="959" operator="equal">
      <formula>"."</formula>
    </cfRule>
    <cfRule type="cellIs" dxfId="365" priority="960" operator="between">
      <formula>$AA$1</formula>
      <formula>$AB$1</formula>
    </cfRule>
    <cfRule type="cellIs" dxfId="364" priority="961" operator="equal">
      <formula>"."</formula>
    </cfRule>
    <cfRule type="cellIs" dxfId="363" priority="962" operator="between">
      <formula>$AA$1</formula>
      <formula>$AB$1</formula>
    </cfRule>
    <cfRule type="cellIs" dxfId="362" priority="963" operator="equal">
      <formula>"."</formula>
    </cfRule>
    <cfRule type="cellIs" dxfId="361" priority="964" operator="between">
      <formula>$AA$1</formula>
      <formula>$AB$1</formula>
    </cfRule>
    <cfRule type="cellIs" dxfId="360" priority="965" operator="equal">
      <formula>"."</formula>
    </cfRule>
    <cfRule type="cellIs" dxfId="359" priority="966" operator="between">
      <formula>$AA$1</formula>
      <formula>$AB$1</formula>
    </cfRule>
    <cfRule type="cellIs" dxfId="358" priority="967" operator="equal">
      <formula>"."</formula>
    </cfRule>
    <cfRule type="cellIs" dxfId="357" priority="968" operator="between">
      <formula>$AA$1</formula>
      <formula>$AB$1</formula>
    </cfRule>
    <cfRule type="cellIs" dxfId="356" priority="969" operator="equal">
      <formula>"."</formula>
    </cfRule>
    <cfRule type="cellIs" dxfId="355" priority="970" operator="between">
      <formula>$AA$1</formula>
      <formula>$AB$1</formula>
    </cfRule>
    <cfRule type="cellIs" dxfId="354" priority="971" operator="equal">
      <formula>"."</formula>
    </cfRule>
    <cfRule type="cellIs" dxfId="353" priority="972" operator="between">
      <formula>$AA$1</formula>
      <formula>$AB$1</formula>
    </cfRule>
    <cfRule type="cellIs" dxfId="352" priority="973" operator="equal">
      <formula>"."</formula>
    </cfRule>
    <cfRule type="cellIs" dxfId="351" priority="974" operator="between">
      <formula>$AA$1</formula>
      <formula>$AB$1</formula>
    </cfRule>
    <cfRule type="cellIs" dxfId="350" priority="975" operator="equal">
      <formula>"."</formula>
    </cfRule>
    <cfRule type="cellIs" dxfId="349" priority="976" operator="between">
      <formula>$AA$1</formula>
      <formula>$AB$1</formula>
    </cfRule>
    <cfRule type="cellIs" dxfId="348" priority="977" operator="equal">
      <formula>"."</formula>
    </cfRule>
    <cfRule type="cellIs" dxfId="347" priority="978" operator="between">
      <formula>$AA$1</formula>
      <formula>$AB$1</formula>
    </cfRule>
    <cfRule type="cellIs" dxfId="346" priority="979" operator="equal">
      <formula>"."</formula>
    </cfRule>
    <cfRule type="cellIs" dxfId="345" priority="980" operator="between">
      <formula>$AA$1</formula>
      <formula>$AB$1</formula>
    </cfRule>
    <cfRule type="cellIs" dxfId="344" priority="981" operator="equal">
      <formula>"."</formula>
    </cfRule>
    <cfRule type="cellIs" dxfId="343" priority="982" operator="between">
      <formula>$AA$1</formula>
      <formula>$AB$1</formula>
    </cfRule>
    <cfRule type="cellIs" dxfId="342" priority="983" operator="equal">
      <formula>"."</formula>
    </cfRule>
    <cfRule type="cellIs" dxfId="341" priority="984" operator="between">
      <formula>$AA$1</formula>
      <formula>$AB$1</formula>
    </cfRule>
    <cfRule type="cellIs" dxfId="340" priority="985" operator="equal">
      <formula>"."</formula>
    </cfRule>
    <cfRule type="cellIs" dxfId="339" priority="986" operator="between">
      <formula>$AA$1</formula>
      <formula>$AB$1</formula>
    </cfRule>
  </conditionalFormatting>
  <conditionalFormatting sqref="N19:N45">
    <cfRule type="cellIs" dxfId="338" priority="75" operator="equal">
      <formula>"."</formula>
    </cfRule>
    <cfRule type="cellIs" dxfId="337" priority="76" operator="between">
      <formula>$AA$1</formula>
      <formula>$AB$1</formula>
    </cfRule>
    <cfRule type="cellIs" dxfId="336" priority="77" operator="equal">
      <formula>"."</formula>
    </cfRule>
    <cfRule type="cellIs" dxfId="335" priority="78" operator="between">
      <formula>$AA$1</formula>
      <formula>$AB$1</formula>
    </cfRule>
    <cfRule type="cellIs" dxfId="334" priority="79" operator="equal">
      <formula>"."</formula>
    </cfRule>
    <cfRule type="cellIs" dxfId="333" priority="80" operator="between">
      <formula>$AA$1</formula>
      <formula>$AB$1</formula>
    </cfRule>
    <cfRule type="cellIs" dxfId="332" priority="81" operator="equal">
      <formula>"."</formula>
    </cfRule>
    <cfRule type="cellIs" dxfId="331" priority="82" operator="between">
      <formula>$AA$1</formula>
      <formula>$AB$1</formula>
    </cfRule>
    <cfRule type="cellIs" dxfId="330" priority="83" operator="equal">
      <formula>"."</formula>
    </cfRule>
    <cfRule type="cellIs" dxfId="329" priority="84" operator="between">
      <formula>$AA$1</formula>
      <formula>$AB$1</formula>
    </cfRule>
    <cfRule type="cellIs" dxfId="328" priority="85" operator="equal">
      <formula>"."</formula>
    </cfRule>
    <cfRule type="cellIs" dxfId="327" priority="86" operator="between">
      <formula>$AA$1</formula>
      <formula>$AB$1</formula>
    </cfRule>
    <cfRule type="cellIs" dxfId="326" priority="87" operator="equal">
      <formula>"."</formula>
    </cfRule>
    <cfRule type="cellIs" dxfId="325" priority="88" operator="between">
      <formula>$AA$1</formula>
      <formula>$AB$1</formula>
    </cfRule>
    <cfRule type="cellIs" dxfId="324" priority="89" operator="equal">
      <formula>"."</formula>
    </cfRule>
    <cfRule type="cellIs" dxfId="323" priority="90" operator="between">
      <formula>$AA$1</formula>
      <formula>$AB$1</formula>
    </cfRule>
    <cfRule type="cellIs" dxfId="322" priority="91" operator="equal">
      <formula>"."</formula>
    </cfRule>
    <cfRule type="cellIs" dxfId="321" priority="92" operator="between">
      <formula>$AA$1</formula>
      <formula>$AB$1</formula>
    </cfRule>
    <cfRule type="cellIs" dxfId="320" priority="93" operator="equal">
      <formula>"."</formula>
    </cfRule>
    <cfRule type="cellIs" dxfId="319" priority="94" operator="between">
      <formula>$AA$1</formula>
      <formula>$AB$1</formula>
    </cfRule>
    <cfRule type="cellIs" dxfId="318" priority="95" operator="equal">
      <formula>"."</formula>
    </cfRule>
    <cfRule type="cellIs" dxfId="317" priority="96" operator="between">
      <formula>$AA$1</formula>
      <formula>$AB$1</formula>
    </cfRule>
    <cfRule type="cellIs" dxfId="316" priority="97" operator="equal">
      <formula>"."</formula>
    </cfRule>
    <cfRule type="cellIs" dxfId="315" priority="98" operator="between">
      <formula>$AA$1</formula>
      <formula>$AB$1</formula>
    </cfRule>
    <cfRule type="cellIs" dxfId="314" priority="99" operator="equal">
      <formula>"."</formula>
    </cfRule>
    <cfRule type="cellIs" dxfId="313" priority="100" operator="between">
      <formula>$AA$1</formula>
      <formula>$AB$1</formula>
    </cfRule>
    <cfRule type="cellIs" dxfId="312" priority="101" operator="equal">
      <formula>"."</formula>
    </cfRule>
    <cfRule type="cellIs" dxfId="311" priority="102" operator="between">
      <formula>$AA$1</formula>
      <formula>$AB$1</formula>
    </cfRule>
    <cfRule type="cellIs" dxfId="310" priority="103" operator="equal">
      <formula>"."</formula>
    </cfRule>
    <cfRule type="cellIs" dxfId="309" priority="104" operator="between">
      <formula>$AA$1</formula>
      <formula>$AB$1</formula>
    </cfRule>
    <cfRule type="cellIs" dxfId="308" priority="105" operator="equal">
      <formula>"."</formula>
    </cfRule>
    <cfRule type="cellIs" dxfId="307" priority="106" operator="between">
      <formula>$AA$1</formula>
      <formula>$AB$1</formula>
    </cfRule>
    <cfRule type="cellIs" dxfId="306" priority="107" operator="equal">
      <formula>"."</formula>
    </cfRule>
    <cfRule type="cellIs" dxfId="305" priority="108" operator="between">
      <formula>$AA$1</formula>
      <formula>$AB$1</formula>
    </cfRule>
    <cfRule type="cellIs" dxfId="304" priority="109" operator="equal">
      <formula>"."</formula>
    </cfRule>
    <cfRule type="cellIs" dxfId="303" priority="110" operator="between">
      <formula>$AA$1</formula>
      <formula>$AB$1</formula>
    </cfRule>
    <cfRule type="cellIs" dxfId="302" priority="111" operator="equal">
      <formula>"."</formula>
    </cfRule>
    <cfRule type="cellIs" dxfId="301" priority="112" operator="between">
      <formula>$AA$1</formula>
      <formula>$AB$1</formula>
    </cfRule>
    <cfRule type="cellIs" dxfId="300" priority="113" operator="equal">
      <formula>"."</formula>
    </cfRule>
    <cfRule type="cellIs" dxfId="299" priority="114" operator="between">
      <formula>$AA$1</formula>
      <formula>$AB$1</formula>
    </cfRule>
    <cfRule type="cellIs" dxfId="298" priority="115" operator="equal">
      <formula>"."</formula>
    </cfRule>
    <cfRule type="cellIs" dxfId="297" priority="116" operator="between">
      <formula>$AA$1</formula>
      <formula>$AB$1</formula>
    </cfRule>
    <cfRule type="cellIs" dxfId="296" priority="117" operator="equal">
      <formula>"."</formula>
    </cfRule>
    <cfRule type="cellIs" dxfId="295" priority="118" operator="between">
      <formula>$AA$1</formula>
      <formula>$AB$1</formula>
    </cfRule>
    <cfRule type="cellIs" dxfId="294" priority="119" operator="equal">
      <formula>"."</formula>
    </cfRule>
    <cfRule type="cellIs" dxfId="293" priority="120" operator="between">
      <formula>$AA$1</formula>
      <formula>$AB$1</formula>
    </cfRule>
    <cfRule type="cellIs" dxfId="292" priority="121" operator="equal">
      <formula>"."</formula>
    </cfRule>
    <cfRule type="cellIs" dxfId="291" priority="122" operator="between">
      <formula>$AA$1</formula>
      <formula>$AB$1</formula>
    </cfRule>
    <cfRule type="cellIs" dxfId="290" priority="123" operator="equal">
      <formula>"."</formula>
    </cfRule>
    <cfRule type="cellIs" dxfId="289" priority="124" operator="between">
      <formula>$AA$1</formula>
      <formula>$AB$1</formula>
    </cfRule>
    <cfRule type="cellIs" dxfId="288" priority="125" operator="equal">
      <formula>"."</formula>
    </cfRule>
    <cfRule type="cellIs" dxfId="287" priority="126" operator="between">
      <formula>$AA$1</formula>
      <formula>$AB$1</formula>
    </cfRule>
    <cfRule type="cellIs" dxfId="286" priority="127" operator="equal">
      <formula>"."</formula>
    </cfRule>
    <cfRule type="cellIs" dxfId="285" priority="128" operator="between">
      <formula>$AA$1</formula>
      <formula>$AB$1</formula>
    </cfRule>
    <cfRule type="cellIs" dxfId="284" priority="129" operator="equal">
      <formula>"."</formula>
    </cfRule>
    <cfRule type="cellIs" dxfId="283" priority="130" operator="between">
      <formula>$AA$1</formula>
      <formula>$AB$1</formula>
    </cfRule>
    <cfRule type="cellIs" dxfId="282" priority="131" operator="equal">
      <formula>"."</formula>
    </cfRule>
    <cfRule type="cellIs" dxfId="281" priority="132" operator="between">
      <formula>$AA$1</formula>
      <formula>$AB$1</formula>
    </cfRule>
    <cfRule type="cellIs" dxfId="280" priority="133" operator="equal">
      <formula>"."</formula>
    </cfRule>
    <cfRule type="cellIs" dxfId="279" priority="134" operator="between">
      <formula>$AA$1</formula>
      <formula>$AB$1</formula>
    </cfRule>
    <cfRule type="cellIs" dxfId="278" priority="135" operator="equal">
      <formula>"."</formula>
    </cfRule>
    <cfRule type="cellIs" dxfId="277" priority="136" operator="between">
      <formula>$AA$1</formula>
      <formula>$AB$1</formula>
    </cfRule>
    <cfRule type="cellIs" dxfId="276" priority="137" operator="equal">
      <formula>"."</formula>
    </cfRule>
    <cfRule type="cellIs" dxfId="275" priority="138" operator="between">
      <formula>$AA$1</formula>
      <formula>$AB$1</formula>
    </cfRule>
    <cfRule type="cellIs" dxfId="274" priority="139" operator="equal">
      <formula>"."</formula>
    </cfRule>
    <cfRule type="cellIs" dxfId="273" priority="140" operator="between">
      <formula>$AA$1</formula>
      <formula>$AB$1</formula>
    </cfRule>
    <cfRule type="cellIs" dxfId="272" priority="141" operator="equal">
      <formula>"."</formula>
    </cfRule>
    <cfRule type="cellIs" dxfId="271" priority="142" operator="between">
      <formula>$AA$1</formula>
      <formula>$AB$1</formula>
    </cfRule>
    <cfRule type="cellIs" dxfId="270" priority="143" operator="equal">
      <formula>"."</formula>
    </cfRule>
    <cfRule type="cellIs" dxfId="269" priority="144" operator="between">
      <formula>$AA$1</formula>
      <formula>$AB$1</formula>
    </cfRule>
  </conditionalFormatting>
  <conditionalFormatting sqref="O20:Q20 Q21:S21 O19:P19 S20 T20:U21 R19:X19 O22:U22 V20:X22 O23:X24 O26:X27 O25:Q25 S25:X25 O29:X45 O28 Q28:X28">
    <cfRule type="cellIs" dxfId="268" priority="1489" operator="equal">
      <formula>"."</formula>
    </cfRule>
    <cfRule type="cellIs" dxfId="267" priority="1490" operator="between">
      <formula>$AA$1</formula>
      <formula>$AB$1</formula>
    </cfRule>
  </conditionalFormatting>
  <conditionalFormatting sqref="R15 L15">
    <cfRule type="cellIs" dxfId="266" priority="1567" operator="equal">
      <formula>"."</formula>
    </cfRule>
  </conditionalFormatting>
  <conditionalFormatting sqref="R15">
    <cfRule type="cellIs" dxfId="265" priority="1566" operator="between">
      <formula>$AA$1</formula>
      <formula>$AB$1</formula>
    </cfRule>
    <cfRule type="cellIs" dxfId="264" priority="1568" operator="between">
      <formula>$AA$1</formula>
      <formula>$AB$1</formula>
    </cfRule>
  </conditionalFormatting>
  <conditionalFormatting sqref="X19:X45">
    <cfRule type="cellIs" dxfId="263" priority="1422" operator="equal">
      <formula>"."</formula>
    </cfRule>
    <cfRule type="cellIs" dxfId="262" priority="1423" operator="between">
      <formula>$AA$1</formula>
      <formula>$AB$1</formula>
    </cfRule>
    <cfRule type="cellIs" dxfId="261" priority="1424" operator="equal">
      <formula>"."</formula>
    </cfRule>
    <cfRule type="cellIs" dxfId="260" priority="1426" operator="between">
      <formula>$AA$1</formula>
      <formula>$AB$1</formula>
    </cfRule>
    <cfRule type="cellIs" dxfId="259" priority="1427" operator="equal">
      <formula>"."</formula>
    </cfRule>
    <cfRule type="cellIs" dxfId="258" priority="1428" operator="between">
      <formula>$AA$1</formula>
      <formula>$AB$1</formula>
    </cfRule>
    <cfRule type="cellIs" dxfId="257" priority="1429" operator="equal">
      <formula>"."</formula>
    </cfRule>
    <cfRule type="cellIs" dxfId="256" priority="1430" operator="between">
      <formula>$AA$1</formula>
      <formula>$AB$1</formula>
    </cfRule>
    <cfRule type="cellIs" dxfId="255" priority="1431" operator="equal">
      <formula>"."</formula>
    </cfRule>
    <cfRule type="cellIs" dxfId="254" priority="1432" operator="between">
      <formula>$AA$1</formula>
      <formula>$AB$1</formula>
    </cfRule>
    <cfRule type="cellIs" dxfId="253" priority="1433" operator="equal">
      <formula>"."</formula>
    </cfRule>
    <cfRule type="cellIs" dxfId="252" priority="1434" operator="between">
      <formula>$AA$1</formula>
      <formula>$AB$1</formula>
    </cfRule>
    <cfRule type="cellIs" dxfId="251" priority="1435" operator="equal">
      <formula>"."</formula>
    </cfRule>
    <cfRule type="cellIs" dxfId="250" priority="1436" operator="between">
      <formula>$AA$1</formula>
      <formula>$AB$1</formula>
    </cfRule>
    <cfRule type="cellIs" dxfId="249" priority="1437" operator="equal">
      <formula>"."</formula>
    </cfRule>
    <cfRule type="cellIs" dxfId="248" priority="1438" operator="between">
      <formula>$AA$1</formula>
      <formula>$AB$1</formula>
    </cfRule>
    <cfRule type="cellIs" dxfId="247" priority="1439" operator="equal">
      <formula>"."</formula>
    </cfRule>
    <cfRule type="cellIs" dxfId="246" priority="1440" operator="between">
      <formula>$AA$1</formula>
      <formula>$AB$1</formula>
    </cfRule>
    <cfRule type="cellIs" dxfId="245" priority="1441" operator="equal">
      <formula>"."</formula>
    </cfRule>
    <cfRule type="cellIs" dxfId="244" priority="1442" operator="between">
      <formula>$AA$1</formula>
      <formula>$AB$1</formula>
    </cfRule>
    <cfRule type="cellIs" dxfId="243" priority="1443" operator="equal">
      <formula>"."</formula>
    </cfRule>
    <cfRule type="cellIs" dxfId="242" priority="1444" operator="between">
      <formula>$AA$1</formula>
      <formula>$AB$1</formula>
    </cfRule>
    <cfRule type="cellIs" dxfId="241" priority="1445" operator="equal">
      <formula>"."</formula>
    </cfRule>
    <cfRule type="cellIs" dxfId="240" priority="1446" operator="between">
      <formula>$AA$1</formula>
      <formula>$AB$1</formula>
    </cfRule>
    <cfRule type="cellIs" dxfId="239" priority="1447" operator="equal">
      <formula>"."</formula>
    </cfRule>
    <cfRule type="cellIs" dxfId="238" priority="1448" operator="between">
      <formula>$AA$1</formula>
      <formula>$AB$1</formula>
    </cfRule>
    <cfRule type="cellIs" dxfId="237" priority="1449" operator="equal">
      <formula>"."</formula>
    </cfRule>
    <cfRule type="cellIs" dxfId="236" priority="1450" operator="between">
      <formula>$AA$1</formula>
      <formula>$AB$1</formula>
    </cfRule>
    <cfRule type="cellIs" dxfId="235" priority="1451" operator="equal">
      <formula>"."</formula>
    </cfRule>
    <cfRule type="cellIs" dxfId="234" priority="1452" operator="between">
      <formula>$AA$1</formula>
      <formula>$AB$1</formula>
    </cfRule>
    <cfRule type="cellIs" dxfId="233" priority="1453" operator="equal">
      <formula>"."</formula>
    </cfRule>
    <cfRule type="cellIs" dxfId="232" priority="1454" operator="between">
      <formula>$AA$1</formula>
      <formula>$AB$1</formula>
    </cfRule>
    <cfRule type="cellIs" dxfId="231" priority="1455" operator="equal">
      <formula>"."</formula>
    </cfRule>
    <cfRule type="cellIs" dxfId="230" priority="1456" operator="between">
      <formula>$AA$1</formula>
      <formula>$AB$1</formula>
    </cfRule>
    <cfRule type="cellIs" dxfId="229" priority="1457" operator="equal">
      <formula>"."</formula>
    </cfRule>
    <cfRule type="cellIs" dxfId="228" priority="1458" operator="between">
      <formula>$AA$1</formula>
      <formula>$AB$1</formula>
    </cfRule>
    <cfRule type="cellIs" dxfId="227" priority="1459" operator="equal">
      <formula>"."</formula>
    </cfRule>
    <cfRule type="cellIs" dxfId="226" priority="1460" operator="between">
      <formula>$AA$1</formula>
      <formula>$AB$1</formula>
    </cfRule>
    <cfRule type="cellIs" dxfId="225" priority="1461" operator="equal">
      <formula>"."</formula>
    </cfRule>
    <cfRule type="cellIs" dxfId="224" priority="1462" operator="between">
      <formula>$AA$1</formula>
      <formula>$AB$1</formula>
    </cfRule>
    <cfRule type="cellIs" dxfId="223" priority="1463" operator="equal">
      <formula>"."</formula>
    </cfRule>
    <cfRule type="cellIs" dxfId="222" priority="1464" operator="between">
      <formula>$AA$1</formula>
      <formula>$AB$1</formula>
    </cfRule>
    <cfRule type="cellIs" dxfId="221" priority="1465" operator="equal">
      <formula>"."</formula>
    </cfRule>
    <cfRule type="cellIs" dxfId="220" priority="1466" operator="between">
      <formula>$AA$1</formula>
      <formula>$AB$1</formula>
    </cfRule>
    <cfRule type="cellIs" dxfId="219" priority="1467" operator="equal">
      <formula>"."</formula>
    </cfRule>
    <cfRule type="cellIs" dxfId="218" priority="1468" operator="between">
      <formula>$AA$1</formula>
      <formula>$AB$1</formula>
    </cfRule>
    <cfRule type="cellIs" dxfId="217" priority="1469" operator="equal">
      <formula>"."</formula>
    </cfRule>
    <cfRule type="cellIs" dxfId="216" priority="1470" operator="between">
      <formula>$AA$1</formula>
      <formula>$AB$1</formula>
    </cfRule>
    <cfRule type="cellIs" dxfId="215" priority="1471" operator="equal">
      <formula>"."</formula>
    </cfRule>
    <cfRule type="cellIs" dxfId="214" priority="1472" operator="between">
      <formula>$AA$1</formula>
      <formula>$AB$1</formula>
    </cfRule>
    <cfRule type="cellIs" dxfId="213" priority="1473" operator="equal">
      <formula>"."</formula>
    </cfRule>
    <cfRule type="cellIs" dxfId="212" priority="1474" operator="between">
      <formula>$AA$1</formula>
      <formula>$AB$1</formula>
    </cfRule>
    <cfRule type="cellIs" dxfId="211" priority="1475" operator="equal">
      <formula>"."</formula>
    </cfRule>
    <cfRule type="cellIs" dxfId="210" priority="1476" operator="between">
      <formula>$AA$1</formula>
      <formula>$AB$1</formula>
    </cfRule>
    <cfRule type="cellIs" dxfId="209" priority="1477" operator="equal">
      <formula>"."</formula>
    </cfRule>
    <cfRule type="cellIs" dxfId="208" priority="1478" operator="between">
      <formula>$AA$1</formula>
      <formula>$AB$1</formula>
    </cfRule>
    <cfRule type="cellIs" dxfId="207" priority="1479" operator="equal">
      <formula>"."</formula>
    </cfRule>
    <cfRule type="cellIs" dxfId="206" priority="1480" operator="between">
      <formula>$AA$1</formula>
      <formula>$AB$1</formula>
    </cfRule>
    <cfRule type="cellIs" dxfId="205" priority="1481" operator="equal">
      <formula>"."</formula>
    </cfRule>
    <cfRule type="cellIs" dxfId="204" priority="1482" operator="between">
      <formula>$AA$1</formula>
      <formula>$AB$1</formula>
    </cfRule>
    <cfRule type="cellIs" dxfId="203" priority="1483" operator="equal">
      <formula>"."</formula>
    </cfRule>
    <cfRule type="cellIs" dxfId="202" priority="1484" operator="between">
      <formula>$AA$1</formula>
      <formula>$AB$1</formula>
    </cfRule>
    <cfRule type="cellIs" dxfId="201" priority="1485" operator="equal">
      <formula>"."</formula>
    </cfRule>
    <cfRule type="cellIs" dxfId="200" priority="1486" operator="between">
      <formula>$AA$1</formula>
      <formula>$AB$1</formula>
    </cfRule>
    <cfRule type="cellIs" dxfId="199" priority="1487" operator="equal">
      <formula>"."</formula>
    </cfRule>
    <cfRule type="cellIs" dxfId="198" priority="1488" operator="between">
      <formula>$AA$1</formula>
      <formula>$AB$1</formula>
    </cfRule>
  </conditionalFormatting>
  <conditionalFormatting sqref="X19:Y45">
    <cfRule type="cellIs" dxfId="197" priority="1124" operator="equal">
      <formula>"."</formula>
    </cfRule>
    <cfRule type="cellIs" dxfId="196" priority="1125" operator="between">
      <formula>$AA$1</formula>
      <formula>$AB$1</formula>
    </cfRule>
  </conditionalFormatting>
  <conditionalFormatting sqref="Y19:Y45">
    <cfRule type="cellIs" dxfId="195" priority="1059" operator="between">
      <formula>$AA$1</formula>
      <formula>$AB$1</formula>
    </cfRule>
    <cfRule type="cellIs" dxfId="194" priority="1062" operator="equal">
      <formula>"."</formula>
    </cfRule>
    <cfRule type="cellIs" dxfId="193" priority="1063" operator="between">
      <formula>$AA$1</formula>
      <formula>$AB$1</formula>
    </cfRule>
    <cfRule type="cellIs" dxfId="192" priority="1064" operator="equal">
      <formula>"."</formula>
    </cfRule>
    <cfRule type="cellIs" dxfId="191" priority="1065" operator="between">
      <formula>$AA$1</formula>
      <formula>$AB$1</formula>
    </cfRule>
    <cfRule type="cellIs" dxfId="190" priority="1066" operator="equal">
      <formula>"."</formula>
    </cfRule>
    <cfRule type="cellIs" dxfId="189" priority="1067" operator="between">
      <formula>$AA$1</formula>
      <formula>$AB$1</formula>
    </cfRule>
    <cfRule type="cellIs" dxfId="188" priority="1068" operator="equal">
      <formula>"."</formula>
    </cfRule>
    <cfRule type="cellIs" dxfId="187" priority="1069" operator="between">
      <formula>$AA$1</formula>
      <formula>$AB$1</formula>
    </cfRule>
    <cfRule type="cellIs" dxfId="186" priority="1070" operator="equal">
      <formula>"."</formula>
    </cfRule>
    <cfRule type="cellIs" dxfId="185" priority="1071" operator="between">
      <formula>$AA$1</formula>
      <formula>$AB$1</formula>
    </cfRule>
    <cfRule type="cellIs" dxfId="184" priority="1072" operator="equal">
      <formula>"."</formula>
    </cfRule>
    <cfRule type="cellIs" dxfId="183" priority="1073" operator="between">
      <formula>$AA$1</formula>
      <formula>$AB$1</formula>
    </cfRule>
    <cfRule type="cellIs" dxfId="182" priority="1074" operator="equal">
      <formula>"."</formula>
    </cfRule>
    <cfRule type="cellIs" dxfId="181" priority="1075" operator="between">
      <formula>$AA$1</formula>
      <formula>$AB$1</formula>
    </cfRule>
    <cfRule type="cellIs" dxfId="180" priority="1076" operator="equal">
      <formula>"."</formula>
    </cfRule>
    <cfRule type="cellIs" dxfId="179" priority="1077" operator="between">
      <formula>$AA$1</formula>
      <formula>$AB$1</formula>
    </cfRule>
    <cfRule type="cellIs" dxfId="178" priority="1078" operator="equal">
      <formula>"."</formula>
    </cfRule>
    <cfRule type="cellIs" dxfId="177" priority="1079" operator="between">
      <formula>$AA$1</formula>
      <formula>$AB$1</formula>
    </cfRule>
    <cfRule type="cellIs" dxfId="176" priority="1080" operator="equal">
      <formula>"."</formula>
    </cfRule>
    <cfRule type="cellIs" dxfId="175" priority="1081" operator="between">
      <formula>$AA$1</formula>
      <formula>$AB$1</formula>
    </cfRule>
    <cfRule type="cellIs" dxfId="174" priority="1082" operator="equal">
      <formula>"."</formula>
    </cfRule>
    <cfRule type="cellIs" dxfId="173" priority="1083" operator="between">
      <formula>$AA$1</formula>
      <formula>$AB$1</formula>
    </cfRule>
    <cfRule type="cellIs" dxfId="172" priority="1084" operator="equal">
      <formula>"."</formula>
    </cfRule>
    <cfRule type="cellIs" dxfId="171" priority="1085" operator="between">
      <formula>$AA$1</formula>
      <formula>$AB$1</formula>
    </cfRule>
    <cfRule type="cellIs" dxfId="170" priority="1086" operator="equal">
      <formula>"."</formula>
    </cfRule>
    <cfRule type="cellIs" dxfId="169" priority="1087" operator="between">
      <formula>$AA$1</formula>
      <formula>$AB$1</formula>
    </cfRule>
    <cfRule type="cellIs" dxfId="168" priority="1088" operator="equal">
      <formula>"."</formula>
    </cfRule>
    <cfRule type="cellIs" dxfId="167" priority="1089" operator="between">
      <formula>$AA$1</formula>
      <formula>$AB$1</formula>
    </cfRule>
    <cfRule type="cellIs" dxfId="166" priority="1090" operator="equal">
      <formula>"."</formula>
    </cfRule>
    <cfRule type="cellIs" dxfId="165" priority="1091" operator="between">
      <formula>$AA$1</formula>
      <formula>$AB$1</formula>
    </cfRule>
    <cfRule type="cellIs" dxfId="164" priority="1092" operator="equal">
      <formula>"."</formula>
    </cfRule>
    <cfRule type="cellIs" dxfId="163" priority="1093" operator="between">
      <formula>$AA$1</formula>
      <formula>$AB$1</formula>
    </cfRule>
    <cfRule type="cellIs" dxfId="162" priority="1094" operator="equal">
      <formula>"."</formula>
    </cfRule>
    <cfRule type="cellIs" dxfId="161" priority="1095" operator="between">
      <formula>$AA$1</formula>
      <formula>$AB$1</formula>
    </cfRule>
    <cfRule type="cellIs" dxfId="160" priority="1096" operator="equal">
      <formula>"."</formula>
    </cfRule>
    <cfRule type="cellIs" dxfId="159" priority="1097" operator="between">
      <formula>$AA$1</formula>
      <formula>$AB$1</formula>
    </cfRule>
    <cfRule type="cellIs" dxfId="158" priority="1098" operator="equal">
      <formula>"."</formula>
    </cfRule>
    <cfRule type="cellIs" dxfId="157" priority="1099" operator="between">
      <formula>$AA$1</formula>
      <formula>$AB$1</formula>
    </cfRule>
    <cfRule type="cellIs" dxfId="156" priority="1100" operator="equal">
      <formula>"."</formula>
    </cfRule>
    <cfRule type="cellIs" dxfId="155" priority="1101" operator="between">
      <formula>$AA$1</formula>
      <formula>$AB$1</formula>
    </cfRule>
    <cfRule type="cellIs" dxfId="154" priority="1102" operator="equal">
      <formula>"."</formula>
    </cfRule>
    <cfRule type="cellIs" dxfId="153" priority="1103" operator="between">
      <formula>$AA$1</formula>
      <formula>$AB$1</formula>
    </cfRule>
    <cfRule type="cellIs" dxfId="152" priority="1104" operator="equal">
      <formula>"."</formula>
    </cfRule>
    <cfRule type="cellIs" dxfId="151" priority="1105" operator="between">
      <formula>$AA$1</formula>
      <formula>$AB$1</formula>
    </cfRule>
    <cfRule type="cellIs" dxfId="150" priority="1106" operator="equal">
      <formula>"."</formula>
    </cfRule>
    <cfRule type="cellIs" dxfId="149" priority="1107" operator="between">
      <formula>$AA$1</formula>
      <formula>$AB$1</formula>
    </cfRule>
    <cfRule type="cellIs" dxfId="148" priority="1108" operator="equal">
      <formula>"."</formula>
    </cfRule>
    <cfRule type="cellIs" dxfId="147" priority="1109" operator="between">
      <formula>$AA$1</formula>
      <formula>$AB$1</formula>
    </cfRule>
    <cfRule type="cellIs" dxfId="146" priority="1110" operator="equal">
      <formula>"."</formula>
    </cfRule>
    <cfRule type="cellIs" dxfId="145" priority="1111" operator="between">
      <formula>$AA$1</formula>
      <formula>$AB$1</formula>
    </cfRule>
    <cfRule type="cellIs" dxfId="144" priority="1112" operator="equal">
      <formula>"."</formula>
    </cfRule>
    <cfRule type="cellIs" dxfId="143" priority="1113" operator="between">
      <formula>$AA$1</formula>
      <formula>$AB$1</formula>
    </cfRule>
    <cfRule type="cellIs" dxfId="142" priority="1114" operator="equal">
      <formula>"."</formula>
    </cfRule>
    <cfRule type="cellIs" dxfId="141" priority="1115" operator="between">
      <formula>$AA$1</formula>
      <formula>$AB$1</formula>
    </cfRule>
    <cfRule type="cellIs" dxfId="140" priority="1116" operator="equal">
      <formula>"."</formula>
    </cfRule>
    <cfRule type="cellIs" dxfId="139" priority="1117" operator="between">
      <formula>$AA$1</formula>
      <formula>$AB$1</formula>
    </cfRule>
    <cfRule type="cellIs" dxfId="138" priority="1118" operator="equal">
      <formula>"."</formula>
    </cfRule>
    <cfRule type="cellIs" dxfId="137" priority="1119" operator="between">
      <formula>$AA$1</formula>
      <formula>$AB$1</formula>
    </cfRule>
    <cfRule type="cellIs" dxfId="136" priority="1120" operator="equal">
      <formula>"."</formula>
    </cfRule>
    <cfRule type="cellIs" dxfId="135" priority="1121" operator="between">
      <formula>$AA$1</formula>
      <formula>$AB$1</formula>
    </cfRule>
    <cfRule type="cellIs" dxfId="134" priority="1122" operator="equal">
      <formula>"."</formula>
    </cfRule>
    <cfRule type="cellIs" dxfId="133" priority="1123" operator="between">
      <formula>$AA$1</formula>
      <formula>$AB$1</formula>
    </cfRule>
  </conditionalFormatting>
  <conditionalFormatting sqref="Z19:XFD44 Y19:Y45 Y45:XFD47">
    <cfRule type="cellIs" dxfId="132" priority="989" operator="equal">
      <formula>"."</formula>
    </cfRule>
  </conditionalFormatting>
  <conditionalFormatting sqref="V1:V2">
    <cfRule type="cellIs" dxfId="131" priority="74" operator="equal">
      <formula>"."</formula>
    </cfRule>
  </conditionalFormatting>
  <conditionalFormatting sqref="V16">
    <cfRule type="cellIs" dxfId="130" priority="1" operator="equal">
      <formula>"."</formula>
    </cfRule>
  </conditionalFormatting>
  <conditionalFormatting sqref="V15">
    <cfRule type="cellIs" dxfId="129" priority="73" operator="lessThan">
      <formula>0.8</formula>
    </cfRule>
  </conditionalFormatting>
  <conditionalFormatting sqref="V3">
    <cfRule type="cellIs" dxfId="128" priority="72" operator="lessThan">
      <formula>0.8</formula>
    </cfRule>
  </conditionalFormatting>
  <conditionalFormatting sqref="V4:V14">
    <cfRule type="cellIs" dxfId="127" priority="2" operator="equal">
      <formula>"."</formula>
    </cfRule>
    <cfRule type="cellIs" dxfId="126" priority="3" operator="between">
      <formula>$AA$1</formula>
      <formula>$AB$1</formula>
    </cfRule>
    <cfRule type="cellIs" dxfId="125" priority="4" operator="equal">
      <formula>"."</formula>
    </cfRule>
    <cfRule type="cellIs" dxfId="124" priority="5" operator="between">
      <formula>$AA$1</formula>
      <formula>$AB$1</formula>
    </cfRule>
    <cfRule type="cellIs" dxfId="123" priority="6" operator="equal">
      <formula>"."</formula>
    </cfRule>
    <cfRule type="cellIs" dxfId="122" priority="7" operator="between">
      <formula>$AA$1</formula>
      <formula>$AB$1</formula>
    </cfRule>
    <cfRule type="cellIs" dxfId="121" priority="8" operator="equal">
      <formula>"."</formula>
    </cfRule>
    <cfRule type="cellIs" dxfId="120" priority="9" operator="between">
      <formula>$AA$1</formula>
      <formula>$AB$1</formula>
    </cfRule>
    <cfRule type="cellIs" dxfId="119" priority="10" operator="equal">
      <formula>"."</formula>
    </cfRule>
    <cfRule type="cellIs" dxfId="118" priority="11" operator="between">
      <formula>$AA$1</formula>
      <formula>$AB$1</formula>
    </cfRule>
    <cfRule type="cellIs" dxfId="117" priority="12" operator="equal">
      <formula>"."</formula>
    </cfRule>
    <cfRule type="cellIs" dxfId="116" priority="13" operator="between">
      <formula>$AA$1</formula>
      <formula>$AB$1</formula>
    </cfRule>
    <cfRule type="cellIs" dxfId="115" priority="14" operator="equal">
      <formula>"."</formula>
    </cfRule>
    <cfRule type="cellIs" dxfId="114" priority="15" operator="between">
      <formula>$AA$1</formula>
      <formula>$AB$1</formula>
    </cfRule>
    <cfRule type="cellIs" dxfId="113" priority="16" operator="equal">
      <formula>"."</formula>
    </cfRule>
    <cfRule type="cellIs" dxfId="112" priority="17" operator="between">
      <formula>$AA$1</formula>
      <formula>$AB$1</formula>
    </cfRule>
    <cfRule type="cellIs" dxfId="111" priority="18" operator="equal">
      <formula>"."</formula>
    </cfRule>
    <cfRule type="cellIs" dxfId="110" priority="19" operator="between">
      <formula>$AA$1</formula>
      <formula>$AB$1</formula>
    </cfRule>
    <cfRule type="cellIs" dxfId="109" priority="20" operator="equal">
      <formula>"."</formula>
    </cfRule>
    <cfRule type="cellIs" dxfId="108" priority="21" operator="between">
      <formula>$AA$1</formula>
      <formula>$AB$1</formula>
    </cfRule>
    <cfRule type="cellIs" dxfId="107" priority="22" operator="equal">
      <formula>"."</formula>
    </cfRule>
    <cfRule type="cellIs" dxfId="106" priority="23" operator="between">
      <formula>$AA$1</formula>
      <formula>$AB$1</formula>
    </cfRule>
    <cfRule type="cellIs" dxfId="105" priority="24" operator="equal">
      <formula>"."</formula>
    </cfRule>
    <cfRule type="cellIs" dxfId="104" priority="25" operator="between">
      <formula>$AA$1</formula>
      <formula>$AB$1</formula>
    </cfRule>
    <cfRule type="cellIs" dxfId="103" priority="26" operator="equal">
      <formula>"."</formula>
    </cfRule>
    <cfRule type="cellIs" dxfId="102" priority="27" operator="between">
      <formula>$AA$1</formula>
      <formula>$AB$1</formula>
    </cfRule>
    <cfRule type="cellIs" dxfId="101" priority="28" operator="equal">
      <formula>"."</formula>
    </cfRule>
    <cfRule type="cellIs" dxfId="100" priority="29" operator="between">
      <formula>$AA$1</formula>
      <formula>$AB$1</formula>
    </cfRule>
    <cfRule type="cellIs" dxfId="99" priority="30" operator="equal">
      <formula>"."</formula>
    </cfRule>
    <cfRule type="cellIs" dxfId="98" priority="31" operator="between">
      <formula>$AA$1</formula>
      <formula>$AB$1</formula>
    </cfRule>
    <cfRule type="cellIs" dxfId="97" priority="32" operator="equal">
      <formula>"."</formula>
    </cfRule>
    <cfRule type="cellIs" dxfId="96" priority="33" operator="between">
      <formula>$AA$1</formula>
      <formula>$AB$1</formula>
    </cfRule>
    <cfRule type="cellIs" dxfId="95" priority="34" operator="equal">
      <formula>"."</formula>
    </cfRule>
    <cfRule type="cellIs" dxfId="94" priority="35" operator="between">
      <formula>$AA$1</formula>
      <formula>$AB$1</formula>
    </cfRule>
    <cfRule type="cellIs" dxfId="93" priority="36" operator="equal">
      <formula>"."</formula>
    </cfRule>
    <cfRule type="cellIs" dxfId="92" priority="37" operator="between">
      <formula>$AA$1</formula>
      <formula>$AB$1</formula>
    </cfRule>
    <cfRule type="cellIs" dxfId="91" priority="38" operator="equal">
      <formula>"."</formula>
    </cfRule>
    <cfRule type="cellIs" dxfId="90" priority="39" operator="between">
      <formula>$AA$1</formula>
      <formula>$AB$1</formula>
    </cfRule>
    <cfRule type="cellIs" dxfId="89" priority="40" operator="equal">
      <formula>"."</formula>
    </cfRule>
    <cfRule type="cellIs" dxfId="88" priority="41" operator="between">
      <formula>$AA$1</formula>
      <formula>$AB$1</formula>
    </cfRule>
    <cfRule type="cellIs" dxfId="87" priority="42" operator="equal">
      <formula>"."</formula>
    </cfRule>
    <cfRule type="cellIs" dxfId="86" priority="43" operator="between">
      <formula>$AA$1</formula>
      <formula>$AB$1</formula>
    </cfRule>
    <cfRule type="cellIs" dxfId="85" priority="44" operator="equal">
      <formula>"."</formula>
    </cfRule>
    <cfRule type="cellIs" dxfId="84" priority="45" operator="between">
      <formula>$AA$1</formula>
      <formula>$AB$1</formula>
    </cfRule>
    <cfRule type="cellIs" dxfId="83" priority="46" operator="equal">
      <formula>"."</formula>
    </cfRule>
    <cfRule type="cellIs" dxfId="82" priority="47" operator="between">
      <formula>$AA$1</formula>
      <formula>$AB$1</formula>
    </cfRule>
    <cfRule type="cellIs" dxfId="81" priority="48" operator="equal">
      <formula>"."</formula>
    </cfRule>
    <cfRule type="cellIs" dxfId="80" priority="49" operator="between">
      <formula>$AA$1</formula>
      <formula>$AB$1</formula>
    </cfRule>
    <cfRule type="cellIs" dxfId="79" priority="50" operator="equal">
      <formula>"."</formula>
    </cfRule>
    <cfRule type="cellIs" dxfId="78" priority="51" operator="between">
      <formula>$AA$1</formula>
      <formula>$AB$1</formula>
    </cfRule>
    <cfRule type="cellIs" dxfId="77" priority="52" operator="equal">
      <formula>"."</formula>
    </cfRule>
    <cfRule type="cellIs" dxfId="76" priority="53" operator="between">
      <formula>$AA$1</formula>
      <formula>$AB$1</formula>
    </cfRule>
    <cfRule type="cellIs" dxfId="75" priority="54" operator="equal">
      <formula>"."</formula>
    </cfRule>
    <cfRule type="cellIs" dxfId="74" priority="55" operator="between">
      <formula>$AA$1</formula>
      <formula>$AB$1</formula>
    </cfRule>
    <cfRule type="cellIs" dxfId="73" priority="56" operator="equal">
      <formula>"."</formula>
    </cfRule>
    <cfRule type="cellIs" dxfId="72" priority="57" operator="between">
      <formula>$AA$1</formula>
      <formula>$AB$1</formula>
    </cfRule>
    <cfRule type="cellIs" dxfId="71" priority="58" operator="equal">
      <formula>"."</formula>
    </cfRule>
    <cfRule type="cellIs" dxfId="70" priority="59" operator="between">
      <formula>$AA$1</formula>
      <formula>$AB$1</formula>
    </cfRule>
    <cfRule type="cellIs" dxfId="69" priority="60" operator="equal">
      <formula>"."</formula>
    </cfRule>
    <cfRule type="cellIs" dxfId="68" priority="61" operator="between">
      <formula>$AA$1</formula>
      <formula>$AB$1</formula>
    </cfRule>
    <cfRule type="cellIs" dxfId="67" priority="62" operator="equal">
      <formula>"."</formula>
    </cfRule>
    <cfRule type="cellIs" dxfId="66" priority="63" operator="between">
      <formula>$AA$1</formula>
      <formula>$AB$1</formula>
    </cfRule>
    <cfRule type="cellIs" dxfId="65" priority="64" operator="equal">
      <formula>"."</formula>
    </cfRule>
    <cfRule type="cellIs" dxfId="64" priority="65" operator="between">
      <formula>$AA$1</formula>
      <formula>$AB$1</formula>
    </cfRule>
    <cfRule type="cellIs" dxfId="63" priority="66" operator="equal">
      <formula>"."</formula>
    </cfRule>
    <cfRule type="cellIs" dxfId="62" priority="67" operator="between">
      <formula>$AA$1</formula>
      <formula>$AB$1</formula>
    </cfRule>
    <cfRule type="cellIs" dxfId="61" priority="68" operator="equal">
      <formula>"."</formula>
    </cfRule>
    <cfRule type="cellIs" dxfId="60" priority="69" operator="between">
      <formula>$AA$1</formula>
      <formula>$AB$1</formula>
    </cfRule>
    <cfRule type="cellIs" dxfId="59" priority="70" operator="equal">
      <formula>"."</formula>
    </cfRule>
    <cfRule type="cellIs" dxfId="58" priority="71" operator="between">
      <formula>$AA$1</formula>
      <formula>$AB$1</formula>
    </cfRule>
  </conditionalFormatting>
  <printOptions horizontalCentered="1" verticalCentered="1"/>
  <pageMargins left="0" right="0" top="0" bottom="0" header="0" footer="0"/>
  <pageSetup paperSize="9" scale="3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view="pageBreakPreview" zoomScale="85" zoomScaleNormal="85" zoomScaleSheetLayoutView="85" workbookViewId="0">
      <selection activeCell="Q15" sqref="Q15"/>
    </sheetView>
  </sheetViews>
  <sheetFormatPr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1.85546875" style="403" customWidth="1"/>
    <col min="7" max="7" width="5.85546875" style="403" customWidth="1"/>
    <col min="8" max="8" width="11.28515625" style="403" customWidth="1"/>
    <col min="9" max="9" width="7.85546875" style="403" customWidth="1"/>
    <col min="10" max="10" width="11.5703125" style="403" customWidth="1"/>
    <col min="11" max="11" width="7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7.140625" style="403" customWidth="1"/>
    <col min="17" max="17" width="13.28515625" style="403" customWidth="1"/>
    <col min="18" max="18" width="6.570312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1:22" ht="27.75" customHeight="1" x14ac:dyDescent="0.25">
      <c r="B1" s="404" t="s">
        <v>21</v>
      </c>
      <c r="S1" s="558" t="s">
        <v>483</v>
      </c>
      <c r="T1" s="558"/>
    </row>
    <row r="2" spans="1:22" ht="27.75" customHeight="1" x14ac:dyDescent="0.25">
      <c r="B2" s="403"/>
      <c r="C2" s="403"/>
      <c r="D2" s="403"/>
    </row>
    <row r="3" spans="1:22" s="406" customFormat="1" ht="36" customHeight="1" x14ac:dyDescent="0.25">
      <c r="B3" s="559" t="s">
        <v>417</v>
      </c>
      <c r="C3" s="562" t="s">
        <v>415</v>
      </c>
      <c r="D3" s="407"/>
      <c r="E3" s="565" t="s">
        <v>351</v>
      </c>
      <c r="F3" s="568" t="s">
        <v>416</v>
      </c>
      <c r="G3" s="403"/>
      <c r="H3" s="571" t="s">
        <v>408</v>
      </c>
      <c r="I3" s="571"/>
      <c r="J3" s="571"/>
      <c r="K3" s="571"/>
      <c r="L3" s="571"/>
      <c r="M3" s="571"/>
      <c r="O3" s="572" t="s">
        <v>411</v>
      </c>
      <c r="P3" s="573"/>
      <c r="Q3" s="573"/>
      <c r="R3" s="573"/>
      <c r="S3" s="573"/>
      <c r="T3" s="574"/>
      <c r="U3" s="408"/>
    </row>
    <row r="4" spans="1:22" s="406" customFormat="1" ht="36" customHeight="1" x14ac:dyDescent="0.25">
      <c r="B4" s="560"/>
      <c r="C4" s="563"/>
      <c r="D4" s="407"/>
      <c r="E4" s="566"/>
      <c r="F4" s="569"/>
      <c r="G4" s="403"/>
      <c r="H4" s="552" t="s">
        <v>413</v>
      </c>
      <c r="I4" s="553"/>
      <c r="J4" s="552" t="s">
        <v>414</v>
      </c>
      <c r="K4" s="553"/>
      <c r="L4" s="556" t="s">
        <v>412</v>
      </c>
      <c r="M4" s="557"/>
      <c r="O4" s="552" t="s">
        <v>413</v>
      </c>
      <c r="P4" s="553"/>
      <c r="Q4" s="552" t="s">
        <v>414</v>
      </c>
      <c r="R4" s="553"/>
      <c r="S4" s="556" t="s">
        <v>412</v>
      </c>
      <c r="T4" s="557"/>
      <c r="U4" s="408"/>
    </row>
    <row r="5" spans="1:22" s="406" customFormat="1" ht="57" customHeight="1" x14ac:dyDescent="0.25">
      <c r="B5" s="561"/>
      <c r="C5" s="564"/>
      <c r="D5" s="407"/>
      <c r="E5" s="567"/>
      <c r="F5" s="570"/>
      <c r="G5" s="403"/>
      <c r="H5" s="554"/>
      <c r="I5" s="555"/>
      <c r="J5" s="554"/>
      <c r="K5" s="555"/>
      <c r="L5" s="467" t="s">
        <v>409</v>
      </c>
      <c r="M5" s="468" t="s">
        <v>410</v>
      </c>
      <c r="O5" s="554"/>
      <c r="P5" s="555"/>
      <c r="Q5" s="554"/>
      <c r="R5" s="555"/>
      <c r="S5" s="467" t="s">
        <v>409</v>
      </c>
      <c r="T5" s="468" t="s">
        <v>410</v>
      </c>
      <c r="U5" s="408"/>
    </row>
    <row r="6" spans="1:22" ht="27.75" customHeight="1" x14ac:dyDescent="0.25">
      <c r="B6" s="415">
        <v>21.25</v>
      </c>
      <c r="C6" s="416">
        <v>781</v>
      </c>
      <c r="E6" s="430" t="s">
        <v>436</v>
      </c>
      <c r="F6" s="416">
        <v>759.75</v>
      </c>
      <c r="H6" s="412">
        <v>4858</v>
      </c>
      <c r="I6" s="436">
        <v>6.3942086212569924</v>
      </c>
      <c r="J6" s="413">
        <v>1310</v>
      </c>
      <c r="K6" s="436">
        <v>1.7242513984863441</v>
      </c>
      <c r="L6" s="419">
        <v>4098.25</v>
      </c>
      <c r="M6" s="421">
        <v>550.25</v>
      </c>
      <c r="O6" s="412">
        <v>4803</v>
      </c>
      <c r="P6" s="436">
        <v>6.321816386969398</v>
      </c>
      <c r="Q6" s="412">
        <v>1860</v>
      </c>
      <c r="R6" s="436">
        <v>2.4481737413622904</v>
      </c>
      <c r="S6" s="419">
        <v>4043.25</v>
      </c>
      <c r="T6" s="419">
        <v>1100.25</v>
      </c>
    </row>
    <row r="7" spans="1:22" ht="27.75" customHeight="1" x14ac:dyDescent="0.25">
      <c r="B7" s="415">
        <v>-195.25</v>
      </c>
      <c r="C7" s="416">
        <v>375</v>
      </c>
      <c r="E7" s="430" t="s">
        <v>433</v>
      </c>
      <c r="F7" s="416">
        <v>570.25</v>
      </c>
      <c r="H7" s="412">
        <v>1709</v>
      </c>
      <c r="I7" s="436">
        <v>2.996931170539237</v>
      </c>
      <c r="J7" s="413">
        <v>1687</v>
      </c>
      <c r="K7" s="436">
        <v>2.9583516001753618</v>
      </c>
      <c r="L7" s="419">
        <v>1138.75</v>
      </c>
      <c r="M7" s="421">
        <v>1116.75</v>
      </c>
      <c r="O7" s="412">
        <v>1709</v>
      </c>
      <c r="P7" s="436">
        <v>2.996931170539237</v>
      </c>
      <c r="Q7" s="412">
        <v>1687</v>
      </c>
      <c r="R7" s="436">
        <v>2.9583516001753618</v>
      </c>
      <c r="S7" s="419">
        <v>1138.75</v>
      </c>
      <c r="T7" s="419">
        <v>1116.75</v>
      </c>
    </row>
    <row r="8" spans="1:22" ht="27.75" customHeight="1" x14ac:dyDescent="0.25">
      <c r="B8" s="415">
        <v>-229</v>
      </c>
      <c r="C8" s="416">
        <v>1050</v>
      </c>
      <c r="E8" s="430" t="s">
        <v>444</v>
      </c>
      <c r="F8" s="416">
        <v>1279</v>
      </c>
      <c r="H8" s="412">
        <v>3469</v>
      </c>
      <c r="I8" s="436">
        <v>2.712275215011728</v>
      </c>
      <c r="J8" s="413">
        <v>47</v>
      </c>
      <c r="K8" s="436">
        <v>3.6747458952306487E-2</v>
      </c>
      <c r="L8" s="419">
        <v>2190</v>
      </c>
      <c r="M8" s="421">
        <v>-1232</v>
      </c>
      <c r="O8" s="412">
        <v>3869</v>
      </c>
      <c r="P8" s="436">
        <v>3.0250195465207192</v>
      </c>
      <c r="Q8" s="412">
        <v>1183</v>
      </c>
      <c r="R8" s="436">
        <v>0.92494136043784203</v>
      </c>
      <c r="S8" s="419">
        <v>2590</v>
      </c>
      <c r="T8" s="419">
        <v>-96</v>
      </c>
    </row>
    <row r="9" spans="1:22" ht="27.75" customHeight="1" x14ac:dyDescent="0.25">
      <c r="B9" s="415">
        <v>48</v>
      </c>
      <c r="C9" s="416">
        <v>724</v>
      </c>
      <c r="E9" s="430" t="s">
        <v>456</v>
      </c>
      <c r="F9" s="416">
        <v>676</v>
      </c>
      <c r="H9" s="412">
        <v>1079</v>
      </c>
      <c r="I9" s="436">
        <v>1.5961538461538463</v>
      </c>
      <c r="J9" s="413">
        <v>846</v>
      </c>
      <c r="K9" s="436">
        <v>1.2514792899408285</v>
      </c>
      <c r="L9" s="419">
        <v>403</v>
      </c>
      <c r="M9" s="421">
        <v>170</v>
      </c>
      <c r="O9" s="412"/>
      <c r="P9" s="436">
        <v>0</v>
      </c>
      <c r="Q9" s="412"/>
      <c r="R9" s="436">
        <v>0</v>
      </c>
      <c r="S9" s="419"/>
      <c r="T9" s="419"/>
    </row>
    <row r="10" spans="1:22" ht="27.75" customHeight="1" x14ac:dyDescent="0.25">
      <c r="B10" s="415">
        <v>68</v>
      </c>
      <c r="C10" s="416">
        <v>525</v>
      </c>
      <c r="E10" s="430" t="s">
        <v>440</v>
      </c>
      <c r="F10" s="416">
        <v>457</v>
      </c>
      <c r="H10" s="412">
        <v>8421</v>
      </c>
      <c r="I10" s="436">
        <v>18.426695842450766</v>
      </c>
      <c r="J10" s="413">
        <v>3223</v>
      </c>
      <c r="K10" s="436">
        <v>7.0525164113785559</v>
      </c>
      <c r="L10" s="419">
        <v>7964</v>
      </c>
      <c r="M10" s="421">
        <v>2766</v>
      </c>
      <c r="O10" s="412">
        <v>9021</v>
      </c>
      <c r="P10" s="436">
        <v>19.739606126914662</v>
      </c>
      <c r="Q10" s="412">
        <v>1124</v>
      </c>
      <c r="R10" s="436">
        <v>2.4595185995623634</v>
      </c>
      <c r="S10" s="419">
        <v>8564</v>
      </c>
      <c r="T10" s="419">
        <v>667</v>
      </c>
    </row>
    <row r="11" spans="1:22" ht="27.75" customHeight="1" x14ac:dyDescent="0.25">
      <c r="B11" s="415">
        <v>97.5</v>
      </c>
      <c r="C11" s="416">
        <v>200</v>
      </c>
      <c r="E11" s="413" t="s">
        <v>442</v>
      </c>
      <c r="F11" s="416">
        <v>102.5</v>
      </c>
      <c r="H11" s="412">
        <v>7401</v>
      </c>
      <c r="I11" s="436">
        <v>72.204878048780486</v>
      </c>
      <c r="J11" s="413">
        <v>4099</v>
      </c>
      <c r="K11" s="436">
        <v>39.990243902439026</v>
      </c>
      <c r="L11" s="419">
        <v>7298.5</v>
      </c>
      <c r="M11" s="421">
        <v>3996.5</v>
      </c>
      <c r="O11" s="412">
        <v>7201</v>
      </c>
      <c r="P11" s="436">
        <v>70.253658536585363</v>
      </c>
      <c r="Q11" s="412">
        <v>2299</v>
      </c>
      <c r="R11" s="436">
        <v>22.429268292682927</v>
      </c>
      <c r="S11" s="419">
        <v>7098.5</v>
      </c>
      <c r="T11" s="419">
        <v>2196.5</v>
      </c>
    </row>
    <row r="12" spans="1:22" ht="27.75" customHeight="1" x14ac:dyDescent="0.25">
      <c r="B12" s="415">
        <v>-360</v>
      </c>
      <c r="C12" s="416"/>
      <c r="E12" s="412" t="s">
        <v>458</v>
      </c>
      <c r="F12" s="416">
        <v>600</v>
      </c>
      <c r="H12" s="412">
        <v>881</v>
      </c>
      <c r="I12" s="436">
        <v>1.4683333333333333</v>
      </c>
      <c r="J12" s="413"/>
      <c r="K12" s="436">
        <v>0</v>
      </c>
      <c r="L12" s="419">
        <v>281</v>
      </c>
      <c r="M12" s="421"/>
      <c r="O12" s="412"/>
      <c r="P12" s="436">
        <v>0</v>
      </c>
      <c r="Q12" s="412"/>
      <c r="R12" s="436">
        <v>0</v>
      </c>
      <c r="S12" s="419"/>
      <c r="T12" s="419"/>
    </row>
    <row r="13" spans="1:22" ht="27.75" customHeight="1" x14ac:dyDescent="0.25">
      <c r="B13" s="415">
        <v>52</v>
      </c>
      <c r="C13" s="416"/>
      <c r="E13" s="412" t="s">
        <v>472</v>
      </c>
      <c r="F13" s="416">
        <v>450</v>
      </c>
      <c r="H13" s="412">
        <v>2321</v>
      </c>
      <c r="I13" s="436">
        <v>5.1577777777777776</v>
      </c>
      <c r="J13" s="413">
        <v>400</v>
      </c>
      <c r="K13" s="436">
        <v>0.88888888888888884</v>
      </c>
      <c r="L13" s="419">
        <v>1871</v>
      </c>
      <c r="M13" s="421">
        <v>-50</v>
      </c>
      <c r="O13" s="412">
        <v>2571</v>
      </c>
      <c r="P13" s="436">
        <v>5.7133333333333329</v>
      </c>
      <c r="Q13" s="412">
        <v>1050</v>
      </c>
      <c r="R13" s="436">
        <v>2.3333333333333335</v>
      </c>
      <c r="S13" s="419">
        <v>2121</v>
      </c>
      <c r="T13" s="419">
        <v>600</v>
      </c>
    </row>
    <row r="14" spans="1:22" ht="27.75" customHeight="1" x14ac:dyDescent="0.25">
      <c r="B14" s="415">
        <v>-49</v>
      </c>
      <c r="C14" s="416"/>
      <c r="E14" s="413" t="s">
        <v>474</v>
      </c>
      <c r="F14" s="416">
        <v>250</v>
      </c>
      <c r="H14" s="412">
        <v>894</v>
      </c>
      <c r="I14" s="436">
        <v>3.5760000000000001</v>
      </c>
      <c r="J14" s="413">
        <v>50</v>
      </c>
      <c r="K14" s="436">
        <v>0.2</v>
      </c>
      <c r="L14" s="419">
        <v>644</v>
      </c>
      <c r="M14" s="421">
        <v>-200</v>
      </c>
      <c r="O14" s="412"/>
      <c r="P14" s="436"/>
      <c r="Q14" s="412"/>
      <c r="R14" s="436"/>
      <c r="S14" s="419"/>
      <c r="T14" s="419"/>
    </row>
    <row r="15" spans="1:22" s="405" customFormat="1" ht="27.75" customHeight="1" x14ac:dyDescent="0.25">
      <c r="A15" s="403"/>
      <c r="B15" s="417"/>
      <c r="C15" s="418"/>
      <c r="D15" s="404"/>
      <c r="E15" s="403"/>
      <c r="F15" s="420"/>
      <c r="G15" s="403"/>
      <c r="H15" s="403"/>
      <c r="I15" s="403"/>
      <c r="J15" s="414"/>
      <c r="K15" s="414"/>
      <c r="L15" s="420"/>
      <c r="M15" s="420"/>
      <c r="N15" s="403"/>
      <c r="O15" s="403"/>
      <c r="P15" s="403"/>
      <c r="Q15" s="403"/>
      <c r="R15" s="403"/>
      <c r="S15" s="422"/>
      <c r="T15" s="420"/>
      <c r="V15" s="403"/>
    </row>
    <row r="16" spans="1:22" s="405" customFormat="1" ht="27.75" customHeight="1" x14ac:dyDescent="0.25">
      <c r="A16" s="403"/>
      <c r="B16" s="417">
        <v>-546.5</v>
      </c>
      <c r="C16" s="417">
        <v>3655</v>
      </c>
      <c r="D16" s="411">
        <v>0</v>
      </c>
      <c r="E16" s="412" t="s">
        <v>13</v>
      </c>
      <c r="F16" s="419">
        <v>5144.5</v>
      </c>
      <c r="G16" s="403"/>
      <c r="H16" s="419">
        <v>31033</v>
      </c>
      <c r="I16" s="403"/>
      <c r="J16" s="419">
        <v>11662</v>
      </c>
      <c r="K16" s="420"/>
      <c r="L16" s="418"/>
      <c r="M16" s="418"/>
      <c r="N16" s="404"/>
      <c r="O16" s="419">
        <v>29174</v>
      </c>
      <c r="P16" s="403"/>
      <c r="Q16" s="419">
        <v>9203</v>
      </c>
      <c r="R16" s="420"/>
      <c r="S16" s="418"/>
      <c r="T16" s="418"/>
      <c r="V16" s="403"/>
    </row>
    <row r="17" spans="1:22" s="405" customFormat="1" ht="27.75" customHeight="1" x14ac:dyDescent="0.25">
      <c r="A17" s="403"/>
      <c r="B17" s="404"/>
      <c r="C17" s="404"/>
      <c r="D17" s="404"/>
      <c r="F17" s="403"/>
      <c r="G17" s="403"/>
      <c r="H17" s="403"/>
      <c r="I17" s="403"/>
      <c r="J17" s="403"/>
      <c r="K17" s="403"/>
      <c r="L17" s="431"/>
      <c r="M17" s="403"/>
      <c r="N17" s="403"/>
      <c r="O17" s="403"/>
      <c r="P17" s="403"/>
      <c r="Q17" s="403"/>
      <c r="R17" s="403"/>
      <c r="S17" s="403"/>
      <c r="T17" s="403"/>
      <c r="V17" s="403"/>
    </row>
    <row r="18" spans="1:22" s="405" customFormat="1" ht="27.75" customHeight="1" x14ac:dyDescent="0.25">
      <c r="A18" s="403"/>
      <c r="B18" s="404"/>
      <c r="C18" s="404"/>
      <c r="D18" s="404"/>
      <c r="E18" s="446"/>
      <c r="F18" s="403"/>
      <c r="G18" s="403"/>
      <c r="H18" s="403"/>
      <c r="I18" s="403"/>
      <c r="J18" s="403"/>
      <c r="K18" s="403"/>
      <c r="L18" s="431"/>
      <c r="M18" s="403"/>
      <c r="N18" s="403"/>
      <c r="O18" s="403"/>
      <c r="P18" s="403"/>
      <c r="Q18" s="403"/>
      <c r="R18" s="403"/>
      <c r="S18" s="403"/>
      <c r="T18" s="403"/>
      <c r="V18" s="403"/>
    </row>
    <row r="19" spans="1:22" s="405" customFormat="1" ht="27.75" customHeight="1" x14ac:dyDescent="0.25">
      <c r="A19" s="403"/>
      <c r="B19" s="404"/>
      <c r="C19" s="404"/>
      <c r="D19" s="404"/>
      <c r="E19" s="446"/>
      <c r="F19" s="403"/>
      <c r="G19" s="403"/>
      <c r="H19" s="403"/>
      <c r="I19" s="403"/>
      <c r="J19" s="403"/>
      <c r="K19" s="403"/>
      <c r="L19" s="431"/>
      <c r="M19" s="403"/>
      <c r="N19" s="403"/>
      <c r="O19" s="403"/>
      <c r="P19" s="403"/>
      <c r="Q19" s="403"/>
      <c r="R19" s="403"/>
      <c r="S19" s="403"/>
      <c r="T19" s="403"/>
      <c r="V19" s="403"/>
    </row>
    <row r="20" spans="1:22" s="405" customFormat="1" ht="27.75" customHeight="1" x14ac:dyDescent="0.25">
      <c r="A20" s="403"/>
      <c r="B20" s="404"/>
      <c r="C20" s="404"/>
      <c r="D20" s="404"/>
      <c r="E20" s="446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ht="27.75" customHeight="1" x14ac:dyDescent="0.25">
      <c r="E29" s="446"/>
    </row>
    <row r="30" spans="1:22" ht="27.75" customHeight="1" x14ac:dyDescent="0.25">
      <c r="E30" s="446"/>
    </row>
    <row r="31" spans="1:22" ht="27.75" customHeight="1" x14ac:dyDescent="0.25">
      <c r="E31" s="446"/>
    </row>
    <row r="32" spans="1:22" ht="27.75" customHeight="1" x14ac:dyDescent="0.25">
      <c r="E32" s="446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57" priority="10" operator="equal">
      <formula>0</formula>
    </cfRule>
  </conditionalFormatting>
  <conditionalFormatting sqref="B6:B14">
    <cfRule type="cellIs" dxfId="56" priority="3" operator="greaterThan">
      <formula>0</formula>
    </cfRule>
  </conditionalFormatting>
  <conditionalFormatting sqref="E1:E1048576">
    <cfRule type="duplicateValues" dxfId="55" priority="1"/>
  </conditionalFormatting>
  <conditionalFormatting sqref="H2:I3 A4:H4">
    <cfRule type="cellIs" dxfId="54" priority="4" operator="equal">
      <formula>0</formula>
    </cfRule>
  </conditionalFormatting>
  <conditionalFormatting sqref="J1:K2 J15:XFD17 J21:XFD1048576">
    <cfRule type="cellIs" dxfId="53" priority="6" operator="equal">
      <formula>0</formula>
    </cfRule>
  </conditionalFormatting>
  <conditionalFormatting sqref="J15:M15 L6:M14 T12:T15 S6:T11 S12:S14">
    <cfRule type="cellIs" dxfId="52" priority="7" operator="lessThan">
      <formula>0</formula>
    </cfRule>
  </conditionalFormatting>
  <conditionalFormatting sqref="L5:N5">
    <cfRule type="cellIs" dxfId="51" priority="8" operator="equal">
      <formula>0</formula>
    </cfRule>
  </conditionalFormatting>
  <conditionalFormatting sqref="L1:S1">
    <cfRule type="cellIs" dxfId="50" priority="9" operator="equal">
      <formula>0</formula>
    </cfRule>
  </conditionalFormatting>
  <conditionalFormatting sqref="O16:R16">
    <cfRule type="cellIs" dxfId="49" priority="2" operator="equal">
      <formula>0</formula>
    </cfRule>
  </conditionalFormatting>
  <conditionalFormatting sqref="S5:T5">
    <cfRule type="cellIs" dxfId="48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zoomScale="85" zoomScaleNormal="85" zoomScaleSheetLayoutView="85" workbookViewId="0">
      <selection activeCell="Q10" sqref="Q10"/>
    </sheetView>
  </sheetViews>
  <sheetFormatPr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1.85546875" style="403" customWidth="1"/>
    <col min="7" max="7" width="5.85546875" style="403" customWidth="1"/>
    <col min="8" max="8" width="11.28515625" style="403" customWidth="1"/>
    <col min="9" max="9" width="7.85546875" style="403" customWidth="1"/>
    <col min="10" max="10" width="11.5703125" style="403" customWidth="1"/>
    <col min="11" max="11" width="7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7.140625" style="403" customWidth="1"/>
    <col min="17" max="17" width="13.28515625" style="403" customWidth="1"/>
    <col min="18" max="18" width="6.5703125" style="403" customWidth="1"/>
    <col min="19" max="20" width="11" style="403" customWidth="1"/>
    <col min="21" max="21" width="0.85546875" style="405" customWidth="1"/>
    <col min="22" max="22" width="0" style="403" hidden="1" customWidth="1"/>
    <col min="23" max="23" width="11.5703125" style="403" bestFit="1" customWidth="1"/>
    <col min="24" max="16384" width="9.140625" style="403"/>
  </cols>
  <sheetData>
    <row r="1" spans="1:23" ht="27.75" customHeight="1" x14ac:dyDescent="0.25">
      <c r="B1" s="404" t="s">
        <v>21</v>
      </c>
      <c r="S1" s="558" t="s">
        <v>496</v>
      </c>
      <c r="T1" s="558"/>
    </row>
    <row r="2" spans="1:23" ht="27.75" customHeight="1" x14ac:dyDescent="0.25">
      <c r="B2" s="403"/>
      <c r="C2" s="403"/>
      <c r="D2" s="403"/>
    </row>
    <row r="3" spans="1:23" s="406" customFormat="1" ht="36" customHeight="1" x14ac:dyDescent="0.25">
      <c r="B3" s="559" t="s">
        <v>417</v>
      </c>
      <c r="C3" s="562" t="s">
        <v>415</v>
      </c>
      <c r="D3" s="407"/>
      <c r="E3" s="565" t="s">
        <v>351</v>
      </c>
      <c r="F3" s="568" t="s">
        <v>416</v>
      </c>
      <c r="G3" s="403"/>
      <c r="H3" s="571" t="s">
        <v>408</v>
      </c>
      <c r="I3" s="571"/>
      <c r="J3" s="571"/>
      <c r="K3" s="571"/>
      <c r="L3" s="571"/>
      <c r="M3" s="571"/>
      <c r="O3" s="572" t="s">
        <v>411</v>
      </c>
      <c r="P3" s="573"/>
      <c r="Q3" s="573"/>
      <c r="R3" s="573"/>
      <c r="S3" s="573"/>
      <c r="T3" s="574"/>
      <c r="U3" s="408"/>
    </row>
    <row r="4" spans="1:23" s="406" customFormat="1" ht="36" customHeight="1" x14ac:dyDescent="0.25">
      <c r="B4" s="560"/>
      <c r="C4" s="563"/>
      <c r="D4" s="407"/>
      <c r="E4" s="566"/>
      <c r="F4" s="569"/>
      <c r="G4" s="403"/>
      <c r="H4" s="552" t="s">
        <v>413</v>
      </c>
      <c r="I4" s="553"/>
      <c r="J4" s="552" t="s">
        <v>414</v>
      </c>
      <c r="K4" s="553"/>
      <c r="L4" s="556" t="s">
        <v>412</v>
      </c>
      <c r="M4" s="557"/>
      <c r="O4" s="552" t="s">
        <v>413</v>
      </c>
      <c r="P4" s="553"/>
      <c r="Q4" s="552" t="s">
        <v>414</v>
      </c>
      <c r="R4" s="553"/>
      <c r="S4" s="556" t="s">
        <v>412</v>
      </c>
      <c r="T4" s="557"/>
      <c r="U4" s="408"/>
    </row>
    <row r="5" spans="1:23" s="406" customFormat="1" ht="57" customHeight="1" x14ac:dyDescent="0.25">
      <c r="B5" s="561"/>
      <c r="C5" s="564"/>
      <c r="D5" s="407"/>
      <c r="E5" s="567"/>
      <c r="F5" s="570"/>
      <c r="G5" s="403"/>
      <c r="H5" s="554"/>
      <c r="I5" s="555"/>
      <c r="J5" s="554"/>
      <c r="K5" s="555"/>
      <c r="L5" s="409" t="s">
        <v>409</v>
      </c>
      <c r="M5" s="410" t="s">
        <v>410</v>
      </c>
      <c r="O5" s="554"/>
      <c r="P5" s="555"/>
      <c r="Q5" s="554"/>
      <c r="R5" s="555"/>
      <c r="S5" s="409" t="s">
        <v>409</v>
      </c>
      <c r="T5" s="410" t="s">
        <v>410</v>
      </c>
      <c r="U5" s="408"/>
    </row>
    <row r="6" spans="1:23" ht="27.75" customHeight="1" x14ac:dyDescent="0.25">
      <c r="B6" s="415">
        <f t="shared" ref="B6:B14" ca="1" si="0">+SUMIF(INDIRECT("'" &amp; $S$1 &amp; "'!$G1:$G110"),E6,INDIRECT("'" &amp; $S$1 &amp; "'!$At1:$At110"))</f>
        <v>-281.375</v>
      </c>
      <c r="C6" s="416">
        <f t="shared" ref="C6:C9" ca="1" si="1">+F6+B6</f>
        <v>180</v>
      </c>
      <c r="E6" s="430" t="s">
        <v>436</v>
      </c>
      <c r="F6" s="416">
        <f t="shared" ref="F6:F10" ca="1" si="2">-B6+SUMIFS(INDIRECT("'" &amp; $S$1 &amp; "'!$X$6:$X$100"),INDIRECT("'" &amp; $S$1 &amp; "'!$g$6:$g$100"),E6,INDIRECT("'" &amp; $S$1 &amp; "'!$l$6:$l$100"),$B$1)</f>
        <v>461.375</v>
      </c>
      <c r="H6" s="412">
        <v>1130</v>
      </c>
      <c r="I6" s="436">
        <f t="shared" ref="I6:I12" ca="1" si="3">+IFERROR(H6/F6,"")</f>
        <v>2.449200758602005</v>
      </c>
      <c r="J6" s="413">
        <v>1098</v>
      </c>
      <c r="K6" s="436">
        <f t="shared" ref="K6:K9" ca="1" si="4">+IFERROR(J6/F6,"")</f>
        <v>2.3798428610132754</v>
      </c>
      <c r="L6" s="419">
        <f t="shared" ref="L6:L12" ca="1" si="5">+H6-F6</f>
        <v>668.625</v>
      </c>
      <c r="M6" s="421">
        <f t="shared" ref="M6:M9" ca="1" si="6">+J6-F6</f>
        <v>636.625</v>
      </c>
      <c r="O6" s="412">
        <v>1130</v>
      </c>
      <c r="P6" s="436">
        <f t="shared" ref="P6:P9" ca="1" si="7">+IFERROR(O6/F6,"")</f>
        <v>2.449200758602005</v>
      </c>
      <c r="Q6" s="412">
        <v>119</v>
      </c>
      <c r="R6" s="436">
        <f t="shared" ref="R6:R9" ca="1" si="8">+IFERROR(Q6/F6,"")</f>
        <v>0.25792468165808724</v>
      </c>
      <c r="S6" s="419">
        <f t="shared" ref="S6:S8" ca="1" si="9">+O6-F6</f>
        <v>668.625</v>
      </c>
      <c r="T6" s="419">
        <f t="shared" ref="T6:T9" ca="1" si="10">+Q6-F6</f>
        <v>-342.375</v>
      </c>
      <c r="W6" s="414">
        <f ca="1">+T6/60</f>
        <v>-5.7062499999999998</v>
      </c>
    </row>
    <row r="7" spans="1:23" ht="27.75" customHeight="1" x14ac:dyDescent="0.25">
      <c r="B7" s="415">
        <f t="shared" ca="1" si="0"/>
        <v>0</v>
      </c>
      <c r="C7" s="416">
        <f t="shared" ca="1" si="1"/>
        <v>0</v>
      </c>
      <c r="E7" s="430" t="s">
        <v>444</v>
      </c>
      <c r="F7" s="416">
        <f t="shared" ca="1" si="2"/>
        <v>0</v>
      </c>
      <c r="H7" s="412">
        <v>2353</v>
      </c>
      <c r="I7" s="436" t="str">
        <f t="shared" ca="1" si="3"/>
        <v/>
      </c>
      <c r="J7" s="413">
        <v>697</v>
      </c>
      <c r="K7" s="436" t="str">
        <f t="shared" ca="1" si="4"/>
        <v/>
      </c>
      <c r="L7" s="419">
        <f t="shared" ca="1" si="5"/>
        <v>2353</v>
      </c>
      <c r="M7" s="421">
        <f t="shared" ca="1" si="6"/>
        <v>697</v>
      </c>
      <c r="O7" s="412">
        <v>2353</v>
      </c>
      <c r="P7" s="436" t="str">
        <f t="shared" ca="1" si="7"/>
        <v/>
      </c>
      <c r="Q7" s="412">
        <v>50</v>
      </c>
      <c r="R7" s="436" t="str">
        <f t="shared" ca="1" si="8"/>
        <v/>
      </c>
      <c r="S7" s="419">
        <f t="shared" ca="1" si="9"/>
        <v>2353</v>
      </c>
      <c r="T7" s="419">
        <f t="shared" ca="1" si="10"/>
        <v>50</v>
      </c>
      <c r="W7" s="403">
        <f ca="1">+T7/50</f>
        <v>1</v>
      </c>
    </row>
    <row r="8" spans="1:23" ht="27.75" customHeight="1" x14ac:dyDescent="0.25">
      <c r="B8" s="415">
        <f t="shared" ca="1" si="0"/>
        <v>-120</v>
      </c>
      <c r="C8" s="416">
        <f t="shared" ca="1" si="1"/>
        <v>120</v>
      </c>
      <c r="E8" s="430" t="s">
        <v>489</v>
      </c>
      <c r="F8" s="416">
        <f t="shared" ca="1" si="2"/>
        <v>240</v>
      </c>
      <c r="H8" s="412">
        <v>1760</v>
      </c>
      <c r="I8" s="436">
        <f t="shared" ca="1" si="3"/>
        <v>7.333333333333333</v>
      </c>
      <c r="J8" s="413">
        <v>300</v>
      </c>
      <c r="K8" s="436">
        <f t="shared" ca="1" si="4"/>
        <v>1.25</v>
      </c>
      <c r="L8" s="419">
        <f ca="1">+H8-F8</f>
        <v>1520</v>
      </c>
      <c r="M8" s="421">
        <f ca="1">+J8-F8</f>
        <v>60</v>
      </c>
      <c r="O8" s="412">
        <v>2810</v>
      </c>
      <c r="P8" s="436">
        <f t="shared" ca="1" si="7"/>
        <v>11.708333333333334</v>
      </c>
      <c r="Q8" s="412">
        <v>660</v>
      </c>
      <c r="R8" s="436">
        <f t="shared" ca="1" si="8"/>
        <v>2.75</v>
      </c>
      <c r="S8" s="419">
        <f t="shared" ca="1" si="9"/>
        <v>2570</v>
      </c>
      <c r="T8" s="419">
        <f t="shared" ca="1" si="10"/>
        <v>420</v>
      </c>
    </row>
    <row r="9" spans="1:23" ht="27.75" customHeight="1" x14ac:dyDescent="0.25">
      <c r="B9" s="415">
        <f t="shared" ca="1" si="0"/>
        <v>-666.44999999999982</v>
      </c>
      <c r="C9" s="416">
        <f t="shared" ca="1" si="1"/>
        <v>675</v>
      </c>
      <c r="E9" s="430" t="s">
        <v>440</v>
      </c>
      <c r="F9" s="416">
        <f t="shared" ca="1" si="2"/>
        <v>1341.4499999999998</v>
      </c>
      <c r="H9" s="412">
        <v>8720</v>
      </c>
      <c r="I9" s="436">
        <f t="shared" ca="1" si="3"/>
        <v>6.5004286406500436</v>
      </c>
      <c r="J9" s="413">
        <v>2097</v>
      </c>
      <c r="K9" s="436">
        <f t="shared" ca="1" si="4"/>
        <v>1.5632338141563236</v>
      </c>
      <c r="L9" s="419">
        <f t="shared" ca="1" si="5"/>
        <v>7378.55</v>
      </c>
      <c r="M9" s="421">
        <f t="shared" ca="1" si="6"/>
        <v>755.55000000000018</v>
      </c>
      <c r="O9" s="412">
        <v>10175</v>
      </c>
      <c r="P9" s="436">
        <f t="shared" ca="1" si="7"/>
        <v>7.5850758507585088</v>
      </c>
      <c r="Q9" s="412">
        <v>750</v>
      </c>
      <c r="R9" s="436">
        <f t="shared" ca="1" si="8"/>
        <v>0.55909650005590972</v>
      </c>
      <c r="S9" s="419">
        <f ca="1">+O9-F9</f>
        <v>8833.5499999999993</v>
      </c>
      <c r="T9" s="419">
        <f t="shared" ca="1" si="10"/>
        <v>-591.44999999999982</v>
      </c>
      <c r="W9" s="414">
        <f ca="1">+T9/75</f>
        <v>-7.8859999999999975</v>
      </c>
    </row>
    <row r="10" spans="1:23" ht="27.75" customHeight="1" x14ac:dyDescent="0.25">
      <c r="B10" s="415">
        <f t="shared" ref="B10" ca="1" si="11">+SUMIF(INDIRECT("'" &amp; $S$1 &amp; "'!$G1:$G110"),E10,INDIRECT("'" &amp; $S$1 &amp; "'!$At1:$At110"))</f>
        <v>-345.02500000000009</v>
      </c>
      <c r="C10" s="416">
        <f t="shared" ref="C10" ca="1" si="12">+F10+B10</f>
        <v>450</v>
      </c>
      <c r="E10" s="413" t="s">
        <v>442</v>
      </c>
      <c r="F10" s="416">
        <f t="shared" ca="1" si="2"/>
        <v>795.02500000000009</v>
      </c>
      <c r="H10" s="412">
        <v>8651</v>
      </c>
      <c r="I10" s="436">
        <f t="shared" ref="I10" ca="1" si="13">+IFERROR(H10/F10,"")</f>
        <v>10.881418823307442</v>
      </c>
      <c r="J10" s="413">
        <v>3999</v>
      </c>
      <c r="K10" s="436">
        <f t="shared" ref="K10:K12" ca="1" si="14">+IFERROR(J10/F10,"")</f>
        <v>5.0300305021854657</v>
      </c>
      <c r="L10" s="419">
        <f t="shared" ref="L10" ca="1" si="15">+H10-F10</f>
        <v>7855.9750000000004</v>
      </c>
      <c r="M10" s="421">
        <f t="shared" ref="M10:M14" ca="1" si="16">+J10-F10</f>
        <v>3203.9749999999999</v>
      </c>
      <c r="O10" s="412">
        <v>8651</v>
      </c>
      <c r="P10" s="436">
        <f t="shared" ref="P10:P14" ca="1" si="17">+IFERROR(O10/F10,"")</f>
        <v>10.881418823307442</v>
      </c>
      <c r="Q10" s="412">
        <v>500</v>
      </c>
      <c r="R10" s="436">
        <f t="shared" ref="R10:R14" ca="1" si="18">+IFERROR(Q10/F10,"")</f>
        <v>0.62891104053331648</v>
      </c>
      <c r="S10" s="419">
        <f t="shared" ref="S10:S14" ca="1" si="19">+O10-F10</f>
        <v>7855.9750000000004</v>
      </c>
      <c r="T10" s="419">
        <f t="shared" ref="T10:T14" ca="1" si="20">+Q10-F10</f>
        <v>-295.02500000000009</v>
      </c>
      <c r="W10" s="414">
        <f ca="1">+T10/50</f>
        <v>-5.9005000000000019</v>
      </c>
    </row>
    <row r="11" spans="1:23" ht="27.75" customHeight="1" x14ac:dyDescent="0.25">
      <c r="B11" s="415">
        <f t="shared" ca="1" si="0"/>
        <v>-388</v>
      </c>
      <c r="C11" s="416"/>
      <c r="E11" s="412" t="s">
        <v>472</v>
      </c>
      <c r="F11" s="416">
        <f t="shared" ref="F11:F14" ca="1" si="21">-B11+SUMIFS(INDIRECT("'" &amp; $S$1 &amp; "'!$X$6:$X$100"),INDIRECT("'" &amp; $S$1 &amp; "'!$g$6:$g$100"),E11,INDIRECT("'" &amp; $S$1 &amp; "'!$l$6:$l$100"),$B$1)</f>
        <v>1138</v>
      </c>
      <c r="H11" s="412">
        <v>6369</v>
      </c>
      <c r="I11" s="436">
        <f t="shared" ca="1" si="3"/>
        <v>5.5966608084358525</v>
      </c>
      <c r="J11" s="413">
        <v>598</v>
      </c>
      <c r="K11" s="436">
        <f t="shared" ca="1" si="14"/>
        <v>0.52548330404217924</v>
      </c>
      <c r="L11" s="419">
        <f t="shared" ca="1" si="5"/>
        <v>5231</v>
      </c>
      <c r="M11" s="421">
        <f ca="1">+J11-F11</f>
        <v>-540</v>
      </c>
      <c r="O11" s="412">
        <v>7119</v>
      </c>
      <c r="P11" s="436">
        <f t="shared" ca="1" si="17"/>
        <v>6.2557117750439364</v>
      </c>
      <c r="Q11" s="412">
        <v>798</v>
      </c>
      <c r="R11" s="436">
        <f t="shared" ca="1" si="18"/>
        <v>0.7012302284710018</v>
      </c>
      <c r="S11" s="419">
        <f t="shared" ca="1" si="19"/>
        <v>5981</v>
      </c>
      <c r="T11" s="419">
        <f t="shared" ca="1" si="20"/>
        <v>-340</v>
      </c>
      <c r="W11" s="414">
        <f ca="1">+T11/50</f>
        <v>-6.8</v>
      </c>
    </row>
    <row r="12" spans="1:23" ht="27.75" customHeight="1" x14ac:dyDescent="0.25">
      <c r="B12" s="415">
        <f t="shared" ca="1" si="0"/>
        <v>-280</v>
      </c>
      <c r="C12" s="416"/>
      <c r="E12" s="413" t="s">
        <v>474</v>
      </c>
      <c r="F12" s="416">
        <f t="shared" ca="1" si="21"/>
        <v>400</v>
      </c>
      <c r="H12" s="412">
        <v>1712</v>
      </c>
      <c r="I12" s="436">
        <f t="shared" ca="1" si="3"/>
        <v>4.28</v>
      </c>
      <c r="J12" s="413">
        <v>59</v>
      </c>
      <c r="K12" s="436">
        <f t="shared" ca="1" si="14"/>
        <v>0.14749999999999999</v>
      </c>
      <c r="L12" s="419">
        <f t="shared" ca="1" si="5"/>
        <v>1312</v>
      </c>
      <c r="M12" s="421">
        <f ca="1">+J12-F12</f>
        <v>-341</v>
      </c>
      <c r="O12" s="412"/>
      <c r="P12" s="436">
        <f t="shared" ca="1" si="17"/>
        <v>0</v>
      </c>
      <c r="Q12" s="412"/>
      <c r="R12" s="436">
        <f t="shared" ca="1" si="18"/>
        <v>0</v>
      </c>
      <c r="S12" s="419"/>
      <c r="T12" s="419"/>
    </row>
    <row r="13" spans="1:23" ht="27.75" customHeight="1" x14ac:dyDescent="0.25">
      <c r="B13" s="415">
        <f t="shared" ca="1" si="0"/>
        <v>-250</v>
      </c>
      <c r="C13" s="416"/>
      <c r="E13" s="413" t="s">
        <v>485</v>
      </c>
      <c r="F13" s="416">
        <f t="shared" ca="1" si="21"/>
        <v>250</v>
      </c>
      <c r="H13" s="412">
        <v>1412</v>
      </c>
      <c r="I13" s="436">
        <f t="shared" ref="I13" ca="1" si="22">+IFERROR(H13/F13,"")</f>
        <v>5.6479999999999997</v>
      </c>
      <c r="J13" s="413">
        <v>350</v>
      </c>
      <c r="K13" s="436">
        <f t="shared" ref="K13" ca="1" si="23">+IFERROR(J13/F13,"")</f>
        <v>1.4</v>
      </c>
      <c r="L13" s="419">
        <f t="shared" ref="L13" ca="1" si="24">+H13-F13</f>
        <v>1162</v>
      </c>
      <c r="M13" s="421">
        <f ca="1">+J13-F13</f>
        <v>100</v>
      </c>
      <c r="O13" s="412">
        <v>1212</v>
      </c>
      <c r="P13" s="436">
        <f t="shared" ca="1" si="17"/>
        <v>4.8479999999999999</v>
      </c>
      <c r="Q13" s="412">
        <v>350</v>
      </c>
      <c r="R13" s="436">
        <f t="shared" ca="1" si="18"/>
        <v>1.4</v>
      </c>
      <c r="S13" s="419">
        <f t="shared" ca="1" si="19"/>
        <v>962</v>
      </c>
      <c r="T13" s="419">
        <f t="shared" ca="1" si="20"/>
        <v>100</v>
      </c>
    </row>
    <row r="14" spans="1:23" ht="27.75" customHeight="1" x14ac:dyDescent="0.25">
      <c r="B14" s="415">
        <f t="shared" ca="1" si="0"/>
        <v>-600</v>
      </c>
      <c r="C14" s="416"/>
      <c r="E14" s="413" t="s">
        <v>495</v>
      </c>
      <c r="F14" s="416">
        <f t="shared" ca="1" si="21"/>
        <v>600</v>
      </c>
      <c r="H14" s="412">
        <v>2004</v>
      </c>
      <c r="I14" s="436">
        <f t="shared" ref="I14" ca="1" si="25">+IFERROR(H14/F14,"")</f>
        <v>3.34</v>
      </c>
      <c r="J14" s="413">
        <v>96</v>
      </c>
      <c r="K14" s="436">
        <f t="shared" ref="K14" ca="1" si="26">+IFERROR(J14/F14,"")</f>
        <v>0.16</v>
      </c>
      <c r="L14" s="419">
        <f t="shared" ref="L14" ca="1" si="27">+H14-F14</f>
        <v>1404</v>
      </c>
      <c r="M14" s="421">
        <f t="shared" ca="1" si="16"/>
        <v>-504</v>
      </c>
      <c r="O14" s="412">
        <v>1954</v>
      </c>
      <c r="P14" s="436">
        <f t="shared" ca="1" si="17"/>
        <v>3.2566666666666668</v>
      </c>
      <c r="Q14" s="412">
        <v>381</v>
      </c>
      <c r="R14" s="436">
        <f t="shared" ca="1" si="18"/>
        <v>0.63500000000000001</v>
      </c>
      <c r="S14" s="419">
        <f t="shared" ca="1" si="19"/>
        <v>1354</v>
      </c>
      <c r="T14" s="419">
        <f t="shared" ca="1" si="20"/>
        <v>-219</v>
      </c>
      <c r="W14" s="414">
        <f ca="1">+T14/50</f>
        <v>-4.38</v>
      </c>
    </row>
    <row r="15" spans="1:23" s="405" customFormat="1" ht="27.75" customHeight="1" x14ac:dyDescent="0.25">
      <c r="A15" s="403"/>
      <c r="B15" s="417"/>
      <c r="C15" s="418"/>
      <c r="D15" s="404"/>
      <c r="E15" s="403"/>
      <c r="F15" s="420"/>
      <c r="G15" s="403"/>
      <c r="H15" s="403"/>
      <c r="I15" s="403"/>
      <c r="J15" s="414"/>
      <c r="K15" s="414"/>
      <c r="L15" s="420"/>
      <c r="M15" s="420"/>
      <c r="N15" s="403"/>
      <c r="O15" s="403"/>
      <c r="P15" s="403"/>
      <c r="Q15" s="403"/>
      <c r="R15" s="403"/>
      <c r="S15" s="422"/>
      <c r="T15" s="420"/>
      <c r="V15" s="403"/>
    </row>
    <row r="16" spans="1:23" s="405" customFormat="1" ht="27.75" customHeight="1" x14ac:dyDescent="0.25">
      <c r="A16" s="403"/>
      <c r="B16" s="417">
        <f ca="1">+SUM(B6:B14)</f>
        <v>-2930.85</v>
      </c>
      <c r="C16" s="417">
        <f ca="1">+SUM(C6:C12)</f>
        <v>1425</v>
      </c>
      <c r="D16" s="411">
        <f>+SUM(D6:D12)</f>
        <v>0</v>
      </c>
      <c r="E16" s="412" t="s">
        <v>13</v>
      </c>
      <c r="F16" s="419">
        <f ca="1">+SUM(F6:F14)</f>
        <v>5225.8500000000004</v>
      </c>
      <c r="G16" s="403"/>
      <c r="H16" s="419">
        <f>+SUM(H6:H14)</f>
        <v>34111</v>
      </c>
      <c r="I16" s="403"/>
      <c r="J16" s="419">
        <f>+SUM(J6:J14)</f>
        <v>9294</v>
      </c>
      <c r="K16" s="420"/>
      <c r="L16" s="418"/>
      <c r="M16" s="418"/>
      <c r="N16" s="404"/>
      <c r="O16" s="419">
        <f>+SUM(O6:O14)</f>
        <v>35404</v>
      </c>
      <c r="P16" s="403"/>
      <c r="Q16" s="419">
        <f>+SUM(Q6:Q14)</f>
        <v>3608</v>
      </c>
      <c r="R16" s="420"/>
      <c r="S16" s="418"/>
      <c r="T16" s="418"/>
      <c r="V16" s="403"/>
    </row>
    <row r="17" spans="1:22" s="405" customFormat="1" ht="27.75" customHeight="1" x14ac:dyDescent="0.25">
      <c r="A17" s="403"/>
      <c r="B17" s="404"/>
      <c r="C17" s="404"/>
      <c r="D17" s="404"/>
      <c r="F17" s="403"/>
      <c r="G17" s="403"/>
      <c r="H17" s="403"/>
      <c r="I17" s="403"/>
      <c r="J17" s="403"/>
      <c r="K17" s="403"/>
      <c r="L17" s="431"/>
      <c r="M17" s="403"/>
      <c r="N17" s="403"/>
      <c r="O17" s="403"/>
      <c r="P17" s="403"/>
      <c r="Q17" s="403"/>
      <c r="R17" s="403"/>
      <c r="S17" s="403"/>
      <c r="T17" s="403"/>
      <c r="V17" s="403"/>
    </row>
    <row r="18" spans="1:22" s="405" customFormat="1" ht="27.75" customHeight="1" x14ac:dyDescent="0.25">
      <c r="A18" s="403"/>
      <c r="B18" s="404"/>
      <c r="C18" s="404"/>
      <c r="D18" s="404"/>
      <c r="E18" s="446"/>
      <c r="F18" s="403"/>
      <c r="G18" s="403"/>
      <c r="H18" s="403"/>
      <c r="I18" s="403"/>
      <c r="J18" s="403"/>
      <c r="K18" s="403"/>
      <c r="L18" s="431"/>
      <c r="M18" s="403"/>
      <c r="N18" s="403"/>
      <c r="O18" s="403"/>
      <c r="P18" s="403"/>
      <c r="Q18" s="403"/>
      <c r="R18" s="403"/>
      <c r="S18" s="403"/>
      <c r="T18" s="403"/>
      <c r="V18" s="403"/>
    </row>
    <row r="19" spans="1:22" s="405" customFormat="1" ht="27.75" customHeight="1" x14ac:dyDescent="0.25">
      <c r="A19" s="403"/>
      <c r="B19" s="404"/>
      <c r="C19" s="404"/>
      <c r="D19" s="404"/>
      <c r="E19" s="446"/>
      <c r="F19" s="403"/>
      <c r="G19" s="403"/>
      <c r="H19" s="403"/>
      <c r="I19" s="403"/>
      <c r="J19" s="403"/>
      <c r="K19" s="403"/>
      <c r="L19" s="431"/>
      <c r="M19" s="403"/>
      <c r="N19" s="403"/>
      <c r="O19" s="403"/>
      <c r="P19" s="403"/>
      <c r="Q19" s="403"/>
      <c r="R19" s="403"/>
      <c r="S19" s="403"/>
      <c r="T19" s="403"/>
      <c r="V19" s="403"/>
    </row>
    <row r="20" spans="1:22" s="405" customFormat="1" ht="27.75" customHeight="1" x14ac:dyDescent="0.25">
      <c r="A20" s="403"/>
      <c r="B20" s="404"/>
      <c r="C20" s="404"/>
      <c r="D20" s="404"/>
      <c r="E20" s="446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ht="27.75" customHeight="1" x14ac:dyDescent="0.25">
      <c r="E29" s="446"/>
    </row>
    <row r="30" spans="1:22" ht="27.75" customHeight="1" x14ac:dyDescent="0.25">
      <c r="E30" s="446"/>
    </row>
    <row r="31" spans="1:22" ht="27.75" customHeight="1" x14ac:dyDescent="0.25">
      <c r="E31" s="446"/>
    </row>
    <row r="32" spans="1:22" ht="27.75" customHeight="1" x14ac:dyDescent="0.25">
      <c r="E32" s="446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47" priority="10" operator="equal">
      <formula>0</formula>
    </cfRule>
  </conditionalFormatting>
  <conditionalFormatting sqref="B6:B14">
    <cfRule type="cellIs" dxfId="46" priority="3" operator="greaterThan">
      <formula>0</formula>
    </cfRule>
  </conditionalFormatting>
  <conditionalFormatting sqref="E1:E1048576">
    <cfRule type="duplicateValues" dxfId="45" priority="1"/>
  </conditionalFormatting>
  <conditionalFormatting sqref="H2:I3 A4:H4">
    <cfRule type="cellIs" dxfId="44" priority="4" operator="equal">
      <formula>0</formula>
    </cfRule>
  </conditionalFormatting>
  <conditionalFormatting sqref="J1:K2 J15:XFD17 J21:XFD1048576">
    <cfRule type="cellIs" dxfId="43" priority="6" operator="equal">
      <formula>0</formula>
    </cfRule>
  </conditionalFormatting>
  <conditionalFormatting sqref="S10:T10 J15:M15 S13:T14 S6:S14 T6:T15 L6:M14">
    <cfRule type="cellIs" dxfId="42" priority="7" operator="lessThan">
      <formula>0</formula>
    </cfRule>
  </conditionalFormatting>
  <conditionalFormatting sqref="L5:N5">
    <cfRule type="cellIs" dxfId="41" priority="8" operator="equal">
      <formula>0</formula>
    </cfRule>
  </conditionalFormatting>
  <conditionalFormatting sqref="L1:S1">
    <cfRule type="cellIs" dxfId="40" priority="9" operator="equal">
      <formula>0</formula>
    </cfRule>
  </conditionalFormatting>
  <conditionalFormatting sqref="O16:R16">
    <cfRule type="cellIs" dxfId="39" priority="2" operator="equal">
      <formula>0</formula>
    </cfRule>
  </conditionalFormatting>
  <conditionalFormatting sqref="S5:T5">
    <cfRule type="cellIs" dxfId="38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6" orientation="landscape" r:id="rId1"/>
  <ignoredErrors>
    <ignoredError sqref="B11:G11 I11:I12 K11:L11 P11 R11 R6 P6 K6:N6 I6 B6:G6 L12 B12 D12:G12 B9:G10 B8:D8 F8:G8 R9:R10 K9:N10 L7:N8 N12 N11 R7 P7:P10 I7:I10 B7:G7" unlockedFormula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zoomScale="85" zoomScaleNormal="85" zoomScaleSheetLayoutView="85" workbookViewId="0">
      <selection activeCell="I1" sqref="I1"/>
    </sheetView>
  </sheetViews>
  <sheetFormatPr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1.85546875" style="403" customWidth="1"/>
    <col min="7" max="7" width="5.85546875" style="403" customWidth="1"/>
    <col min="8" max="8" width="11.28515625" style="403" customWidth="1"/>
    <col min="9" max="9" width="7.85546875" style="403" customWidth="1"/>
    <col min="10" max="10" width="11.5703125" style="403" customWidth="1"/>
    <col min="11" max="11" width="7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7.140625" style="403" customWidth="1"/>
    <col min="17" max="17" width="13.28515625" style="403" customWidth="1"/>
    <col min="18" max="18" width="6.570312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1:22" ht="27.75" customHeight="1" x14ac:dyDescent="0.25">
      <c r="B1" s="404" t="s">
        <v>21</v>
      </c>
      <c r="S1" s="558" t="s">
        <v>492</v>
      </c>
      <c r="T1" s="558"/>
    </row>
    <row r="2" spans="1:22" ht="27.75" customHeight="1" x14ac:dyDescent="0.25">
      <c r="B2" s="403"/>
      <c r="C2" s="403"/>
      <c r="D2" s="403"/>
    </row>
    <row r="3" spans="1:22" s="406" customFormat="1" ht="36" customHeight="1" x14ac:dyDescent="0.25">
      <c r="B3" s="559" t="s">
        <v>417</v>
      </c>
      <c r="C3" s="562" t="s">
        <v>415</v>
      </c>
      <c r="D3" s="407"/>
      <c r="E3" s="565" t="s">
        <v>351</v>
      </c>
      <c r="F3" s="568" t="s">
        <v>416</v>
      </c>
      <c r="G3" s="403"/>
      <c r="H3" s="571" t="s">
        <v>408</v>
      </c>
      <c r="I3" s="571"/>
      <c r="J3" s="571"/>
      <c r="K3" s="571"/>
      <c r="L3" s="571"/>
      <c r="M3" s="571"/>
      <c r="O3" s="572" t="s">
        <v>411</v>
      </c>
      <c r="P3" s="573"/>
      <c r="Q3" s="573"/>
      <c r="R3" s="573"/>
      <c r="S3" s="573"/>
      <c r="T3" s="574"/>
      <c r="U3" s="408"/>
    </row>
    <row r="4" spans="1:22" s="406" customFormat="1" ht="36" customHeight="1" x14ac:dyDescent="0.25">
      <c r="B4" s="560"/>
      <c r="C4" s="563"/>
      <c r="D4" s="407"/>
      <c r="E4" s="566"/>
      <c r="F4" s="569"/>
      <c r="G4" s="403"/>
      <c r="H4" s="552" t="s">
        <v>413</v>
      </c>
      <c r="I4" s="553"/>
      <c r="J4" s="552" t="s">
        <v>414</v>
      </c>
      <c r="K4" s="553"/>
      <c r="L4" s="556" t="s">
        <v>412</v>
      </c>
      <c r="M4" s="557"/>
      <c r="O4" s="552" t="s">
        <v>413</v>
      </c>
      <c r="P4" s="553"/>
      <c r="Q4" s="552" t="s">
        <v>414</v>
      </c>
      <c r="R4" s="553"/>
      <c r="S4" s="556" t="s">
        <v>412</v>
      </c>
      <c r="T4" s="557"/>
      <c r="U4" s="408"/>
    </row>
    <row r="5" spans="1:22" s="406" customFormat="1" ht="57" customHeight="1" x14ac:dyDescent="0.25">
      <c r="B5" s="561"/>
      <c r="C5" s="564"/>
      <c r="D5" s="407"/>
      <c r="E5" s="567"/>
      <c r="F5" s="570"/>
      <c r="G5" s="403"/>
      <c r="H5" s="554"/>
      <c r="I5" s="555"/>
      <c r="J5" s="554"/>
      <c r="K5" s="555"/>
      <c r="L5" s="479" t="s">
        <v>409</v>
      </c>
      <c r="M5" s="480" t="s">
        <v>410</v>
      </c>
      <c r="O5" s="554"/>
      <c r="P5" s="555"/>
      <c r="Q5" s="554"/>
      <c r="R5" s="555"/>
      <c r="S5" s="479" t="s">
        <v>409</v>
      </c>
      <c r="T5" s="480" t="s">
        <v>410</v>
      </c>
      <c r="U5" s="408"/>
    </row>
    <row r="6" spans="1:22" ht="27.75" customHeight="1" x14ac:dyDescent="0.25">
      <c r="B6" s="415">
        <v>21.424999999999955</v>
      </c>
      <c r="C6" s="416">
        <v>1020</v>
      </c>
      <c r="E6" s="430" t="s">
        <v>436</v>
      </c>
      <c r="F6" s="416">
        <v>998.57500000000005</v>
      </c>
      <c r="H6" s="412">
        <v>2150</v>
      </c>
      <c r="I6" s="436">
        <v>2.1530681220739551</v>
      </c>
      <c r="J6" s="413">
        <v>1455</v>
      </c>
      <c r="K6" s="436">
        <v>1.4570763337756303</v>
      </c>
      <c r="L6" s="419">
        <v>1151.425</v>
      </c>
      <c r="M6" s="421">
        <v>456.42499999999995</v>
      </c>
      <c r="O6" s="412">
        <v>2150</v>
      </c>
      <c r="P6" s="436">
        <v>2.1530681220739551</v>
      </c>
      <c r="Q6" s="412">
        <v>479</v>
      </c>
      <c r="R6" s="436">
        <v>0.47968354905740679</v>
      </c>
      <c r="S6" s="419">
        <v>1151.425</v>
      </c>
      <c r="T6" s="419">
        <v>-519.57500000000005</v>
      </c>
    </row>
    <row r="7" spans="1:22" ht="27.75" customHeight="1" x14ac:dyDescent="0.25">
      <c r="B7" s="415">
        <v>-125</v>
      </c>
      <c r="C7" s="416">
        <v>950</v>
      </c>
      <c r="E7" s="430" t="s">
        <v>444</v>
      </c>
      <c r="F7" s="416">
        <v>1075</v>
      </c>
      <c r="H7" s="412">
        <v>3303</v>
      </c>
      <c r="I7" s="436">
        <v>3.0725581395348835</v>
      </c>
      <c r="J7" s="413">
        <v>447</v>
      </c>
      <c r="K7" s="436">
        <v>0.41581395348837208</v>
      </c>
      <c r="L7" s="419">
        <v>2228</v>
      </c>
      <c r="M7" s="421">
        <v>-628</v>
      </c>
      <c r="O7" s="412">
        <v>3303</v>
      </c>
      <c r="P7" s="436">
        <v>3.0725581395348835</v>
      </c>
      <c r="Q7" s="412">
        <v>633</v>
      </c>
      <c r="R7" s="436">
        <v>0.58883720930232553</v>
      </c>
      <c r="S7" s="419">
        <v>2228</v>
      </c>
      <c r="T7" s="419">
        <v>-442</v>
      </c>
    </row>
    <row r="8" spans="1:22" ht="27.75" customHeight="1" x14ac:dyDescent="0.25">
      <c r="B8" s="415">
        <v>0</v>
      </c>
      <c r="C8" s="416">
        <v>300</v>
      </c>
      <c r="E8" s="430" t="s">
        <v>489</v>
      </c>
      <c r="F8" s="416">
        <v>300</v>
      </c>
      <c r="H8" s="412">
        <v>1340</v>
      </c>
      <c r="I8" s="436">
        <v>4.4666666666666668</v>
      </c>
      <c r="J8" s="413">
        <v>180</v>
      </c>
      <c r="K8" s="436">
        <v>0.6</v>
      </c>
      <c r="L8" s="419">
        <v>1040</v>
      </c>
      <c r="M8" s="421">
        <v>-120</v>
      </c>
      <c r="O8" s="412">
        <v>2000</v>
      </c>
      <c r="P8" s="436">
        <v>6.666666666666667</v>
      </c>
      <c r="Q8" s="412">
        <v>360</v>
      </c>
      <c r="R8" s="436">
        <v>1.2</v>
      </c>
      <c r="S8" s="419">
        <v>1700</v>
      </c>
      <c r="T8" s="419">
        <v>60</v>
      </c>
    </row>
    <row r="9" spans="1:22" ht="27.75" customHeight="1" x14ac:dyDescent="0.25">
      <c r="B9" s="415">
        <v>100</v>
      </c>
      <c r="C9" s="416">
        <v>1950</v>
      </c>
      <c r="E9" s="430" t="s">
        <v>440</v>
      </c>
      <c r="F9" s="416">
        <v>1850</v>
      </c>
      <c r="H9" s="412">
        <v>9320</v>
      </c>
      <c r="I9" s="436">
        <v>5.0378378378378379</v>
      </c>
      <c r="J9" s="413">
        <v>2847</v>
      </c>
      <c r="K9" s="436">
        <v>1.538918918918919</v>
      </c>
      <c r="L9" s="419">
        <v>7470</v>
      </c>
      <c r="M9" s="421">
        <v>997</v>
      </c>
      <c r="O9" s="412">
        <v>11045</v>
      </c>
      <c r="P9" s="436">
        <v>5.9702702702702704</v>
      </c>
      <c r="Q9" s="412">
        <v>1948</v>
      </c>
      <c r="R9" s="436">
        <v>1.0529729729729729</v>
      </c>
      <c r="S9" s="419">
        <v>9195</v>
      </c>
      <c r="T9" s="419">
        <v>98</v>
      </c>
    </row>
    <row r="10" spans="1:22" ht="27.75" customHeight="1" x14ac:dyDescent="0.25">
      <c r="B10" s="415">
        <v>47.75</v>
      </c>
      <c r="C10" s="416">
        <v>700</v>
      </c>
      <c r="E10" s="413" t="s">
        <v>442</v>
      </c>
      <c r="F10" s="416">
        <v>652.25</v>
      </c>
      <c r="H10" s="412">
        <v>8451</v>
      </c>
      <c r="I10" s="436">
        <v>12.956688386354925</v>
      </c>
      <c r="J10" s="413">
        <v>4299</v>
      </c>
      <c r="K10" s="436">
        <v>6.5910310463779229</v>
      </c>
      <c r="L10" s="419">
        <v>7798.75</v>
      </c>
      <c r="M10" s="421">
        <v>3646.75</v>
      </c>
      <c r="O10" s="412">
        <v>8801</v>
      </c>
      <c r="P10" s="436">
        <v>13.493292449214259</v>
      </c>
      <c r="Q10" s="412">
        <v>949</v>
      </c>
      <c r="R10" s="436">
        <v>1.4549635875814488</v>
      </c>
      <c r="S10" s="419">
        <v>8148.75</v>
      </c>
      <c r="T10" s="419">
        <v>296.75</v>
      </c>
    </row>
    <row r="11" spans="1:22" ht="27.75" customHeight="1" x14ac:dyDescent="0.25">
      <c r="B11" s="415">
        <v>58.75</v>
      </c>
      <c r="C11" s="416"/>
      <c r="E11" s="412" t="s">
        <v>472</v>
      </c>
      <c r="F11" s="416">
        <v>1041.25</v>
      </c>
      <c r="H11" s="412">
        <v>5519</v>
      </c>
      <c r="I11" s="436">
        <v>5.3003601440576231</v>
      </c>
      <c r="J11" s="413">
        <v>548</v>
      </c>
      <c r="K11" s="436">
        <v>0.52629051620648259</v>
      </c>
      <c r="L11" s="419">
        <v>4477.75</v>
      </c>
      <c r="M11" s="421">
        <v>-493.25</v>
      </c>
      <c r="O11" s="412">
        <v>8219</v>
      </c>
      <c r="P11" s="436">
        <v>7.8933973589435773</v>
      </c>
      <c r="Q11" s="412">
        <v>848</v>
      </c>
      <c r="R11" s="436">
        <v>0.81440576230492201</v>
      </c>
      <c r="S11" s="419">
        <v>7177.75</v>
      </c>
      <c r="T11" s="419">
        <v>-193.25</v>
      </c>
    </row>
    <row r="12" spans="1:22" ht="27.75" customHeight="1" x14ac:dyDescent="0.25">
      <c r="B12" s="415">
        <v>4.1875</v>
      </c>
      <c r="C12" s="416"/>
      <c r="E12" s="413" t="s">
        <v>474</v>
      </c>
      <c r="F12" s="416">
        <v>415.8125</v>
      </c>
      <c r="H12" s="412">
        <v>1712</v>
      </c>
      <c r="I12" s="436">
        <v>4.1172403427025399</v>
      </c>
      <c r="J12" s="413">
        <v>179</v>
      </c>
      <c r="K12" s="436">
        <v>0.43048248910266046</v>
      </c>
      <c r="L12" s="419">
        <v>1296.1875</v>
      </c>
      <c r="M12" s="421">
        <v>-236.8125</v>
      </c>
      <c r="O12" s="412"/>
      <c r="P12" s="436">
        <v>0</v>
      </c>
      <c r="Q12" s="412"/>
      <c r="R12" s="436">
        <v>0</v>
      </c>
      <c r="S12" s="419"/>
      <c r="T12" s="419"/>
    </row>
    <row r="13" spans="1:22" ht="27.75" customHeight="1" x14ac:dyDescent="0.25">
      <c r="B13" s="415">
        <v>0</v>
      </c>
      <c r="C13" s="416"/>
      <c r="E13" s="413" t="s">
        <v>485</v>
      </c>
      <c r="F13" s="416">
        <v>150</v>
      </c>
      <c r="H13" s="412">
        <v>1162</v>
      </c>
      <c r="I13" s="436">
        <v>7.746666666666667</v>
      </c>
      <c r="J13" s="413">
        <v>500</v>
      </c>
      <c r="K13" s="436">
        <v>3.3333333333333335</v>
      </c>
      <c r="L13" s="419">
        <v>1012</v>
      </c>
      <c r="M13" s="421">
        <v>350</v>
      </c>
      <c r="O13" s="412">
        <v>1362</v>
      </c>
      <c r="P13" s="436">
        <v>9.08</v>
      </c>
      <c r="Q13" s="412">
        <v>250</v>
      </c>
      <c r="R13" s="436">
        <v>1.6666666666666667</v>
      </c>
      <c r="S13" s="419">
        <v>1212</v>
      </c>
      <c r="T13" s="419">
        <v>100</v>
      </c>
    </row>
    <row r="14" spans="1:22" ht="27.75" customHeight="1" x14ac:dyDescent="0.25">
      <c r="B14" s="415">
        <v>0</v>
      </c>
      <c r="C14" s="416"/>
      <c r="E14" s="413" t="s">
        <v>495</v>
      </c>
      <c r="F14" s="416">
        <v>150</v>
      </c>
      <c r="H14" s="412">
        <v>504</v>
      </c>
      <c r="I14" s="436">
        <v>3.36</v>
      </c>
      <c r="J14" s="413"/>
      <c r="K14" s="436">
        <v>0</v>
      </c>
      <c r="L14" s="419">
        <v>354</v>
      </c>
      <c r="M14" s="421">
        <v>-150</v>
      </c>
      <c r="O14" s="412">
        <v>754</v>
      </c>
      <c r="P14" s="436">
        <v>5.0266666666666664</v>
      </c>
      <c r="Q14" s="412"/>
      <c r="R14" s="436">
        <v>0</v>
      </c>
      <c r="S14" s="419">
        <v>604</v>
      </c>
      <c r="T14" s="419">
        <v>-150</v>
      </c>
    </row>
    <row r="15" spans="1:22" s="405" customFormat="1" ht="27.75" customHeight="1" x14ac:dyDescent="0.25">
      <c r="A15" s="403"/>
      <c r="B15" s="417"/>
      <c r="C15" s="418"/>
      <c r="D15" s="404"/>
      <c r="E15" s="403"/>
      <c r="F15" s="420"/>
      <c r="G15" s="403"/>
      <c r="H15" s="403"/>
      <c r="I15" s="403"/>
      <c r="J15" s="414"/>
      <c r="K15" s="414"/>
      <c r="L15" s="420"/>
      <c r="M15" s="420"/>
      <c r="N15" s="403"/>
      <c r="O15" s="403"/>
      <c r="P15" s="403"/>
      <c r="Q15" s="403"/>
      <c r="R15" s="403"/>
      <c r="S15" s="422"/>
      <c r="T15" s="420"/>
      <c r="V15" s="403"/>
    </row>
    <row r="16" spans="1:22" s="405" customFormat="1" ht="27.75" customHeight="1" x14ac:dyDescent="0.25">
      <c r="A16" s="403"/>
      <c r="B16" s="417">
        <v>107.11249999999995</v>
      </c>
      <c r="C16" s="417">
        <v>4920</v>
      </c>
      <c r="D16" s="411">
        <v>0</v>
      </c>
      <c r="E16" s="412" t="s">
        <v>13</v>
      </c>
      <c r="F16" s="419">
        <v>6632.8874999999998</v>
      </c>
      <c r="G16" s="403"/>
      <c r="H16" s="419">
        <v>33461</v>
      </c>
      <c r="I16" s="403"/>
      <c r="J16" s="419">
        <v>10455</v>
      </c>
      <c r="K16" s="420"/>
      <c r="L16" s="418"/>
      <c r="M16" s="418"/>
      <c r="N16" s="404"/>
      <c r="O16" s="419">
        <v>37634</v>
      </c>
      <c r="P16" s="403"/>
      <c r="Q16" s="419">
        <v>5467</v>
      </c>
      <c r="R16" s="420"/>
      <c r="S16" s="418"/>
      <c r="T16" s="418"/>
      <c r="V16" s="403"/>
    </row>
    <row r="17" spans="1:22" s="405" customFormat="1" ht="27.75" customHeight="1" x14ac:dyDescent="0.25">
      <c r="A17" s="403"/>
      <c r="B17" s="404"/>
      <c r="C17" s="404"/>
      <c r="D17" s="404"/>
      <c r="F17" s="403"/>
      <c r="G17" s="403"/>
      <c r="H17" s="403"/>
      <c r="I17" s="403"/>
      <c r="J17" s="403"/>
      <c r="K17" s="403"/>
      <c r="L17" s="431"/>
      <c r="M17" s="403"/>
      <c r="N17" s="403"/>
      <c r="O17" s="403"/>
      <c r="P17" s="403"/>
      <c r="Q17" s="403"/>
      <c r="R17" s="403"/>
      <c r="S17" s="403"/>
      <c r="T17" s="403"/>
      <c r="V17" s="403"/>
    </row>
    <row r="18" spans="1:22" s="405" customFormat="1" ht="27.75" customHeight="1" x14ac:dyDescent="0.25">
      <c r="A18" s="403"/>
      <c r="B18" s="404"/>
      <c r="C18" s="404"/>
      <c r="D18" s="404"/>
      <c r="E18" s="446"/>
      <c r="F18" s="403"/>
      <c r="G18" s="403"/>
      <c r="H18" s="403"/>
      <c r="I18" s="403"/>
      <c r="J18" s="403"/>
      <c r="K18" s="403"/>
      <c r="L18" s="431"/>
      <c r="M18" s="403"/>
      <c r="N18" s="403"/>
      <c r="O18" s="403"/>
      <c r="P18" s="403"/>
      <c r="Q18" s="403"/>
      <c r="R18" s="403"/>
      <c r="S18" s="403"/>
      <c r="T18" s="403"/>
      <c r="V18" s="403"/>
    </row>
    <row r="19" spans="1:22" s="405" customFormat="1" ht="27.75" customHeight="1" x14ac:dyDescent="0.25">
      <c r="A19" s="403"/>
      <c r="B19" s="404"/>
      <c r="C19" s="404"/>
      <c r="D19" s="404"/>
      <c r="E19" s="446"/>
      <c r="F19" s="403"/>
      <c r="G19" s="403"/>
      <c r="H19" s="403"/>
      <c r="I19" s="403"/>
      <c r="J19" s="403"/>
      <c r="K19" s="403"/>
      <c r="L19" s="431"/>
      <c r="M19" s="403"/>
      <c r="N19" s="403"/>
      <c r="O19" s="403"/>
      <c r="P19" s="403"/>
      <c r="Q19" s="403"/>
      <c r="R19" s="403"/>
      <c r="S19" s="403"/>
      <c r="T19" s="403"/>
      <c r="V19" s="403"/>
    </row>
    <row r="20" spans="1:22" s="405" customFormat="1" ht="27.75" customHeight="1" x14ac:dyDescent="0.25">
      <c r="A20" s="403"/>
      <c r="B20" s="404"/>
      <c r="C20" s="404"/>
      <c r="D20" s="404"/>
      <c r="E20" s="446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ht="27.75" customHeight="1" x14ac:dyDescent="0.25">
      <c r="E29" s="446"/>
    </row>
    <row r="30" spans="1:22" ht="27.75" customHeight="1" x14ac:dyDescent="0.25">
      <c r="E30" s="446"/>
    </row>
    <row r="31" spans="1:22" ht="27.75" customHeight="1" x14ac:dyDescent="0.25">
      <c r="E31" s="446"/>
    </row>
    <row r="32" spans="1:22" ht="27.75" customHeight="1" x14ac:dyDescent="0.25">
      <c r="E32" s="446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37" priority="10" operator="equal">
      <formula>0</formula>
    </cfRule>
  </conditionalFormatting>
  <conditionalFormatting sqref="B6:B14">
    <cfRule type="cellIs" dxfId="36" priority="3" operator="greaterThan">
      <formula>0</formula>
    </cfRule>
  </conditionalFormatting>
  <conditionalFormatting sqref="E1:E1048576">
    <cfRule type="duplicateValues" dxfId="35" priority="1"/>
  </conditionalFormatting>
  <conditionalFormatting sqref="H2:I3 A4:H4">
    <cfRule type="cellIs" dxfId="34" priority="4" operator="equal">
      <formula>0</formula>
    </cfRule>
  </conditionalFormatting>
  <conditionalFormatting sqref="J1:K2 J15:XFD17 J21:XFD1048576">
    <cfRule type="cellIs" dxfId="33" priority="6" operator="equal">
      <formula>0</formula>
    </cfRule>
  </conditionalFormatting>
  <conditionalFormatting sqref="J15:M15 S6:T14 T15 L6:M14">
    <cfRule type="cellIs" dxfId="32" priority="7" operator="lessThan">
      <formula>0</formula>
    </cfRule>
  </conditionalFormatting>
  <conditionalFormatting sqref="L5:N5">
    <cfRule type="cellIs" dxfId="31" priority="8" operator="equal">
      <formula>0</formula>
    </cfRule>
  </conditionalFormatting>
  <conditionalFormatting sqref="L1:S1">
    <cfRule type="cellIs" dxfId="30" priority="9" operator="equal">
      <formula>0</formula>
    </cfRule>
  </conditionalFormatting>
  <conditionalFormatting sqref="O16:R16">
    <cfRule type="cellIs" dxfId="29" priority="2" operator="equal">
      <formula>0</formula>
    </cfRule>
  </conditionalFormatting>
  <conditionalFormatting sqref="S5:T5">
    <cfRule type="cellIs" dxfId="28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6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B1:V30"/>
  <sheetViews>
    <sheetView zoomScale="85" zoomScaleNormal="85" zoomScaleSheetLayoutView="85" workbookViewId="0">
      <selection activeCell="F21" sqref="F21"/>
    </sheetView>
  </sheetViews>
  <sheetFormatPr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2.85546875" style="403" customWidth="1"/>
    <col min="7" max="7" width="5.85546875" style="403" customWidth="1"/>
    <col min="8" max="8" width="11.28515625" style="403" customWidth="1"/>
    <col min="9" max="9" width="5.140625" style="403" customWidth="1"/>
    <col min="10" max="10" width="13.28515625" style="403" customWidth="1"/>
    <col min="11" max="11" width="5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5.42578125" style="403" customWidth="1"/>
    <col min="17" max="17" width="13.28515625" style="403" customWidth="1"/>
    <col min="18" max="18" width="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2:22" ht="27.75" customHeight="1" x14ac:dyDescent="0.25">
      <c r="B1" s="404" t="s">
        <v>21</v>
      </c>
      <c r="S1" s="558" t="s">
        <v>464</v>
      </c>
      <c r="T1" s="558"/>
    </row>
    <row r="2" spans="2:22" ht="27.75" customHeight="1" x14ac:dyDescent="0.25">
      <c r="B2" s="403"/>
      <c r="C2" s="403"/>
      <c r="D2" s="403"/>
    </row>
    <row r="3" spans="2:22" s="406" customFormat="1" ht="36" customHeight="1" x14ac:dyDescent="0.25">
      <c r="B3" s="559" t="s">
        <v>417</v>
      </c>
      <c r="C3" s="562" t="s">
        <v>415</v>
      </c>
      <c r="D3" s="407"/>
      <c r="E3" s="565" t="s">
        <v>351</v>
      </c>
      <c r="F3" s="568" t="s">
        <v>416</v>
      </c>
      <c r="G3" s="403"/>
      <c r="H3" s="571" t="s">
        <v>408</v>
      </c>
      <c r="I3" s="571"/>
      <c r="J3" s="571"/>
      <c r="K3" s="571"/>
      <c r="L3" s="571"/>
      <c r="M3" s="571"/>
      <c r="O3" s="572" t="s">
        <v>411</v>
      </c>
      <c r="P3" s="573"/>
      <c r="Q3" s="573"/>
      <c r="R3" s="573"/>
      <c r="S3" s="573"/>
      <c r="T3" s="574"/>
      <c r="U3" s="408"/>
    </row>
    <row r="4" spans="2:22" s="406" customFormat="1" ht="36" customHeight="1" x14ac:dyDescent="0.25">
      <c r="B4" s="560"/>
      <c r="C4" s="563"/>
      <c r="D4" s="407"/>
      <c r="E4" s="566"/>
      <c r="F4" s="569"/>
      <c r="G4" s="403"/>
      <c r="H4" s="552" t="s">
        <v>413</v>
      </c>
      <c r="I4" s="553"/>
      <c r="J4" s="552" t="s">
        <v>414</v>
      </c>
      <c r="K4" s="553"/>
      <c r="L4" s="556" t="s">
        <v>412</v>
      </c>
      <c r="M4" s="557"/>
      <c r="O4" s="552" t="s">
        <v>413</v>
      </c>
      <c r="P4" s="553"/>
      <c r="Q4" s="552" t="s">
        <v>414</v>
      </c>
      <c r="R4" s="553"/>
      <c r="S4" s="556" t="s">
        <v>412</v>
      </c>
      <c r="T4" s="557"/>
      <c r="U4" s="408"/>
    </row>
    <row r="5" spans="2:22" s="406" customFormat="1" ht="57" customHeight="1" x14ac:dyDescent="0.25">
      <c r="B5" s="561"/>
      <c r="C5" s="564"/>
      <c r="D5" s="407"/>
      <c r="E5" s="567"/>
      <c r="F5" s="570"/>
      <c r="G5" s="403"/>
      <c r="H5" s="554"/>
      <c r="I5" s="555"/>
      <c r="J5" s="554"/>
      <c r="K5" s="555"/>
      <c r="L5" s="409" t="s">
        <v>409</v>
      </c>
      <c r="M5" s="410" t="s">
        <v>410</v>
      </c>
      <c r="O5" s="554"/>
      <c r="P5" s="555"/>
      <c r="Q5" s="554"/>
      <c r="R5" s="555"/>
      <c r="S5" s="409" t="s">
        <v>409</v>
      </c>
      <c r="T5" s="410" t="s">
        <v>410</v>
      </c>
      <c r="U5" s="408"/>
    </row>
    <row r="6" spans="2:22" ht="27.75" customHeight="1" x14ac:dyDescent="0.25">
      <c r="B6" s="415">
        <f ca="1">+SUMIF(INDIRECT("'" &amp; $S$1 &amp; "'!$G1:$G110"),E6,INDIRECT("'" &amp; $S$1 &amp; "'!$At1:$At110"))</f>
        <v>-0.25</v>
      </c>
      <c r="C6" s="416">
        <f ca="1">+F6+B6</f>
        <v>600</v>
      </c>
      <c r="D6" s="411"/>
      <c r="E6" s="430" t="s">
        <v>428</v>
      </c>
      <c r="F6" s="419">
        <f ca="1">-B6+SUMIFS(INDIRECT("'" &amp; $S$1 &amp; "'!$X$6:$X$100"),INDIRECT("'" &amp; $S$1 &amp; "'!$g$6:$g$100"),E6,INDIRECT("'" &amp; $S$1 &amp; "'!$l$6:$l$100"),$B$1)</f>
        <v>600.25</v>
      </c>
      <c r="H6" s="412">
        <v>1799</v>
      </c>
      <c r="I6" s="436">
        <f t="shared" ref="I6:I16" ca="1" si="0">+IFERROR(H6/F6,"")</f>
        <v>2.9970845481049562</v>
      </c>
      <c r="J6" s="413">
        <v>734</v>
      </c>
      <c r="K6" s="436">
        <f t="shared" ref="K6:K16" ca="1" si="1">+IFERROR(J6/F6,"")</f>
        <v>1.2228238234069138</v>
      </c>
      <c r="L6" s="419">
        <f ca="1">+H6-F6</f>
        <v>1198.75</v>
      </c>
      <c r="M6" s="421">
        <f ca="1">+J6-F6</f>
        <v>133.75</v>
      </c>
      <c r="O6" s="412"/>
      <c r="P6" s="436">
        <f ca="1">+IFERROR(O6/F6,"")</f>
        <v>0</v>
      </c>
      <c r="Q6" s="412"/>
      <c r="R6" s="436">
        <f ca="1">+IFERROR(Q6/F6,"")</f>
        <v>0</v>
      </c>
      <c r="S6" s="419"/>
      <c r="T6" s="419"/>
      <c r="V6" s="414">
        <f t="shared" ref="V6" ca="1" si="2">+F6+B6</f>
        <v>600</v>
      </c>
    </row>
    <row r="7" spans="2:22" ht="27.75" customHeight="1" x14ac:dyDescent="0.25">
      <c r="B7" s="415">
        <f t="shared" ref="B7:B15" ca="1" si="3">+SUMIF(INDIRECT("'" &amp; $S$1 &amp; "'!$G1:$G110"),E7,INDIRECT("'" &amp; $S$1 &amp; "'!$At1:$At110"))</f>
        <v>77.9375</v>
      </c>
      <c r="C7" s="416">
        <f t="shared" ref="C7:C16" ca="1" si="4">+F7+B7</f>
        <v>660</v>
      </c>
      <c r="E7" s="430" t="s">
        <v>431</v>
      </c>
      <c r="F7" s="419">
        <f t="shared" ref="F7:F16" ca="1" si="5">-B7+SUMIFS(INDIRECT("'" &amp; $S$1 &amp; "'!$X$6:$X$100"),INDIRECT("'" &amp; $S$1 &amp; "'!$g$6:$g$100"),E7,INDIRECT("'" &amp; $S$1 &amp; "'!$l$6:$l$100"),$B$1)</f>
        <v>582.0625</v>
      </c>
      <c r="H7" s="412">
        <v>1973</v>
      </c>
      <c r="I7" s="436">
        <f t="shared" ca="1" si="0"/>
        <v>3.3896703532696231</v>
      </c>
      <c r="J7" s="413">
        <v>1751</v>
      </c>
      <c r="K7" s="436">
        <f t="shared" ca="1" si="1"/>
        <v>3.0082680124557073</v>
      </c>
      <c r="L7" s="419">
        <f t="shared" ref="L7:L16" ca="1" si="6">+H7-F7</f>
        <v>1390.9375</v>
      </c>
      <c r="M7" s="421">
        <f t="shared" ref="M7:M16" ca="1" si="7">+J7-F7</f>
        <v>1168.9375</v>
      </c>
      <c r="O7" s="412">
        <v>1983</v>
      </c>
      <c r="P7" s="436">
        <f t="shared" ref="P7:P16" ca="1" si="8">+IFERROR(O7/F7,"")</f>
        <v>3.4068506388918718</v>
      </c>
      <c r="Q7" s="412">
        <v>1961</v>
      </c>
      <c r="R7" s="436">
        <f t="shared" ref="R7:R16" ca="1" si="9">+IFERROR(Q7/F7,"")</f>
        <v>3.369054010522925</v>
      </c>
      <c r="S7" s="419">
        <f t="shared" ref="S7:S16" ca="1" si="10">+O7-F7</f>
        <v>1400.9375</v>
      </c>
      <c r="T7" s="419">
        <f t="shared" ref="T7:T16" ca="1" si="11">+Q7-F7</f>
        <v>1378.9375</v>
      </c>
    </row>
    <row r="8" spans="2:22" ht="27.75" customHeight="1" x14ac:dyDescent="0.25">
      <c r="B8" s="415">
        <f t="shared" ca="1" si="3"/>
        <v>-92.0625</v>
      </c>
      <c r="C8" s="416">
        <f t="shared" ca="1" si="4"/>
        <v>780</v>
      </c>
      <c r="E8" s="430" t="s">
        <v>436</v>
      </c>
      <c r="F8" s="419">
        <f t="shared" ca="1" si="5"/>
        <v>872.0625</v>
      </c>
      <c r="H8" s="412">
        <v>3502</v>
      </c>
      <c r="I8" s="436">
        <f t="shared" ca="1" si="0"/>
        <v>4.015767218519315</v>
      </c>
      <c r="J8" s="413">
        <v>470</v>
      </c>
      <c r="K8" s="436">
        <f t="shared" ca="1" si="1"/>
        <v>0.53895219666021643</v>
      </c>
      <c r="L8" s="419">
        <f t="shared" ca="1" si="6"/>
        <v>2629.9375</v>
      </c>
      <c r="M8" s="421">
        <f t="shared" ca="1" si="7"/>
        <v>-402.0625</v>
      </c>
      <c r="O8" s="412">
        <v>6262</v>
      </c>
      <c r="P8" s="436">
        <f t="shared" ca="1" si="8"/>
        <v>7.1806779903963305</v>
      </c>
      <c r="Q8" s="412">
        <v>4680</v>
      </c>
      <c r="R8" s="436">
        <f t="shared" ca="1" si="9"/>
        <v>5.36658783057407</v>
      </c>
      <c r="S8" s="419">
        <f t="shared" ca="1" si="10"/>
        <v>5389.9375</v>
      </c>
      <c r="T8" s="419">
        <f t="shared" ca="1" si="11"/>
        <v>3807.9375</v>
      </c>
    </row>
    <row r="9" spans="2:22" ht="27.75" customHeight="1" x14ac:dyDescent="0.25">
      <c r="B9" s="415">
        <f t="shared" ca="1" si="3"/>
        <v>88.375</v>
      </c>
      <c r="C9" s="416">
        <f t="shared" ca="1" si="4"/>
        <v>1050</v>
      </c>
      <c r="E9" s="430" t="s">
        <v>433</v>
      </c>
      <c r="F9" s="419">
        <f t="shared" ca="1" si="5"/>
        <v>961.625</v>
      </c>
      <c r="H9" s="412">
        <v>8009</v>
      </c>
      <c r="I9" s="436">
        <f t="shared" ca="1" si="0"/>
        <v>8.3286104250617452</v>
      </c>
      <c r="J9" s="413">
        <v>4422</v>
      </c>
      <c r="K9" s="436">
        <f t="shared" ca="1" si="1"/>
        <v>4.5984661380475753</v>
      </c>
      <c r="L9" s="419">
        <f t="shared" ca="1" si="6"/>
        <v>7047.375</v>
      </c>
      <c r="M9" s="421">
        <f t="shared" ca="1" si="7"/>
        <v>3460.375</v>
      </c>
      <c r="O9" s="412">
        <v>8009</v>
      </c>
      <c r="P9" s="436">
        <f t="shared" ca="1" si="8"/>
        <v>8.3286104250617452</v>
      </c>
      <c r="Q9" s="412">
        <v>4347</v>
      </c>
      <c r="R9" s="436">
        <f t="shared" ca="1" si="9"/>
        <v>4.5204731574158323</v>
      </c>
      <c r="S9" s="419">
        <f t="shared" ca="1" si="10"/>
        <v>7047.375</v>
      </c>
      <c r="T9" s="419">
        <f t="shared" ca="1" si="11"/>
        <v>3385.375</v>
      </c>
    </row>
    <row r="10" spans="2:22" ht="27.75" customHeight="1" x14ac:dyDescent="0.25">
      <c r="B10" s="415">
        <f t="shared" ca="1" si="3"/>
        <v>1</v>
      </c>
      <c r="C10" s="416">
        <f t="shared" ca="1" si="4"/>
        <v>1101</v>
      </c>
      <c r="E10" s="430" t="s">
        <v>444</v>
      </c>
      <c r="F10" s="419">
        <f t="shared" ca="1" si="5"/>
        <v>1100</v>
      </c>
      <c r="H10" s="412">
        <v>3433</v>
      </c>
      <c r="I10" s="436">
        <f t="shared" ca="1" si="0"/>
        <v>3.1209090909090911</v>
      </c>
      <c r="J10" s="413">
        <v>461</v>
      </c>
      <c r="K10" s="436">
        <f t="shared" ca="1" si="1"/>
        <v>0.41909090909090907</v>
      </c>
      <c r="L10" s="419">
        <f t="shared" ca="1" si="6"/>
        <v>2333</v>
      </c>
      <c r="M10" s="421">
        <f t="shared" ca="1" si="7"/>
        <v>-639</v>
      </c>
      <c r="O10" s="412">
        <v>6183</v>
      </c>
      <c r="P10" s="436">
        <f t="shared" ca="1" si="8"/>
        <v>5.6209090909090911</v>
      </c>
      <c r="Q10" s="412">
        <v>697</v>
      </c>
      <c r="R10" s="436">
        <f t="shared" ca="1" si="9"/>
        <v>0.63363636363636366</v>
      </c>
      <c r="S10" s="419">
        <f t="shared" ca="1" si="10"/>
        <v>5083</v>
      </c>
      <c r="T10" s="419">
        <f t="shared" ca="1" si="11"/>
        <v>-403</v>
      </c>
    </row>
    <row r="11" spans="2:22" ht="27.75" customHeight="1" x14ac:dyDescent="0.25">
      <c r="B11" s="415">
        <f t="shared" ca="1" si="3"/>
        <v>-92</v>
      </c>
      <c r="C11" s="416">
        <f t="shared" ca="1" si="4"/>
        <v>508</v>
      </c>
      <c r="E11" s="430" t="s">
        <v>456</v>
      </c>
      <c r="F11" s="419">
        <f t="shared" ca="1" si="5"/>
        <v>600</v>
      </c>
      <c r="H11" s="412">
        <v>1280</v>
      </c>
      <c r="I11" s="436">
        <f t="shared" ca="1" si="0"/>
        <v>2.1333333333333333</v>
      </c>
      <c r="J11" s="413">
        <v>96</v>
      </c>
      <c r="K11" s="436">
        <f t="shared" ca="1" si="1"/>
        <v>0.16</v>
      </c>
      <c r="L11" s="419">
        <f t="shared" ca="1" si="6"/>
        <v>680</v>
      </c>
      <c r="M11" s="421">
        <f t="shared" ca="1" si="7"/>
        <v>-504</v>
      </c>
      <c r="O11" s="412"/>
      <c r="P11" s="436">
        <f t="shared" ca="1" si="8"/>
        <v>0</v>
      </c>
      <c r="Q11" s="412"/>
      <c r="R11" s="436">
        <f t="shared" ca="1" si="9"/>
        <v>0</v>
      </c>
      <c r="S11" s="419"/>
      <c r="T11" s="419"/>
    </row>
    <row r="12" spans="2:22" ht="27.75" customHeight="1" x14ac:dyDescent="0.25">
      <c r="B12" s="415">
        <f t="shared" ca="1" si="3"/>
        <v>150</v>
      </c>
      <c r="C12" s="416"/>
      <c r="E12" s="430" t="s">
        <v>457</v>
      </c>
      <c r="F12" s="419">
        <f t="shared" ca="1" si="5"/>
        <v>450</v>
      </c>
      <c r="H12" s="412">
        <v>128</v>
      </c>
      <c r="I12" s="436">
        <f t="shared" ca="1" si="0"/>
        <v>0.28444444444444444</v>
      </c>
      <c r="J12" s="413"/>
      <c r="K12" s="436"/>
      <c r="L12" s="419">
        <f t="shared" ca="1" si="6"/>
        <v>-322</v>
      </c>
      <c r="M12" s="421">
        <f t="shared" ca="1" si="7"/>
        <v>-450</v>
      </c>
      <c r="O12" s="412"/>
      <c r="P12" s="436"/>
      <c r="Q12" s="412"/>
      <c r="R12" s="436"/>
      <c r="S12" s="419"/>
      <c r="T12" s="419"/>
    </row>
    <row r="13" spans="2:22" ht="27.75" customHeight="1" x14ac:dyDescent="0.25">
      <c r="B13" s="415">
        <f t="shared" ca="1" si="3"/>
        <v>-7</v>
      </c>
      <c r="C13" s="416">
        <f t="shared" ca="1" si="4"/>
        <v>975</v>
      </c>
      <c r="E13" s="430" t="s">
        <v>440</v>
      </c>
      <c r="F13" s="419">
        <f t="shared" ca="1" si="5"/>
        <v>982</v>
      </c>
      <c r="H13" s="412">
        <v>7155</v>
      </c>
      <c r="I13" s="436">
        <f t="shared" ca="1" si="0"/>
        <v>7.2861507128309571</v>
      </c>
      <c r="J13" s="413">
        <v>3232</v>
      </c>
      <c r="K13" s="436">
        <f t="shared" ca="1" si="1"/>
        <v>3.2912423625254581</v>
      </c>
      <c r="L13" s="419">
        <f t="shared" ca="1" si="6"/>
        <v>6173</v>
      </c>
      <c r="M13" s="421">
        <f t="shared" ca="1" si="7"/>
        <v>2250</v>
      </c>
      <c r="O13" s="412">
        <v>6255</v>
      </c>
      <c r="P13" s="436">
        <f t="shared" ca="1" si="8"/>
        <v>6.3696537678207736</v>
      </c>
      <c r="Q13" s="412">
        <v>232</v>
      </c>
      <c r="R13" s="436">
        <f t="shared" ca="1" si="9"/>
        <v>0.23625254582484725</v>
      </c>
      <c r="S13" s="419">
        <f ca="1">+O13-F13</f>
        <v>5273</v>
      </c>
      <c r="T13" s="419">
        <f t="shared" ca="1" si="11"/>
        <v>-750</v>
      </c>
    </row>
    <row r="14" spans="2:22" ht="27.75" customHeight="1" x14ac:dyDescent="0.25">
      <c r="B14" s="415">
        <f t="shared" ca="1" si="3"/>
        <v>-25</v>
      </c>
      <c r="C14" s="416">
        <f t="shared" ca="1" si="4"/>
        <v>375</v>
      </c>
      <c r="E14" s="412" t="s">
        <v>459</v>
      </c>
      <c r="F14" s="419">
        <f t="shared" ca="1" si="5"/>
        <v>400</v>
      </c>
      <c r="H14" s="412">
        <v>1083</v>
      </c>
      <c r="I14" s="436">
        <f t="shared" ca="1" si="0"/>
        <v>2.7075</v>
      </c>
      <c r="J14" s="413"/>
      <c r="K14" s="436">
        <f t="shared" ca="1" si="1"/>
        <v>0</v>
      </c>
      <c r="L14" s="419">
        <f t="shared" ca="1" si="6"/>
        <v>683</v>
      </c>
      <c r="M14" s="421"/>
      <c r="O14" s="412"/>
      <c r="P14" s="436">
        <f t="shared" ca="1" si="8"/>
        <v>0</v>
      </c>
      <c r="Q14" s="412"/>
      <c r="R14" s="436">
        <f t="shared" ca="1" si="9"/>
        <v>0</v>
      </c>
      <c r="S14" s="419"/>
      <c r="T14" s="419"/>
    </row>
    <row r="15" spans="2:22" ht="27.75" customHeight="1" x14ac:dyDescent="0.25">
      <c r="B15" s="415">
        <f t="shared" ca="1" si="3"/>
        <v>0</v>
      </c>
      <c r="C15" s="416"/>
      <c r="E15" s="412" t="s">
        <v>458</v>
      </c>
      <c r="F15" s="419"/>
      <c r="H15" s="412"/>
      <c r="I15" s="436" t="str">
        <f t="shared" si="0"/>
        <v/>
      </c>
      <c r="J15" s="413"/>
      <c r="K15" s="436" t="str">
        <f t="shared" si="1"/>
        <v/>
      </c>
      <c r="L15" s="419">
        <f t="shared" si="6"/>
        <v>0</v>
      </c>
      <c r="M15" s="421">
        <f t="shared" si="7"/>
        <v>0</v>
      </c>
      <c r="O15" s="412"/>
      <c r="P15" s="436"/>
      <c r="Q15" s="412"/>
      <c r="R15" s="436"/>
      <c r="S15" s="419"/>
      <c r="T15" s="419"/>
    </row>
    <row r="16" spans="2:22" ht="27.75" customHeight="1" x14ac:dyDescent="0.25">
      <c r="B16" s="415">
        <f ca="1">+SUMIF(INDIRECT("'" &amp; $S$1 &amp; "'!$G1:$G110"),E16,INDIRECT("'" &amp; $S$1 &amp; "'!$At1:$At110"))</f>
        <v>67.625</v>
      </c>
      <c r="C16" s="416">
        <f t="shared" ca="1" si="4"/>
        <v>750</v>
      </c>
      <c r="E16" s="413" t="s">
        <v>442</v>
      </c>
      <c r="F16" s="419">
        <f t="shared" ca="1" si="5"/>
        <v>682.375</v>
      </c>
      <c r="H16" s="412">
        <v>4901</v>
      </c>
      <c r="I16" s="436">
        <f t="shared" ca="1" si="0"/>
        <v>7.1822678146180623</v>
      </c>
      <c r="J16" s="413">
        <v>3399</v>
      </c>
      <c r="K16" s="436">
        <f t="shared" ca="1" si="1"/>
        <v>4.9811320754716979</v>
      </c>
      <c r="L16" s="419">
        <f t="shared" ca="1" si="6"/>
        <v>4218.625</v>
      </c>
      <c r="M16" s="421">
        <f t="shared" ca="1" si="7"/>
        <v>2716.625</v>
      </c>
      <c r="O16" s="412">
        <v>6501</v>
      </c>
      <c r="P16" s="436">
        <f t="shared" ca="1" si="8"/>
        <v>9.527019600659461</v>
      </c>
      <c r="Q16" s="412">
        <v>2449</v>
      </c>
      <c r="R16" s="436">
        <f t="shared" ca="1" si="9"/>
        <v>3.5889357025096174</v>
      </c>
      <c r="S16" s="419">
        <f t="shared" ca="1" si="10"/>
        <v>5818.625</v>
      </c>
      <c r="T16" s="419">
        <f t="shared" ca="1" si="11"/>
        <v>1766.625</v>
      </c>
    </row>
    <row r="17" spans="2:20" ht="27.75" customHeight="1" x14ac:dyDescent="0.25">
      <c r="B17" s="417"/>
      <c r="C17" s="418"/>
      <c r="F17" s="420"/>
      <c r="J17" s="414"/>
      <c r="K17" s="414"/>
      <c r="L17" s="420"/>
      <c r="M17" s="420"/>
      <c r="S17" s="422"/>
      <c r="T17" s="420"/>
    </row>
    <row r="18" spans="2:20" ht="27.75" customHeight="1" x14ac:dyDescent="0.25">
      <c r="B18" s="417">
        <f ca="1">+SUM(B6:B16)</f>
        <v>168.625</v>
      </c>
      <c r="C18" s="417">
        <f ca="1">+SUM(C6:C16)</f>
        <v>6799</v>
      </c>
      <c r="D18" s="411">
        <f>+SUM(D6:D16)</f>
        <v>0</v>
      </c>
      <c r="E18" s="412" t="s">
        <v>13</v>
      </c>
      <c r="F18" s="419">
        <f ca="1">+SUM(F6:F16)</f>
        <v>7230.375</v>
      </c>
      <c r="H18" s="419">
        <f>+SUM(H6:H16)</f>
        <v>33263</v>
      </c>
      <c r="J18" s="419">
        <f>+SUM(J6:J16)</f>
        <v>14565</v>
      </c>
      <c r="K18" s="420"/>
      <c r="L18" s="418"/>
      <c r="M18" s="418"/>
      <c r="N18" s="404"/>
      <c r="O18" s="419">
        <f>+SUM(O6:O16)</f>
        <v>35193</v>
      </c>
      <c r="Q18" s="419">
        <f>+SUM(Q6:Q16)</f>
        <v>14366</v>
      </c>
      <c r="R18" s="420"/>
      <c r="S18" s="418"/>
      <c r="T18" s="418"/>
    </row>
    <row r="19" spans="2:20" ht="27.75" customHeight="1" x14ac:dyDescent="0.25">
      <c r="E19" s="405"/>
      <c r="L19" s="431"/>
    </row>
    <row r="20" spans="2:20" ht="27.75" customHeight="1" x14ac:dyDescent="0.25">
      <c r="E20" s="446"/>
      <c r="L20" s="431"/>
    </row>
    <row r="21" spans="2:20" ht="27.75" customHeight="1" x14ac:dyDescent="0.25">
      <c r="E21" s="446"/>
      <c r="L21" s="431"/>
    </row>
    <row r="22" spans="2:20" ht="27.75" customHeight="1" x14ac:dyDescent="0.25">
      <c r="E22" s="446"/>
      <c r="L22" s="431"/>
    </row>
    <row r="23" spans="2:20" ht="27.75" customHeight="1" x14ac:dyDescent="0.25">
      <c r="E23" s="446"/>
    </row>
    <row r="24" spans="2:20" ht="27.75" customHeight="1" x14ac:dyDescent="0.25">
      <c r="E24" s="446"/>
    </row>
    <row r="25" spans="2:20" ht="27.75" customHeight="1" x14ac:dyDescent="0.25">
      <c r="E25" s="446"/>
    </row>
    <row r="26" spans="2:20" ht="27.75" customHeight="1" x14ac:dyDescent="0.25">
      <c r="E26" s="446"/>
    </row>
    <row r="27" spans="2:20" ht="27.75" customHeight="1" x14ac:dyDescent="0.25">
      <c r="E27" s="446"/>
    </row>
    <row r="28" spans="2:20" ht="27.75" customHeight="1" x14ac:dyDescent="0.25">
      <c r="E28" s="446"/>
    </row>
    <row r="29" spans="2:20" ht="27.75" customHeight="1" x14ac:dyDescent="0.25">
      <c r="E29" s="446"/>
    </row>
    <row r="30" spans="2:20" ht="27.75" customHeight="1" x14ac:dyDescent="0.25">
      <c r="E30" s="405"/>
    </row>
  </sheetData>
  <mergeCells count="13">
    <mergeCell ref="J4:K5"/>
    <mergeCell ref="S1:T1"/>
    <mergeCell ref="B3:B5"/>
    <mergeCell ref="O3:T3"/>
    <mergeCell ref="E3:E5"/>
    <mergeCell ref="F3:F5"/>
    <mergeCell ref="H3:M3"/>
    <mergeCell ref="L4:M4"/>
    <mergeCell ref="S4:T4"/>
    <mergeCell ref="C3:C5"/>
    <mergeCell ref="O4:P5"/>
    <mergeCell ref="Q4:R5"/>
    <mergeCell ref="H4:I5"/>
  </mergeCells>
  <conditionalFormatting sqref="A1:XFD3 L4:O4 Q4 J4:J5 S4:XFD5 A5:G5 A6:XFD1048576">
    <cfRule type="cellIs" dxfId="27" priority="29" operator="equal">
      <formula>0</formula>
    </cfRule>
  </conditionalFormatting>
  <conditionalFormatting sqref="B6:B16">
    <cfRule type="cellIs" dxfId="26" priority="5" operator="greaterThan">
      <formula>0</formula>
    </cfRule>
  </conditionalFormatting>
  <conditionalFormatting sqref="E1:E1048576">
    <cfRule type="duplicateValues" dxfId="25" priority="1"/>
  </conditionalFormatting>
  <conditionalFormatting sqref="H2:I3 A4:H4">
    <cfRule type="cellIs" dxfId="24" priority="7" operator="equal">
      <formula>0</formula>
    </cfRule>
  </conditionalFormatting>
  <conditionalFormatting sqref="J1:K2 J17:XFD19 J23:XFD1048576">
    <cfRule type="cellIs" dxfId="23" priority="12" operator="equal">
      <formula>0</formula>
    </cfRule>
  </conditionalFormatting>
  <conditionalFormatting sqref="L6:M16 S6:S16 T6:T17 J17:M17">
    <cfRule type="cellIs" dxfId="22" priority="13" operator="lessThan">
      <formula>0</formula>
    </cfRule>
  </conditionalFormatting>
  <conditionalFormatting sqref="L5:N5">
    <cfRule type="cellIs" dxfId="21" priority="18" operator="equal">
      <formula>0</formula>
    </cfRule>
  </conditionalFormatting>
  <conditionalFormatting sqref="L1:S1">
    <cfRule type="cellIs" dxfId="20" priority="27" operator="equal">
      <formula>0</formula>
    </cfRule>
  </conditionalFormatting>
  <conditionalFormatting sqref="O18:R18">
    <cfRule type="cellIs" dxfId="19" priority="3" operator="equal">
      <formula>0</formula>
    </cfRule>
  </conditionalFormatting>
  <conditionalFormatting sqref="S5:T5">
    <cfRule type="cellIs" dxfId="18" priority="8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8" orientation="landscape" r:id="rId1"/>
  <ignoredErrors>
    <ignoredError sqref="D16 Q18 L6:M7 S16 L18:O18 J18 S7:T7 L8 N16 S8" emptyCellReference="1"/>
    <ignoredError sqref="D18" unlockedFormula="1" emptyCellReference="1"/>
    <ignoredError sqref="P6:P7 R6:R7" unlockedFormula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0"/>
  <sheetViews>
    <sheetView zoomScale="85" zoomScaleNormal="85" zoomScaleSheetLayoutView="85" workbookViewId="0">
      <selection activeCell="E9" sqref="E9"/>
    </sheetView>
  </sheetViews>
  <sheetFormatPr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2.85546875" style="403" customWidth="1"/>
    <col min="7" max="7" width="5.85546875" style="403" customWidth="1"/>
    <col min="8" max="8" width="11.28515625" style="403" customWidth="1"/>
    <col min="9" max="9" width="5.140625" style="403" customWidth="1"/>
    <col min="10" max="10" width="11.5703125" style="403" customWidth="1"/>
    <col min="11" max="11" width="5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5.42578125" style="403" customWidth="1"/>
    <col min="17" max="17" width="13.28515625" style="403" customWidth="1"/>
    <col min="18" max="18" width="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2:22" ht="27.75" customHeight="1" x14ac:dyDescent="0.25">
      <c r="B1" s="404" t="s">
        <v>21</v>
      </c>
      <c r="S1" s="558" t="s">
        <v>467</v>
      </c>
      <c r="T1" s="558"/>
    </row>
    <row r="2" spans="2:22" ht="27.75" customHeight="1" x14ac:dyDescent="0.25">
      <c r="B2" s="403"/>
      <c r="C2" s="403"/>
      <c r="D2" s="403"/>
    </row>
    <row r="3" spans="2:22" s="406" customFormat="1" ht="36" customHeight="1" x14ac:dyDescent="0.25">
      <c r="B3" s="559" t="s">
        <v>417</v>
      </c>
      <c r="C3" s="562" t="s">
        <v>415</v>
      </c>
      <c r="D3" s="407"/>
      <c r="E3" s="565" t="s">
        <v>351</v>
      </c>
      <c r="F3" s="568" t="s">
        <v>416</v>
      </c>
      <c r="G3" s="403"/>
      <c r="H3" s="571" t="s">
        <v>408</v>
      </c>
      <c r="I3" s="571"/>
      <c r="J3" s="571"/>
      <c r="K3" s="571"/>
      <c r="L3" s="571"/>
      <c r="M3" s="571"/>
      <c r="O3" s="572" t="s">
        <v>411</v>
      </c>
      <c r="P3" s="573"/>
      <c r="Q3" s="573"/>
      <c r="R3" s="573"/>
      <c r="S3" s="573"/>
      <c r="T3" s="574"/>
      <c r="U3" s="408"/>
    </row>
    <row r="4" spans="2:22" s="406" customFormat="1" ht="36" customHeight="1" x14ac:dyDescent="0.25">
      <c r="B4" s="560"/>
      <c r="C4" s="563"/>
      <c r="D4" s="407"/>
      <c r="E4" s="566"/>
      <c r="F4" s="569"/>
      <c r="G4" s="403"/>
      <c r="H4" s="552" t="s">
        <v>413</v>
      </c>
      <c r="I4" s="553"/>
      <c r="J4" s="552" t="s">
        <v>414</v>
      </c>
      <c r="K4" s="553"/>
      <c r="L4" s="556" t="s">
        <v>412</v>
      </c>
      <c r="M4" s="557"/>
      <c r="O4" s="552" t="s">
        <v>413</v>
      </c>
      <c r="P4" s="553"/>
      <c r="Q4" s="552" t="s">
        <v>414</v>
      </c>
      <c r="R4" s="553"/>
      <c r="S4" s="556" t="s">
        <v>412</v>
      </c>
      <c r="T4" s="557"/>
      <c r="U4" s="408"/>
    </row>
    <row r="5" spans="2:22" s="406" customFormat="1" ht="57" customHeight="1" x14ac:dyDescent="0.25">
      <c r="B5" s="561"/>
      <c r="C5" s="564"/>
      <c r="D5" s="407"/>
      <c r="E5" s="567"/>
      <c r="F5" s="570"/>
      <c r="G5" s="403"/>
      <c r="H5" s="554"/>
      <c r="I5" s="555"/>
      <c r="J5" s="554"/>
      <c r="K5" s="555"/>
      <c r="L5" s="409" t="s">
        <v>409</v>
      </c>
      <c r="M5" s="410" t="s">
        <v>410</v>
      </c>
      <c r="O5" s="554"/>
      <c r="P5" s="555"/>
      <c r="Q5" s="554"/>
      <c r="R5" s="555"/>
      <c r="S5" s="409" t="s">
        <v>409</v>
      </c>
      <c r="T5" s="410" t="s">
        <v>410</v>
      </c>
      <c r="U5" s="408"/>
    </row>
    <row r="6" spans="2:22" ht="27.75" customHeight="1" x14ac:dyDescent="0.25">
      <c r="B6" s="415">
        <v>-16.1875</v>
      </c>
      <c r="C6" s="416">
        <v>450</v>
      </c>
      <c r="D6" s="411"/>
      <c r="E6" s="430" t="s">
        <v>428</v>
      </c>
      <c r="F6" s="419">
        <v>466.1875</v>
      </c>
      <c r="H6" s="412">
        <v>1199</v>
      </c>
      <c r="I6" s="436">
        <f t="shared" ref="I6:I16" si="0">+IFERROR(H6/F6,"")</f>
        <v>2.5719265317066631</v>
      </c>
      <c r="J6" s="413">
        <f>134+332</f>
        <v>466</v>
      </c>
      <c r="K6" s="436">
        <f t="shared" ref="K6:K16" si="1">+IFERROR(J6/F6,"")</f>
        <v>0.99959780131384901</v>
      </c>
      <c r="L6" s="419">
        <f>+H6-F6</f>
        <v>732.8125</v>
      </c>
      <c r="M6" s="421">
        <f>+J6-F6</f>
        <v>-0.1875</v>
      </c>
      <c r="O6" s="412"/>
      <c r="P6" s="436">
        <f>+IFERROR(O6/F6,"")</f>
        <v>0</v>
      </c>
      <c r="Q6" s="412"/>
      <c r="R6" s="436">
        <f>+IFERROR(Q6/F6,"")</f>
        <v>0</v>
      </c>
      <c r="S6" s="419"/>
      <c r="T6" s="419"/>
      <c r="V6" s="414">
        <f t="shared" ref="V6" si="2">+F6+B6</f>
        <v>450</v>
      </c>
    </row>
    <row r="7" spans="2:22" ht="27.75" customHeight="1" x14ac:dyDescent="0.25">
      <c r="B7" s="415">
        <v>-65.6875</v>
      </c>
      <c r="C7" s="416">
        <v>480</v>
      </c>
      <c r="E7" s="430" t="s">
        <v>431</v>
      </c>
      <c r="F7" s="419">
        <v>545.6875</v>
      </c>
      <c r="H7" s="412">
        <v>1323</v>
      </c>
      <c r="I7" s="436">
        <f t="shared" si="0"/>
        <v>2.424464551597755</v>
      </c>
      <c r="J7" s="413">
        <v>1091</v>
      </c>
      <c r="K7" s="436">
        <f t="shared" si="1"/>
        <v>1.999312793494445</v>
      </c>
      <c r="L7" s="419">
        <f t="shared" ref="L7:L16" si="3">+H7-F7</f>
        <v>777.3125</v>
      </c>
      <c r="M7" s="421">
        <f t="shared" ref="M7:M16" si="4">+J7-F7</f>
        <v>545.3125</v>
      </c>
      <c r="O7" s="412">
        <v>1323</v>
      </c>
      <c r="P7" s="436">
        <f t="shared" ref="P7:P16" si="5">+IFERROR(O7/F7,"")</f>
        <v>2.424464551597755</v>
      </c>
      <c r="Q7" s="412">
        <v>1301</v>
      </c>
      <c r="R7" s="436">
        <f t="shared" ref="R7:R16" si="6">+IFERROR(Q7/F7,"")</f>
        <v>2.3841484366051997</v>
      </c>
      <c r="S7" s="419">
        <f t="shared" ref="S7:S16" si="7">+O7-F7</f>
        <v>777.3125</v>
      </c>
      <c r="T7" s="419">
        <f t="shared" ref="T7:T16" si="8">+Q7-F7</f>
        <v>755.3125</v>
      </c>
    </row>
    <row r="8" spans="2:22" ht="27.75" customHeight="1" x14ac:dyDescent="0.25">
      <c r="B8" s="415">
        <v>-217.28749999999991</v>
      </c>
      <c r="C8" s="416">
        <v>840</v>
      </c>
      <c r="E8" s="430" t="s">
        <v>436</v>
      </c>
      <c r="F8" s="419">
        <v>1057.2874999999999</v>
      </c>
      <c r="H8" s="412">
        <v>4102</v>
      </c>
      <c r="I8" s="436">
        <f t="shared" si="0"/>
        <v>3.8797394275445423</v>
      </c>
      <c r="J8" s="413">
        <v>470</v>
      </c>
      <c r="K8" s="436">
        <f t="shared" si="1"/>
        <v>0.44453377156166135</v>
      </c>
      <c r="L8" s="419">
        <f t="shared" si="3"/>
        <v>3044.7125000000001</v>
      </c>
      <c r="M8" s="421">
        <f t="shared" si="4"/>
        <v>-587.28749999999991</v>
      </c>
      <c r="O8" s="412">
        <v>5902</v>
      </c>
      <c r="P8" s="436">
        <f t="shared" si="5"/>
        <v>5.5822091909721818</v>
      </c>
      <c r="Q8" s="412">
        <v>4500</v>
      </c>
      <c r="R8" s="436">
        <f t="shared" si="6"/>
        <v>4.2561744085690982</v>
      </c>
      <c r="S8" s="419">
        <f t="shared" si="7"/>
        <v>4844.7124999999996</v>
      </c>
      <c r="T8" s="419">
        <f t="shared" si="8"/>
        <v>3442.7125000000001</v>
      </c>
    </row>
    <row r="9" spans="2:22" ht="27.75" customHeight="1" x14ac:dyDescent="0.25">
      <c r="B9" s="415">
        <v>249.625</v>
      </c>
      <c r="C9" s="416">
        <v>975</v>
      </c>
      <c r="E9" s="430" t="s">
        <v>433</v>
      </c>
      <c r="F9" s="419">
        <v>725.375</v>
      </c>
      <c r="H9" s="412">
        <v>6959</v>
      </c>
      <c r="I9" s="436">
        <f t="shared" si="0"/>
        <v>9.5936584525245561</v>
      </c>
      <c r="J9" s="413">
        <v>4497</v>
      </c>
      <c r="K9" s="436">
        <f t="shared" si="1"/>
        <v>6.1995519558848873</v>
      </c>
      <c r="L9" s="419">
        <f t="shared" si="3"/>
        <v>6233.625</v>
      </c>
      <c r="M9" s="421">
        <f t="shared" si="4"/>
        <v>3771.625</v>
      </c>
      <c r="O9" s="412">
        <v>6959</v>
      </c>
      <c r="P9" s="436">
        <f t="shared" si="5"/>
        <v>9.5936584525245561</v>
      </c>
      <c r="Q9" s="412">
        <v>5097</v>
      </c>
      <c r="R9" s="436">
        <f t="shared" si="6"/>
        <v>7.0267103222471139</v>
      </c>
      <c r="S9" s="419">
        <f t="shared" si="7"/>
        <v>6233.625</v>
      </c>
      <c r="T9" s="419">
        <f t="shared" si="8"/>
        <v>4371.625</v>
      </c>
    </row>
    <row r="10" spans="2:22" ht="27.75" customHeight="1" x14ac:dyDescent="0.25">
      <c r="B10" s="415">
        <v>-100</v>
      </c>
      <c r="C10" s="416">
        <v>1000</v>
      </c>
      <c r="E10" s="430" t="s">
        <v>444</v>
      </c>
      <c r="F10" s="419">
        <v>1100</v>
      </c>
      <c r="H10" s="412">
        <v>3083</v>
      </c>
      <c r="I10" s="436">
        <f t="shared" si="0"/>
        <v>2.8027272727272727</v>
      </c>
      <c r="J10" s="413">
        <v>111</v>
      </c>
      <c r="K10" s="436">
        <f t="shared" si="1"/>
        <v>0.10090909090909091</v>
      </c>
      <c r="L10" s="419">
        <f t="shared" si="3"/>
        <v>1983</v>
      </c>
      <c r="M10" s="421">
        <f t="shared" si="4"/>
        <v>-989</v>
      </c>
      <c r="O10" s="412">
        <v>5083</v>
      </c>
      <c r="P10" s="436">
        <f t="shared" si="5"/>
        <v>4.6209090909090911</v>
      </c>
      <c r="Q10" s="412">
        <v>397</v>
      </c>
      <c r="R10" s="436">
        <f t="shared" si="6"/>
        <v>0.3609090909090909</v>
      </c>
      <c r="S10" s="419">
        <f t="shared" si="7"/>
        <v>3983</v>
      </c>
      <c r="T10" s="419">
        <f t="shared" si="8"/>
        <v>-703</v>
      </c>
    </row>
    <row r="11" spans="2:22" ht="27.75" customHeight="1" x14ac:dyDescent="0.25">
      <c r="B11" s="415">
        <v>-198</v>
      </c>
      <c r="C11" s="416">
        <v>600</v>
      </c>
      <c r="E11" s="430" t="s">
        <v>456</v>
      </c>
      <c r="F11" s="419">
        <v>798</v>
      </c>
      <c r="H11" s="412">
        <v>1682</v>
      </c>
      <c r="I11" s="436">
        <f t="shared" si="0"/>
        <v>2.1077694235588971</v>
      </c>
      <c r="J11" s="413">
        <v>300</v>
      </c>
      <c r="K11" s="436">
        <f t="shared" si="1"/>
        <v>0.37593984962406013</v>
      </c>
      <c r="L11" s="419">
        <f t="shared" si="3"/>
        <v>884</v>
      </c>
      <c r="M11" s="421">
        <f t="shared" si="4"/>
        <v>-498</v>
      </c>
      <c r="O11" s="412"/>
      <c r="P11" s="436">
        <f t="shared" si="5"/>
        <v>0</v>
      </c>
      <c r="Q11" s="412"/>
      <c r="R11" s="436">
        <f t="shared" si="6"/>
        <v>0</v>
      </c>
      <c r="S11" s="419"/>
      <c r="T11" s="419"/>
    </row>
    <row r="12" spans="2:22" ht="27.75" customHeight="1" x14ac:dyDescent="0.25">
      <c r="B12" s="415">
        <v>-199.625</v>
      </c>
      <c r="C12" s="416"/>
      <c r="E12" s="430" t="s">
        <v>457</v>
      </c>
      <c r="F12" s="419">
        <v>679.625</v>
      </c>
      <c r="H12" s="412">
        <v>248</v>
      </c>
      <c r="I12" s="436">
        <f t="shared" si="0"/>
        <v>0.36490711789589847</v>
      </c>
      <c r="J12" s="413"/>
      <c r="K12" s="436"/>
      <c r="L12" s="419">
        <f t="shared" si="3"/>
        <v>-431.625</v>
      </c>
      <c r="M12" s="421">
        <f t="shared" si="4"/>
        <v>-679.625</v>
      </c>
      <c r="O12" s="412"/>
      <c r="P12" s="436"/>
      <c r="Q12" s="412"/>
      <c r="R12" s="436"/>
      <c r="S12" s="419"/>
      <c r="T12" s="419"/>
    </row>
    <row r="13" spans="2:22" ht="27.75" customHeight="1" x14ac:dyDescent="0.25">
      <c r="B13" s="415">
        <v>-130</v>
      </c>
      <c r="C13" s="416">
        <v>1050</v>
      </c>
      <c r="E13" s="430" t="s">
        <v>440</v>
      </c>
      <c r="F13" s="419">
        <v>1180</v>
      </c>
      <c r="H13" s="412">
        <v>7455</v>
      </c>
      <c r="I13" s="436">
        <f t="shared" si="0"/>
        <v>6.3177966101694913</v>
      </c>
      <c r="J13" s="413">
        <v>3082</v>
      </c>
      <c r="K13" s="436">
        <f t="shared" si="1"/>
        <v>2.6118644067796608</v>
      </c>
      <c r="L13" s="419">
        <f t="shared" si="3"/>
        <v>6275</v>
      </c>
      <c r="M13" s="421">
        <f t="shared" si="4"/>
        <v>1902</v>
      </c>
      <c r="O13" s="412">
        <v>7605</v>
      </c>
      <c r="P13" s="436">
        <f t="shared" si="5"/>
        <v>6.4449152542372881</v>
      </c>
      <c r="Q13" s="412">
        <v>532</v>
      </c>
      <c r="R13" s="436">
        <f t="shared" si="6"/>
        <v>0.45084745762711864</v>
      </c>
      <c r="S13" s="419">
        <f>+O13-F13</f>
        <v>6425</v>
      </c>
      <c r="T13" s="419">
        <f t="shared" si="8"/>
        <v>-648</v>
      </c>
    </row>
    <row r="14" spans="2:22" ht="27.75" customHeight="1" x14ac:dyDescent="0.25">
      <c r="B14" s="415">
        <v>51</v>
      </c>
      <c r="C14" s="416">
        <v>551</v>
      </c>
      <c r="E14" s="412" t="s">
        <v>459</v>
      </c>
      <c r="F14" s="419">
        <v>500</v>
      </c>
      <c r="H14" s="412">
        <v>708</v>
      </c>
      <c r="I14" s="436">
        <f t="shared" si="0"/>
        <v>1.4159999999999999</v>
      </c>
      <c r="J14" s="413"/>
      <c r="K14" s="436">
        <f t="shared" si="1"/>
        <v>0</v>
      </c>
      <c r="L14" s="419">
        <f t="shared" si="3"/>
        <v>208</v>
      </c>
      <c r="M14" s="421"/>
      <c r="O14" s="412"/>
      <c r="P14" s="436">
        <f t="shared" si="5"/>
        <v>0</v>
      </c>
      <c r="Q14" s="412"/>
      <c r="R14" s="436">
        <f t="shared" si="6"/>
        <v>0</v>
      </c>
      <c r="S14" s="419"/>
      <c r="T14" s="419"/>
    </row>
    <row r="15" spans="2:22" ht="27.75" hidden="1" customHeight="1" x14ac:dyDescent="0.25">
      <c r="B15" s="415">
        <v>0</v>
      </c>
      <c r="C15" s="416"/>
      <c r="E15" s="412" t="s">
        <v>458</v>
      </c>
      <c r="F15" s="419">
        <v>0</v>
      </c>
      <c r="H15" s="412"/>
      <c r="I15" s="436" t="str">
        <f t="shared" si="0"/>
        <v/>
      </c>
      <c r="J15" s="413"/>
      <c r="K15" s="436" t="str">
        <f t="shared" si="1"/>
        <v/>
      </c>
      <c r="L15" s="419">
        <f t="shared" si="3"/>
        <v>0</v>
      </c>
      <c r="M15" s="421">
        <f t="shared" si="4"/>
        <v>0</v>
      </c>
      <c r="O15" s="412"/>
      <c r="P15" s="436"/>
      <c r="Q15" s="412"/>
      <c r="R15" s="436"/>
      <c r="S15" s="419"/>
      <c r="T15" s="419"/>
    </row>
    <row r="16" spans="2:22" ht="27.75" customHeight="1" x14ac:dyDescent="0.25">
      <c r="B16" s="415">
        <v>17.5</v>
      </c>
      <c r="C16" s="416">
        <v>600</v>
      </c>
      <c r="E16" s="413" t="s">
        <v>442</v>
      </c>
      <c r="F16" s="419">
        <v>582.5</v>
      </c>
      <c r="H16" s="412">
        <v>4951</v>
      </c>
      <c r="I16" s="436">
        <f t="shared" si="0"/>
        <v>8.4995708154506442</v>
      </c>
      <c r="J16" s="413">
        <v>3499</v>
      </c>
      <c r="K16" s="436">
        <f t="shared" si="1"/>
        <v>6.0068669527896992</v>
      </c>
      <c r="L16" s="419">
        <f t="shared" si="3"/>
        <v>4368.5</v>
      </c>
      <c r="M16" s="421">
        <f t="shared" si="4"/>
        <v>2916.5</v>
      </c>
      <c r="O16" s="412">
        <v>5751</v>
      </c>
      <c r="P16" s="436">
        <f t="shared" si="5"/>
        <v>9.8729613733905577</v>
      </c>
      <c r="Q16" s="412">
        <v>2699</v>
      </c>
      <c r="R16" s="436">
        <f t="shared" si="6"/>
        <v>4.6334763948497857</v>
      </c>
      <c r="S16" s="419">
        <f t="shared" si="7"/>
        <v>5168.5</v>
      </c>
      <c r="T16" s="419">
        <f t="shared" si="8"/>
        <v>2116.5</v>
      </c>
    </row>
    <row r="17" spans="2:20" ht="27.75" customHeight="1" x14ac:dyDescent="0.25">
      <c r="B17" s="417"/>
      <c r="C17" s="418"/>
      <c r="F17" s="420"/>
      <c r="J17" s="414"/>
      <c r="K17" s="414"/>
      <c r="L17" s="420"/>
      <c r="M17" s="420"/>
      <c r="S17" s="422"/>
      <c r="T17" s="420"/>
    </row>
    <row r="18" spans="2:20" ht="27.75" customHeight="1" x14ac:dyDescent="0.25">
      <c r="B18" s="417">
        <f>+SUM(B6:B16)</f>
        <v>-608.66249999999991</v>
      </c>
      <c r="C18" s="417">
        <f>+SUM(C6:C16)</f>
        <v>6546</v>
      </c>
      <c r="D18" s="411">
        <f>+SUM(D6:D16)</f>
        <v>0</v>
      </c>
      <c r="E18" s="412" t="s">
        <v>13</v>
      </c>
      <c r="F18" s="419">
        <f>+SUM(F6:F16)</f>
        <v>7634.6625000000004</v>
      </c>
      <c r="H18" s="419">
        <f>+SUM(H6:H16)</f>
        <v>31710</v>
      </c>
      <c r="J18" s="419">
        <f>+SUM(J6:J16)</f>
        <v>13516</v>
      </c>
      <c r="K18" s="420"/>
      <c r="L18" s="418"/>
      <c r="M18" s="418"/>
      <c r="N18" s="404"/>
      <c r="O18" s="419">
        <f>+SUM(O6:O16)</f>
        <v>32623</v>
      </c>
      <c r="Q18" s="419">
        <f>+SUM(Q6:Q16)</f>
        <v>14526</v>
      </c>
      <c r="R18" s="420"/>
      <c r="S18" s="418"/>
      <c r="T18" s="418"/>
    </row>
    <row r="19" spans="2:20" ht="27.75" customHeight="1" x14ac:dyDescent="0.25">
      <c r="E19" s="405"/>
      <c r="L19" s="431"/>
    </row>
    <row r="20" spans="2:20" ht="27.75" customHeight="1" x14ac:dyDescent="0.25">
      <c r="E20" s="446"/>
      <c r="L20" s="431"/>
    </row>
    <row r="21" spans="2:20" ht="27.75" customHeight="1" x14ac:dyDescent="0.25">
      <c r="E21" s="446"/>
      <c r="L21" s="431"/>
    </row>
    <row r="22" spans="2:20" ht="27.75" customHeight="1" x14ac:dyDescent="0.25">
      <c r="E22" s="446"/>
      <c r="L22" s="431"/>
    </row>
    <row r="23" spans="2:20" ht="27.75" customHeight="1" x14ac:dyDescent="0.25">
      <c r="E23" s="446"/>
    </row>
    <row r="24" spans="2:20" ht="27.75" customHeight="1" x14ac:dyDescent="0.25">
      <c r="E24" s="446"/>
    </row>
    <row r="25" spans="2:20" ht="27.75" customHeight="1" x14ac:dyDescent="0.25">
      <c r="E25" s="446"/>
    </row>
    <row r="26" spans="2:20" ht="27.75" customHeight="1" x14ac:dyDescent="0.25">
      <c r="E26" s="446"/>
    </row>
    <row r="27" spans="2:20" ht="27.75" customHeight="1" x14ac:dyDescent="0.25">
      <c r="E27" s="446"/>
    </row>
    <row r="28" spans="2:20" ht="27.75" customHeight="1" x14ac:dyDescent="0.25">
      <c r="E28" s="446"/>
    </row>
    <row r="29" spans="2:20" ht="27.75" customHeight="1" x14ac:dyDescent="0.25">
      <c r="E29" s="446"/>
    </row>
    <row r="30" spans="2:20" ht="27.75" customHeight="1" x14ac:dyDescent="0.25">
      <c r="E30" s="405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17" priority="10" operator="equal">
      <formula>0</formula>
    </cfRule>
  </conditionalFormatting>
  <conditionalFormatting sqref="B6:B16">
    <cfRule type="cellIs" dxfId="16" priority="3" operator="greaterThan">
      <formula>0</formula>
    </cfRule>
  </conditionalFormatting>
  <conditionalFormatting sqref="E1:E1048576">
    <cfRule type="duplicateValues" dxfId="15" priority="1"/>
  </conditionalFormatting>
  <conditionalFormatting sqref="H2:I3 A4:H4">
    <cfRule type="cellIs" dxfId="14" priority="4" operator="equal">
      <formula>0</formula>
    </cfRule>
  </conditionalFormatting>
  <conditionalFormatting sqref="J1:K2 J17:XFD19 J23:XFD1048576">
    <cfRule type="cellIs" dxfId="13" priority="6" operator="equal">
      <formula>0</formula>
    </cfRule>
  </conditionalFormatting>
  <conditionalFormatting sqref="L6:M16 S6:S16 T6:T17 J17:M17">
    <cfRule type="cellIs" dxfId="12" priority="7" operator="lessThan">
      <formula>0</formula>
    </cfRule>
  </conditionalFormatting>
  <conditionalFormatting sqref="L5:N5">
    <cfRule type="cellIs" dxfId="11" priority="8" operator="equal">
      <formula>0</formula>
    </cfRule>
  </conditionalFormatting>
  <conditionalFormatting sqref="L1:S1">
    <cfRule type="cellIs" dxfId="10" priority="9" operator="equal">
      <formula>0</formula>
    </cfRule>
  </conditionalFormatting>
  <conditionalFormatting sqref="O18:R18">
    <cfRule type="cellIs" dxfId="9" priority="2" operator="equal">
      <formula>0</formula>
    </cfRule>
  </conditionalFormatting>
  <conditionalFormatting sqref="S5:T5">
    <cfRule type="cellIs" dxfId="8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8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G2:K16"/>
  <sheetViews>
    <sheetView workbookViewId="0">
      <selection activeCell="G26" sqref="G26"/>
    </sheetView>
  </sheetViews>
  <sheetFormatPr defaultColWidth="9.140625" defaultRowHeight="15" x14ac:dyDescent="0.25"/>
  <cols>
    <col min="7" max="7" width="13.42578125" bestFit="1" customWidth="1"/>
    <col min="8" max="8" width="9.140625" style="290"/>
    <col min="11" max="11" width="12.5703125" bestFit="1" customWidth="1"/>
  </cols>
  <sheetData>
    <row r="2" spans="7:11" x14ac:dyDescent="0.25">
      <c r="G2" t="s">
        <v>383</v>
      </c>
      <c r="H2" s="338">
        <v>55.450021643395544</v>
      </c>
    </row>
    <row r="3" spans="7:11" x14ac:dyDescent="0.25">
      <c r="G3" t="s">
        <v>388</v>
      </c>
      <c r="H3" s="338">
        <v>112.43567591250618</v>
      </c>
    </row>
    <row r="4" spans="7:11" x14ac:dyDescent="0.25">
      <c r="G4" t="s">
        <v>386</v>
      </c>
      <c r="H4" s="338">
        <v>83.89870233065183</v>
      </c>
    </row>
    <row r="5" spans="7:11" x14ac:dyDescent="0.25">
      <c r="G5" t="s">
        <v>384</v>
      </c>
      <c r="H5" s="338">
        <v>46.317525161995547</v>
      </c>
    </row>
    <row r="6" spans="7:11" x14ac:dyDescent="0.25">
      <c r="G6" t="s">
        <v>380</v>
      </c>
      <c r="H6" s="338">
        <v>49.762839936380608</v>
      </c>
      <c r="K6" s="337"/>
    </row>
    <row r="7" spans="7:11" x14ac:dyDescent="0.25">
      <c r="G7" t="s">
        <v>389</v>
      </c>
      <c r="H7" s="338">
        <v>60.753701007676575</v>
      </c>
    </row>
    <row r="8" spans="7:11" x14ac:dyDescent="0.25">
      <c r="G8" t="s">
        <v>381</v>
      </c>
      <c r="H8" s="338">
        <v>55.396959421727232</v>
      </c>
    </row>
    <row r="9" spans="7:11" x14ac:dyDescent="0.25">
      <c r="G9" t="s">
        <v>390</v>
      </c>
      <c r="H9" s="338">
        <v>98.339646104163876</v>
      </c>
    </row>
    <row r="10" spans="7:11" x14ac:dyDescent="0.25">
      <c r="G10" t="s">
        <v>385</v>
      </c>
      <c r="H10" s="338">
        <v>52.721034638400042</v>
      </c>
    </row>
    <row r="11" spans="7:11" x14ac:dyDescent="0.25">
      <c r="G11" t="s">
        <v>387</v>
      </c>
      <c r="H11" s="338">
        <v>91.822468661880066</v>
      </c>
    </row>
    <row r="12" spans="7:11" x14ac:dyDescent="0.25">
      <c r="G12" t="s">
        <v>382</v>
      </c>
      <c r="H12" s="338">
        <v>49.62318395154216</v>
      </c>
    </row>
    <row r="13" spans="7:11" x14ac:dyDescent="0.25">
      <c r="G13" t="s">
        <v>392</v>
      </c>
      <c r="H13" s="338">
        <v>93.549462769577104</v>
      </c>
    </row>
    <row r="14" spans="7:11" x14ac:dyDescent="0.25">
      <c r="G14" t="s">
        <v>391</v>
      </c>
      <c r="H14" s="338">
        <v>75.227563379222147</v>
      </c>
    </row>
    <row r="15" spans="7:11" x14ac:dyDescent="0.25">
      <c r="G15" t="s">
        <v>394</v>
      </c>
      <c r="H15" s="290">
        <v>56</v>
      </c>
    </row>
    <row r="16" spans="7:11" x14ac:dyDescent="0.25">
      <c r="G16" t="s">
        <v>393</v>
      </c>
      <c r="H16" s="290">
        <v>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B2:E6"/>
  <sheetViews>
    <sheetView workbookViewId="0">
      <selection activeCell="C6" sqref="C6"/>
    </sheetView>
  </sheetViews>
  <sheetFormatPr defaultColWidth="11.42578125" defaultRowHeight="15" x14ac:dyDescent="0.25"/>
  <sheetData>
    <row r="2" spans="2:5" x14ac:dyDescent="0.25">
      <c r="B2">
        <v>1</v>
      </c>
      <c r="C2">
        <v>0.12025</v>
      </c>
      <c r="D2">
        <v>12025</v>
      </c>
    </row>
    <row r="3" spans="2:5" x14ac:dyDescent="0.25">
      <c r="B3">
        <v>2</v>
      </c>
      <c r="C3" s="336">
        <v>2.2499999999999999E-2</v>
      </c>
    </row>
    <row r="4" spans="2:5" x14ac:dyDescent="0.25">
      <c r="B4">
        <v>3</v>
      </c>
      <c r="C4">
        <v>3.2500000000000001E-2</v>
      </c>
    </row>
    <row r="5" spans="2:5" x14ac:dyDescent="0.25">
      <c r="B5">
        <v>4</v>
      </c>
      <c r="C5">
        <v>4.2500000000000003E-2</v>
      </c>
    </row>
    <row r="6" spans="2:5" x14ac:dyDescent="0.25">
      <c r="E6" s="335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D3:J1095"/>
  <sheetViews>
    <sheetView workbookViewId="0">
      <selection activeCell="I13" sqref="I13"/>
    </sheetView>
  </sheetViews>
  <sheetFormatPr defaultColWidth="9.140625" defaultRowHeight="19.5" customHeight="1" outlineLevelCol="1" x14ac:dyDescent="0.2"/>
  <cols>
    <col min="1" max="3" width="11.42578125" style="328" customWidth="1"/>
    <col min="4" max="4" width="30.140625" style="331" hidden="1" customWidth="1"/>
    <col min="5" max="5" width="16.28515625" style="328" hidden="1" customWidth="1"/>
    <col min="6" max="6" width="9.140625" style="328"/>
    <col min="7" max="7" width="21.5703125" style="328" customWidth="1"/>
    <col min="8" max="8" width="21.28515625" style="331" customWidth="1" outlineLevel="1"/>
    <col min="9" max="16384" width="9.140625" style="328"/>
  </cols>
  <sheetData>
    <row r="3" spans="4:10" s="321" customFormat="1" ht="23.25" customHeight="1" x14ac:dyDescent="0.25">
      <c r="D3" s="320" t="s">
        <v>114</v>
      </c>
      <c r="E3" s="320" t="s">
        <v>115</v>
      </c>
      <c r="G3" s="320" t="s">
        <v>114</v>
      </c>
      <c r="H3" s="320" t="s">
        <v>115</v>
      </c>
    </row>
    <row r="4" spans="4:10" s="322" customFormat="1" ht="24" customHeight="1" x14ac:dyDescent="0.25">
      <c r="G4" s="323" t="s">
        <v>374</v>
      </c>
      <c r="H4" s="323">
        <v>70</v>
      </c>
      <c r="I4" s="322">
        <v>48</v>
      </c>
      <c r="J4" s="324"/>
    </row>
    <row r="5" spans="4:10" s="322" customFormat="1" ht="24" customHeight="1" x14ac:dyDescent="0.25">
      <c r="D5" s="325" t="s">
        <v>122</v>
      </c>
      <c r="E5" s="326">
        <v>54</v>
      </c>
      <c r="G5" s="323" t="s">
        <v>375</v>
      </c>
      <c r="H5" s="323">
        <v>55</v>
      </c>
      <c r="I5" s="322">
        <v>48</v>
      </c>
      <c r="J5" s="324"/>
    </row>
    <row r="6" spans="4:10" s="322" customFormat="1" ht="24" customHeight="1" x14ac:dyDescent="0.25">
      <c r="D6" s="325" t="s">
        <v>117</v>
      </c>
      <c r="E6" s="326">
        <v>51</v>
      </c>
      <c r="G6" s="323" t="s">
        <v>365</v>
      </c>
      <c r="H6" s="323">
        <v>40</v>
      </c>
      <c r="I6" s="322">
        <v>38</v>
      </c>
      <c r="J6" s="324"/>
    </row>
    <row r="7" spans="4:10" s="322" customFormat="1" ht="24" customHeight="1" x14ac:dyDescent="0.25">
      <c r="D7" s="325" t="s">
        <v>123</v>
      </c>
      <c r="E7" s="326">
        <v>50</v>
      </c>
      <c r="G7" s="323" t="s">
        <v>368</v>
      </c>
      <c r="H7" s="323">
        <v>50</v>
      </c>
      <c r="I7" s="322">
        <v>47</v>
      </c>
      <c r="J7" s="324"/>
    </row>
    <row r="8" spans="4:10" s="322" customFormat="1" ht="24" customHeight="1" x14ac:dyDescent="0.25">
      <c r="D8" s="325" t="s">
        <v>120</v>
      </c>
      <c r="E8" s="326">
        <v>41</v>
      </c>
      <c r="G8" s="323" t="s">
        <v>376</v>
      </c>
      <c r="H8" s="323">
        <v>40</v>
      </c>
      <c r="I8" s="322">
        <v>36</v>
      </c>
      <c r="J8" s="324"/>
    </row>
    <row r="9" spans="4:10" s="322" customFormat="1" ht="24" customHeight="1" x14ac:dyDescent="0.25">
      <c r="D9" s="325" t="s">
        <v>119</v>
      </c>
      <c r="E9" s="326">
        <v>80</v>
      </c>
      <c r="G9" s="323" t="s">
        <v>367</v>
      </c>
      <c r="H9" s="323">
        <v>63</v>
      </c>
      <c r="J9" s="324"/>
    </row>
    <row r="10" spans="4:10" s="322" customFormat="1" ht="24" customHeight="1" x14ac:dyDescent="0.25">
      <c r="D10" s="325" t="s">
        <v>118</v>
      </c>
      <c r="E10" s="326">
        <v>104</v>
      </c>
      <c r="G10" s="323" t="s">
        <v>371</v>
      </c>
      <c r="H10" s="323">
        <v>131</v>
      </c>
      <c r="J10" s="324"/>
    </row>
    <row r="11" spans="4:10" s="322" customFormat="1" ht="24" customHeight="1" x14ac:dyDescent="0.25">
      <c r="D11" s="325" t="s">
        <v>121</v>
      </c>
      <c r="E11" s="326">
        <v>104</v>
      </c>
      <c r="G11" s="323" t="s">
        <v>369</v>
      </c>
      <c r="H11" s="323">
        <v>47</v>
      </c>
      <c r="J11" s="324"/>
    </row>
    <row r="12" spans="4:10" s="322" customFormat="1" ht="24" customHeight="1" x14ac:dyDescent="0.25">
      <c r="D12" s="325" t="s">
        <v>116</v>
      </c>
      <c r="E12" s="326">
        <v>110</v>
      </c>
      <c r="G12" s="323" t="s">
        <v>372</v>
      </c>
      <c r="H12" s="323">
        <v>45</v>
      </c>
      <c r="I12" s="322">
        <v>43</v>
      </c>
      <c r="J12" s="324"/>
    </row>
    <row r="13" spans="4:10" s="322" customFormat="1" ht="24" customHeight="1" x14ac:dyDescent="0.25">
      <c r="D13" s="325" t="s">
        <v>126</v>
      </c>
      <c r="E13" s="326">
        <v>79</v>
      </c>
      <c r="G13" s="323" t="s">
        <v>370</v>
      </c>
      <c r="H13" s="323">
        <v>46</v>
      </c>
      <c r="J13" s="324"/>
    </row>
    <row r="14" spans="4:10" ht="24" customHeight="1" x14ac:dyDescent="0.2">
      <c r="D14" s="325" t="s">
        <v>124</v>
      </c>
      <c r="E14" s="327">
        <v>69</v>
      </c>
      <c r="G14" s="323"/>
      <c r="H14" s="323"/>
      <c r="J14" s="329"/>
    </row>
    <row r="15" spans="4:10" ht="24" customHeight="1" x14ac:dyDescent="0.2">
      <c r="D15" s="325" t="s">
        <v>125</v>
      </c>
      <c r="E15" s="327">
        <v>83</v>
      </c>
      <c r="G15" s="323"/>
      <c r="H15" s="323"/>
      <c r="J15" s="329"/>
    </row>
    <row r="16" spans="4:10" ht="24" customHeight="1" x14ac:dyDescent="0.2">
      <c r="D16" s="325" t="s">
        <v>127</v>
      </c>
      <c r="E16" s="327">
        <v>48</v>
      </c>
      <c r="G16" s="323"/>
      <c r="H16" s="323"/>
      <c r="J16" s="329"/>
    </row>
    <row r="17" spans="4:8" ht="24" customHeight="1" x14ac:dyDescent="0.2">
      <c r="D17" s="325" t="s">
        <v>129</v>
      </c>
      <c r="E17" s="327">
        <v>44.152566544540662</v>
      </c>
      <c r="G17" s="323"/>
      <c r="H17" s="323"/>
    </row>
    <row r="18" spans="4:8" ht="24" customHeight="1" x14ac:dyDescent="0.2">
      <c r="D18" s="325" t="s">
        <v>131</v>
      </c>
      <c r="E18" s="330"/>
      <c r="G18" s="323"/>
      <c r="H18" s="323"/>
    </row>
    <row r="19" spans="4:8" ht="24" customHeight="1" x14ac:dyDescent="0.2">
      <c r="D19" s="325" t="s">
        <v>173</v>
      </c>
      <c r="E19" s="330"/>
      <c r="G19" s="323"/>
      <c r="H19" s="323"/>
    </row>
    <row r="20" spans="4:8" ht="24" customHeight="1" x14ac:dyDescent="0.2">
      <c r="G20" s="323"/>
      <c r="H20" s="323"/>
    </row>
    <row r="21" spans="4:8" ht="24" customHeight="1" x14ac:dyDescent="0.2">
      <c r="G21" s="323"/>
      <c r="H21" s="323"/>
    </row>
    <row r="22" spans="4:8" ht="24.75" customHeight="1" x14ac:dyDescent="0.2">
      <c r="G22" s="333"/>
      <c r="H22" s="330"/>
    </row>
    <row r="23" spans="4:8" ht="24.75" customHeight="1" x14ac:dyDescent="0.2">
      <c r="G23" s="333"/>
      <c r="H23" s="330"/>
    </row>
    <row r="24" spans="4:8" ht="24.75" customHeight="1" x14ac:dyDescent="0.2">
      <c r="G24" s="333"/>
      <c r="H24" s="330"/>
    </row>
    <row r="25" spans="4:8" ht="24.75" customHeight="1" x14ac:dyDescent="0.2">
      <c r="G25" s="333"/>
      <c r="H25" s="330"/>
    </row>
    <row r="26" spans="4:8" ht="24.75" customHeight="1" x14ac:dyDescent="0.2">
      <c r="G26" s="333"/>
      <c r="H26" s="330"/>
    </row>
    <row r="27" spans="4:8" ht="24.75" customHeight="1" x14ac:dyDescent="0.2">
      <c r="G27" s="333"/>
      <c r="H27" s="330"/>
    </row>
    <row r="28" spans="4:8" ht="24.75" customHeight="1" x14ac:dyDescent="0.2">
      <c r="G28" s="333"/>
      <c r="H28" s="330"/>
    </row>
    <row r="29" spans="4:8" ht="24.75" customHeight="1" x14ac:dyDescent="0.2">
      <c r="G29" s="333"/>
      <c r="H29" s="330"/>
    </row>
    <row r="30" spans="4:8" ht="24.75" customHeight="1" x14ac:dyDescent="0.2">
      <c r="G30" s="333"/>
      <c r="H30" s="330"/>
    </row>
    <row r="31" spans="4:8" ht="24.75" customHeight="1" x14ac:dyDescent="0.2">
      <c r="G31" s="333"/>
      <c r="H31" s="330"/>
    </row>
    <row r="32" spans="4:8" ht="24.75" customHeight="1" x14ac:dyDescent="0.2">
      <c r="G32" s="333"/>
      <c r="H32" s="330"/>
    </row>
    <row r="33" spans="8:8" ht="19.5" customHeight="1" x14ac:dyDescent="0.2">
      <c r="H33" s="328"/>
    </row>
    <row r="34" spans="8:8" ht="19.5" customHeight="1" x14ac:dyDescent="0.2">
      <c r="H34" s="328"/>
    </row>
    <row r="35" spans="8:8" ht="19.5" customHeight="1" x14ac:dyDescent="0.2">
      <c r="H35" s="328"/>
    </row>
    <row r="36" spans="8:8" ht="19.5" customHeight="1" x14ac:dyDescent="0.2">
      <c r="H36" s="328"/>
    </row>
    <row r="37" spans="8:8" ht="19.5" customHeight="1" x14ac:dyDescent="0.2">
      <c r="H37" s="328"/>
    </row>
    <row r="38" spans="8:8" ht="19.5" customHeight="1" x14ac:dyDescent="0.2">
      <c r="H38" s="328"/>
    </row>
    <row r="39" spans="8:8" ht="19.5" customHeight="1" x14ac:dyDescent="0.2">
      <c r="H39" s="328"/>
    </row>
    <row r="40" spans="8:8" ht="19.5" customHeight="1" x14ac:dyDescent="0.2">
      <c r="H40" s="328"/>
    </row>
    <row r="41" spans="8:8" ht="19.5" customHeight="1" x14ac:dyDescent="0.2">
      <c r="H41" s="328"/>
    </row>
    <row r="42" spans="8:8" ht="19.5" customHeight="1" x14ac:dyDescent="0.2">
      <c r="H42" s="328"/>
    </row>
    <row r="43" spans="8:8" ht="19.5" customHeight="1" x14ac:dyDescent="0.2">
      <c r="H43" s="328"/>
    </row>
    <row r="44" spans="8:8" ht="19.5" customHeight="1" x14ac:dyDescent="0.2">
      <c r="H44" s="328"/>
    </row>
    <row r="45" spans="8:8" ht="19.5" customHeight="1" x14ac:dyDescent="0.2">
      <c r="H45" s="328"/>
    </row>
    <row r="46" spans="8:8" ht="19.5" customHeight="1" x14ac:dyDescent="0.2">
      <c r="H46" s="328"/>
    </row>
    <row r="47" spans="8:8" ht="19.5" customHeight="1" x14ac:dyDescent="0.2">
      <c r="H47" s="328"/>
    </row>
    <row r="48" spans="8:8" ht="19.5" customHeight="1" x14ac:dyDescent="0.2">
      <c r="H48" s="328"/>
    </row>
    <row r="49" spans="8:8" ht="19.5" customHeight="1" x14ac:dyDescent="0.2">
      <c r="H49" s="328"/>
    </row>
    <row r="50" spans="8:8" ht="19.5" customHeight="1" x14ac:dyDescent="0.2">
      <c r="H50" s="328"/>
    </row>
    <row r="51" spans="8:8" ht="19.5" customHeight="1" x14ac:dyDescent="0.2">
      <c r="H51" s="328"/>
    </row>
    <row r="52" spans="8:8" ht="19.5" customHeight="1" x14ac:dyDescent="0.2">
      <c r="H52" s="328"/>
    </row>
    <row r="53" spans="8:8" ht="19.5" customHeight="1" x14ac:dyDescent="0.2">
      <c r="H53" s="328"/>
    </row>
    <row r="54" spans="8:8" ht="19.5" customHeight="1" x14ac:dyDescent="0.2">
      <c r="H54" s="328"/>
    </row>
    <row r="55" spans="8:8" ht="19.5" customHeight="1" x14ac:dyDescent="0.2">
      <c r="H55" s="328"/>
    </row>
    <row r="56" spans="8:8" ht="19.5" customHeight="1" x14ac:dyDescent="0.2">
      <c r="H56" s="328"/>
    </row>
    <row r="57" spans="8:8" ht="19.5" customHeight="1" x14ac:dyDescent="0.2">
      <c r="H57" s="328"/>
    </row>
    <row r="58" spans="8:8" ht="19.5" customHeight="1" x14ac:dyDescent="0.2">
      <c r="H58" s="328"/>
    </row>
    <row r="59" spans="8:8" ht="19.5" customHeight="1" x14ac:dyDescent="0.2">
      <c r="H59" s="328"/>
    </row>
    <row r="60" spans="8:8" ht="19.5" customHeight="1" x14ac:dyDescent="0.2">
      <c r="H60" s="328"/>
    </row>
    <row r="61" spans="8:8" ht="19.5" customHeight="1" x14ac:dyDescent="0.2">
      <c r="H61" s="328"/>
    </row>
    <row r="62" spans="8:8" ht="19.5" customHeight="1" x14ac:dyDescent="0.2">
      <c r="H62" s="328"/>
    </row>
    <row r="63" spans="8:8" ht="19.5" customHeight="1" x14ac:dyDescent="0.2">
      <c r="H63" s="328"/>
    </row>
    <row r="64" spans="8:8" ht="19.5" customHeight="1" x14ac:dyDescent="0.2">
      <c r="H64" s="328"/>
    </row>
    <row r="65" spans="8:8" ht="19.5" customHeight="1" x14ac:dyDescent="0.2">
      <c r="H65" s="328"/>
    </row>
    <row r="66" spans="8:8" ht="19.5" customHeight="1" x14ac:dyDescent="0.2">
      <c r="H66" s="328"/>
    </row>
    <row r="67" spans="8:8" ht="19.5" customHeight="1" x14ac:dyDescent="0.2">
      <c r="H67" s="328"/>
    </row>
    <row r="68" spans="8:8" ht="19.5" customHeight="1" x14ac:dyDescent="0.2">
      <c r="H68" s="328"/>
    </row>
    <row r="69" spans="8:8" ht="19.5" customHeight="1" x14ac:dyDescent="0.2">
      <c r="H69" s="328"/>
    </row>
    <row r="70" spans="8:8" ht="19.5" customHeight="1" x14ac:dyDescent="0.2">
      <c r="H70" s="328"/>
    </row>
    <row r="71" spans="8:8" ht="19.5" customHeight="1" x14ac:dyDescent="0.2">
      <c r="H71" s="328"/>
    </row>
    <row r="72" spans="8:8" ht="19.5" customHeight="1" x14ac:dyDescent="0.2">
      <c r="H72" s="328"/>
    </row>
    <row r="73" spans="8:8" ht="19.5" customHeight="1" x14ac:dyDescent="0.2">
      <c r="H73" s="328"/>
    </row>
    <row r="74" spans="8:8" ht="19.5" customHeight="1" x14ac:dyDescent="0.2">
      <c r="H74" s="328"/>
    </row>
    <row r="75" spans="8:8" ht="19.5" customHeight="1" x14ac:dyDescent="0.2">
      <c r="H75" s="328"/>
    </row>
    <row r="76" spans="8:8" ht="19.5" customHeight="1" x14ac:dyDescent="0.2">
      <c r="H76" s="328"/>
    </row>
    <row r="77" spans="8:8" ht="19.5" customHeight="1" x14ac:dyDescent="0.2">
      <c r="H77" s="328"/>
    </row>
    <row r="78" spans="8:8" ht="19.5" customHeight="1" x14ac:dyDescent="0.2">
      <c r="H78" s="328"/>
    </row>
    <row r="79" spans="8:8" ht="19.5" customHeight="1" x14ac:dyDescent="0.2">
      <c r="H79" s="328"/>
    </row>
    <row r="80" spans="8:8" ht="19.5" customHeight="1" x14ac:dyDescent="0.2">
      <c r="H80" s="328"/>
    </row>
    <row r="81" spans="8:8" ht="19.5" customHeight="1" x14ac:dyDescent="0.2">
      <c r="H81" s="328"/>
    </row>
    <row r="82" spans="8:8" ht="19.5" customHeight="1" x14ac:dyDescent="0.2">
      <c r="H82" s="328"/>
    </row>
    <row r="83" spans="8:8" ht="19.5" customHeight="1" x14ac:dyDescent="0.2">
      <c r="H83" s="328"/>
    </row>
    <row r="84" spans="8:8" ht="19.5" customHeight="1" x14ac:dyDescent="0.2">
      <c r="H84" s="328"/>
    </row>
    <row r="85" spans="8:8" ht="19.5" customHeight="1" x14ac:dyDescent="0.2">
      <c r="H85" s="328"/>
    </row>
    <row r="86" spans="8:8" ht="19.5" customHeight="1" x14ac:dyDescent="0.2">
      <c r="H86" s="328"/>
    </row>
    <row r="87" spans="8:8" ht="19.5" customHeight="1" x14ac:dyDescent="0.2">
      <c r="H87" s="328"/>
    </row>
    <row r="88" spans="8:8" ht="19.5" customHeight="1" x14ac:dyDescent="0.2">
      <c r="H88" s="328"/>
    </row>
    <row r="89" spans="8:8" ht="19.5" customHeight="1" x14ac:dyDescent="0.2">
      <c r="H89" s="328"/>
    </row>
    <row r="90" spans="8:8" ht="19.5" customHeight="1" x14ac:dyDescent="0.2">
      <c r="H90" s="328"/>
    </row>
    <row r="91" spans="8:8" ht="19.5" customHeight="1" x14ac:dyDescent="0.2">
      <c r="H91" s="328"/>
    </row>
    <row r="92" spans="8:8" ht="19.5" customHeight="1" x14ac:dyDescent="0.2">
      <c r="H92" s="328"/>
    </row>
    <row r="93" spans="8:8" ht="19.5" customHeight="1" x14ac:dyDescent="0.2">
      <c r="H93" s="328"/>
    </row>
    <row r="94" spans="8:8" ht="19.5" customHeight="1" x14ac:dyDescent="0.2">
      <c r="H94" s="328"/>
    </row>
    <row r="95" spans="8:8" ht="19.5" customHeight="1" x14ac:dyDescent="0.2">
      <c r="H95" s="328"/>
    </row>
    <row r="96" spans="8:8" ht="19.5" customHeight="1" x14ac:dyDescent="0.2">
      <c r="H96" s="328"/>
    </row>
    <row r="97" spans="8:8" ht="19.5" customHeight="1" x14ac:dyDescent="0.2">
      <c r="H97" s="328"/>
    </row>
    <row r="98" spans="8:8" ht="19.5" customHeight="1" x14ac:dyDescent="0.2">
      <c r="H98" s="328"/>
    </row>
    <row r="99" spans="8:8" ht="19.5" customHeight="1" x14ac:dyDescent="0.2">
      <c r="H99" s="328"/>
    </row>
    <row r="100" spans="8:8" ht="19.5" customHeight="1" x14ac:dyDescent="0.2">
      <c r="H100" s="328"/>
    </row>
    <row r="101" spans="8:8" ht="19.5" customHeight="1" x14ac:dyDescent="0.2">
      <c r="H101" s="328"/>
    </row>
    <row r="102" spans="8:8" ht="19.5" customHeight="1" x14ac:dyDescent="0.2">
      <c r="H102" s="328"/>
    </row>
    <row r="103" spans="8:8" ht="19.5" customHeight="1" x14ac:dyDescent="0.2">
      <c r="H103" s="328"/>
    </row>
    <row r="104" spans="8:8" ht="19.5" customHeight="1" x14ac:dyDescent="0.2">
      <c r="H104" s="328"/>
    </row>
    <row r="105" spans="8:8" ht="19.5" customHeight="1" x14ac:dyDescent="0.2">
      <c r="H105" s="328"/>
    </row>
    <row r="106" spans="8:8" ht="19.5" customHeight="1" x14ac:dyDescent="0.2">
      <c r="H106" s="328"/>
    </row>
    <row r="107" spans="8:8" ht="19.5" customHeight="1" x14ac:dyDescent="0.2">
      <c r="H107" s="328"/>
    </row>
    <row r="108" spans="8:8" ht="19.5" customHeight="1" x14ac:dyDescent="0.2">
      <c r="H108" s="328"/>
    </row>
    <row r="109" spans="8:8" ht="19.5" customHeight="1" x14ac:dyDescent="0.2">
      <c r="H109" s="328"/>
    </row>
    <row r="110" spans="8:8" ht="19.5" customHeight="1" x14ac:dyDescent="0.2">
      <c r="H110" s="328"/>
    </row>
    <row r="111" spans="8:8" ht="19.5" customHeight="1" x14ac:dyDescent="0.2">
      <c r="H111" s="328"/>
    </row>
    <row r="112" spans="8:8" ht="19.5" customHeight="1" x14ac:dyDescent="0.2">
      <c r="H112" s="328"/>
    </row>
    <row r="113" spans="8:8" ht="19.5" customHeight="1" x14ac:dyDescent="0.2">
      <c r="H113" s="328"/>
    </row>
    <row r="114" spans="8:8" ht="19.5" customHeight="1" x14ac:dyDescent="0.2">
      <c r="H114" s="328"/>
    </row>
    <row r="115" spans="8:8" ht="19.5" customHeight="1" x14ac:dyDescent="0.2">
      <c r="H115" s="328"/>
    </row>
    <row r="116" spans="8:8" ht="19.5" customHeight="1" x14ac:dyDescent="0.2">
      <c r="H116" s="328"/>
    </row>
    <row r="117" spans="8:8" ht="19.5" customHeight="1" x14ac:dyDescent="0.2">
      <c r="H117" s="328"/>
    </row>
    <row r="118" spans="8:8" ht="19.5" customHeight="1" x14ac:dyDescent="0.2">
      <c r="H118" s="328"/>
    </row>
    <row r="119" spans="8:8" ht="19.5" customHeight="1" x14ac:dyDescent="0.2">
      <c r="H119" s="328"/>
    </row>
    <row r="120" spans="8:8" ht="19.5" customHeight="1" x14ac:dyDescent="0.2">
      <c r="H120" s="328"/>
    </row>
    <row r="121" spans="8:8" ht="19.5" customHeight="1" x14ac:dyDescent="0.2">
      <c r="H121" s="328"/>
    </row>
    <row r="122" spans="8:8" ht="19.5" customHeight="1" x14ac:dyDescent="0.2">
      <c r="H122" s="328"/>
    </row>
    <row r="123" spans="8:8" ht="19.5" customHeight="1" x14ac:dyDescent="0.2">
      <c r="H123" s="328"/>
    </row>
    <row r="124" spans="8:8" ht="19.5" customHeight="1" x14ac:dyDescent="0.2">
      <c r="H124" s="328"/>
    </row>
    <row r="125" spans="8:8" ht="19.5" customHeight="1" x14ac:dyDescent="0.2">
      <c r="H125" s="328"/>
    </row>
    <row r="126" spans="8:8" ht="19.5" customHeight="1" x14ac:dyDescent="0.2">
      <c r="H126" s="328"/>
    </row>
    <row r="127" spans="8:8" ht="19.5" customHeight="1" x14ac:dyDescent="0.2">
      <c r="H127" s="328"/>
    </row>
    <row r="128" spans="8:8" ht="19.5" customHeight="1" x14ac:dyDescent="0.2">
      <c r="H128" s="328"/>
    </row>
    <row r="129" spans="8:8" ht="19.5" customHeight="1" x14ac:dyDescent="0.2">
      <c r="H129" s="328"/>
    </row>
    <row r="130" spans="8:8" ht="19.5" customHeight="1" x14ac:dyDescent="0.2">
      <c r="H130" s="328"/>
    </row>
    <row r="131" spans="8:8" ht="19.5" customHeight="1" x14ac:dyDescent="0.2">
      <c r="H131" s="328"/>
    </row>
    <row r="132" spans="8:8" ht="19.5" customHeight="1" x14ac:dyDescent="0.2">
      <c r="H132" s="328"/>
    </row>
    <row r="133" spans="8:8" ht="19.5" customHeight="1" x14ac:dyDescent="0.2">
      <c r="H133" s="328"/>
    </row>
    <row r="134" spans="8:8" ht="19.5" customHeight="1" x14ac:dyDescent="0.2">
      <c r="H134" s="328"/>
    </row>
    <row r="135" spans="8:8" ht="19.5" customHeight="1" x14ac:dyDescent="0.2">
      <c r="H135" s="328"/>
    </row>
    <row r="136" spans="8:8" ht="19.5" customHeight="1" x14ac:dyDescent="0.2">
      <c r="H136" s="328"/>
    </row>
    <row r="137" spans="8:8" ht="19.5" customHeight="1" x14ac:dyDescent="0.2">
      <c r="H137" s="328"/>
    </row>
    <row r="138" spans="8:8" ht="19.5" customHeight="1" x14ac:dyDescent="0.2">
      <c r="H138" s="328"/>
    </row>
    <row r="139" spans="8:8" ht="19.5" customHeight="1" x14ac:dyDescent="0.2">
      <c r="H139" s="328"/>
    </row>
    <row r="140" spans="8:8" ht="19.5" customHeight="1" x14ac:dyDescent="0.2">
      <c r="H140" s="328"/>
    </row>
    <row r="141" spans="8:8" ht="19.5" customHeight="1" x14ac:dyDescent="0.2">
      <c r="H141" s="328"/>
    </row>
    <row r="142" spans="8:8" ht="19.5" customHeight="1" x14ac:dyDescent="0.2">
      <c r="H142" s="328"/>
    </row>
    <row r="143" spans="8:8" ht="19.5" customHeight="1" x14ac:dyDescent="0.2">
      <c r="H143" s="328"/>
    </row>
    <row r="144" spans="8:8" ht="19.5" customHeight="1" x14ac:dyDescent="0.2">
      <c r="H144" s="328"/>
    </row>
    <row r="145" spans="8:8" ht="19.5" customHeight="1" x14ac:dyDescent="0.2">
      <c r="H145" s="328"/>
    </row>
    <row r="146" spans="8:8" ht="19.5" customHeight="1" x14ac:dyDescent="0.2">
      <c r="H146" s="328"/>
    </row>
    <row r="147" spans="8:8" ht="19.5" customHeight="1" x14ac:dyDescent="0.2">
      <c r="H147" s="328"/>
    </row>
    <row r="148" spans="8:8" ht="19.5" customHeight="1" x14ac:dyDescent="0.2">
      <c r="H148" s="328"/>
    </row>
    <row r="149" spans="8:8" ht="19.5" customHeight="1" x14ac:dyDescent="0.2">
      <c r="H149" s="328"/>
    </row>
    <row r="150" spans="8:8" ht="19.5" customHeight="1" x14ac:dyDescent="0.2">
      <c r="H150" s="328"/>
    </row>
    <row r="151" spans="8:8" ht="19.5" customHeight="1" x14ac:dyDescent="0.2">
      <c r="H151" s="328"/>
    </row>
    <row r="152" spans="8:8" ht="19.5" customHeight="1" x14ac:dyDescent="0.2">
      <c r="H152" s="328"/>
    </row>
    <row r="153" spans="8:8" ht="19.5" customHeight="1" x14ac:dyDescent="0.2">
      <c r="H153" s="328"/>
    </row>
    <row r="154" spans="8:8" ht="19.5" customHeight="1" x14ac:dyDescent="0.2">
      <c r="H154" s="328"/>
    </row>
    <row r="155" spans="8:8" ht="19.5" customHeight="1" x14ac:dyDescent="0.2">
      <c r="H155" s="328"/>
    </row>
    <row r="156" spans="8:8" ht="19.5" customHeight="1" x14ac:dyDescent="0.2">
      <c r="H156" s="328"/>
    </row>
    <row r="157" spans="8:8" ht="19.5" customHeight="1" x14ac:dyDescent="0.2">
      <c r="H157" s="328"/>
    </row>
    <row r="158" spans="8:8" ht="19.5" customHeight="1" x14ac:dyDescent="0.2">
      <c r="H158" s="328"/>
    </row>
    <row r="159" spans="8:8" ht="19.5" customHeight="1" x14ac:dyDescent="0.2">
      <c r="H159" s="328"/>
    </row>
    <row r="160" spans="8:8" ht="19.5" customHeight="1" x14ac:dyDescent="0.2">
      <c r="H160" s="328"/>
    </row>
    <row r="161" spans="8:8" ht="19.5" customHeight="1" x14ac:dyDescent="0.2">
      <c r="H161" s="328"/>
    </row>
    <row r="162" spans="8:8" ht="19.5" customHeight="1" x14ac:dyDescent="0.2">
      <c r="H162" s="328"/>
    </row>
    <row r="163" spans="8:8" ht="19.5" customHeight="1" x14ac:dyDescent="0.2">
      <c r="H163" s="328"/>
    </row>
    <row r="164" spans="8:8" ht="19.5" customHeight="1" x14ac:dyDescent="0.2">
      <c r="H164" s="328"/>
    </row>
    <row r="165" spans="8:8" ht="19.5" customHeight="1" x14ac:dyDescent="0.2">
      <c r="H165" s="328"/>
    </row>
    <row r="166" spans="8:8" ht="19.5" customHeight="1" x14ac:dyDescent="0.2">
      <c r="H166" s="328"/>
    </row>
    <row r="167" spans="8:8" ht="19.5" customHeight="1" x14ac:dyDescent="0.2">
      <c r="H167" s="328"/>
    </row>
    <row r="168" spans="8:8" ht="19.5" customHeight="1" x14ac:dyDescent="0.2">
      <c r="H168" s="328"/>
    </row>
    <row r="169" spans="8:8" ht="19.5" customHeight="1" x14ac:dyDescent="0.2">
      <c r="H169" s="328"/>
    </row>
    <row r="170" spans="8:8" ht="19.5" customHeight="1" x14ac:dyDescent="0.2">
      <c r="H170" s="328"/>
    </row>
    <row r="171" spans="8:8" ht="19.5" customHeight="1" x14ac:dyDescent="0.2">
      <c r="H171" s="328"/>
    </row>
    <row r="172" spans="8:8" ht="19.5" customHeight="1" x14ac:dyDescent="0.2">
      <c r="H172" s="328"/>
    </row>
    <row r="173" spans="8:8" ht="19.5" customHeight="1" x14ac:dyDescent="0.2">
      <c r="H173" s="328"/>
    </row>
    <row r="174" spans="8:8" ht="19.5" customHeight="1" x14ac:dyDescent="0.2">
      <c r="H174" s="328"/>
    </row>
    <row r="175" spans="8:8" ht="19.5" customHeight="1" x14ac:dyDescent="0.2">
      <c r="H175" s="328"/>
    </row>
    <row r="176" spans="8:8" ht="19.5" customHeight="1" x14ac:dyDescent="0.2">
      <c r="H176" s="328"/>
    </row>
    <row r="177" spans="8:8" ht="19.5" customHeight="1" x14ac:dyDescent="0.2">
      <c r="H177" s="328"/>
    </row>
    <row r="178" spans="8:8" ht="19.5" customHeight="1" x14ac:dyDescent="0.2">
      <c r="H178" s="328"/>
    </row>
    <row r="179" spans="8:8" ht="19.5" customHeight="1" x14ac:dyDescent="0.2">
      <c r="H179" s="328"/>
    </row>
    <row r="180" spans="8:8" ht="19.5" customHeight="1" x14ac:dyDescent="0.2">
      <c r="H180" s="328"/>
    </row>
    <row r="181" spans="8:8" ht="19.5" customHeight="1" x14ac:dyDescent="0.2">
      <c r="H181" s="328"/>
    </row>
    <row r="182" spans="8:8" ht="19.5" customHeight="1" x14ac:dyDescent="0.2">
      <c r="H182" s="328"/>
    </row>
    <row r="183" spans="8:8" ht="19.5" customHeight="1" x14ac:dyDescent="0.2">
      <c r="H183" s="328"/>
    </row>
    <row r="184" spans="8:8" ht="19.5" customHeight="1" x14ac:dyDescent="0.2">
      <c r="H184" s="328"/>
    </row>
    <row r="185" spans="8:8" ht="19.5" customHeight="1" x14ac:dyDescent="0.2">
      <c r="H185" s="328"/>
    </row>
    <row r="186" spans="8:8" ht="19.5" customHeight="1" x14ac:dyDescent="0.2">
      <c r="H186" s="328"/>
    </row>
    <row r="187" spans="8:8" ht="19.5" customHeight="1" x14ac:dyDescent="0.2">
      <c r="H187" s="328"/>
    </row>
    <row r="188" spans="8:8" ht="19.5" customHeight="1" x14ac:dyDescent="0.2">
      <c r="H188" s="328"/>
    </row>
    <row r="189" spans="8:8" ht="19.5" customHeight="1" x14ac:dyDescent="0.2">
      <c r="H189" s="328"/>
    </row>
    <row r="190" spans="8:8" ht="19.5" customHeight="1" x14ac:dyDescent="0.2">
      <c r="H190" s="328"/>
    </row>
    <row r="191" spans="8:8" ht="19.5" customHeight="1" x14ac:dyDescent="0.2">
      <c r="H191" s="328"/>
    </row>
    <row r="192" spans="8:8" ht="19.5" customHeight="1" x14ac:dyDescent="0.2">
      <c r="H192" s="328"/>
    </row>
    <row r="193" spans="8:8" ht="19.5" customHeight="1" x14ac:dyDescent="0.2">
      <c r="H193" s="328"/>
    </row>
    <row r="194" spans="8:8" ht="19.5" customHeight="1" x14ac:dyDescent="0.2">
      <c r="H194" s="328"/>
    </row>
    <row r="195" spans="8:8" ht="19.5" customHeight="1" x14ac:dyDescent="0.2">
      <c r="H195" s="328"/>
    </row>
    <row r="196" spans="8:8" ht="19.5" customHeight="1" x14ac:dyDescent="0.2">
      <c r="H196" s="328"/>
    </row>
    <row r="197" spans="8:8" ht="19.5" customHeight="1" x14ac:dyDescent="0.2">
      <c r="H197" s="328"/>
    </row>
    <row r="198" spans="8:8" ht="19.5" customHeight="1" x14ac:dyDescent="0.2">
      <c r="H198" s="328"/>
    </row>
    <row r="199" spans="8:8" ht="19.5" customHeight="1" x14ac:dyDescent="0.2">
      <c r="H199" s="328"/>
    </row>
    <row r="200" spans="8:8" ht="19.5" customHeight="1" x14ac:dyDescent="0.2">
      <c r="H200" s="328"/>
    </row>
    <row r="201" spans="8:8" ht="19.5" customHeight="1" x14ac:dyDescent="0.2">
      <c r="H201" s="328"/>
    </row>
    <row r="202" spans="8:8" ht="19.5" customHeight="1" x14ac:dyDescent="0.2">
      <c r="H202" s="328"/>
    </row>
    <row r="203" spans="8:8" ht="19.5" customHeight="1" x14ac:dyDescent="0.2">
      <c r="H203" s="328"/>
    </row>
    <row r="204" spans="8:8" ht="19.5" customHeight="1" x14ac:dyDescent="0.2">
      <c r="H204" s="328"/>
    </row>
    <row r="205" spans="8:8" ht="19.5" customHeight="1" x14ac:dyDescent="0.2">
      <c r="H205" s="328"/>
    </row>
    <row r="206" spans="8:8" ht="19.5" customHeight="1" x14ac:dyDescent="0.2">
      <c r="H206" s="328"/>
    </row>
    <row r="207" spans="8:8" ht="19.5" customHeight="1" x14ac:dyDescent="0.2">
      <c r="H207" s="328"/>
    </row>
    <row r="208" spans="8:8" ht="19.5" customHeight="1" x14ac:dyDescent="0.2">
      <c r="H208" s="328"/>
    </row>
    <row r="209" spans="8:8" ht="19.5" customHeight="1" x14ac:dyDescent="0.2">
      <c r="H209" s="328"/>
    </row>
    <row r="210" spans="8:8" ht="19.5" customHeight="1" x14ac:dyDescent="0.2">
      <c r="H210" s="328"/>
    </row>
    <row r="211" spans="8:8" ht="19.5" customHeight="1" x14ac:dyDescent="0.2">
      <c r="H211" s="328"/>
    </row>
    <row r="212" spans="8:8" ht="19.5" customHeight="1" x14ac:dyDescent="0.2">
      <c r="H212" s="328"/>
    </row>
    <row r="213" spans="8:8" ht="19.5" customHeight="1" x14ac:dyDescent="0.2">
      <c r="H213" s="328"/>
    </row>
    <row r="214" spans="8:8" ht="19.5" customHeight="1" x14ac:dyDescent="0.2">
      <c r="H214" s="328"/>
    </row>
    <row r="215" spans="8:8" ht="19.5" customHeight="1" x14ac:dyDescent="0.2">
      <c r="H215" s="328"/>
    </row>
    <row r="216" spans="8:8" ht="19.5" customHeight="1" x14ac:dyDescent="0.2">
      <c r="H216" s="328"/>
    </row>
    <row r="217" spans="8:8" ht="19.5" customHeight="1" x14ac:dyDescent="0.2">
      <c r="H217" s="328"/>
    </row>
    <row r="218" spans="8:8" ht="19.5" customHeight="1" x14ac:dyDescent="0.2">
      <c r="H218" s="328"/>
    </row>
    <row r="219" spans="8:8" ht="19.5" customHeight="1" x14ac:dyDescent="0.2">
      <c r="H219" s="328"/>
    </row>
    <row r="220" spans="8:8" ht="19.5" customHeight="1" x14ac:dyDescent="0.2">
      <c r="H220" s="328"/>
    </row>
    <row r="221" spans="8:8" ht="19.5" customHeight="1" x14ac:dyDescent="0.2">
      <c r="H221" s="328"/>
    </row>
    <row r="222" spans="8:8" ht="19.5" customHeight="1" x14ac:dyDescent="0.2">
      <c r="H222" s="328"/>
    </row>
    <row r="223" spans="8:8" ht="19.5" customHeight="1" x14ac:dyDescent="0.2">
      <c r="H223" s="328"/>
    </row>
    <row r="224" spans="8:8" ht="19.5" customHeight="1" x14ac:dyDescent="0.2">
      <c r="H224" s="328"/>
    </row>
    <row r="225" spans="8:8" ht="19.5" customHeight="1" x14ac:dyDescent="0.2">
      <c r="H225" s="328"/>
    </row>
    <row r="226" spans="8:8" ht="19.5" customHeight="1" x14ac:dyDescent="0.2">
      <c r="H226" s="328"/>
    </row>
    <row r="227" spans="8:8" ht="19.5" customHeight="1" x14ac:dyDescent="0.2">
      <c r="H227" s="328"/>
    </row>
    <row r="228" spans="8:8" ht="19.5" customHeight="1" x14ac:dyDescent="0.2">
      <c r="H228" s="328"/>
    </row>
    <row r="229" spans="8:8" ht="19.5" customHeight="1" x14ac:dyDescent="0.2">
      <c r="H229" s="328"/>
    </row>
    <row r="230" spans="8:8" ht="19.5" customHeight="1" x14ac:dyDescent="0.2">
      <c r="H230" s="328"/>
    </row>
    <row r="231" spans="8:8" ht="19.5" customHeight="1" x14ac:dyDescent="0.2">
      <c r="H231" s="328"/>
    </row>
    <row r="232" spans="8:8" ht="19.5" customHeight="1" x14ac:dyDescent="0.2">
      <c r="H232" s="328"/>
    </row>
    <row r="233" spans="8:8" ht="19.5" customHeight="1" x14ac:dyDescent="0.2">
      <c r="H233" s="328"/>
    </row>
    <row r="234" spans="8:8" ht="19.5" customHeight="1" x14ac:dyDescent="0.2">
      <c r="H234" s="328"/>
    </row>
    <row r="235" spans="8:8" ht="19.5" customHeight="1" x14ac:dyDescent="0.2">
      <c r="H235" s="328"/>
    </row>
    <row r="236" spans="8:8" ht="19.5" customHeight="1" x14ac:dyDescent="0.2">
      <c r="H236" s="328"/>
    </row>
    <row r="237" spans="8:8" ht="19.5" customHeight="1" x14ac:dyDescent="0.2">
      <c r="H237" s="328"/>
    </row>
    <row r="238" spans="8:8" ht="19.5" customHeight="1" x14ac:dyDescent="0.2">
      <c r="H238" s="328"/>
    </row>
    <row r="239" spans="8:8" ht="19.5" customHeight="1" x14ac:dyDescent="0.2">
      <c r="H239" s="328"/>
    </row>
    <row r="240" spans="8:8" ht="19.5" customHeight="1" x14ac:dyDescent="0.2">
      <c r="H240" s="328"/>
    </row>
    <row r="241" spans="8:8" ht="19.5" customHeight="1" x14ac:dyDescent="0.2">
      <c r="H241" s="328"/>
    </row>
    <row r="242" spans="8:8" ht="19.5" customHeight="1" x14ac:dyDescent="0.2">
      <c r="H242" s="328"/>
    </row>
    <row r="243" spans="8:8" ht="19.5" customHeight="1" x14ac:dyDescent="0.2">
      <c r="H243" s="328"/>
    </row>
    <row r="244" spans="8:8" ht="19.5" customHeight="1" x14ac:dyDescent="0.2">
      <c r="H244" s="328"/>
    </row>
    <row r="245" spans="8:8" ht="19.5" customHeight="1" x14ac:dyDescent="0.2">
      <c r="H245" s="328"/>
    </row>
    <row r="246" spans="8:8" ht="19.5" customHeight="1" x14ac:dyDescent="0.2">
      <c r="H246" s="328"/>
    </row>
    <row r="247" spans="8:8" ht="19.5" customHeight="1" x14ac:dyDescent="0.2">
      <c r="H247" s="328"/>
    </row>
    <row r="248" spans="8:8" ht="19.5" customHeight="1" x14ac:dyDescent="0.2">
      <c r="H248" s="328"/>
    </row>
    <row r="249" spans="8:8" ht="19.5" customHeight="1" x14ac:dyDescent="0.2">
      <c r="H249" s="328"/>
    </row>
    <row r="250" spans="8:8" ht="19.5" customHeight="1" x14ac:dyDescent="0.2">
      <c r="H250" s="328"/>
    </row>
    <row r="251" spans="8:8" ht="19.5" customHeight="1" x14ac:dyDescent="0.2">
      <c r="H251" s="328"/>
    </row>
    <row r="252" spans="8:8" ht="19.5" customHeight="1" x14ac:dyDescent="0.2">
      <c r="H252" s="328"/>
    </row>
    <row r="253" spans="8:8" ht="19.5" customHeight="1" x14ac:dyDescent="0.2">
      <c r="H253" s="328"/>
    </row>
    <row r="254" spans="8:8" ht="19.5" customHeight="1" x14ac:dyDescent="0.2">
      <c r="H254" s="328"/>
    </row>
    <row r="255" spans="8:8" ht="19.5" customHeight="1" x14ac:dyDescent="0.2">
      <c r="H255" s="328"/>
    </row>
    <row r="256" spans="8:8" ht="19.5" customHeight="1" x14ac:dyDescent="0.2">
      <c r="H256" s="328"/>
    </row>
    <row r="257" spans="8:8" ht="19.5" customHeight="1" x14ac:dyDescent="0.2">
      <c r="H257" s="328"/>
    </row>
    <row r="258" spans="8:8" ht="19.5" customHeight="1" x14ac:dyDescent="0.2">
      <c r="H258" s="328"/>
    </row>
    <row r="259" spans="8:8" ht="19.5" customHeight="1" x14ac:dyDescent="0.2">
      <c r="H259" s="328"/>
    </row>
    <row r="260" spans="8:8" ht="19.5" customHeight="1" x14ac:dyDescent="0.2">
      <c r="H260" s="328"/>
    </row>
    <row r="261" spans="8:8" ht="19.5" customHeight="1" x14ac:dyDescent="0.2">
      <c r="H261" s="328"/>
    </row>
    <row r="262" spans="8:8" ht="19.5" customHeight="1" x14ac:dyDescent="0.2">
      <c r="H262" s="328"/>
    </row>
    <row r="263" spans="8:8" ht="19.5" customHeight="1" x14ac:dyDescent="0.2">
      <c r="H263" s="328"/>
    </row>
    <row r="264" spans="8:8" ht="19.5" customHeight="1" x14ac:dyDescent="0.2">
      <c r="H264" s="328"/>
    </row>
    <row r="265" spans="8:8" ht="19.5" customHeight="1" x14ac:dyDescent="0.2">
      <c r="H265" s="328"/>
    </row>
    <row r="266" spans="8:8" ht="19.5" customHeight="1" x14ac:dyDescent="0.2">
      <c r="H266" s="328"/>
    </row>
    <row r="267" spans="8:8" ht="19.5" customHeight="1" x14ac:dyDescent="0.2">
      <c r="H267" s="328"/>
    </row>
    <row r="268" spans="8:8" ht="19.5" customHeight="1" x14ac:dyDescent="0.2">
      <c r="H268" s="328"/>
    </row>
    <row r="269" spans="8:8" ht="19.5" customHeight="1" x14ac:dyDescent="0.2">
      <c r="H269" s="328"/>
    </row>
    <row r="270" spans="8:8" ht="19.5" customHeight="1" x14ac:dyDescent="0.2">
      <c r="H270" s="328"/>
    </row>
    <row r="271" spans="8:8" ht="19.5" customHeight="1" x14ac:dyDescent="0.2">
      <c r="H271" s="328"/>
    </row>
    <row r="272" spans="8:8" ht="19.5" customHeight="1" x14ac:dyDescent="0.2">
      <c r="H272" s="328"/>
    </row>
    <row r="273" spans="8:8" ht="19.5" customHeight="1" x14ac:dyDescent="0.2">
      <c r="H273" s="328"/>
    </row>
    <row r="274" spans="8:8" ht="19.5" customHeight="1" x14ac:dyDescent="0.2">
      <c r="H274" s="328"/>
    </row>
    <row r="275" spans="8:8" ht="19.5" customHeight="1" x14ac:dyDescent="0.2">
      <c r="H275" s="328"/>
    </row>
    <row r="276" spans="8:8" ht="19.5" customHeight="1" x14ac:dyDescent="0.2">
      <c r="H276" s="328"/>
    </row>
    <row r="277" spans="8:8" ht="19.5" customHeight="1" x14ac:dyDescent="0.2">
      <c r="H277" s="328"/>
    </row>
    <row r="278" spans="8:8" ht="19.5" customHeight="1" x14ac:dyDescent="0.2">
      <c r="H278" s="328"/>
    </row>
    <row r="279" spans="8:8" ht="19.5" customHeight="1" x14ac:dyDescent="0.2">
      <c r="H279" s="328"/>
    </row>
    <row r="280" spans="8:8" ht="19.5" customHeight="1" x14ac:dyDescent="0.2">
      <c r="H280" s="328"/>
    </row>
    <row r="281" spans="8:8" ht="19.5" customHeight="1" x14ac:dyDescent="0.2">
      <c r="H281" s="328"/>
    </row>
    <row r="282" spans="8:8" ht="19.5" customHeight="1" x14ac:dyDescent="0.2">
      <c r="H282" s="328"/>
    </row>
    <row r="283" spans="8:8" ht="19.5" customHeight="1" x14ac:dyDescent="0.2">
      <c r="H283" s="328"/>
    </row>
    <row r="284" spans="8:8" ht="19.5" customHeight="1" x14ac:dyDescent="0.2">
      <c r="H284" s="328"/>
    </row>
    <row r="285" spans="8:8" ht="19.5" customHeight="1" x14ac:dyDescent="0.2">
      <c r="H285" s="328"/>
    </row>
    <row r="286" spans="8:8" ht="19.5" customHeight="1" x14ac:dyDescent="0.2">
      <c r="H286" s="328"/>
    </row>
    <row r="287" spans="8:8" ht="19.5" customHeight="1" x14ac:dyDescent="0.2">
      <c r="H287" s="328"/>
    </row>
    <row r="288" spans="8:8" ht="19.5" customHeight="1" x14ac:dyDescent="0.2">
      <c r="H288" s="328"/>
    </row>
    <row r="289" spans="8:8" ht="19.5" customHeight="1" x14ac:dyDescent="0.2">
      <c r="H289" s="328"/>
    </row>
    <row r="290" spans="8:8" ht="19.5" customHeight="1" x14ac:dyDescent="0.2">
      <c r="H290" s="328"/>
    </row>
    <row r="291" spans="8:8" ht="19.5" customHeight="1" x14ac:dyDescent="0.2">
      <c r="H291" s="328"/>
    </row>
    <row r="292" spans="8:8" ht="19.5" customHeight="1" x14ac:dyDescent="0.2">
      <c r="H292" s="328"/>
    </row>
    <row r="293" spans="8:8" ht="19.5" customHeight="1" x14ac:dyDescent="0.2">
      <c r="H293" s="328"/>
    </row>
    <row r="294" spans="8:8" ht="19.5" customHeight="1" x14ac:dyDescent="0.2">
      <c r="H294" s="328"/>
    </row>
    <row r="295" spans="8:8" ht="19.5" customHeight="1" x14ac:dyDescent="0.2">
      <c r="H295" s="328"/>
    </row>
    <row r="296" spans="8:8" ht="19.5" customHeight="1" x14ac:dyDescent="0.2">
      <c r="H296" s="328"/>
    </row>
    <row r="297" spans="8:8" ht="19.5" customHeight="1" x14ac:dyDescent="0.2">
      <c r="H297" s="328"/>
    </row>
    <row r="298" spans="8:8" ht="19.5" customHeight="1" x14ac:dyDescent="0.2">
      <c r="H298" s="328"/>
    </row>
    <row r="299" spans="8:8" ht="19.5" customHeight="1" x14ac:dyDescent="0.2">
      <c r="H299" s="328"/>
    </row>
    <row r="300" spans="8:8" ht="19.5" customHeight="1" x14ac:dyDescent="0.2">
      <c r="H300" s="328"/>
    </row>
    <row r="301" spans="8:8" ht="19.5" customHeight="1" x14ac:dyDescent="0.2">
      <c r="H301" s="328"/>
    </row>
    <row r="302" spans="8:8" ht="19.5" customHeight="1" x14ac:dyDescent="0.2">
      <c r="H302" s="328"/>
    </row>
    <row r="303" spans="8:8" ht="19.5" customHeight="1" x14ac:dyDescent="0.2">
      <c r="H303" s="328"/>
    </row>
    <row r="304" spans="8:8" ht="19.5" customHeight="1" x14ac:dyDescent="0.2">
      <c r="H304" s="328"/>
    </row>
    <row r="305" spans="8:8" ht="19.5" customHeight="1" x14ac:dyDescent="0.2">
      <c r="H305" s="328"/>
    </row>
    <row r="306" spans="8:8" ht="19.5" customHeight="1" x14ac:dyDescent="0.2">
      <c r="H306" s="328"/>
    </row>
    <row r="307" spans="8:8" ht="19.5" customHeight="1" x14ac:dyDescent="0.2">
      <c r="H307" s="328"/>
    </row>
    <row r="308" spans="8:8" ht="19.5" customHeight="1" x14ac:dyDescent="0.2">
      <c r="H308" s="328"/>
    </row>
    <row r="309" spans="8:8" ht="19.5" customHeight="1" x14ac:dyDescent="0.2">
      <c r="H309" s="328"/>
    </row>
    <row r="310" spans="8:8" ht="19.5" customHeight="1" x14ac:dyDescent="0.2">
      <c r="H310" s="328"/>
    </row>
    <row r="311" spans="8:8" ht="19.5" customHeight="1" x14ac:dyDescent="0.2">
      <c r="H311" s="328"/>
    </row>
    <row r="312" spans="8:8" ht="19.5" customHeight="1" x14ac:dyDescent="0.2">
      <c r="H312" s="328"/>
    </row>
    <row r="313" spans="8:8" ht="19.5" customHeight="1" x14ac:dyDescent="0.2">
      <c r="H313" s="328"/>
    </row>
    <row r="314" spans="8:8" ht="19.5" customHeight="1" x14ac:dyDescent="0.2">
      <c r="H314" s="328"/>
    </row>
    <row r="315" spans="8:8" ht="19.5" customHeight="1" x14ac:dyDescent="0.2">
      <c r="H315" s="328"/>
    </row>
    <row r="316" spans="8:8" ht="19.5" customHeight="1" x14ac:dyDescent="0.2">
      <c r="H316" s="328"/>
    </row>
    <row r="317" spans="8:8" ht="19.5" customHeight="1" x14ac:dyDescent="0.2">
      <c r="H317" s="328"/>
    </row>
    <row r="318" spans="8:8" ht="19.5" customHeight="1" x14ac:dyDescent="0.2">
      <c r="H318" s="328"/>
    </row>
    <row r="319" spans="8:8" ht="19.5" customHeight="1" x14ac:dyDescent="0.2">
      <c r="H319" s="328"/>
    </row>
    <row r="320" spans="8:8" ht="19.5" customHeight="1" x14ac:dyDescent="0.2">
      <c r="H320" s="328"/>
    </row>
    <row r="321" spans="8:8" ht="19.5" customHeight="1" x14ac:dyDescent="0.2">
      <c r="H321" s="328"/>
    </row>
    <row r="322" spans="8:8" ht="19.5" customHeight="1" x14ac:dyDescent="0.2">
      <c r="H322" s="328"/>
    </row>
    <row r="323" spans="8:8" ht="19.5" customHeight="1" x14ac:dyDescent="0.2">
      <c r="H323" s="328"/>
    </row>
    <row r="324" spans="8:8" ht="19.5" customHeight="1" x14ac:dyDescent="0.2">
      <c r="H324" s="328"/>
    </row>
    <row r="325" spans="8:8" ht="19.5" customHeight="1" x14ac:dyDescent="0.2">
      <c r="H325" s="328"/>
    </row>
    <row r="326" spans="8:8" ht="19.5" customHeight="1" x14ac:dyDescent="0.2">
      <c r="H326" s="328"/>
    </row>
    <row r="327" spans="8:8" ht="19.5" customHeight="1" x14ac:dyDescent="0.2">
      <c r="H327" s="328"/>
    </row>
    <row r="328" spans="8:8" ht="19.5" customHeight="1" x14ac:dyDescent="0.2">
      <c r="H328" s="328"/>
    </row>
    <row r="329" spans="8:8" ht="19.5" customHeight="1" x14ac:dyDescent="0.2">
      <c r="H329" s="328"/>
    </row>
    <row r="330" spans="8:8" ht="19.5" customHeight="1" x14ac:dyDescent="0.2">
      <c r="H330" s="328"/>
    </row>
    <row r="331" spans="8:8" ht="19.5" customHeight="1" x14ac:dyDescent="0.2">
      <c r="H331" s="328"/>
    </row>
    <row r="332" spans="8:8" ht="19.5" customHeight="1" x14ac:dyDescent="0.2">
      <c r="H332" s="328"/>
    </row>
    <row r="333" spans="8:8" ht="19.5" customHeight="1" x14ac:dyDescent="0.2">
      <c r="H333" s="328"/>
    </row>
    <row r="334" spans="8:8" ht="19.5" customHeight="1" x14ac:dyDescent="0.2">
      <c r="H334" s="328"/>
    </row>
    <row r="335" spans="8:8" ht="19.5" customHeight="1" x14ac:dyDescent="0.2">
      <c r="H335" s="328"/>
    </row>
    <row r="336" spans="8:8" ht="19.5" customHeight="1" x14ac:dyDescent="0.2">
      <c r="H336" s="328"/>
    </row>
    <row r="337" spans="8:8" ht="19.5" customHeight="1" x14ac:dyDescent="0.2">
      <c r="H337" s="328"/>
    </row>
    <row r="338" spans="8:8" ht="19.5" customHeight="1" x14ac:dyDescent="0.2">
      <c r="H338" s="328"/>
    </row>
    <row r="339" spans="8:8" ht="19.5" customHeight="1" x14ac:dyDescent="0.2">
      <c r="H339" s="328"/>
    </row>
    <row r="340" spans="8:8" ht="19.5" customHeight="1" x14ac:dyDescent="0.2">
      <c r="H340" s="328"/>
    </row>
    <row r="341" spans="8:8" ht="19.5" customHeight="1" x14ac:dyDescent="0.2">
      <c r="H341" s="328"/>
    </row>
    <row r="342" spans="8:8" ht="19.5" customHeight="1" x14ac:dyDescent="0.2">
      <c r="H342" s="328"/>
    </row>
    <row r="343" spans="8:8" ht="19.5" customHeight="1" x14ac:dyDescent="0.2">
      <c r="H343" s="328"/>
    </row>
    <row r="344" spans="8:8" ht="19.5" customHeight="1" x14ac:dyDescent="0.2">
      <c r="H344" s="328"/>
    </row>
    <row r="345" spans="8:8" ht="19.5" customHeight="1" x14ac:dyDescent="0.2">
      <c r="H345" s="328"/>
    </row>
    <row r="346" spans="8:8" ht="19.5" customHeight="1" x14ac:dyDescent="0.2">
      <c r="H346" s="328"/>
    </row>
    <row r="347" spans="8:8" ht="19.5" customHeight="1" x14ac:dyDescent="0.2">
      <c r="H347" s="328"/>
    </row>
    <row r="348" spans="8:8" ht="19.5" customHeight="1" x14ac:dyDescent="0.2">
      <c r="H348" s="328"/>
    </row>
    <row r="349" spans="8:8" ht="19.5" customHeight="1" x14ac:dyDescent="0.2">
      <c r="H349" s="328"/>
    </row>
    <row r="350" spans="8:8" ht="19.5" customHeight="1" x14ac:dyDescent="0.2">
      <c r="H350" s="328"/>
    </row>
    <row r="351" spans="8:8" ht="19.5" customHeight="1" x14ac:dyDescent="0.2">
      <c r="H351" s="328"/>
    </row>
    <row r="352" spans="8:8" ht="19.5" customHeight="1" x14ac:dyDescent="0.2">
      <c r="H352" s="328"/>
    </row>
    <row r="353" spans="8:8" ht="19.5" customHeight="1" x14ac:dyDescent="0.2">
      <c r="H353" s="328"/>
    </row>
    <row r="354" spans="8:8" ht="19.5" customHeight="1" x14ac:dyDescent="0.2">
      <c r="H354" s="328"/>
    </row>
    <row r="355" spans="8:8" ht="19.5" customHeight="1" x14ac:dyDescent="0.2">
      <c r="H355" s="328"/>
    </row>
    <row r="356" spans="8:8" ht="19.5" customHeight="1" x14ac:dyDescent="0.2">
      <c r="H356" s="328"/>
    </row>
    <row r="357" spans="8:8" ht="19.5" customHeight="1" x14ac:dyDescent="0.2">
      <c r="H357" s="328"/>
    </row>
    <row r="358" spans="8:8" ht="19.5" customHeight="1" x14ac:dyDescent="0.2">
      <c r="H358" s="328"/>
    </row>
    <row r="359" spans="8:8" ht="19.5" customHeight="1" x14ac:dyDescent="0.2">
      <c r="H359" s="328"/>
    </row>
    <row r="360" spans="8:8" ht="19.5" customHeight="1" x14ac:dyDescent="0.2">
      <c r="H360" s="328"/>
    </row>
    <row r="361" spans="8:8" ht="19.5" customHeight="1" x14ac:dyDescent="0.2">
      <c r="H361" s="328"/>
    </row>
    <row r="362" spans="8:8" ht="19.5" customHeight="1" x14ac:dyDescent="0.2">
      <c r="H362" s="328"/>
    </row>
    <row r="363" spans="8:8" ht="19.5" customHeight="1" x14ac:dyDescent="0.2">
      <c r="H363" s="328"/>
    </row>
    <row r="364" spans="8:8" ht="19.5" customHeight="1" x14ac:dyDescent="0.2">
      <c r="H364" s="328"/>
    </row>
    <row r="365" spans="8:8" ht="19.5" customHeight="1" x14ac:dyDescent="0.2">
      <c r="H365" s="328"/>
    </row>
    <row r="366" spans="8:8" ht="19.5" customHeight="1" x14ac:dyDescent="0.2">
      <c r="H366" s="328"/>
    </row>
    <row r="367" spans="8:8" ht="19.5" customHeight="1" x14ac:dyDescent="0.2">
      <c r="H367" s="328"/>
    </row>
    <row r="368" spans="8:8" ht="19.5" customHeight="1" x14ac:dyDescent="0.2">
      <c r="H368" s="328"/>
    </row>
    <row r="369" spans="8:8" ht="19.5" customHeight="1" x14ac:dyDescent="0.2">
      <c r="H369" s="328"/>
    </row>
    <row r="370" spans="8:8" ht="19.5" customHeight="1" x14ac:dyDescent="0.2">
      <c r="H370" s="328"/>
    </row>
    <row r="371" spans="8:8" ht="19.5" customHeight="1" x14ac:dyDescent="0.2">
      <c r="H371" s="328"/>
    </row>
    <row r="372" spans="8:8" ht="19.5" customHeight="1" x14ac:dyDescent="0.2">
      <c r="H372" s="328"/>
    </row>
    <row r="373" spans="8:8" ht="19.5" customHeight="1" x14ac:dyDescent="0.2">
      <c r="H373" s="328"/>
    </row>
    <row r="374" spans="8:8" ht="19.5" customHeight="1" x14ac:dyDescent="0.2">
      <c r="H374" s="328"/>
    </row>
    <row r="375" spans="8:8" ht="19.5" customHeight="1" x14ac:dyDescent="0.2">
      <c r="H375" s="328"/>
    </row>
    <row r="376" spans="8:8" ht="19.5" customHeight="1" x14ac:dyDescent="0.2">
      <c r="H376" s="328"/>
    </row>
    <row r="377" spans="8:8" ht="19.5" customHeight="1" x14ac:dyDescent="0.2">
      <c r="H377" s="328"/>
    </row>
    <row r="378" spans="8:8" ht="19.5" customHeight="1" x14ac:dyDescent="0.2">
      <c r="H378" s="328"/>
    </row>
    <row r="379" spans="8:8" ht="19.5" customHeight="1" x14ac:dyDescent="0.2">
      <c r="H379" s="328"/>
    </row>
    <row r="380" spans="8:8" ht="19.5" customHeight="1" x14ac:dyDescent="0.2">
      <c r="H380" s="328"/>
    </row>
    <row r="381" spans="8:8" ht="19.5" customHeight="1" x14ac:dyDescent="0.2">
      <c r="H381" s="328"/>
    </row>
    <row r="382" spans="8:8" ht="19.5" customHeight="1" x14ac:dyDescent="0.2">
      <c r="H382" s="328"/>
    </row>
    <row r="383" spans="8:8" ht="19.5" customHeight="1" x14ac:dyDescent="0.2">
      <c r="H383" s="328"/>
    </row>
    <row r="384" spans="8:8" ht="19.5" customHeight="1" x14ac:dyDescent="0.2">
      <c r="H384" s="328"/>
    </row>
    <row r="385" spans="8:8" ht="19.5" customHeight="1" x14ac:dyDescent="0.2">
      <c r="H385" s="328"/>
    </row>
    <row r="386" spans="8:8" ht="19.5" customHeight="1" x14ac:dyDescent="0.2">
      <c r="H386" s="328"/>
    </row>
    <row r="387" spans="8:8" ht="19.5" customHeight="1" x14ac:dyDescent="0.2">
      <c r="H387" s="328"/>
    </row>
    <row r="388" spans="8:8" ht="19.5" customHeight="1" x14ac:dyDescent="0.2">
      <c r="H388" s="328"/>
    </row>
    <row r="389" spans="8:8" ht="19.5" customHeight="1" x14ac:dyDescent="0.2">
      <c r="H389" s="328"/>
    </row>
    <row r="390" spans="8:8" ht="19.5" customHeight="1" x14ac:dyDescent="0.2">
      <c r="H390" s="328"/>
    </row>
    <row r="391" spans="8:8" ht="19.5" customHeight="1" x14ac:dyDescent="0.2">
      <c r="H391" s="328"/>
    </row>
    <row r="392" spans="8:8" ht="19.5" customHeight="1" x14ac:dyDescent="0.2">
      <c r="H392" s="328"/>
    </row>
    <row r="393" spans="8:8" ht="19.5" customHeight="1" x14ac:dyDescent="0.2">
      <c r="H393" s="328"/>
    </row>
    <row r="394" spans="8:8" ht="19.5" customHeight="1" x14ac:dyDescent="0.2">
      <c r="H394" s="328"/>
    </row>
    <row r="395" spans="8:8" ht="19.5" customHeight="1" x14ac:dyDescent="0.2">
      <c r="H395" s="328"/>
    </row>
    <row r="396" spans="8:8" ht="19.5" customHeight="1" x14ac:dyDescent="0.2">
      <c r="H396" s="328"/>
    </row>
    <row r="397" spans="8:8" ht="19.5" customHeight="1" x14ac:dyDescent="0.2">
      <c r="H397" s="328"/>
    </row>
    <row r="398" spans="8:8" ht="19.5" customHeight="1" x14ac:dyDescent="0.2">
      <c r="H398" s="328"/>
    </row>
    <row r="399" spans="8:8" ht="19.5" customHeight="1" x14ac:dyDescent="0.2">
      <c r="H399" s="328"/>
    </row>
    <row r="400" spans="8:8" ht="19.5" customHeight="1" x14ac:dyDescent="0.2">
      <c r="H400" s="328"/>
    </row>
    <row r="401" spans="8:8" ht="19.5" customHeight="1" x14ac:dyDescent="0.2">
      <c r="H401" s="328"/>
    </row>
    <row r="402" spans="8:8" ht="19.5" customHeight="1" x14ac:dyDescent="0.2">
      <c r="H402" s="328"/>
    </row>
    <row r="403" spans="8:8" ht="19.5" customHeight="1" x14ac:dyDescent="0.2">
      <c r="H403" s="328"/>
    </row>
    <row r="404" spans="8:8" ht="19.5" customHeight="1" x14ac:dyDescent="0.2">
      <c r="H404" s="328"/>
    </row>
    <row r="405" spans="8:8" ht="19.5" customHeight="1" x14ac:dyDescent="0.2">
      <c r="H405" s="328"/>
    </row>
    <row r="406" spans="8:8" ht="19.5" customHeight="1" x14ac:dyDescent="0.2">
      <c r="H406" s="328"/>
    </row>
    <row r="407" spans="8:8" ht="19.5" customHeight="1" x14ac:dyDescent="0.2">
      <c r="H407" s="328"/>
    </row>
    <row r="408" spans="8:8" ht="19.5" customHeight="1" x14ac:dyDescent="0.2">
      <c r="H408" s="328"/>
    </row>
    <row r="409" spans="8:8" ht="19.5" customHeight="1" x14ac:dyDescent="0.2">
      <c r="H409" s="328"/>
    </row>
    <row r="410" spans="8:8" ht="19.5" customHeight="1" x14ac:dyDescent="0.2">
      <c r="H410" s="328"/>
    </row>
    <row r="411" spans="8:8" ht="19.5" customHeight="1" x14ac:dyDescent="0.2">
      <c r="H411" s="328"/>
    </row>
    <row r="412" spans="8:8" ht="19.5" customHeight="1" x14ac:dyDescent="0.2">
      <c r="H412" s="328"/>
    </row>
    <row r="413" spans="8:8" ht="19.5" customHeight="1" x14ac:dyDescent="0.2">
      <c r="H413" s="328"/>
    </row>
    <row r="414" spans="8:8" ht="19.5" customHeight="1" x14ac:dyDescent="0.2">
      <c r="H414" s="328"/>
    </row>
    <row r="415" spans="8:8" ht="19.5" customHeight="1" x14ac:dyDescent="0.2">
      <c r="H415" s="328"/>
    </row>
    <row r="416" spans="8:8" ht="19.5" customHeight="1" x14ac:dyDescent="0.2">
      <c r="H416" s="328"/>
    </row>
    <row r="417" spans="8:8" ht="19.5" customHeight="1" x14ac:dyDescent="0.2">
      <c r="H417" s="328"/>
    </row>
    <row r="418" spans="8:8" ht="19.5" customHeight="1" x14ac:dyDescent="0.2">
      <c r="H418" s="328"/>
    </row>
    <row r="419" spans="8:8" ht="19.5" customHeight="1" x14ac:dyDescent="0.2">
      <c r="H419" s="328"/>
    </row>
    <row r="420" spans="8:8" ht="19.5" customHeight="1" x14ac:dyDescent="0.2">
      <c r="H420" s="328"/>
    </row>
    <row r="421" spans="8:8" ht="19.5" customHeight="1" x14ac:dyDescent="0.2">
      <c r="H421" s="328"/>
    </row>
    <row r="422" spans="8:8" ht="19.5" customHeight="1" x14ac:dyDescent="0.2">
      <c r="H422" s="328"/>
    </row>
    <row r="423" spans="8:8" ht="19.5" customHeight="1" x14ac:dyDescent="0.2">
      <c r="H423" s="328"/>
    </row>
    <row r="424" spans="8:8" ht="19.5" customHeight="1" x14ac:dyDescent="0.2">
      <c r="H424" s="328"/>
    </row>
    <row r="425" spans="8:8" ht="19.5" customHeight="1" x14ac:dyDescent="0.2">
      <c r="H425" s="328"/>
    </row>
    <row r="426" spans="8:8" ht="19.5" customHeight="1" x14ac:dyDescent="0.2">
      <c r="H426" s="328"/>
    </row>
    <row r="427" spans="8:8" ht="19.5" customHeight="1" x14ac:dyDescent="0.2">
      <c r="H427" s="328"/>
    </row>
    <row r="428" spans="8:8" ht="19.5" customHeight="1" x14ac:dyDescent="0.2">
      <c r="H428" s="328"/>
    </row>
    <row r="429" spans="8:8" ht="19.5" customHeight="1" x14ac:dyDescent="0.2">
      <c r="H429" s="328"/>
    </row>
    <row r="430" spans="8:8" ht="19.5" customHeight="1" x14ac:dyDescent="0.2">
      <c r="H430" s="328"/>
    </row>
    <row r="431" spans="8:8" ht="19.5" customHeight="1" x14ac:dyDescent="0.2">
      <c r="H431" s="328"/>
    </row>
    <row r="432" spans="8:8" ht="19.5" customHeight="1" x14ac:dyDescent="0.2">
      <c r="H432" s="328"/>
    </row>
    <row r="433" spans="8:8" ht="19.5" customHeight="1" x14ac:dyDescent="0.2">
      <c r="H433" s="328"/>
    </row>
    <row r="434" spans="8:8" ht="19.5" customHeight="1" x14ac:dyDescent="0.2">
      <c r="H434" s="328"/>
    </row>
    <row r="435" spans="8:8" ht="19.5" customHeight="1" x14ac:dyDescent="0.2">
      <c r="H435" s="328"/>
    </row>
    <row r="436" spans="8:8" ht="19.5" customHeight="1" x14ac:dyDescent="0.2">
      <c r="H436" s="328"/>
    </row>
    <row r="437" spans="8:8" ht="19.5" customHeight="1" x14ac:dyDescent="0.2">
      <c r="H437" s="328"/>
    </row>
    <row r="438" spans="8:8" ht="19.5" customHeight="1" x14ac:dyDescent="0.2">
      <c r="H438" s="328"/>
    </row>
    <row r="439" spans="8:8" ht="19.5" customHeight="1" x14ac:dyDescent="0.2">
      <c r="H439" s="328"/>
    </row>
    <row r="440" spans="8:8" ht="19.5" customHeight="1" x14ac:dyDescent="0.2">
      <c r="H440" s="328"/>
    </row>
    <row r="441" spans="8:8" ht="19.5" customHeight="1" x14ac:dyDescent="0.2">
      <c r="H441" s="328"/>
    </row>
    <row r="442" spans="8:8" ht="19.5" customHeight="1" x14ac:dyDescent="0.2">
      <c r="H442" s="328"/>
    </row>
    <row r="443" spans="8:8" ht="19.5" customHeight="1" x14ac:dyDescent="0.2">
      <c r="H443" s="328"/>
    </row>
    <row r="444" spans="8:8" ht="19.5" customHeight="1" x14ac:dyDescent="0.2">
      <c r="H444" s="328"/>
    </row>
    <row r="445" spans="8:8" ht="19.5" customHeight="1" x14ac:dyDescent="0.2">
      <c r="H445" s="328"/>
    </row>
    <row r="446" spans="8:8" ht="19.5" customHeight="1" x14ac:dyDescent="0.2">
      <c r="H446" s="328"/>
    </row>
    <row r="447" spans="8:8" ht="19.5" customHeight="1" x14ac:dyDescent="0.2">
      <c r="H447" s="328"/>
    </row>
    <row r="448" spans="8:8" ht="19.5" customHeight="1" x14ac:dyDescent="0.2">
      <c r="H448" s="328"/>
    </row>
    <row r="449" spans="8:8" ht="19.5" customHeight="1" x14ac:dyDescent="0.2">
      <c r="H449" s="328"/>
    </row>
    <row r="450" spans="8:8" ht="19.5" customHeight="1" x14ac:dyDescent="0.2">
      <c r="H450" s="328"/>
    </row>
    <row r="451" spans="8:8" ht="19.5" customHeight="1" x14ac:dyDescent="0.2">
      <c r="H451" s="328"/>
    </row>
    <row r="452" spans="8:8" ht="19.5" customHeight="1" x14ac:dyDescent="0.2">
      <c r="H452" s="328"/>
    </row>
    <row r="453" spans="8:8" ht="19.5" customHeight="1" x14ac:dyDescent="0.2">
      <c r="H453" s="328"/>
    </row>
    <row r="454" spans="8:8" ht="19.5" customHeight="1" x14ac:dyDescent="0.2">
      <c r="H454" s="328"/>
    </row>
    <row r="455" spans="8:8" ht="19.5" customHeight="1" x14ac:dyDescent="0.2">
      <c r="H455" s="328"/>
    </row>
    <row r="456" spans="8:8" ht="19.5" customHeight="1" x14ac:dyDescent="0.2">
      <c r="H456" s="328"/>
    </row>
    <row r="457" spans="8:8" ht="19.5" customHeight="1" x14ac:dyDescent="0.2">
      <c r="H457" s="328"/>
    </row>
    <row r="458" spans="8:8" ht="19.5" customHeight="1" x14ac:dyDescent="0.2">
      <c r="H458" s="328"/>
    </row>
    <row r="459" spans="8:8" ht="19.5" customHeight="1" x14ac:dyDescent="0.2">
      <c r="H459" s="328"/>
    </row>
    <row r="460" spans="8:8" ht="19.5" customHeight="1" x14ac:dyDescent="0.2">
      <c r="H460" s="328"/>
    </row>
    <row r="461" spans="8:8" ht="19.5" customHeight="1" x14ac:dyDescent="0.2">
      <c r="H461" s="328"/>
    </row>
    <row r="462" spans="8:8" ht="19.5" customHeight="1" x14ac:dyDescent="0.2">
      <c r="H462" s="328"/>
    </row>
    <row r="463" spans="8:8" ht="19.5" customHeight="1" x14ac:dyDescent="0.2">
      <c r="H463" s="328"/>
    </row>
    <row r="464" spans="8:8" ht="19.5" customHeight="1" x14ac:dyDescent="0.2">
      <c r="H464" s="328"/>
    </row>
    <row r="465" spans="8:8" ht="19.5" customHeight="1" x14ac:dyDescent="0.2">
      <c r="H465" s="328"/>
    </row>
    <row r="466" spans="8:8" ht="19.5" customHeight="1" x14ac:dyDescent="0.2">
      <c r="H466" s="328"/>
    </row>
    <row r="467" spans="8:8" ht="19.5" customHeight="1" x14ac:dyDescent="0.2">
      <c r="H467" s="328"/>
    </row>
    <row r="468" spans="8:8" ht="19.5" customHeight="1" x14ac:dyDescent="0.2">
      <c r="H468" s="328"/>
    </row>
    <row r="469" spans="8:8" ht="19.5" customHeight="1" x14ac:dyDescent="0.2">
      <c r="H469" s="328"/>
    </row>
    <row r="470" spans="8:8" ht="19.5" customHeight="1" x14ac:dyDescent="0.2">
      <c r="H470" s="328"/>
    </row>
    <row r="471" spans="8:8" ht="19.5" customHeight="1" x14ac:dyDescent="0.2">
      <c r="H471" s="328"/>
    </row>
    <row r="472" spans="8:8" ht="19.5" customHeight="1" x14ac:dyDescent="0.2">
      <c r="H472" s="328"/>
    </row>
    <row r="473" spans="8:8" ht="19.5" customHeight="1" x14ac:dyDescent="0.2">
      <c r="H473" s="328"/>
    </row>
    <row r="474" spans="8:8" ht="19.5" customHeight="1" x14ac:dyDescent="0.2">
      <c r="H474" s="328"/>
    </row>
    <row r="475" spans="8:8" ht="19.5" customHeight="1" x14ac:dyDescent="0.2">
      <c r="H475" s="328"/>
    </row>
    <row r="476" spans="8:8" ht="19.5" customHeight="1" x14ac:dyDescent="0.2">
      <c r="H476" s="328"/>
    </row>
    <row r="477" spans="8:8" ht="19.5" customHeight="1" x14ac:dyDescent="0.2">
      <c r="H477" s="328"/>
    </row>
    <row r="478" spans="8:8" ht="19.5" customHeight="1" x14ac:dyDescent="0.2">
      <c r="H478" s="328"/>
    </row>
    <row r="479" spans="8:8" ht="19.5" customHeight="1" x14ac:dyDescent="0.2">
      <c r="H479" s="328"/>
    </row>
    <row r="480" spans="8:8" ht="19.5" customHeight="1" x14ac:dyDescent="0.2">
      <c r="H480" s="328"/>
    </row>
    <row r="481" spans="8:8" ht="19.5" customHeight="1" x14ac:dyDescent="0.2">
      <c r="H481" s="328"/>
    </row>
    <row r="482" spans="8:8" ht="19.5" customHeight="1" x14ac:dyDescent="0.2">
      <c r="H482" s="328"/>
    </row>
    <row r="483" spans="8:8" ht="19.5" customHeight="1" x14ac:dyDescent="0.2">
      <c r="H483" s="328"/>
    </row>
    <row r="484" spans="8:8" ht="19.5" customHeight="1" x14ac:dyDescent="0.2">
      <c r="H484" s="328"/>
    </row>
    <row r="485" spans="8:8" ht="19.5" customHeight="1" x14ac:dyDescent="0.2">
      <c r="H485" s="328"/>
    </row>
    <row r="486" spans="8:8" ht="19.5" customHeight="1" x14ac:dyDescent="0.2">
      <c r="H486" s="328"/>
    </row>
    <row r="487" spans="8:8" ht="19.5" customHeight="1" x14ac:dyDescent="0.2">
      <c r="H487" s="328"/>
    </row>
    <row r="488" spans="8:8" ht="19.5" customHeight="1" x14ac:dyDescent="0.2">
      <c r="H488" s="328"/>
    </row>
    <row r="489" spans="8:8" ht="19.5" customHeight="1" x14ac:dyDescent="0.2">
      <c r="H489" s="328"/>
    </row>
    <row r="490" spans="8:8" ht="19.5" customHeight="1" x14ac:dyDescent="0.2">
      <c r="H490" s="328"/>
    </row>
    <row r="491" spans="8:8" ht="19.5" customHeight="1" x14ac:dyDescent="0.2">
      <c r="H491" s="328"/>
    </row>
    <row r="492" spans="8:8" ht="19.5" customHeight="1" x14ac:dyDescent="0.2">
      <c r="H492" s="328"/>
    </row>
    <row r="493" spans="8:8" ht="19.5" customHeight="1" x14ac:dyDescent="0.2">
      <c r="H493" s="328"/>
    </row>
    <row r="494" spans="8:8" ht="19.5" customHeight="1" x14ac:dyDescent="0.2">
      <c r="H494" s="328"/>
    </row>
    <row r="495" spans="8:8" ht="19.5" customHeight="1" x14ac:dyDescent="0.2">
      <c r="H495" s="328"/>
    </row>
    <row r="496" spans="8:8" ht="19.5" customHeight="1" x14ac:dyDescent="0.2">
      <c r="H496" s="328"/>
    </row>
    <row r="497" spans="8:8" ht="19.5" customHeight="1" x14ac:dyDescent="0.2">
      <c r="H497" s="328"/>
    </row>
    <row r="498" spans="8:8" ht="19.5" customHeight="1" x14ac:dyDescent="0.2">
      <c r="H498" s="328"/>
    </row>
    <row r="499" spans="8:8" ht="19.5" customHeight="1" x14ac:dyDescent="0.2">
      <c r="H499" s="328"/>
    </row>
    <row r="500" spans="8:8" ht="19.5" customHeight="1" x14ac:dyDescent="0.2">
      <c r="H500" s="328"/>
    </row>
    <row r="501" spans="8:8" ht="19.5" customHeight="1" x14ac:dyDescent="0.2">
      <c r="H501" s="328"/>
    </row>
    <row r="502" spans="8:8" ht="19.5" customHeight="1" x14ac:dyDescent="0.2">
      <c r="H502" s="328"/>
    </row>
    <row r="503" spans="8:8" ht="19.5" customHeight="1" x14ac:dyDescent="0.2">
      <c r="H503" s="328"/>
    </row>
    <row r="504" spans="8:8" ht="19.5" customHeight="1" x14ac:dyDescent="0.2">
      <c r="H504" s="328"/>
    </row>
    <row r="505" spans="8:8" ht="19.5" customHeight="1" x14ac:dyDescent="0.2">
      <c r="H505" s="328"/>
    </row>
    <row r="506" spans="8:8" ht="19.5" customHeight="1" x14ac:dyDescent="0.2">
      <c r="H506" s="328"/>
    </row>
    <row r="507" spans="8:8" ht="19.5" customHeight="1" x14ac:dyDescent="0.2">
      <c r="H507" s="328"/>
    </row>
    <row r="508" spans="8:8" ht="19.5" customHeight="1" x14ac:dyDescent="0.2">
      <c r="H508" s="328"/>
    </row>
    <row r="509" spans="8:8" ht="19.5" customHeight="1" x14ac:dyDescent="0.2">
      <c r="H509" s="328"/>
    </row>
    <row r="510" spans="8:8" ht="19.5" customHeight="1" x14ac:dyDescent="0.2">
      <c r="H510" s="328"/>
    </row>
    <row r="511" spans="8:8" ht="19.5" customHeight="1" x14ac:dyDescent="0.2">
      <c r="H511" s="328"/>
    </row>
    <row r="512" spans="8:8" ht="19.5" customHeight="1" x14ac:dyDescent="0.2">
      <c r="H512" s="328"/>
    </row>
    <row r="513" spans="8:8" ht="19.5" customHeight="1" x14ac:dyDescent="0.2">
      <c r="H513" s="328"/>
    </row>
    <row r="514" spans="8:8" ht="19.5" customHeight="1" x14ac:dyDescent="0.2">
      <c r="H514" s="328"/>
    </row>
    <row r="515" spans="8:8" ht="19.5" customHeight="1" x14ac:dyDescent="0.2">
      <c r="H515" s="328"/>
    </row>
    <row r="516" spans="8:8" ht="19.5" customHeight="1" x14ac:dyDescent="0.2">
      <c r="H516" s="328"/>
    </row>
    <row r="517" spans="8:8" ht="19.5" customHeight="1" x14ac:dyDescent="0.2">
      <c r="H517" s="328"/>
    </row>
    <row r="518" spans="8:8" ht="19.5" customHeight="1" x14ac:dyDescent="0.2">
      <c r="H518" s="328"/>
    </row>
    <row r="519" spans="8:8" ht="19.5" customHeight="1" x14ac:dyDescent="0.2">
      <c r="H519" s="328"/>
    </row>
    <row r="520" spans="8:8" ht="19.5" customHeight="1" x14ac:dyDescent="0.2">
      <c r="H520" s="328"/>
    </row>
    <row r="521" spans="8:8" ht="19.5" customHeight="1" x14ac:dyDescent="0.2">
      <c r="H521" s="328"/>
    </row>
    <row r="522" spans="8:8" ht="19.5" customHeight="1" x14ac:dyDescent="0.2">
      <c r="H522" s="328"/>
    </row>
    <row r="523" spans="8:8" ht="19.5" customHeight="1" x14ac:dyDescent="0.2">
      <c r="H523" s="328"/>
    </row>
    <row r="524" spans="8:8" ht="19.5" customHeight="1" x14ac:dyDescent="0.2">
      <c r="H524" s="328"/>
    </row>
    <row r="525" spans="8:8" ht="19.5" customHeight="1" x14ac:dyDescent="0.2">
      <c r="H525" s="328"/>
    </row>
    <row r="526" spans="8:8" ht="19.5" customHeight="1" x14ac:dyDescent="0.2">
      <c r="H526" s="328"/>
    </row>
    <row r="527" spans="8:8" ht="19.5" customHeight="1" x14ac:dyDescent="0.2">
      <c r="H527" s="328"/>
    </row>
    <row r="528" spans="8:8" ht="19.5" customHeight="1" x14ac:dyDescent="0.2">
      <c r="H528" s="328"/>
    </row>
    <row r="529" spans="8:8" ht="19.5" customHeight="1" x14ac:dyDescent="0.2">
      <c r="H529" s="328"/>
    </row>
    <row r="530" spans="8:8" ht="19.5" customHeight="1" x14ac:dyDescent="0.2">
      <c r="H530" s="328"/>
    </row>
    <row r="531" spans="8:8" ht="19.5" customHeight="1" x14ac:dyDescent="0.2">
      <c r="H531" s="328"/>
    </row>
    <row r="532" spans="8:8" ht="19.5" customHeight="1" x14ac:dyDescent="0.2">
      <c r="H532" s="328"/>
    </row>
    <row r="533" spans="8:8" ht="19.5" customHeight="1" x14ac:dyDescent="0.2">
      <c r="H533" s="328"/>
    </row>
    <row r="534" spans="8:8" ht="19.5" customHeight="1" x14ac:dyDescent="0.2">
      <c r="H534" s="328"/>
    </row>
    <row r="535" spans="8:8" ht="19.5" customHeight="1" x14ac:dyDescent="0.2">
      <c r="H535" s="328"/>
    </row>
    <row r="536" spans="8:8" ht="19.5" customHeight="1" x14ac:dyDescent="0.2">
      <c r="H536" s="328"/>
    </row>
    <row r="537" spans="8:8" ht="19.5" customHeight="1" x14ac:dyDescent="0.2">
      <c r="H537" s="328"/>
    </row>
    <row r="538" spans="8:8" ht="19.5" customHeight="1" x14ac:dyDescent="0.2">
      <c r="H538" s="328"/>
    </row>
    <row r="539" spans="8:8" ht="19.5" customHeight="1" x14ac:dyDescent="0.2">
      <c r="H539" s="328"/>
    </row>
    <row r="540" spans="8:8" ht="19.5" customHeight="1" x14ac:dyDescent="0.2">
      <c r="H540" s="328"/>
    </row>
    <row r="541" spans="8:8" ht="19.5" customHeight="1" x14ac:dyDescent="0.2">
      <c r="H541" s="328"/>
    </row>
    <row r="542" spans="8:8" ht="19.5" customHeight="1" x14ac:dyDescent="0.2">
      <c r="H542" s="328"/>
    </row>
    <row r="543" spans="8:8" ht="19.5" customHeight="1" x14ac:dyDescent="0.2">
      <c r="H543" s="328"/>
    </row>
    <row r="544" spans="8:8" ht="19.5" customHeight="1" x14ac:dyDescent="0.2">
      <c r="H544" s="328"/>
    </row>
    <row r="545" spans="8:8" ht="19.5" customHeight="1" x14ac:dyDescent="0.2">
      <c r="H545" s="328"/>
    </row>
    <row r="546" spans="8:8" ht="19.5" customHeight="1" x14ac:dyDescent="0.2">
      <c r="H546" s="328"/>
    </row>
    <row r="547" spans="8:8" ht="19.5" customHeight="1" x14ac:dyDescent="0.2">
      <c r="H547" s="328"/>
    </row>
    <row r="548" spans="8:8" ht="19.5" customHeight="1" x14ac:dyDescent="0.2">
      <c r="H548" s="328"/>
    </row>
    <row r="549" spans="8:8" ht="19.5" customHeight="1" x14ac:dyDescent="0.2">
      <c r="H549" s="328"/>
    </row>
    <row r="550" spans="8:8" ht="19.5" customHeight="1" x14ac:dyDescent="0.2">
      <c r="H550" s="328"/>
    </row>
    <row r="551" spans="8:8" ht="19.5" customHeight="1" x14ac:dyDescent="0.2">
      <c r="H551" s="328"/>
    </row>
    <row r="552" spans="8:8" ht="19.5" customHeight="1" x14ac:dyDescent="0.2">
      <c r="H552" s="328"/>
    </row>
    <row r="553" spans="8:8" ht="19.5" customHeight="1" x14ac:dyDescent="0.2">
      <c r="H553" s="328"/>
    </row>
    <row r="554" spans="8:8" ht="19.5" customHeight="1" x14ac:dyDescent="0.2">
      <c r="H554" s="328"/>
    </row>
    <row r="555" spans="8:8" ht="19.5" customHeight="1" x14ac:dyDescent="0.2">
      <c r="H555" s="328"/>
    </row>
    <row r="556" spans="8:8" ht="19.5" customHeight="1" x14ac:dyDescent="0.2">
      <c r="H556" s="328"/>
    </row>
    <row r="557" spans="8:8" ht="19.5" customHeight="1" x14ac:dyDescent="0.2">
      <c r="H557" s="328"/>
    </row>
    <row r="558" spans="8:8" ht="19.5" customHeight="1" x14ac:dyDescent="0.2">
      <c r="H558" s="328"/>
    </row>
    <row r="559" spans="8:8" ht="19.5" customHeight="1" x14ac:dyDescent="0.2">
      <c r="H559" s="328"/>
    </row>
    <row r="560" spans="8:8" ht="19.5" customHeight="1" x14ac:dyDescent="0.2">
      <c r="H560" s="328"/>
    </row>
    <row r="561" spans="8:8" ht="19.5" customHeight="1" x14ac:dyDescent="0.2">
      <c r="H561" s="328"/>
    </row>
    <row r="562" spans="8:8" ht="19.5" customHeight="1" x14ac:dyDescent="0.2">
      <c r="H562" s="328"/>
    </row>
    <row r="563" spans="8:8" ht="19.5" customHeight="1" x14ac:dyDescent="0.2">
      <c r="H563" s="328"/>
    </row>
    <row r="564" spans="8:8" ht="19.5" customHeight="1" x14ac:dyDescent="0.2">
      <c r="H564" s="328"/>
    </row>
    <row r="565" spans="8:8" ht="19.5" customHeight="1" x14ac:dyDescent="0.2">
      <c r="H565" s="328"/>
    </row>
    <row r="566" spans="8:8" ht="19.5" customHeight="1" x14ac:dyDescent="0.2">
      <c r="H566" s="328"/>
    </row>
    <row r="567" spans="8:8" ht="19.5" customHeight="1" x14ac:dyDescent="0.2">
      <c r="H567" s="328"/>
    </row>
    <row r="568" spans="8:8" ht="19.5" customHeight="1" x14ac:dyDescent="0.2">
      <c r="H568" s="328"/>
    </row>
    <row r="569" spans="8:8" ht="19.5" customHeight="1" x14ac:dyDescent="0.2">
      <c r="H569" s="328"/>
    </row>
    <row r="570" spans="8:8" ht="19.5" customHeight="1" x14ac:dyDescent="0.2">
      <c r="H570" s="328"/>
    </row>
    <row r="571" spans="8:8" ht="19.5" customHeight="1" x14ac:dyDescent="0.2">
      <c r="H571" s="328"/>
    </row>
    <row r="572" spans="8:8" ht="19.5" customHeight="1" x14ac:dyDescent="0.2">
      <c r="H572" s="328"/>
    </row>
    <row r="573" spans="8:8" ht="19.5" customHeight="1" x14ac:dyDescent="0.2">
      <c r="H573" s="328"/>
    </row>
    <row r="574" spans="8:8" ht="19.5" customHeight="1" x14ac:dyDescent="0.2">
      <c r="H574" s="328"/>
    </row>
    <row r="575" spans="8:8" ht="19.5" customHeight="1" x14ac:dyDescent="0.2">
      <c r="H575" s="328"/>
    </row>
    <row r="576" spans="8:8" ht="19.5" customHeight="1" x14ac:dyDescent="0.2">
      <c r="H576" s="328"/>
    </row>
    <row r="577" spans="8:8" ht="19.5" customHeight="1" x14ac:dyDescent="0.2">
      <c r="H577" s="328"/>
    </row>
    <row r="578" spans="8:8" ht="19.5" customHeight="1" x14ac:dyDescent="0.2">
      <c r="H578" s="328"/>
    </row>
    <row r="579" spans="8:8" ht="19.5" customHeight="1" x14ac:dyDescent="0.2">
      <c r="H579" s="328"/>
    </row>
    <row r="580" spans="8:8" ht="19.5" customHeight="1" x14ac:dyDescent="0.2">
      <c r="H580" s="328"/>
    </row>
    <row r="581" spans="8:8" ht="19.5" customHeight="1" x14ac:dyDescent="0.2">
      <c r="H581" s="328"/>
    </row>
    <row r="582" spans="8:8" ht="19.5" customHeight="1" x14ac:dyDescent="0.2">
      <c r="H582" s="328"/>
    </row>
    <row r="583" spans="8:8" ht="19.5" customHeight="1" x14ac:dyDescent="0.2">
      <c r="H583" s="328"/>
    </row>
    <row r="584" spans="8:8" ht="19.5" customHeight="1" x14ac:dyDescent="0.2">
      <c r="H584" s="328"/>
    </row>
    <row r="585" spans="8:8" ht="19.5" customHeight="1" x14ac:dyDescent="0.2">
      <c r="H585" s="328"/>
    </row>
    <row r="586" spans="8:8" ht="19.5" customHeight="1" x14ac:dyDescent="0.2">
      <c r="H586" s="328"/>
    </row>
    <row r="587" spans="8:8" ht="19.5" customHeight="1" x14ac:dyDescent="0.2">
      <c r="H587" s="328"/>
    </row>
    <row r="588" spans="8:8" ht="19.5" customHeight="1" x14ac:dyDescent="0.2">
      <c r="H588" s="328"/>
    </row>
    <row r="589" spans="8:8" ht="19.5" customHeight="1" x14ac:dyDescent="0.2">
      <c r="H589" s="328"/>
    </row>
    <row r="590" spans="8:8" ht="19.5" customHeight="1" x14ac:dyDescent="0.2">
      <c r="H590" s="328"/>
    </row>
    <row r="591" spans="8:8" ht="19.5" customHeight="1" x14ac:dyDescent="0.2">
      <c r="H591" s="328"/>
    </row>
    <row r="592" spans="8:8" ht="19.5" customHeight="1" x14ac:dyDescent="0.2">
      <c r="H592" s="328"/>
    </row>
    <row r="593" spans="8:8" ht="19.5" customHeight="1" x14ac:dyDescent="0.2">
      <c r="H593" s="328"/>
    </row>
    <row r="594" spans="8:8" ht="19.5" customHeight="1" x14ac:dyDescent="0.2">
      <c r="H594" s="328"/>
    </row>
    <row r="595" spans="8:8" ht="19.5" customHeight="1" x14ac:dyDescent="0.2">
      <c r="H595" s="328"/>
    </row>
    <row r="596" spans="8:8" ht="19.5" customHeight="1" x14ac:dyDescent="0.2">
      <c r="H596" s="328"/>
    </row>
    <row r="597" spans="8:8" ht="19.5" customHeight="1" x14ac:dyDescent="0.2">
      <c r="H597" s="328"/>
    </row>
    <row r="598" spans="8:8" ht="19.5" customHeight="1" x14ac:dyDescent="0.2">
      <c r="H598" s="328"/>
    </row>
    <row r="599" spans="8:8" ht="19.5" customHeight="1" x14ac:dyDescent="0.2">
      <c r="H599" s="328"/>
    </row>
    <row r="600" spans="8:8" ht="19.5" customHeight="1" x14ac:dyDescent="0.2">
      <c r="H600" s="328"/>
    </row>
    <row r="601" spans="8:8" ht="19.5" customHeight="1" x14ac:dyDescent="0.2">
      <c r="H601" s="328"/>
    </row>
    <row r="602" spans="8:8" ht="19.5" customHeight="1" x14ac:dyDescent="0.2">
      <c r="H602" s="328"/>
    </row>
    <row r="603" spans="8:8" ht="19.5" customHeight="1" x14ac:dyDescent="0.2">
      <c r="H603" s="328"/>
    </row>
    <row r="604" spans="8:8" ht="19.5" customHeight="1" x14ac:dyDescent="0.2">
      <c r="H604" s="328"/>
    </row>
    <row r="605" spans="8:8" ht="19.5" customHeight="1" x14ac:dyDescent="0.2">
      <c r="H605" s="328"/>
    </row>
    <row r="606" spans="8:8" ht="19.5" customHeight="1" x14ac:dyDescent="0.2">
      <c r="H606" s="328"/>
    </row>
    <row r="607" spans="8:8" ht="19.5" customHeight="1" x14ac:dyDescent="0.2">
      <c r="H607" s="328"/>
    </row>
    <row r="608" spans="8:8" ht="19.5" customHeight="1" x14ac:dyDescent="0.2">
      <c r="H608" s="328"/>
    </row>
    <row r="609" spans="8:8" ht="19.5" customHeight="1" x14ac:dyDescent="0.2">
      <c r="H609" s="328"/>
    </row>
    <row r="610" spans="8:8" ht="19.5" customHeight="1" x14ac:dyDescent="0.2">
      <c r="H610" s="328"/>
    </row>
    <row r="611" spans="8:8" ht="19.5" customHeight="1" x14ac:dyDescent="0.2">
      <c r="H611" s="328"/>
    </row>
    <row r="612" spans="8:8" ht="19.5" customHeight="1" x14ac:dyDescent="0.2">
      <c r="H612" s="328"/>
    </row>
    <row r="613" spans="8:8" ht="19.5" customHeight="1" x14ac:dyDescent="0.2">
      <c r="H613" s="328"/>
    </row>
    <row r="614" spans="8:8" ht="19.5" customHeight="1" x14ac:dyDescent="0.2">
      <c r="H614" s="328"/>
    </row>
    <row r="615" spans="8:8" ht="19.5" customHeight="1" x14ac:dyDescent="0.2">
      <c r="H615" s="328"/>
    </row>
    <row r="616" spans="8:8" ht="19.5" customHeight="1" x14ac:dyDescent="0.2">
      <c r="H616" s="328"/>
    </row>
    <row r="617" spans="8:8" ht="19.5" customHeight="1" x14ac:dyDescent="0.2">
      <c r="H617" s="328"/>
    </row>
    <row r="618" spans="8:8" ht="19.5" customHeight="1" x14ac:dyDescent="0.2">
      <c r="H618" s="328"/>
    </row>
    <row r="619" spans="8:8" ht="19.5" customHeight="1" x14ac:dyDescent="0.2">
      <c r="H619" s="328"/>
    </row>
    <row r="620" spans="8:8" ht="19.5" customHeight="1" x14ac:dyDescent="0.2">
      <c r="H620" s="328"/>
    </row>
    <row r="621" spans="8:8" ht="19.5" customHeight="1" x14ac:dyDescent="0.2">
      <c r="H621" s="328"/>
    </row>
    <row r="622" spans="8:8" ht="19.5" customHeight="1" x14ac:dyDescent="0.2">
      <c r="H622" s="328"/>
    </row>
    <row r="623" spans="8:8" ht="19.5" customHeight="1" x14ac:dyDescent="0.2">
      <c r="H623" s="328"/>
    </row>
    <row r="624" spans="8:8" ht="19.5" customHeight="1" x14ac:dyDescent="0.2">
      <c r="H624" s="328"/>
    </row>
    <row r="625" spans="8:8" ht="19.5" customHeight="1" x14ac:dyDescent="0.2">
      <c r="H625" s="328"/>
    </row>
    <row r="626" spans="8:8" ht="19.5" customHeight="1" x14ac:dyDescent="0.2">
      <c r="H626" s="328"/>
    </row>
    <row r="627" spans="8:8" ht="19.5" customHeight="1" x14ac:dyDescent="0.2">
      <c r="H627" s="328"/>
    </row>
    <row r="628" spans="8:8" ht="19.5" customHeight="1" x14ac:dyDescent="0.2">
      <c r="H628" s="328"/>
    </row>
    <row r="629" spans="8:8" ht="19.5" customHeight="1" x14ac:dyDescent="0.2">
      <c r="H629" s="328"/>
    </row>
    <row r="630" spans="8:8" ht="19.5" customHeight="1" x14ac:dyDescent="0.2">
      <c r="H630" s="328"/>
    </row>
    <row r="631" spans="8:8" ht="19.5" customHeight="1" x14ac:dyDescent="0.2">
      <c r="H631" s="328"/>
    </row>
    <row r="632" spans="8:8" ht="19.5" customHeight="1" x14ac:dyDescent="0.2">
      <c r="H632" s="328"/>
    </row>
    <row r="633" spans="8:8" ht="19.5" customHeight="1" x14ac:dyDescent="0.2">
      <c r="H633" s="328"/>
    </row>
    <row r="634" spans="8:8" ht="19.5" customHeight="1" x14ac:dyDescent="0.2">
      <c r="H634" s="328"/>
    </row>
    <row r="635" spans="8:8" ht="19.5" customHeight="1" x14ac:dyDescent="0.2">
      <c r="H635" s="328"/>
    </row>
    <row r="636" spans="8:8" ht="19.5" customHeight="1" x14ac:dyDescent="0.2">
      <c r="H636" s="328"/>
    </row>
    <row r="637" spans="8:8" ht="19.5" customHeight="1" x14ac:dyDescent="0.2">
      <c r="H637" s="328"/>
    </row>
    <row r="638" spans="8:8" ht="19.5" customHeight="1" x14ac:dyDescent="0.2">
      <c r="H638" s="328"/>
    </row>
    <row r="639" spans="8:8" ht="19.5" customHeight="1" x14ac:dyDescent="0.2">
      <c r="H639" s="328"/>
    </row>
    <row r="640" spans="8:8" ht="19.5" customHeight="1" x14ac:dyDescent="0.2">
      <c r="H640" s="328"/>
    </row>
    <row r="641" spans="8:8" ht="19.5" customHeight="1" x14ac:dyDescent="0.2">
      <c r="H641" s="328"/>
    </row>
    <row r="642" spans="8:8" ht="19.5" customHeight="1" x14ac:dyDescent="0.2">
      <c r="H642" s="328"/>
    </row>
    <row r="643" spans="8:8" ht="19.5" customHeight="1" x14ac:dyDescent="0.2">
      <c r="H643" s="328"/>
    </row>
    <row r="644" spans="8:8" ht="19.5" customHeight="1" x14ac:dyDescent="0.2">
      <c r="H644" s="328"/>
    </row>
    <row r="645" spans="8:8" ht="19.5" customHeight="1" x14ac:dyDescent="0.2">
      <c r="H645" s="328"/>
    </row>
    <row r="646" spans="8:8" ht="19.5" customHeight="1" x14ac:dyDescent="0.2">
      <c r="H646" s="328"/>
    </row>
    <row r="647" spans="8:8" ht="19.5" customHeight="1" x14ac:dyDescent="0.2">
      <c r="H647" s="328"/>
    </row>
    <row r="648" spans="8:8" ht="19.5" customHeight="1" x14ac:dyDescent="0.2">
      <c r="H648" s="328"/>
    </row>
    <row r="649" spans="8:8" ht="19.5" customHeight="1" x14ac:dyDescent="0.2">
      <c r="H649" s="328"/>
    </row>
    <row r="650" spans="8:8" ht="19.5" customHeight="1" x14ac:dyDescent="0.2">
      <c r="H650" s="328"/>
    </row>
    <row r="651" spans="8:8" ht="19.5" customHeight="1" x14ac:dyDescent="0.2">
      <c r="H651" s="328"/>
    </row>
    <row r="652" spans="8:8" ht="19.5" customHeight="1" x14ac:dyDescent="0.2">
      <c r="H652" s="328"/>
    </row>
    <row r="653" spans="8:8" ht="19.5" customHeight="1" x14ac:dyDescent="0.2">
      <c r="H653" s="328"/>
    </row>
    <row r="654" spans="8:8" ht="19.5" customHeight="1" x14ac:dyDescent="0.2">
      <c r="H654" s="328"/>
    </row>
    <row r="655" spans="8:8" ht="19.5" customHeight="1" x14ac:dyDescent="0.2">
      <c r="H655" s="328"/>
    </row>
    <row r="656" spans="8:8" ht="19.5" customHeight="1" x14ac:dyDescent="0.2">
      <c r="H656" s="328"/>
    </row>
    <row r="657" spans="8:8" ht="19.5" customHeight="1" x14ac:dyDescent="0.2">
      <c r="H657" s="328"/>
    </row>
    <row r="658" spans="8:8" ht="19.5" customHeight="1" x14ac:dyDescent="0.2">
      <c r="H658" s="328"/>
    </row>
    <row r="659" spans="8:8" ht="19.5" customHeight="1" x14ac:dyDescent="0.2">
      <c r="H659" s="328"/>
    </row>
    <row r="660" spans="8:8" ht="19.5" customHeight="1" x14ac:dyDescent="0.2">
      <c r="H660" s="328"/>
    </row>
    <row r="661" spans="8:8" ht="19.5" customHeight="1" x14ac:dyDescent="0.2">
      <c r="H661" s="328"/>
    </row>
    <row r="662" spans="8:8" ht="19.5" customHeight="1" x14ac:dyDescent="0.2">
      <c r="H662" s="328"/>
    </row>
    <row r="663" spans="8:8" ht="19.5" customHeight="1" x14ac:dyDescent="0.2">
      <c r="H663" s="328"/>
    </row>
    <row r="664" spans="8:8" ht="19.5" customHeight="1" x14ac:dyDescent="0.2">
      <c r="H664" s="328"/>
    </row>
    <row r="665" spans="8:8" ht="19.5" customHeight="1" x14ac:dyDescent="0.2">
      <c r="H665" s="328"/>
    </row>
    <row r="666" spans="8:8" ht="19.5" customHeight="1" x14ac:dyDescent="0.2">
      <c r="H666" s="328"/>
    </row>
    <row r="667" spans="8:8" ht="19.5" customHeight="1" x14ac:dyDescent="0.2">
      <c r="H667" s="328"/>
    </row>
    <row r="668" spans="8:8" ht="19.5" customHeight="1" x14ac:dyDescent="0.2">
      <c r="H668" s="328"/>
    </row>
    <row r="669" spans="8:8" ht="19.5" customHeight="1" x14ac:dyDescent="0.2">
      <c r="H669" s="328"/>
    </row>
    <row r="670" spans="8:8" ht="19.5" customHeight="1" x14ac:dyDescent="0.2">
      <c r="H670" s="328"/>
    </row>
    <row r="671" spans="8:8" ht="19.5" customHeight="1" x14ac:dyDescent="0.2">
      <c r="H671" s="328"/>
    </row>
    <row r="672" spans="8:8" ht="19.5" customHeight="1" x14ac:dyDescent="0.2">
      <c r="H672" s="328"/>
    </row>
    <row r="673" spans="8:8" ht="19.5" customHeight="1" x14ac:dyDescent="0.2">
      <c r="H673" s="328"/>
    </row>
    <row r="674" spans="8:8" ht="19.5" customHeight="1" x14ac:dyDescent="0.2">
      <c r="H674" s="328"/>
    </row>
    <row r="675" spans="8:8" ht="19.5" customHeight="1" x14ac:dyDescent="0.2">
      <c r="H675" s="328"/>
    </row>
    <row r="676" spans="8:8" ht="19.5" customHeight="1" x14ac:dyDescent="0.2">
      <c r="H676" s="328"/>
    </row>
    <row r="677" spans="8:8" ht="19.5" customHeight="1" x14ac:dyDescent="0.2">
      <c r="H677" s="328"/>
    </row>
    <row r="678" spans="8:8" ht="19.5" customHeight="1" x14ac:dyDescent="0.2">
      <c r="H678" s="328"/>
    </row>
    <row r="679" spans="8:8" ht="19.5" customHeight="1" x14ac:dyDescent="0.2">
      <c r="H679" s="328"/>
    </row>
    <row r="680" spans="8:8" ht="19.5" customHeight="1" x14ac:dyDescent="0.2">
      <c r="H680" s="328"/>
    </row>
    <row r="681" spans="8:8" ht="19.5" customHeight="1" x14ac:dyDescent="0.2">
      <c r="H681" s="328"/>
    </row>
    <row r="682" spans="8:8" ht="19.5" customHeight="1" x14ac:dyDescent="0.2">
      <c r="H682" s="328"/>
    </row>
    <row r="683" spans="8:8" ht="19.5" customHeight="1" x14ac:dyDescent="0.2">
      <c r="H683" s="328"/>
    </row>
    <row r="684" spans="8:8" ht="19.5" customHeight="1" x14ac:dyDescent="0.2">
      <c r="H684" s="328"/>
    </row>
    <row r="685" spans="8:8" ht="19.5" customHeight="1" x14ac:dyDescent="0.2">
      <c r="H685" s="328"/>
    </row>
    <row r="686" spans="8:8" ht="19.5" customHeight="1" x14ac:dyDescent="0.2">
      <c r="H686" s="328"/>
    </row>
    <row r="687" spans="8:8" ht="19.5" customHeight="1" x14ac:dyDescent="0.2">
      <c r="H687" s="328"/>
    </row>
    <row r="688" spans="8:8" ht="19.5" customHeight="1" x14ac:dyDescent="0.2">
      <c r="H688" s="328"/>
    </row>
    <row r="689" spans="8:8" ht="19.5" customHeight="1" x14ac:dyDescent="0.2">
      <c r="H689" s="328"/>
    </row>
    <row r="690" spans="8:8" ht="19.5" customHeight="1" x14ac:dyDescent="0.2">
      <c r="H690" s="328"/>
    </row>
    <row r="691" spans="8:8" ht="19.5" customHeight="1" x14ac:dyDescent="0.2">
      <c r="H691" s="328"/>
    </row>
    <row r="692" spans="8:8" ht="19.5" customHeight="1" x14ac:dyDescent="0.2">
      <c r="H692" s="328"/>
    </row>
    <row r="693" spans="8:8" ht="19.5" customHeight="1" x14ac:dyDescent="0.2">
      <c r="H693" s="328"/>
    </row>
    <row r="694" spans="8:8" ht="19.5" customHeight="1" x14ac:dyDescent="0.2">
      <c r="H694" s="328"/>
    </row>
    <row r="695" spans="8:8" ht="19.5" customHeight="1" x14ac:dyDescent="0.2">
      <c r="H695" s="328"/>
    </row>
    <row r="696" spans="8:8" ht="19.5" customHeight="1" x14ac:dyDescent="0.2">
      <c r="H696" s="328"/>
    </row>
    <row r="697" spans="8:8" ht="19.5" customHeight="1" x14ac:dyDescent="0.2">
      <c r="H697" s="328"/>
    </row>
    <row r="698" spans="8:8" ht="19.5" customHeight="1" x14ac:dyDescent="0.2">
      <c r="H698" s="328"/>
    </row>
    <row r="699" spans="8:8" ht="19.5" customHeight="1" x14ac:dyDescent="0.2">
      <c r="H699" s="328"/>
    </row>
    <row r="700" spans="8:8" ht="19.5" customHeight="1" x14ac:dyDescent="0.2">
      <c r="H700" s="328"/>
    </row>
    <row r="701" spans="8:8" ht="19.5" customHeight="1" x14ac:dyDescent="0.2">
      <c r="H701" s="328"/>
    </row>
    <row r="702" spans="8:8" ht="19.5" customHeight="1" x14ac:dyDescent="0.2">
      <c r="H702" s="328"/>
    </row>
    <row r="703" spans="8:8" ht="19.5" customHeight="1" x14ac:dyDescent="0.2">
      <c r="H703" s="328"/>
    </row>
    <row r="704" spans="8:8" ht="19.5" customHeight="1" x14ac:dyDescent="0.2">
      <c r="H704" s="328"/>
    </row>
    <row r="705" spans="8:8" ht="19.5" customHeight="1" x14ac:dyDescent="0.2">
      <c r="H705" s="328"/>
    </row>
    <row r="706" spans="8:8" ht="19.5" customHeight="1" x14ac:dyDescent="0.2">
      <c r="H706" s="328"/>
    </row>
    <row r="707" spans="8:8" ht="19.5" customHeight="1" x14ac:dyDescent="0.2">
      <c r="H707" s="328"/>
    </row>
    <row r="708" spans="8:8" ht="19.5" customHeight="1" x14ac:dyDescent="0.2">
      <c r="H708" s="328"/>
    </row>
    <row r="709" spans="8:8" ht="19.5" customHeight="1" x14ac:dyDescent="0.2">
      <c r="H709" s="328"/>
    </row>
    <row r="710" spans="8:8" ht="19.5" customHeight="1" x14ac:dyDescent="0.2">
      <c r="H710" s="328"/>
    </row>
    <row r="711" spans="8:8" ht="19.5" customHeight="1" x14ac:dyDescent="0.2">
      <c r="H711" s="328"/>
    </row>
    <row r="712" spans="8:8" ht="19.5" customHeight="1" x14ac:dyDescent="0.2">
      <c r="H712" s="328"/>
    </row>
    <row r="713" spans="8:8" ht="19.5" customHeight="1" x14ac:dyDescent="0.2">
      <c r="H713" s="328"/>
    </row>
    <row r="714" spans="8:8" ht="19.5" customHeight="1" x14ac:dyDescent="0.2">
      <c r="H714" s="328"/>
    </row>
    <row r="715" spans="8:8" ht="19.5" customHeight="1" x14ac:dyDescent="0.2">
      <c r="H715" s="328"/>
    </row>
    <row r="716" spans="8:8" ht="19.5" customHeight="1" x14ac:dyDescent="0.2">
      <c r="H716" s="328"/>
    </row>
    <row r="717" spans="8:8" ht="19.5" customHeight="1" x14ac:dyDescent="0.2">
      <c r="H717" s="328"/>
    </row>
    <row r="718" spans="8:8" ht="19.5" customHeight="1" x14ac:dyDescent="0.2">
      <c r="H718" s="328"/>
    </row>
    <row r="719" spans="8:8" ht="19.5" customHeight="1" x14ac:dyDescent="0.2">
      <c r="H719" s="328"/>
    </row>
    <row r="720" spans="8:8" ht="19.5" customHeight="1" x14ac:dyDescent="0.2">
      <c r="H720" s="328"/>
    </row>
    <row r="721" spans="8:8" ht="19.5" customHeight="1" x14ac:dyDescent="0.2">
      <c r="H721" s="328"/>
    </row>
    <row r="722" spans="8:8" ht="19.5" customHeight="1" x14ac:dyDescent="0.2">
      <c r="H722" s="328"/>
    </row>
    <row r="723" spans="8:8" ht="19.5" customHeight="1" x14ac:dyDescent="0.2">
      <c r="H723" s="328"/>
    </row>
    <row r="724" spans="8:8" ht="19.5" customHeight="1" x14ac:dyDescent="0.2">
      <c r="H724" s="328"/>
    </row>
    <row r="725" spans="8:8" ht="19.5" customHeight="1" x14ac:dyDescent="0.2">
      <c r="H725" s="328"/>
    </row>
    <row r="726" spans="8:8" ht="19.5" customHeight="1" x14ac:dyDescent="0.2">
      <c r="H726" s="328"/>
    </row>
    <row r="727" spans="8:8" ht="19.5" customHeight="1" x14ac:dyDescent="0.2">
      <c r="H727" s="328"/>
    </row>
    <row r="728" spans="8:8" ht="19.5" customHeight="1" x14ac:dyDescent="0.2">
      <c r="H728" s="328"/>
    </row>
    <row r="729" spans="8:8" ht="19.5" customHeight="1" x14ac:dyDescent="0.2">
      <c r="H729" s="328"/>
    </row>
    <row r="730" spans="8:8" ht="19.5" customHeight="1" x14ac:dyDescent="0.2">
      <c r="H730" s="328"/>
    </row>
    <row r="731" spans="8:8" ht="19.5" customHeight="1" x14ac:dyDescent="0.2">
      <c r="H731" s="328"/>
    </row>
    <row r="732" spans="8:8" ht="19.5" customHeight="1" x14ac:dyDescent="0.2">
      <c r="H732" s="328"/>
    </row>
    <row r="733" spans="8:8" ht="19.5" customHeight="1" x14ac:dyDescent="0.2">
      <c r="H733" s="328"/>
    </row>
    <row r="734" spans="8:8" ht="19.5" customHeight="1" x14ac:dyDescent="0.2">
      <c r="H734" s="328"/>
    </row>
    <row r="735" spans="8:8" ht="19.5" customHeight="1" x14ac:dyDescent="0.2">
      <c r="H735" s="328"/>
    </row>
    <row r="736" spans="8:8" ht="19.5" customHeight="1" x14ac:dyDescent="0.2">
      <c r="H736" s="328"/>
    </row>
    <row r="737" spans="8:8" ht="19.5" customHeight="1" x14ac:dyDescent="0.2">
      <c r="H737" s="328"/>
    </row>
    <row r="738" spans="8:8" ht="19.5" customHeight="1" x14ac:dyDescent="0.2">
      <c r="H738" s="328"/>
    </row>
    <row r="739" spans="8:8" ht="19.5" customHeight="1" x14ac:dyDescent="0.2">
      <c r="H739" s="328"/>
    </row>
    <row r="740" spans="8:8" ht="19.5" customHeight="1" x14ac:dyDescent="0.2">
      <c r="H740" s="328"/>
    </row>
    <row r="741" spans="8:8" ht="19.5" customHeight="1" x14ac:dyDescent="0.2">
      <c r="H741" s="328"/>
    </row>
    <row r="742" spans="8:8" ht="19.5" customHeight="1" x14ac:dyDescent="0.2">
      <c r="H742" s="328"/>
    </row>
    <row r="743" spans="8:8" ht="19.5" customHeight="1" x14ac:dyDescent="0.2">
      <c r="H743" s="328"/>
    </row>
    <row r="744" spans="8:8" ht="19.5" customHeight="1" x14ac:dyDescent="0.2">
      <c r="H744" s="328"/>
    </row>
    <row r="745" spans="8:8" ht="19.5" customHeight="1" x14ac:dyDescent="0.2">
      <c r="H745" s="328"/>
    </row>
    <row r="746" spans="8:8" ht="19.5" customHeight="1" x14ac:dyDescent="0.2">
      <c r="H746" s="328"/>
    </row>
    <row r="747" spans="8:8" ht="19.5" customHeight="1" x14ac:dyDescent="0.2">
      <c r="H747" s="328"/>
    </row>
    <row r="748" spans="8:8" ht="19.5" customHeight="1" x14ac:dyDescent="0.2">
      <c r="H748" s="328"/>
    </row>
    <row r="749" spans="8:8" ht="19.5" customHeight="1" x14ac:dyDescent="0.2">
      <c r="H749" s="328"/>
    </row>
    <row r="750" spans="8:8" ht="19.5" customHeight="1" x14ac:dyDescent="0.2">
      <c r="H750" s="328"/>
    </row>
    <row r="751" spans="8:8" ht="19.5" customHeight="1" x14ac:dyDescent="0.2">
      <c r="H751" s="328"/>
    </row>
    <row r="752" spans="8:8" ht="19.5" customHeight="1" x14ac:dyDescent="0.2">
      <c r="H752" s="328"/>
    </row>
    <row r="753" spans="8:8" ht="19.5" customHeight="1" x14ac:dyDescent="0.2">
      <c r="H753" s="328"/>
    </row>
    <row r="754" spans="8:8" ht="19.5" customHeight="1" x14ac:dyDescent="0.2">
      <c r="H754" s="328"/>
    </row>
    <row r="755" spans="8:8" ht="19.5" customHeight="1" x14ac:dyDescent="0.2">
      <c r="H755" s="328"/>
    </row>
    <row r="756" spans="8:8" ht="19.5" customHeight="1" x14ac:dyDescent="0.2">
      <c r="H756" s="328"/>
    </row>
    <row r="757" spans="8:8" ht="19.5" customHeight="1" x14ac:dyDescent="0.2">
      <c r="H757" s="328"/>
    </row>
    <row r="758" spans="8:8" ht="19.5" customHeight="1" x14ac:dyDescent="0.2">
      <c r="H758" s="328"/>
    </row>
    <row r="759" spans="8:8" ht="19.5" customHeight="1" x14ac:dyDescent="0.2">
      <c r="H759" s="328"/>
    </row>
    <row r="760" spans="8:8" ht="19.5" customHeight="1" x14ac:dyDescent="0.2">
      <c r="H760" s="328"/>
    </row>
    <row r="761" spans="8:8" ht="19.5" customHeight="1" x14ac:dyDescent="0.2">
      <c r="H761" s="328"/>
    </row>
    <row r="762" spans="8:8" ht="19.5" customHeight="1" x14ac:dyDescent="0.2">
      <c r="H762" s="328"/>
    </row>
    <row r="763" spans="8:8" ht="19.5" customHeight="1" x14ac:dyDescent="0.2">
      <c r="H763" s="328"/>
    </row>
    <row r="764" spans="8:8" ht="19.5" customHeight="1" x14ac:dyDescent="0.2">
      <c r="H764" s="328"/>
    </row>
    <row r="765" spans="8:8" ht="19.5" customHeight="1" x14ac:dyDescent="0.2">
      <c r="H765" s="328"/>
    </row>
    <row r="766" spans="8:8" ht="19.5" customHeight="1" x14ac:dyDescent="0.2">
      <c r="H766" s="328"/>
    </row>
    <row r="767" spans="8:8" ht="19.5" customHeight="1" x14ac:dyDescent="0.2">
      <c r="H767" s="328"/>
    </row>
    <row r="768" spans="8:8" ht="19.5" customHeight="1" x14ac:dyDescent="0.2">
      <c r="H768" s="328"/>
    </row>
    <row r="769" spans="8:8" ht="19.5" customHeight="1" x14ac:dyDescent="0.2">
      <c r="H769" s="328"/>
    </row>
    <row r="770" spans="8:8" ht="19.5" customHeight="1" x14ac:dyDescent="0.2">
      <c r="H770" s="328"/>
    </row>
    <row r="771" spans="8:8" ht="19.5" customHeight="1" x14ac:dyDescent="0.2">
      <c r="H771" s="328"/>
    </row>
    <row r="772" spans="8:8" ht="19.5" customHeight="1" x14ac:dyDescent="0.2">
      <c r="H772" s="328"/>
    </row>
    <row r="773" spans="8:8" ht="19.5" customHeight="1" x14ac:dyDescent="0.2">
      <c r="H773" s="328"/>
    </row>
    <row r="774" spans="8:8" ht="19.5" customHeight="1" x14ac:dyDescent="0.2">
      <c r="H774" s="328"/>
    </row>
    <row r="775" spans="8:8" ht="19.5" customHeight="1" x14ac:dyDescent="0.2">
      <c r="H775" s="328"/>
    </row>
    <row r="776" spans="8:8" ht="19.5" customHeight="1" x14ac:dyDescent="0.2">
      <c r="H776" s="328"/>
    </row>
    <row r="777" spans="8:8" ht="19.5" customHeight="1" x14ac:dyDescent="0.2">
      <c r="H777" s="328"/>
    </row>
    <row r="778" spans="8:8" ht="19.5" customHeight="1" x14ac:dyDescent="0.2">
      <c r="H778" s="328"/>
    </row>
    <row r="779" spans="8:8" ht="19.5" customHeight="1" x14ac:dyDescent="0.2">
      <c r="H779" s="328"/>
    </row>
    <row r="780" spans="8:8" ht="19.5" customHeight="1" x14ac:dyDescent="0.2">
      <c r="H780" s="328"/>
    </row>
    <row r="781" spans="8:8" ht="19.5" customHeight="1" x14ac:dyDescent="0.2">
      <c r="H781" s="328"/>
    </row>
    <row r="782" spans="8:8" ht="19.5" customHeight="1" x14ac:dyDescent="0.2">
      <c r="H782" s="328"/>
    </row>
    <row r="783" spans="8:8" ht="19.5" customHeight="1" x14ac:dyDescent="0.2">
      <c r="H783" s="328"/>
    </row>
    <row r="784" spans="8:8" ht="19.5" customHeight="1" x14ac:dyDescent="0.2">
      <c r="H784" s="328"/>
    </row>
    <row r="785" spans="8:8" ht="19.5" customHeight="1" x14ac:dyDescent="0.2">
      <c r="H785" s="328"/>
    </row>
    <row r="786" spans="8:8" ht="19.5" customHeight="1" x14ac:dyDescent="0.2">
      <c r="H786" s="328"/>
    </row>
    <row r="787" spans="8:8" ht="19.5" customHeight="1" x14ac:dyDescent="0.2">
      <c r="H787" s="328"/>
    </row>
    <row r="788" spans="8:8" ht="19.5" customHeight="1" x14ac:dyDescent="0.2">
      <c r="H788" s="328"/>
    </row>
    <row r="789" spans="8:8" ht="19.5" customHeight="1" x14ac:dyDescent="0.2">
      <c r="H789" s="328"/>
    </row>
    <row r="790" spans="8:8" ht="19.5" customHeight="1" x14ac:dyDescent="0.2">
      <c r="H790" s="328"/>
    </row>
    <row r="791" spans="8:8" ht="19.5" customHeight="1" x14ac:dyDescent="0.2">
      <c r="H791" s="328"/>
    </row>
    <row r="792" spans="8:8" ht="19.5" customHeight="1" x14ac:dyDescent="0.2">
      <c r="H792" s="328"/>
    </row>
    <row r="793" spans="8:8" ht="19.5" customHeight="1" x14ac:dyDescent="0.2">
      <c r="H793" s="328"/>
    </row>
    <row r="794" spans="8:8" ht="19.5" customHeight="1" x14ac:dyDescent="0.2">
      <c r="H794" s="328"/>
    </row>
    <row r="795" spans="8:8" ht="19.5" customHeight="1" x14ac:dyDescent="0.2">
      <c r="H795" s="328"/>
    </row>
    <row r="796" spans="8:8" ht="19.5" customHeight="1" x14ac:dyDescent="0.2">
      <c r="H796" s="328"/>
    </row>
    <row r="797" spans="8:8" ht="19.5" customHeight="1" x14ac:dyDescent="0.2">
      <c r="H797" s="328"/>
    </row>
    <row r="798" spans="8:8" ht="19.5" customHeight="1" x14ac:dyDescent="0.2">
      <c r="H798" s="328"/>
    </row>
    <row r="799" spans="8:8" ht="19.5" customHeight="1" x14ac:dyDescent="0.2">
      <c r="H799" s="328"/>
    </row>
    <row r="800" spans="8:8" ht="19.5" customHeight="1" x14ac:dyDescent="0.2">
      <c r="H800" s="328"/>
    </row>
    <row r="801" spans="8:8" ht="19.5" customHeight="1" x14ac:dyDescent="0.2">
      <c r="H801" s="328"/>
    </row>
    <row r="802" spans="8:8" ht="19.5" customHeight="1" x14ac:dyDescent="0.2">
      <c r="H802" s="328"/>
    </row>
    <row r="803" spans="8:8" ht="19.5" customHeight="1" x14ac:dyDescent="0.2">
      <c r="H803" s="328"/>
    </row>
    <row r="804" spans="8:8" ht="19.5" customHeight="1" x14ac:dyDescent="0.2">
      <c r="H804" s="328"/>
    </row>
    <row r="805" spans="8:8" ht="19.5" customHeight="1" x14ac:dyDescent="0.2">
      <c r="H805" s="328"/>
    </row>
    <row r="806" spans="8:8" ht="19.5" customHeight="1" x14ac:dyDescent="0.2">
      <c r="H806" s="328"/>
    </row>
    <row r="807" spans="8:8" ht="19.5" customHeight="1" x14ac:dyDescent="0.2">
      <c r="H807" s="328"/>
    </row>
    <row r="808" spans="8:8" ht="19.5" customHeight="1" x14ac:dyDescent="0.2">
      <c r="H808" s="328"/>
    </row>
    <row r="809" spans="8:8" ht="19.5" customHeight="1" x14ac:dyDescent="0.2">
      <c r="H809" s="328"/>
    </row>
    <row r="810" spans="8:8" ht="19.5" customHeight="1" x14ac:dyDescent="0.2">
      <c r="H810" s="328"/>
    </row>
    <row r="811" spans="8:8" ht="19.5" customHeight="1" x14ac:dyDescent="0.2">
      <c r="H811" s="328"/>
    </row>
    <row r="812" spans="8:8" ht="19.5" customHeight="1" x14ac:dyDescent="0.2">
      <c r="H812" s="328"/>
    </row>
    <row r="813" spans="8:8" ht="19.5" customHeight="1" x14ac:dyDescent="0.2">
      <c r="H813" s="328"/>
    </row>
    <row r="814" spans="8:8" ht="19.5" customHeight="1" x14ac:dyDescent="0.2">
      <c r="H814" s="328"/>
    </row>
    <row r="815" spans="8:8" ht="19.5" customHeight="1" x14ac:dyDescent="0.2">
      <c r="H815" s="328"/>
    </row>
    <row r="816" spans="8:8" ht="19.5" customHeight="1" x14ac:dyDescent="0.2">
      <c r="H816" s="328"/>
    </row>
    <row r="817" spans="8:8" ht="19.5" customHeight="1" x14ac:dyDescent="0.2">
      <c r="H817" s="328"/>
    </row>
    <row r="818" spans="8:8" ht="19.5" customHeight="1" x14ac:dyDescent="0.2">
      <c r="H818" s="328"/>
    </row>
    <row r="819" spans="8:8" ht="19.5" customHeight="1" x14ac:dyDescent="0.2">
      <c r="H819" s="328"/>
    </row>
    <row r="820" spans="8:8" ht="19.5" customHeight="1" x14ac:dyDescent="0.2">
      <c r="H820" s="328"/>
    </row>
    <row r="821" spans="8:8" ht="19.5" customHeight="1" x14ac:dyDescent="0.2">
      <c r="H821" s="328"/>
    </row>
    <row r="822" spans="8:8" ht="19.5" customHeight="1" x14ac:dyDescent="0.2">
      <c r="H822" s="328"/>
    </row>
    <row r="823" spans="8:8" ht="19.5" customHeight="1" x14ac:dyDescent="0.2">
      <c r="H823" s="328"/>
    </row>
    <row r="824" spans="8:8" ht="19.5" customHeight="1" x14ac:dyDescent="0.2">
      <c r="H824" s="328"/>
    </row>
    <row r="825" spans="8:8" ht="19.5" customHeight="1" x14ac:dyDescent="0.2">
      <c r="H825" s="328"/>
    </row>
    <row r="826" spans="8:8" ht="19.5" customHeight="1" x14ac:dyDescent="0.2">
      <c r="H826" s="328"/>
    </row>
    <row r="827" spans="8:8" ht="19.5" customHeight="1" x14ac:dyDescent="0.2">
      <c r="H827" s="328"/>
    </row>
    <row r="828" spans="8:8" ht="19.5" customHeight="1" x14ac:dyDescent="0.2">
      <c r="H828" s="328"/>
    </row>
    <row r="829" spans="8:8" ht="19.5" customHeight="1" x14ac:dyDescent="0.2">
      <c r="H829" s="328"/>
    </row>
    <row r="830" spans="8:8" ht="19.5" customHeight="1" x14ac:dyDescent="0.2">
      <c r="H830" s="328"/>
    </row>
    <row r="831" spans="8:8" ht="19.5" customHeight="1" x14ac:dyDescent="0.2">
      <c r="H831" s="328"/>
    </row>
    <row r="832" spans="8:8" ht="19.5" customHeight="1" x14ac:dyDescent="0.2">
      <c r="H832" s="328"/>
    </row>
    <row r="833" spans="8:8" ht="19.5" customHeight="1" x14ac:dyDescent="0.2">
      <c r="H833" s="328"/>
    </row>
    <row r="834" spans="8:8" ht="19.5" customHeight="1" x14ac:dyDescent="0.2">
      <c r="H834" s="328"/>
    </row>
    <row r="835" spans="8:8" ht="19.5" customHeight="1" x14ac:dyDescent="0.2">
      <c r="H835" s="328"/>
    </row>
    <row r="836" spans="8:8" ht="19.5" customHeight="1" x14ac:dyDescent="0.2">
      <c r="H836" s="328"/>
    </row>
    <row r="837" spans="8:8" ht="19.5" customHeight="1" x14ac:dyDescent="0.2">
      <c r="H837" s="328"/>
    </row>
    <row r="838" spans="8:8" ht="19.5" customHeight="1" x14ac:dyDescent="0.2">
      <c r="H838" s="328"/>
    </row>
    <row r="839" spans="8:8" ht="19.5" customHeight="1" x14ac:dyDescent="0.2">
      <c r="H839" s="328"/>
    </row>
    <row r="840" spans="8:8" ht="19.5" customHeight="1" x14ac:dyDescent="0.2">
      <c r="H840" s="328"/>
    </row>
    <row r="841" spans="8:8" ht="19.5" customHeight="1" x14ac:dyDescent="0.2">
      <c r="H841" s="328"/>
    </row>
    <row r="842" spans="8:8" ht="19.5" customHeight="1" x14ac:dyDescent="0.2">
      <c r="H842" s="328"/>
    </row>
    <row r="843" spans="8:8" ht="19.5" customHeight="1" x14ac:dyDescent="0.2">
      <c r="H843" s="328"/>
    </row>
    <row r="844" spans="8:8" ht="19.5" customHeight="1" x14ac:dyDescent="0.2">
      <c r="H844" s="328"/>
    </row>
    <row r="845" spans="8:8" ht="19.5" customHeight="1" x14ac:dyDescent="0.2">
      <c r="H845" s="328"/>
    </row>
    <row r="846" spans="8:8" ht="19.5" customHeight="1" x14ac:dyDescent="0.2">
      <c r="H846" s="328"/>
    </row>
    <row r="847" spans="8:8" ht="19.5" customHeight="1" x14ac:dyDescent="0.2">
      <c r="H847" s="328"/>
    </row>
    <row r="848" spans="8:8" ht="19.5" customHeight="1" x14ac:dyDescent="0.2">
      <c r="H848" s="328"/>
    </row>
    <row r="849" spans="8:8" ht="19.5" customHeight="1" x14ac:dyDescent="0.2">
      <c r="H849" s="328"/>
    </row>
    <row r="850" spans="8:8" ht="19.5" customHeight="1" x14ac:dyDescent="0.2">
      <c r="H850" s="328"/>
    </row>
    <row r="851" spans="8:8" ht="19.5" customHeight="1" x14ac:dyDescent="0.2">
      <c r="H851" s="328"/>
    </row>
    <row r="852" spans="8:8" ht="19.5" customHeight="1" x14ac:dyDescent="0.2">
      <c r="H852" s="328"/>
    </row>
    <row r="853" spans="8:8" ht="19.5" customHeight="1" x14ac:dyDescent="0.2">
      <c r="H853" s="328"/>
    </row>
    <row r="854" spans="8:8" ht="19.5" customHeight="1" x14ac:dyDescent="0.2">
      <c r="H854" s="328"/>
    </row>
    <row r="855" spans="8:8" ht="19.5" customHeight="1" x14ac:dyDescent="0.2">
      <c r="H855" s="328"/>
    </row>
    <row r="856" spans="8:8" ht="19.5" customHeight="1" x14ac:dyDescent="0.2">
      <c r="H856" s="328"/>
    </row>
    <row r="857" spans="8:8" ht="19.5" customHeight="1" x14ac:dyDescent="0.2">
      <c r="H857" s="328"/>
    </row>
    <row r="858" spans="8:8" ht="19.5" customHeight="1" x14ac:dyDescent="0.2">
      <c r="H858" s="328"/>
    </row>
    <row r="859" spans="8:8" ht="19.5" customHeight="1" x14ac:dyDescent="0.2">
      <c r="H859" s="328"/>
    </row>
    <row r="860" spans="8:8" ht="19.5" customHeight="1" x14ac:dyDescent="0.2">
      <c r="H860" s="328"/>
    </row>
    <row r="861" spans="8:8" ht="19.5" customHeight="1" x14ac:dyDescent="0.2">
      <c r="H861" s="328"/>
    </row>
    <row r="862" spans="8:8" ht="19.5" customHeight="1" x14ac:dyDescent="0.2">
      <c r="H862" s="328"/>
    </row>
    <row r="863" spans="8:8" ht="19.5" customHeight="1" x14ac:dyDescent="0.2">
      <c r="H863" s="328"/>
    </row>
    <row r="864" spans="8:8" ht="19.5" customHeight="1" x14ac:dyDescent="0.2">
      <c r="H864" s="328"/>
    </row>
    <row r="865" spans="8:8" ht="19.5" customHeight="1" x14ac:dyDescent="0.2">
      <c r="H865" s="328"/>
    </row>
    <row r="866" spans="8:8" ht="19.5" customHeight="1" x14ac:dyDescent="0.2">
      <c r="H866" s="328"/>
    </row>
    <row r="867" spans="8:8" ht="19.5" customHeight="1" x14ac:dyDescent="0.2">
      <c r="H867" s="328"/>
    </row>
    <row r="868" spans="8:8" ht="19.5" customHeight="1" x14ac:dyDescent="0.2">
      <c r="H868" s="328"/>
    </row>
    <row r="869" spans="8:8" ht="19.5" customHeight="1" x14ac:dyDescent="0.2">
      <c r="H869" s="328"/>
    </row>
    <row r="870" spans="8:8" ht="19.5" customHeight="1" x14ac:dyDescent="0.2">
      <c r="H870" s="328"/>
    </row>
    <row r="871" spans="8:8" ht="19.5" customHeight="1" x14ac:dyDescent="0.2">
      <c r="H871" s="328"/>
    </row>
    <row r="872" spans="8:8" ht="19.5" customHeight="1" x14ac:dyDescent="0.2">
      <c r="H872" s="328"/>
    </row>
    <row r="873" spans="8:8" ht="19.5" customHeight="1" x14ac:dyDescent="0.2">
      <c r="H873" s="328"/>
    </row>
    <row r="874" spans="8:8" ht="19.5" customHeight="1" x14ac:dyDescent="0.2">
      <c r="H874" s="328"/>
    </row>
    <row r="875" spans="8:8" ht="19.5" customHeight="1" x14ac:dyDescent="0.2">
      <c r="H875" s="328"/>
    </row>
    <row r="876" spans="8:8" ht="19.5" customHeight="1" x14ac:dyDescent="0.2">
      <c r="H876" s="328"/>
    </row>
    <row r="877" spans="8:8" ht="19.5" customHeight="1" x14ac:dyDescent="0.2">
      <c r="H877" s="328"/>
    </row>
    <row r="878" spans="8:8" ht="19.5" customHeight="1" x14ac:dyDescent="0.2">
      <c r="H878" s="328"/>
    </row>
    <row r="879" spans="8:8" ht="19.5" customHeight="1" x14ac:dyDescent="0.2">
      <c r="H879" s="328"/>
    </row>
    <row r="880" spans="8:8" ht="19.5" customHeight="1" x14ac:dyDescent="0.2">
      <c r="H880" s="328"/>
    </row>
    <row r="881" spans="8:8" ht="19.5" customHeight="1" x14ac:dyDescent="0.2">
      <c r="H881" s="328"/>
    </row>
    <row r="882" spans="8:8" ht="19.5" customHeight="1" x14ac:dyDescent="0.2">
      <c r="H882" s="328"/>
    </row>
    <row r="883" spans="8:8" ht="19.5" customHeight="1" x14ac:dyDescent="0.2">
      <c r="H883" s="328"/>
    </row>
    <row r="884" spans="8:8" ht="19.5" customHeight="1" x14ac:dyDescent="0.2">
      <c r="H884" s="328"/>
    </row>
    <row r="885" spans="8:8" ht="19.5" customHeight="1" x14ac:dyDescent="0.2">
      <c r="H885" s="328"/>
    </row>
    <row r="886" spans="8:8" ht="19.5" customHeight="1" x14ac:dyDescent="0.2">
      <c r="H886" s="328"/>
    </row>
    <row r="887" spans="8:8" ht="19.5" customHeight="1" x14ac:dyDescent="0.2">
      <c r="H887" s="328"/>
    </row>
    <row r="888" spans="8:8" ht="19.5" customHeight="1" x14ac:dyDescent="0.2">
      <c r="H888" s="328"/>
    </row>
    <row r="889" spans="8:8" ht="19.5" customHeight="1" x14ac:dyDescent="0.2">
      <c r="H889" s="328"/>
    </row>
    <row r="890" spans="8:8" ht="19.5" customHeight="1" x14ac:dyDescent="0.2">
      <c r="H890" s="328"/>
    </row>
    <row r="891" spans="8:8" ht="19.5" customHeight="1" x14ac:dyDescent="0.2">
      <c r="H891" s="328"/>
    </row>
    <row r="892" spans="8:8" ht="19.5" customHeight="1" x14ac:dyDescent="0.2">
      <c r="H892" s="328"/>
    </row>
    <row r="893" spans="8:8" ht="19.5" customHeight="1" x14ac:dyDescent="0.2">
      <c r="H893" s="328"/>
    </row>
    <row r="894" spans="8:8" ht="19.5" customHeight="1" x14ac:dyDescent="0.2">
      <c r="H894" s="328"/>
    </row>
    <row r="895" spans="8:8" ht="19.5" customHeight="1" x14ac:dyDescent="0.2">
      <c r="H895" s="328"/>
    </row>
    <row r="896" spans="8:8" ht="19.5" customHeight="1" x14ac:dyDescent="0.2">
      <c r="H896" s="328"/>
    </row>
    <row r="897" spans="8:8" ht="19.5" customHeight="1" x14ac:dyDescent="0.2">
      <c r="H897" s="328"/>
    </row>
    <row r="898" spans="8:8" ht="19.5" customHeight="1" x14ac:dyDescent="0.2">
      <c r="H898" s="328"/>
    </row>
    <row r="899" spans="8:8" ht="19.5" customHeight="1" x14ac:dyDescent="0.2">
      <c r="H899" s="328"/>
    </row>
    <row r="900" spans="8:8" ht="19.5" customHeight="1" x14ac:dyDescent="0.2">
      <c r="H900" s="328"/>
    </row>
    <row r="901" spans="8:8" ht="19.5" customHeight="1" x14ac:dyDescent="0.2">
      <c r="H901" s="328"/>
    </row>
    <row r="902" spans="8:8" ht="19.5" customHeight="1" x14ac:dyDescent="0.2">
      <c r="H902" s="328"/>
    </row>
    <row r="903" spans="8:8" ht="19.5" customHeight="1" x14ac:dyDescent="0.2">
      <c r="H903" s="328"/>
    </row>
    <row r="904" spans="8:8" ht="19.5" customHeight="1" x14ac:dyDescent="0.2">
      <c r="H904" s="328"/>
    </row>
    <row r="905" spans="8:8" ht="19.5" customHeight="1" x14ac:dyDescent="0.2">
      <c r="H905" s="328"/>
    </row>
    <row r="906" spans="8:8" ht="19.5" customHeight="1" x14ac:dyDescent="0.2">
      <c r="H906" s="328"/>
    </row>
    <row r="907" spans="8:8" ht="19.5" customHeight="1" x14ac:dyDescent="0.2">
      <c r="H907" s="328"/>
    </row>
    <row r="908" spans="8:8" ht="19.5" customHeight="1" x14ac:dyDescent="0.2">
      <c r="H908" s="328"/>
    </row>
    <row r="909" spans="8:8" ht="19.5" customHeight="1" x14ac:dyDescent="0.2">
      <c r="H909" s="328"/>
    </row>
    <row r="910" spans="8:8" ht="19.5" customHeight="1" x14ac:dyDescent="0.2">
      <c r="H910" s="328"/>
    </row>
    <row r="911" spans="8:8" ht="19.5" customHeight="1" x14ac:dyDescent="0.2">
      <c r="H911" s="328"/>
    </row>
    <row r="912" spans="8:8" ht="19.5" customHeight="1" x14ac:dyDescent="0.2">
      <c r="H912" s="328"/>
    </row>
    <row r="913" spans="8:8" ht="19.5" customHeight="1" x14ac:dyDescent="0.2">
      <c r="H913" s="328"/>
    </row>
    <row r="914" spans="8:8" ht="19.5" customHeight="1" x14ac:dyDescent="0.2">
      <c r="H914" s="328"/>
    </row>
    <row r="915" spans="8:8" ht="19.5" customHeight="1" x14ac:dyDescent="0.2">
      <c r="H915" s="328"/>
    </row>
    <row r="916" spans="8:8" ht="19.5" customHeight="1" x14ac:dyDescent="0.2">
      <c r="H916" s="328"/>
    </row>
    <row r="917" spans="8:8" ht="19.5" customHeight="1" x14ac:dyDescent="0.2">
      <c r="H917" s="328"/>
    </row>
    <row r="918" spans="8:8" ht="19.5" customHeight="1" x14ac:dyDescent="0.2">
      <c r="H918" s="328"/>
    </row>
    <row r="919" spans="8:8" ht="19.5" customHeight="1" x14ac:dyDescent="0.2">
      <c r="H919" s="328"/>
    </row>
    <row r="920" spans="8:8" ht="19.5" customHeight="1" x14ac:dyDescent="0.2">
      <c r="H920" s="328"/>
    </row>
    <row r="921" spans="8:8" ht="19.5" customHeight="1" x14ac:dyDescent="0.2">
      <c r="H921" s="328"/>
    </row>
    <row r="922" spans="8:8" ht="19.5" customHeight="1" x14ac:dyDescent="0.2">
      <c r="H922" s="328"/>
    </row>
    <row r="923" spans="8:8" ht="19.5" customHeight="1" x14ac:dyDescent="0.2">
      <c r="H923" s="328"/>
    </row>
    <row r="924" spans="8:8" ht="19.5" customHeight="1" x14ac:dyDescent="0.2">
      <c r="H924" s="328"/>
    </row>
    <row r="925" spans="8:8" ht="19.5" customHeight="1" x14ac:dyDescent="0.2">
      <c r="H925" s="328"/>
    </row>
    <row r="926" spans="8:8" ht="19.5" customHeight="1" x14ac:dyDescent="0.2">
      <c r="H926" s="328"/>
    </row>
    <row r="927" spans="8:8" ht="19.5" customHeight="1" x14ac:dyDescent="0.2">
      <c r="H927" s="328"/>
    </row>
    <row r="928" spans="8:8" ht="19.5" customHeight="1" x14ac:dyDescent="0.2">
      <c r="H928" s="328"/>
    </row>
    <row r="929" spans="8:8" ht="19.5" customHeight="1" x14ac:dyDescent="0.2">
      <c r="H929" s="328"/>
    </row>
    <row r="930" spans="8:8" ht="19.5" customHeight="1" x14ac:dyDescent="0.2">
      <c r="H930" s="328"/>
    </row>
    <row r="931" spans="8:8" ht="19.5" customHeight="1" x14ac:dyDescent="0.2">
      <c r="H931" s="328"/>
    </row>
    <row r="932" spans="8:8" ht="19.5" customHeight="1" x14ac:dyDescent="0.2">
      <c r="H932" s="328"/>
    </row>
    <row r="933" spans="8:8" ht="19.5" customHeight="1" x14ac:dyDescent="0.2">
      <c r="H933" s="328"/>
    </row>
    <row r="934" spans="8:8" ht="19.5" customHeight="1" x14ac:dyDescent="0.2">
      <c r="H934" s="328"/>
    </row>
    <row r="935" spans="8:8" ht="19.5" customHeight="1" x14ac:dyDescent="0.2">
      <c r="H935" s="328"/>
    </row>
    <row r="936" spans="8:8" ht="19.5" customHeight="1" x14ac:dyDescent="0.2">
      <c r="H936" s="328"/>
    </row>
    <row r="937" spans="8:8" ht="19.5" customHeight="1" x14ac:dyDescent="0.2">
      <c r="H937" s="328"/>
    </row>
    <row r="938" spans="8:8" ht="19.5" customHeight="1" x14ac:dyDescent="0.2">
      <c r="H938" s="328"/>
    </row>
    <row r="939" spans="8:8" ht="19.5" customHeight="1" x14ac:dyDescent="0.2">
      <c r="H939" s="328"/>
    </row>
    <row r="940" spans="8:8" ht="19.5" customHeight="1" x14ac:dyDescent="0.2">
      <c r="H940" s="328"/>
    </row>
    <row r="941" spans="8:8" ht="19.5" customHeight="1" x14ac:dyDescent="0.2">
      <c r="H941" s="328"/>
    </row>
    <row r="942" spans="8:8" ht="19.5" customHeight="1" x14ac:dyDescent="0.2">
      <c r="H942" s="328"/>
    </row>
    <row r="943" spans="8:8" ht="19.5" customHeight="1" x14ac:dyDescent="0.2">
      <c r="H943" s="328"/>
    </row>
    <row r="944" spans="8:8" ht="19.5" customHeight="1" x14ac:dyDescent="0.2">
      <c r="H944" s="328"/>
    </row>
    <row r="945" spans="8:8" ht="19.5" customHeight="1" x14ac:dyDescent="0.2">
      <c r="H945" s="328"/>
    </row>
    <row r="946" spans="8:8" ht="19.5" customHeight="1" x14ac:dyDescent="0.2">
      <c r="H946" s="328"/>
    </row>
    <row r="947" spans="8:8" ht="19.5" customHeight="1" x14ac:dyDescent="0.2">
      <c r="H947" s="328"/>
    </row>
    <row r="948" spans="8:8" ht="19.5" customHeight="1" x14ac:dyDescent="0.2">
      <c r="H948" s="328"/>
    </row>
    <row r="949" spans="8:8" ht="19.5" customHeight="1" x14ac:dyDescent="0.2">
      <c r="H949" s="328"/>
    </row>
    <row r="950" spans="8:8" ht="19.5" customHeight="1" x14ac:dyDescent="0.2">
      <c r="H950" s="328"/>
    </row>
    <row r="951" spans="8:8" ht="19.5" customHeight="1" x14ac:dyDescent="0.2">
      <c r="H951" s="328"/>
    </row>
    <row r="952" spans="8:8" ht="19.5" customHeight="1" x14ac:dyDescent="0.2">
      <c r="H952" s="328"/>
    </row>
    <row r="953" spans="8:8" ht="19.5" customHeight="1" x14ac:dyDescent="0.2">
      <c r="H953" s="328"/>
    </row>
    <row r="954" spans="8:8" ht="19.5" customHeight="1" x14ac:dyDescent="0.2">
      <c r="H954" s="328"/>
    </row>
    <row r="955" spans="8:8" ht="19.5" customHeight="1" x14ac:dyDescent="0.2">
      <c r="H955" s="328"/>
    </row>
    <row r="956" spans="8:8" ht="19.5" customHeight="1" x14ac:dyDescent="0.2">
      <c r="H956" s="328"/>
    </row>
    <row r="957" spans="8:8" ht="19.5" customHeight="1" x14ac:dyDescent="0.2">
      <c r="H957" s="328"/>
    </row>
    <row r="958" spans="8:8" ht="19.5" customHeight="1" x14ac:dyDescent="0.2">
      <c r="H958" s="328"/>
    </row>
    <row r="959" spans="8:8" ht="19.5" customHeight="1" x14ac:dyDescent="0.2">
      <c r="H959" s="328"/>
    </row>
    <row r="960" spans="8:8" ht="19.5" customHeight="1" x14ac:dyDescent="0.2">
      <c r="H960" s="328"/>
    </row>
    <row r="961" spans="8:8" ht="19.5" customHeight="1" x14ac:dyDescent="0.2">
      <c r="H961" s="328"/>
    </row>
    <row r="962" spans="8:8" ht="19.5" customHeight="1" x14ac:dyDescent="0.2">
      <c r="H962" s="328"/>
    </row>
    <row r="963" spans="8:8" ht="19.5" customHeight="1" x14ac:dyDescent="0.2">
      <c r="H963" s="328"/>
    </row>
    <row r="964" spans="8:8" ht="19.5" customHeight="1" x14ac:dyDescent="0.2">
      <c r="H964" s="328"/>
    </row>
    <row r="965" spans="8:8" ht="19.5" customHeight="1" x14ac:dyDescent="0.2">
      <c r="H965" s="328"/>
    </row>
    <row r="966" spans="8:8" ht="19.5" customHeight="1" x14ac:dyDescent="0.2">
      <c r="H966" s="328"/>
    </row>
    <row r="967" spans="8:8" ht="19.5" customHeight="1" x14ac:dyDescent="0.2">
      <c r="H967" s="328"/>
    </row>
    <row r="968" spans="8:8" ht="19.5" customHeight="1" x14ac:dyDescent="0.2">
      <c r="H968" s="328"/>
    </row>
    <row r="969" spans="8:8" ht="19.5" customHeight="1" x14ac:dyDescent="0.2">
      <c r="H969" s="328"/>
    </row>
    <row r="970" spans="8:8" ht="19.5" customHeight="1" x14ac:dyDescent="0.2">
      <c r="H970" s="328"/>
    </row>
    <row r="971" spans="8:8" ht="19.5" customHeight="1" x14ac:dyDescent="0.2">
      <c r="H971" s="328"/>
    </row>
    <row r="972" spans="8:8" ht="19.5" customHeight="1" x14ac:dyDescent="0.2">
      <c r="H972" s="328"/>
    </row>
    <row r="973" spans="8:8" ht="19.5" customHeight="1" x14ac:dyDescent="0.2">
      <c r="H973" s="328"/>
    </row>
    <row r="974" spans="8:8" ht="19.5" customHeight="1" x14ac:dyDescent="0.2">
      <c r="H974" s="328"/>
    </row>
    <row r="975" spans="8:8" ht="19.5" customHeight="1" x14ac:dyDescent="0.2">
      <c r="H975" s="328"/>
    </row>
    <row r="976" spans="8:8" ht="19.5" customHeight="1" x14ac:dyDescent="0.2">
      <c r="H976" s="328"/>
    </row>
    <row r="977" spans="8:8" ht="19.5" customHeight="1" x14ac:dyDescent="0.2">
      <c r="H977" s="328"/>
    </row>
    <row r="978" spans="8:8" ht="19.5" customHeight="1" x14ac:dyDescent="0.2">
      <c r="H978" s="328"/>
    </row>
    <row r="979" spans="8:8" ht="19.5" customHeight="1" x14ac:dyDescent="0.2">
      <c r="H979" s="328"/>
    </row>
    <row r="980" spans="8:8" ht="19.5" customHeight="1" x14ac:dyDescent="0.2">
      <c r="H980" s="328"/>
    </row>
    <row r="981" spans="8:8" ht="19.5" customHeight="1" x14ac:dyDescent="0.2">
      <c r="H981" s="328"/>
    </row>
    <row r="982" spans="8:8" ht="19.5" customHeight="1" x14ac:dyDescent="0.2">
      <c r="H982" s="328"/>
    </row>
    <row r="983" spans="8:8" ht="19.5" customHeight="1" x14ac:dyDescent="0.2">
      <c r="H983" s="328"/>
    </row>
    <row r="984" spans="8:8" ht="19.5" customHeight="1" x14ac:dyDescent="0.2">
      <c r="H984" s="328"/>
    </row>
    <row r="985" spans="8:8" ht="19.5" customHeight="1" x14ac:dyDescent="0.2">
      <c r="H985" s="328"/>
    </row>
    <row r="986" spans="8:8" ht="19.5" customHeight="1" x14ac:dyDescent="0.2">
      <c r="H986" s="328"/>
    </row>
    <row r="987" spans="8:8" ht="19.5" customHeight="1" x14ac:dyDescent="0.2">
      <c r="H987" s="328"/>
    </row>
    <row r="988" spans="8:8" ht="19.5" customHeight="1" x14ac:dyDescent="0.2">
      <c r="H988" s="328"/>
    </row>
    <row r="989" spans="8:8" ht="19.5" customHeight="1" x14ac:dyDescent="0.2">
      <c r="H989" s="328"/>
    </row>
    <row r="990" spans="8:8" ht="19.5" customHeight="1" x14ac:dyDescent="0.2">
      <c r="H990" s="328"/>
    </row>
    <row r="991" spans="8:8" ht="19.5" customHeight="1" x14ac:dyDescent="0.2">
      <c r="H991" s="328"/>
    </row>
    <row r="992" spans="8:8" ht="19.5" customHeight="1" x14ac:dyDescent="0.2">
      <c r="H992" s="328"/>
    </row>
    <row r="993" spans="8:8" ht="19.5" customHeight="1" x14ac:dyDescent="0.2">
      <c r="H993" s="328"/>
    </row>
    <row r="994" spans="8:8" ht="19.5" customHeight="1" x14ac:dyDescent="0.2">
      <c r="H994" s="328"/>
    </row>
    <row r="995" spans="8:8" ht="19.5" customHeight="1" x14ac:dyDescent="0.2">
      <c r="H995" s="328"/>
    </row>
    <row r="996" spans="8:8" ht="19.5" customHeight="1" x14ac:dyDescent="0.2">
      <c r="H996" s="328"/>
    </row>
    <row r="997" spans="8:8" ht="19.5" customHeight="1" x14ac:dyDescent="0.2">
      <c r="H997" s="328"/>
    </row>
    <row r="998" spans="8:8" ht="19.5" customHeight="1" x14ac:dyDescent="0.2">
      <c r="H998" s="328"/>
    </row>
    <row r="999" spans="8:8" ht="19.5" customHeight="1" x14ac:dyDescent="0.2">
      <c r="H999" s="328"/>
    </row>
    <row r="1000" spans="8:8" ht="19.5" customHeight="1" x14ac:dyDescent="0.2">
      <c r="H1000" s="328"/>
    </row>
    <row r="1001" spans="8:8" ht="19.5" customHeight="1" x14ac:dyDescent="0.2">
      <c r="H1001" s="328"/>
    </row>
    <row r="1002" spans="8:8" ht="19.5" customHeight="1" x14ac:dyDescent="0.2">
      <c r="H1002" s="328"/>
    </row>
    <row r="1003" spans="8:8" ht="19.5" customHeight="1" x14ac:dyDescent="0.2">
      <c r="H1003" s="328"/>
    </row>
    <row r="1004" spans="8:8" ht="19.5" customHeight="1" x14ac:dyDescent="0.2">
      <c r="H1004" s="328"/>
    </row>
    <row r="1005" spans="8:8" ht="19.5" customHeight="1" x14ac:dyDescent="0.2">
      <c r="H1005" s="328"/>
    </row>
    <row r="1006" spans="8:8" ht="19.5" customHeight="1" x14ac:dyDescent="0.2">
      <c r="H1006" s="328"/>
    </row>
    <row r="1007" spans="8:8" ht="19.5" customHeight="1" x14ac:dyDescent="0.2">
      <c r="H1007" s="328"/>
    </row>
    <row r="1008" spans="8:8" ht="19.5" customHeight="1" x14ac:dyDescent="0.2">
      <c r="H1008" s="328"/>
    </row>
    <row r="1009" spans="8:8" ht="19.5" customHeight="1" x14ac:dyDescent="0.2">
      <c r="H1009" s="328"/>
    </row>
    <row r="1010" spans="8:8" ht="19.5" customHeight="1" x14ac:dyDescent="0.2">
      <c r="H1010" s="328"/>
    </row>
    <row r="1011" spans="8:8" ht="19.5" customHeight="1" x14ac:dyDescent="0.2">
      <c r="H1011" s="328"/>
    </row>
    <row r="1012" spans="8:8" ht="19.5" customHeight="1" x14ac:dyDescent="0.2">
      <c r="H1012" s="328"/>
    </row>
    <row r="1013" spans="8:8" ht="19.5" customHeight="1" x14ac:dyDescent="0.2">
      <c r="H1013" s="328"/>
    </row>
    <row r="1014" spans="8:8" ht="19.5" customHeight="1" x14ac:dyDescent="0.2">
      <c r="H1014" s="328"/>
    </row>
    <row r="1015" spans="8:8" ht="19.5" customHeight="1" x14ac:dyDescent="0.2">
      <c r="H1015" s="328"/>
    </row>
    <row r="1016" spans="8:8" ht="19.5" customHeight="1" x14ac:dyDescent="0.2">
      <c r="H1016" s="328"/>
    </row>
    <row r="1017" spans="8:8" ht="19.5" customHeight="1" x14ac:dyDescent="0.2">
      <c r="H1017" s="328"/>
    </row>
    <row r="1018" spans="8:8" ht="19.5" customHeight="1" x14ac:dyDescent="0.2">
      <c r="H1018" s="328"/>
    </row>
    <row r="1019" spans="8:8" ht="19.5" customHeight="1" x14ac:dyDescent="0.2">
      <c r="H1019" s="328"/>
    </row>
    <row r="1020" spans="8:8" ht="19.5" customHeight="1" x14ac:dyDescent="0.2">
      <c r="H1020" s="328"/>
    </row>
    <row r="1021" spans="8:8" ht="19.5" customHeight="1" x14ac:dyDescent="0.2">
      <c r="H1021" s="328"/>
    </row>
    <row r="1022" spans="8:8" ht="19.5" customHeight="1" x14ac:dyDescent="0.2">
      <c r="H1022" s="328"/>
    </row>
    <row r="1023" spans="8:8" ht="19.5" customHeight="1" x14ac:dyDescent="0.2">
      <c r="H1023" s="328"/>
    </row>
    <row r="1024" spans="8:8" ht="19.5" customHeight="1" x14ac:dyDescent="0.2">
      <c r="H1024" s="328"/>
    </row>
    <row r="1025" spans="8:8" ht="19.5" customHeight="1" x14ac:dyDescent="0.2">
      <c r="H1025" s="328"/>
    </row>
    <row r="1026" spans="8:8" ht="19.5" customHeight="1" x14ac:dyDescent="0.2">
      <c r="H1026" s="328"/>
    </row>
    <row r="1027" spans="8:8" ht="19.5" customHeight="1" x14ac:dyDescent="0.2">
      <c r="H1027" s="328"/>
    </row>
    <row r="1028" spans="8:8" ht="19.5" customHeight="1" x14ac:dyDescent="0.2">
      <c r="H1028" s="328"/>
    </row>
    <row r="1029" spans="8:8" ht="19.5" customHeight="1" x14ac:dyDescent="0.2">
      <c r="H1029" s="328"/>
    </row>
    <row r="1030" spans="8:8" ht="19.5" customHeight="1" x14ac:dyDescent="0.2">
      <c r="H1030" s="328"/>
    </row>
    <row r="1031" spans="8:8" ht="19.5" customHeight="1" x14ac:dyDescent="0.2">
      <c r="H1031" s="328"/>
    </row>
    <row r="1032" spans="8:8" ht="19.5" customHeight="1" x14ac:dyDescent="0.2">
      <c r="H1032" s="328"/>
    </row>
    <row r="1033" spans="8:8" ht="19.5" customHeight="1" x14ac:dyDescent="0.2">
      <c r="H1033" s="328"/>
    </row>
    <row r="1034" spans="8:8" ht="19.5" customHeight="1" x14ac:dyDescent="0.2">
      <c r="H1034" s="328"/>
    </row>
    <row r="1035" spans="8:8" ht="19.5" customHeight="1" x14ac:dyDescent="0.2">
      <c r="H1035" s="328"/>
    </row>
    <row r="1036" spans="8:8" ht="19.5" customHeight="1" x14ac:dyDescent="0.2">
      <c r="H1036" s="328"/>
    </row>
    <row r="1037" spans="8:8" ht="19.5" customHeight="1" x14ac:dyDescent="0.2">
      <c r="H1037" s="328"/>
    </row>
    <row r="1038" spans="8:8" ht="19.5" customHeight="1" x14ac:dyDescent="0.2">
      <c r="H1038" s="328"/>
    </row>
    <row r="1039" spans="8:8" ht="19.5" customHeight="1" x14ac:dyDescent="0.2">
      <c r="H1039" s="328"/>
    </row>
    <row r="1040" spans="8:8" ht="19.5" customHeight="1" x14ac:dyDescent="0.2">
      <c r="H1040" s="328"/>
    </row>
    <row r="1041" spans="8:8" ht="19.5" customHeight="1" x14ac:dyDescent="0.2">
      <c r="H1041" s="328"/>
    </row>
    <row r="1042" spans="8:8" ht="19.5" customHeight="1" x14ac:dyDescent="0.2">
      <c r="H1042" s="328"/>
    </row>
    <row r="1043" spans="8:8" ht="19.5" customHeight="1" x14ac:dyDescent="0.2">
      <c r="H1043" s="328"/>
    </row>
    <row r="1044" spans="8:8" ht="19.5" customHeight="1" x14ac:dyDescent="0.2">
      <c r="H1044" s="328"/>
    </row>
    <row r="1045" spans="8:8" ht="19.5" customHeight="1" x14ac:dyDescent="0.2">
      <c r="H1045" s="328"/>
    </row>
    <row r="1046" spans="8:8" ht="19.5" customHeight="1" x14ac:dyDescent="0.2">
      <c r="H1046" s="328"/>
    </row>
    <row r="1047" spans="8:8" ht="19.5" customHeight="1" x14ac:dyDescent="0.2">
      <c r="H1047" s="328"/>
    </row>
    <row r="1048" spans="8:8" ht="19.5" customHeight="1" x14ac:dyDescent="0.2">
      <c r="H1048" s="328"/>
    </row>
    <row r="1049" spans="8:8" ht="19.5" customHeight="1" x14ac:dyDescent="0.2">
      <c r="H1049" s="328"/>
    </row>
    <row r="1050" spans="8:8" ht="19.5" customHeight="1" x14ac:dyDescent="0.2">
      <c r="H1050" s="328"/>
    </row>
    <row r="1051" spans="8:8" ht="19.5" customHeight="1" x14ac:dyDescent="0.2">
      <c r="H1051" s="328"/>
    </row>
    <row r="1052" spans="8:8" ht="19.5" customHeight="1" x14ac:dyDescent="0.2">
      <c r="H1052" s="328"/>
    </row>
    <row r="1053" spans="8:8" ht="19.5" customHeight="1" x14ac:dyDescent="0.2">
      <c r="H1053" s="328"/>
    </row>
    <row r="1054" spans="8:8" ht="19.5" customHeight="1" x14ac:dyDescent="0.2">
      <c r="H1054" s="328"/>
    </row>
    <row r="1055" spans="8:8" ht="19.5" customHeight="1" x14ac:dyDescent="0.2">
      <c r="H1055" s="328"/>
    </row>
    <row r="1056" spans="8:8" ht="19.5" customHeight="1" x14ac:dyDescent="0.2">
      <c r="H1056" s="328"/>
    </row>
    <row r="1057" spans="8:8" ht="19.5" customHeight="1" x14ac:dyDescent="0.2">
      <c r="H1057" s="328"/>
    </row>
    <row r="1058" spans="8:8" ht="19.5" customHeight="1" x14ac:dyDescent="0.2">
      <c r="H1058" s="328"/>
    </row>
    <row r="1059" spans="8:8" ht="19.5" customHeight="1" x14ac:dyDescent="0.2">
      <c r="H1059" s="328"/>
    </row>
    <row r="1060" spans="8:8" ht="19.5" customHeight="1" x14ac:dyDescent="0.2">
      <c r="H1060" s="328"/>
    </row>
    <row r="1061" spans="8:8" ht="19.5" customHeight="1" x14ac:dyDescent="0.2">
      <c r="H1061" s="328"/>
    </row>
    <row r="1062" spans="8:8" ht="19.5" customHeight="1" x14ac:dyDescent="0.2">
      <c r="H1062" s="328"/>
    </row>
    <row r="1063" spans="8:8" ht="19.5" customHeight="1" x14ac:dyDescent="0.2">
      <c r="H1063" s="328"/>
    </row>
    <row r="1064" spans="8:8" ht="19.5" customHeight="1" x14ac:dyDescent="0.2">
      <c r="H1064" s="328"/>
    </row>
    <row r="1065" spans="8:8" ht="19.5" customHeight="1" x14ac:dyDescent="0.2">
      <c r="H1065" s="328"/>
    </row>
    <row r="1066" spans="8:8" ht="19.5" customHeight="1" x14ac:dyDescent="0.2">
      <c r="H1066" s="328"/>
    </row>
    <row r="1067" spans="8:8" ht="19.5" customHeight="1" x14ac:dyDescent="0.2">
      <c r="H1067" s="328"/>
    </row>
    <row r="1068" spans="8:8" ht="19.5" customHeight="1" x14ac:dyDescent="0.2">
      <c r="H1068" s="328"/>
    </row>
    <row r="1069" spans="8:8" ht="19.5" customHeight="1" x14ac:dyDescent="0.2">
      <c r="H1069" s="328"/>
    </row>
    <row r="1070" spans="8:8" ht="19.5" customHeight="1" x14ac:dyDescent="0.2">
      <c r="H1070" s="328"/>
    </row>
    <row r="1071" spans="8:8" ht="19.5" customHeight="1" x14ac:dyDescent="0.2">
      <c r="H1071" s="328"/>
    </row>
    <row r="1072" spans="8:8" ht="19.5" customHeight="1" x14ac:dyDescent="0.2">
      <c r="H1072" s="328"/>
    </row>
    <row r="1073" spans="8:8" ht="19.5" customHeight="1" x14ac:dyDescent="0.2">
      <c r="H1073" s="328"/>
    </row>
    <row r="1074" spans="8:8" ht="19.5" customHeight="1" x14ac:dyDescent="0.2">
      <c r="H1074" s="328"/>
    </row>
    <row r="1075" spans="8:8" ht="19.5" customHeight="1" x14ac:dyDescent="0.2">
      <c r="H1075" s="328"/>
    </row>
    <row r="1076" spans="8:8" ht="19.5" customHeight="1" x14ac:dyDescent="0.2">
      <c r="H1076" s="328"/>
    </row>
    <row r="1077" spans="8:8" ht="19.5" customHeight="1" x14ac:dyDescent="0.2">
      <c r="H1077" s="328"/>
    </row>
    <row r="1078" spans="8:8" ht="19.5" customHeight="1" x14ac:dyDescent="0.2">
      <c r="H1078" s="328"/>
    </row>
    <row r="1079" spans="8:8" ht="19.5" customHeight="1" x14ac:dyDescent="0.2">
      <c r="H1079" s="328"/>
    </row>
    <row r="1080" spans="8:8" ht="19.5" customHeight="1" x14ac:dyDescent="0.2">
      <c r="H1080" s="328"/>
    </row>
    <row r="1081" spans="8:8" ht="19.5" customHeight="1" x14ac:dyDescent="0.2">
      <c r="H1081" s="328"/>
    </row>
    <row r="1082" spans="8:8" ht="19.5" customHeight="1" x14ac:dyDescent="0.2">
      <c r="H1082" s="328"/>
    </row>
    <row r="1083" spans="8:8" ht="19.5" customHeight="1" x14ac:dyDescent="0.2">
      <c r="H1083" s="328"/>
    </row>
    <row r="1084" spans="8:8" ht="19.5" customHeight="1" x14ac:dyDescent="0.2">
      <c r="H1084" s="328"/>
    </row>
    <row r="1085" spans="8:8" ht="19.5" customHeight="1" x14ac:dyDescent="0.2">
      <c r="H1085" s="328"/>
    </row>
    <row r="1086" spans="8:8" ht="19.5" customHeight="1" x14ac:dyDescent="0.2">
      <c r="H1086" s="328"/>
    </row>
    <row r="1087" spans="8:8" ht="19.5" customHeight="1" x14ac:dyDescent="0.2">
      <c r="H1087" s="328"/>
    </row>
    <row r="1088" spans="8:8" ht="19.5" customHeight="1" x14ac:dyDescent="0.2">
      <c r="H1088" s="328"/>
    </row>
    <row r="1089" spans="8:8" ht="19.5" customHeight="1" x14ac:dyDescent="0.2">
      <c r="H1089" s="328"/>
    </row>
    <row r="1090" spans="8:8" ht="19.5" customHeight="1" x14ac:dyDescent="0.2">
      <c r="H1090" s="328"/>
    </row>
    <row r="1091" spans="8:8" ht="19.5" customHeight="1" x14ac:dyDescent="0.2">
      <c r="H1091" s="328"/>
    </row>
    <row r="1092" spans="8:8" ht="19.5" customHeight="1" x14ac:dyDescent="0.2">
      <c r="H1092" s="328"/>
    </row>
    <row r="1093" spans="8:8" ht="19.5" customHeight="1" x14ac:dyDescent="0.2">
      <c r="H1093" s="328"/>
    </row>
    <row r="1094" spans="8:8" ht="19.5" customHeight="1" x14ac:dyDescent="0.2">
      <c r="H1094" s="328"/>
    </row>
    <row r="1095" spans="8:8" ht="19.5" customHeight="1" x14ac:dyDescent="0.2">
      <c r="H1095" s="328"/>
    </row>
  </sheetData>
  <conditionalFormatting sqref="D8:D19">
    <cfRule type="duplicateValues" dxfId="7" priority="1548"/>
  </conditionalFormatting>
  <conditionalFormatting sqref="D20:D1048576 D1:D3 D5:D7">
    <cfRule type="duplicateValues" dxfId="6" priority="2969"/>
  </conditionalFormatting>
  <conditionalFormatting sqref="G1:G1048576">
    <cfRule type="duplicateValues" dxfId="5" priority="1"/>
  </conditionalFormatting>
  <conditionalFormatting sqref="G3">
    <cfRule type="duplicateValues" dxfId="4" priority="6"/>
  </conditionalFormatting>
  <conditionalFormatting sqref="G4:G19">
    <cfRule type="duplicateValues" dxfId="3" priority="2989"/>
  </conditionalFormatting>
  <conditionalFormatting sqref="G20:G21">
    <cfRule type="duplicateValues" dxfId="2" priority="5"/>
  </conditionalFormatting>
  <conditionalFormatting sqref="G22:G1048576 G1:G2">
    <cfRule type="duplicateValues" dxfId="1" priority="2974"/>
  </conditionalFormatting>
  <conditionalFormatting sqref="H22:H109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B1:T42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M37" sqref="M37"/>
    </sheetView>
  </sheetViews>
  <sheetFormatPr defaultColWidth="11.42578125" defaultRowHeight="24.95" customHeight="1" x14ac:dyDescent="0.25"/>
  <cols>
    <col min="1" max="1" width="2" style="194" customWidth="1"/>
    <col min="2" max="2" width="7.7109375" style="189" customWidth="1"/>
    <col min="3" max="21" width="6.7109375" style="194" customWidth="1"/>
    <col min="22" max="22" width="5.7109375" style="194" customWidth="1"/>
    <col min="23" max="16384" width="11.42578125" style="194"/>
  </cols>
  <sheetData>
    <row r="1" spans="2:20" s="189" customFormat="1" ht="24.95" customHeight="1" x14ac:dyDescent="0.25">
      <c r="C1" s="190" t="s">
        <v>153</v>
      </c>
      <c r="D1" s="190" t="s">
        <v>154</v>
      </c>
      <c r="E1" s="190" t="s">
        <v>155</v>
      </c>
      <c r="F1" s="190" t="s">
        <v>156</v>
      </c>
      <c r="G1" s="190" t="s">
        <v>157</v>
      </c>
      <c r="H1" s="190" t="s">
        <v>158</v>
      </c>
      <c r="I1" s="190" t="s">
        <v>159</v>
      </c>
      <c r="J1" s="190" t="s">
        <v>160</v>
      </c>
      <c r="K1" s="190" t="s">
        <v>161</v>
      </c>
      <c r="L1" s="190" t="s">
        <v>162</v>
      </c>
      <c r="M1" s="190" t="s">
        <v>163</v>
      </c>
      <c r="N1" s="190" t="s">
        <v>164</v>
      </c>
      <c r="O1" s="190" t="s">
        <v>165</v>
      </c>
      <c r="P1" s="190" t="s">
        <v>166</v>
      </c>
      <c r="Q1" s="190" t="s">
        <v>167</v>
      </c>
      <c r="R1" s="190" t="s">
        <v>168</v>
      </c>
      <c r="S1" s="190" t="s">
        <v>169</v>
      </c>
      <c r="T1" s="190" t="s">
        <v>170</v>
      </c>
    </row>
    <row r="2" spans="2:20" ht="24.95" customHeight="1" x14ac:dyDescent="0.25">
      <c r="B2" s="191">
        <v>44410</v>
      </c>
      <c r="C2" s="192"/>
      <c r="D2" s="192"/>
      <c r="E2" s="192"/>
      <c r="F2" s="193" t="s">
        <v>171</v>
      </c>
      <c r="G2" s="192"/>
      <c r="H2" s="193" t="s">
        <v>171</v>
      </c>
      <c r="I2" s="192"/>
      <c r="J2" s="192"/>
      <c r="K2" s="192"/>
      <c r="L2" s="192"/>
      <c r="M2" s="192"/>
      <c r="N2" s="192"/>
      <c r="O2" s="192"/>
      <c r="P2" s="192"/>
      <c r="Q2" s="193" t="s">
        <v>171</v>
      </c>
      <c r="R2" s="192"/>
      <c r="S2" s="192"/>
      <c r="T2" s="192"/>
    </row>
    <row r="3" spans="2:20" ht="24.95" customHeight="1" x14ac:dyDescent="0.25">
      <c r="B3" s="191">
        <v>44411</v>
      </c>
      <c r="C3" s="193"/>
      <c r="D3" s="195" t="s">
        <v>172</v>
      </c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2:20" ht="24.95" customHeight="1" x14ac:dyDescent="0.25">
      <c r="B4" s="191">
        <v>44412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5" t="s">
        <v>172</v>
      </c>
      <c r="N4" s="193"/>
      <c r="O4" s="193"/>
      <c r="P4" s="193"/>
      <c r="Q4" s="193"/>
      <c r="R4" s="193"/>
      <c r="S4" s="193"/>
      <c r="T4" s="193"/>
    </row>
    <row r="5" spans="2:20" ht="24.95" customHeight="1" x14ac:dyDescent="0.25">
      <c r="B5" s="191">
        <v>44413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5" t="s">
        <v>172</v>
      </c>
      <c r="P5" s="193"/>
      <c r="Q5" s="193"/>
      <c r="R5" s="193"/>
      <c r="S5" s="193"/>
      <c r="T5" s="193"/>
    </row>
    <row r="6" spans="2:20" ht="24.95" customHeight="1" x14ac:dyDescent="0.25">
      <c r="B6" s="191">
        <v>44414</v>
      </c>
      <c r="C6" s="195" t="s">
        <v>172</v>
      </c>
      <c r="D6" s="193"/>
      <c r="E6" s="195" t="s">
        <v>172</v>
      </c>
      <c r="F6" s="193"/>
      <c r="G6" s="193"/>
      <c r="H6" s="193"/>
      <c r="I6" s="193"/>
      <c r="J6" s="193"/>
      <c r="K6" s="195" t="s">
        <v>172</v>
      </c>
      <c r="L6" s="193"/>
      <c r="M6" s="193"/>
      <c r="N6" s="193"/>
      <c r="O6" s="193"/>
      <c r="P6" s="193"/>
      <c r="Q6" s="195" t="s">
        <v>172</v>
      </c>
      <c r="R6" s="193"/>
      <c r="S6" s="193"/>
      <c r="T6" s="193"/>
    </row>
    <row r="7" spans="2:20" ht="24.95" customHeight="1" x14ac:dyDescent="0.25">
      <c r="B7" s="191">
        <v>44415</v>
      </c>
      <c r="C7" s="193"/>
      <c r="D7" s="193"/>
      <c r="E7" s="193"/>
      <c r="F7" s="193"/>
      <c r="G7" s="193"/>
      <c r="H7" s="195" t="s">
        <v>172</v>
      </c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</row>
    <row r="8" spans="2:20" ht="7.5" customHeight="1" x14ac:dyDescent="0.25">
      <c r="B8" s="196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</row>
    <row r="9" spans="2:20" ht="24.95" customHeight="1" x14ac:dyDescent="0.25">
      <c r="B9" s="191">
        <v>44417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</row>
    <row r="10" spans="2:20" ht="24.95" customHeight="1" x14ac:dyDescent="0.25">
      <c r="B10" s="191">
        <v>44418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5" t="s">
        <v>172</v>
      </c>
      <c r="S10" s="193"/>
      <c r="T10" s="193"/>
    </row>
    <row r="11" spans="2:20" ht="24.95" customHeight="1" x14ac:dyDescent="0.25">
      <c r="B11" s="191">
        <v>44419</v>
      </c>
      <c r="C11" s="193"/>
      <c r="D11" s="193"/>
      <c r="E11" s="193"/>
      <c r="F11" s="193"/>
      <c r="G11" s="193"/>
      <c r="H11" s="193"/>
      <c r="I11" s="193"/>
      <c r="J11" s="193"/>
      <c r="K11" s="195" t="s">
        <v>172</v>
      </c>
      <c r="L11" s="193"/>
      <c r="M11" s="193"/>
      <c r="N11" s="193"/>
      <c r="O11" s="193"/>
      <c r="P11" s="193"/>
      <c r="Q11" s="193"/>
      <c r="R11" s="193"/>
      <c r="S11" s="193"/>
      <c r="T11" s="193"/>
    </row>
    <row r="12" spans="2:20" ht="24.95" customHeight="1" x14ac:dyDescent="0.25">
      <c r="B12" s="191">
        <v>44420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</row>
    <row r="13" spans="2:20" ht="24.95" customHeight="1" x14ac:dyDescent="0.25">
      <c r="B13" s="191">
        <v>44421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5" t="s">
        <v>172</v>
      </c>
      <c r="O13" s="193"/>
      <c r="P13" s="193"/>
      <c r="Q13" s="193"/>
      <c r="R13" s="193"/>
      <c r="S13" s="195" t="s">
        <v>172</v>
      </c>
      <c r="T13" s="195" t="s">
        <v>172</v>
      </c>
    </row>
    <row r="14" spans="2:20" ht="24.95" customHeight="1" x14ac:dyDescent="0.25">
      <c r="B14" s="191">
        <v>44422</v>
      </c>
      <c r="C14" s="193"/>
      <c r="D14" s="193"/>
      <c r="E14" s="193"/>
      <c r="F14" s="193"/>
      <c r="G14" s="193"/>
      <c r="H14" s="193"/>
      <c r="I14" s="193"/>
      <c r="J14" s="193"/>
      <c r="K14" s="195" t="s">
        <v>172</v>
      </c>
      <c r="L14" s="195" t="s">
        <v>172</v>
      </c>
      <c r="M14" s="193"/>
      <c r="N14" s="193"/>
      <c r="O14" s="193"/>
      <c r="P14" s="193"/>
      <c r="Q14" s="193"/>
      <c r="R14" s="193"/>
      <c r="S14" s="193"/>
      <c r="T14" s="193"/>
    </row>
    <row r="15" spans="2:20" ht="7.5" customHeight="1" x14ac:dyDescent="0.25">
      <c r="B15" s="196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</row>
    <row r="16" spans="2:20" ht="24.95" customHeight="1" x14ac:dyDescent="0.25">
      <c r="B16" s="191">
        <v>44424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5" t="s">
        <v>172</v>
      </c>
      <c r="N16" s="193"/>
      <c r="O16" s="193"/>
      <c r="P16" s="193"/>
      <c r="Q16" s="193"/>
      <c r="R16" s="193"/>
      <c r="S16" s="193"/>
      <c r="T16" s="193"/>
    </row>
    <row r="17" spans="2:20" ht="24.95" customHeight="1" x14ac:dyDescent="0.25">
      <c r="B17" s="191">
        <v>44425</v>
      </c>
      <c r="C17" s="193"/>
      <c r="D17" s="193"/>
      <c r="E17" s="193"/>
      <c r="F17" s="193"/>
      <c r="G17" s="193"/>
      <c r="H17" s="193"/>
      <c r="I17" s="193"/>
      <c r="J17" s="193"/>
      <c r="K17" s="195" t="s">
        <v>172</v>
      </c>
      <c r="L17" s="193"/>
      <c r="M17" s="193"/>
      <c r="N17" s="193"/>
      <c r="O17" s="193"/>
      <c r="P17" s="193"/>
      <c r="Q17" s="193"/>
      <c r="R17" s="193"/>
      <c r="S17" s="193"/>
      <c r="T17" s="193"/>
    </row>
    <row r="18" spans="2:20" ht="24.95" customHeight="1" x14ac:dyDescent="0.25">
      <c r="B18" s="191">
        <v>44426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</row>
    <row r="19" spans="2:20" ht="24.95" customHeight="1" x14ac:dyDescent="0.25">
      <c r="B19" s="191">
        <v>44427</v>
      </c>
      <c r="C19" s="193"/>
      <c r="D19" s="193"/>
      <c r="E19" s="193"/>
      <c r="F19" s="193"/>
      <c r="G19" s="195" t="s">
        <v>172</v>
      </c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</row>
    <row r="20" spans="2:20" ht="24.95" customHeight="1" x14ac:dyDescent="0.25">
      <c r="B20" s="191">
        <v>44428</v>
      </c>
      <c r="C20" s="193"/>
      <c r="D20" s="193"/>
      <c r="E20" s="193"/>
      <c r="F20" s="193"/>
      <c r="G20" s="193"/>
      <c r="H20" s="193"/>
      <c r="I20" s="195" t="s">
        <v>172</v>
      </c>
      <c r="J20" s="195" t="s">
        <v>172</v>
      </c>
      <c r="K20" s="193"/>
      <c r="L20" s="193"/>
      <c r="M20" s="193"/>
      <c r="N20" s="193"/>
      <c r="O20" s="193"/>
      <c r="P20" s="193"/>
      <c r="Q20" s="193"/>
      <c r="R20" s="193"/>
      <c r="S20" s="193"/>
      <c r="T20" s="193"/>
    </row>
    <row r="21" spans="2:20" ht="24.95" customHeight="1" x14ac:dyDescent="0.25">
      <c r="B21" s="191">
        <v>44429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</row>
    <row r="22" spans="2:20" ht="7.5" customHeight="1" x14ac:dyDescent="0.25">
      <c r="B22" s="196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</row>
    <row r="23" spans="2:20" ht="24.95" customHeight="1" x14ac:dyDescent="0.25">
      <c r="B23" s="191">
        <v>44431</v>
      </c>
      <c r="C23" s="193"/>
      <c r="D23" s="193"/>
      <c r="E23" s="193"/>
      <c r="F23" s="193"/>
      <c r="G23" s="195" t="s">
        <v>172</v>
      </c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</row>
    <row r="24" spans="2:20" ht="24.95" customHeight="1" x14ac:dyDescent="0.25">
      <c r="B24" s="191">
        <v>44432</v>
      </c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</row>
    <row r="25" spans="2:20" ht="24.95" customHeight="1" x14ac:dyDescent="0.25">
      <c r="B25" s="191">
        <v>44433</v>
      </c>
      <c r="C25" s="193"/>
      <c r="D25" s="193"/>
      <c r="E25" s="193"/>
      <c r="F25" s="193"/>
      <c r="G25" s="193"/>
      <c r="H25" s="193"/>
      <c r="I25" s="193"/>
      <c r="J25" s="193"/>
      <c r="K25" s="195" t="s">
        <v>172</v>
      </c>
      <c r="L25" s="193"/>
      <c r="M25" s="193"/>
      <c r="N25" s="193"/>
      <c r="O25" s="193"/>
      <c r="P25" s="193"/>
      <c r="Q25" s="193"/>
      <c r="R25" s="193"/>
      <c r="S25" s="193"/>
      <c r="T25" s="193"/>
    </row>
    <row r="26" spans="2:20" ht="24.95" customHeight="1" x14ac:dyDescent="0.25">
      <c r="B26" s="191">
        <v>44434</v>
      </c>
      <c r="C26" s="195" t="s">
        <v>172</v>
      </c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5" t="s">
        <v>172</v>
      </c>
      <c r="Q26" s="193"/>
      <c r="R26" s="193"/>
      <c r="S26" s="195" t="s">
        <v>172</v>
      </c>
      <c r="T26" s="193"/>
    </row>
    <row r="27" spans="2:20" ht="24.95" customHeight="1" x14ac:dyDescent="0.25">
      <c r="B27" s="191">
        <v>44435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5" t="s">
        <v>172</v>
      </c>
    </row>
    <row r="28" spans="2:20" ht="24.95" customHeight="1" x14ac:dyDescent="0.25">
      <c r="B28" s="191">
        <v>44436</v>
      </c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5" t="s">
        <v>172</v>
      </c>
      <c r="O28" s="193"/>
      <c r="P28" s="193"/>
      <c r="Q28" s="193"/>
      <c r="R28" s="193"/>
      <c r="S28" s="193"/>
      <c r="T28" s="193"/>
    </row>
    <row r="29" spans="2:20" ht="7.5" customHeight="1" x14ac:dyDescent="0.25">
      <c r="B29" s="196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</row>
    <row r="30" spans="2:20" ht="24.95" customHeight="1" x14ac:dyDescent="0.25">
      <c r="B30" s="191">
        <v>44438</v>
      </c>
      <c r="C30" s="193"/>
      <c r="D30" s="193"/>
      <c r="E30" s="193"/>
      <c r="F30" s="193"/>
      <c r="G30" s="193"/>
      <c r="H30" s="193"/>
      <c r="I30" s="193"/>
      <c r="J30" s="193"/>
      <c r="K30" s="193"/>
      <c r="L30" s="195" t="s">
        <v>172</v>
      </c>
      <c r="M30" s="193"/>
      <c r="N30" s="193"/>
      <c r="O30" s="193"/>
      <c r="P30" s="193"/>
      <c r="Q30" s="193"/>
      <c r="R30" s="193"/>
      <c r="S30" s="193"/>
      <c r="T30" s="193"/>
    </row>
    <row r="31" spans="2:20" ht="24.95" customHeight="1" x14ac:dyDescent="0.25">
      <c r="B31" s="191">
        <v>44439</v>
      </c>
      <c r="C31" s="193"/>
      <c r="D31" s="195" t="s">
        <v>172</v>
      </c>
      <c r="E31" s="195" t="s">
        <v>172</v>
      </c>
      <c r="F31" s="193"/>
      <c r="G31" s="193"/>
      <c r="H31" s="193"/>
      <c r="I31" s="193"/>
      <c r="J31" s="193"/>
      <c r="K31" s="193"/>
      <c r="L31" s="193"/>
      <c r="M31" s="195" t="s">
        <v>172</v>
      </c>
      <c r="N31" s="193"/>
      <c r="O31" s="193"/>
      <c r="P31" s="193"/>
      <c r="Q31" s="193"/>
      <c r="R31" s="195" t="s">
        <v>172</v>
      </c>
      <c r="S31" s="193"/>
      <c r="T31" s="193"/>
    </row>
    <row r="32" spans="2:20" ht="24.95" customHeight="1" x14ac:dyDescent="0.25">
      <c r="B32" s="191">
        <v>44440</v>
      </c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</row>
    <row r="33" spans="2:20" ht="24.95" customHeight="1" x14ac:dyDescent="0.25">
      <c r="B33" s="191">
        <v>44441</v>
      </c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</row>
    <row r="34" spans="2:20" ht="24.95" customHeight="1" x14ac:dyDescent="0.25">
      <c r="B34" s="191">
        <v>44442</v>
      </c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</row>
    <row r="35" spans="2:20" ht="24.95" customHeight="1" x14ac:dyDescent="0.25">
      <c r="B35" s="191">
        <v>44443</v>
      </c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</row>
    <row r="36" spans="2:20" ht="24.95" customHeight="1" x14ac:dyDescent="0.25">
      <c r="B36" s="191">
        <v>44444</v>
      </c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</row>
    <row r="37" spans="2:20" ht="24.95" customHeight="1" x14ac:dyDescent="0.25">
      <c r="B37" s="191">
        <v>44445</v>
      </c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</row>
    <row r="38" spans="2:20" ht="24.95" customHeight="1" x14ac:dyDescent="0.25">
      <c r="B38" s="191">
        <v>44446</v>
      </c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</row>
    <row r="39" spans="2:20" ht="24.95" customHeight="1" x14ac:dyDescent="0.25">
      <c r="B39" s="191">
        <v>44447</v>
      </c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</row>
    <row r="40" spans="2:20" ht="24.95" customHeight="1" x14ac:dyDescent="0.25">
      <c r="B40" s="191">
        <v>44448</v>
      </c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</row>
    <row r="41" spans="2:20" ht="24.95" customHeight="1" x14ac:dyDescent="0.25">
      <c r="B41" s="191">
        <v>44449</v>
      </c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</row>
    <row r="42" spans="2:20" ht="24.95" customHeight="1" x14ac:dyDescent="0.25">
      <c r="B42" s="191">
        <v>44450</v>
      </c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</row>
  </sheetData>
  <printOptions horizontalCentered="1" verticalCentered="1"/>
  <pageMargins left="0" right="0" top="0" bottom="0.39370078740157483" header="0" footer="0"/>
  <pageSetup paperSize="9" scale="77" orientation="portrait"/>
  <headerFooter>
    <oddFooter>&amp;L&amp;F&amp;C&amp;A&amp;R&amp;D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24</vt:i4>
      </vt:variant>
    </vt:vector>
  </HeadingPairs>
  <TitlesOfParts>
    <vt:vector size="62" baseType="lpstr">
      <vt:lpstr>x</vt:lpstr>
      <vt:lpstr>FF</vt:lpstr>
      <vt:lpstr>02-04-2022</vt:lpstr>
      <vt:lpstr>25-04-2022 (Simulation)</vt:lpstr>
      <vt:lpstr>13-08-2022 (2)</vt:lpstr>
      <vt:lpstr>23-08-2022 (2)</vt:lpstr>
      <vt:lpstr>Garys</vt:lpstr>
      <vt:lpstr>Manque en pcs</vt:lpstr>
      <vt:lpstr>Feuil1</vt:lpstr>
      <vt:lpstr>Summary %</vt:lpstr>
      <vt:lpstr>5-5</vt:lpstr>
      <vt:lpstr>6-5</vt:lpstr>
      <vt:lpstr>7-5</vt:lpstr>
      <vt:lpstr>11-5</vt:lpstr>
      <vt:lpstr>12-5</vt:lpstr>
      <vt:lpstr>13-5</vt:lpstr>
      <vt:lpstr>01-05-2026</vt:lpstr>
      <vt:lpstr>04-05-2026</vt:lpstr>
      <vt:lpstr>05-05-2026</vt:lpstr>
      <vt:lpstr>06-05-2026</vt:lpstr>
      <vt:lpstr>07-05-2026</vt:lpstr>
      <vt:lpstr>08-05-2026</vt:lpstr>
      <vt:lpstr>09-05-2026</vt:lpstr>
      <vt:lpstr>11-05-2026</vt:lpstr>
      <vt:lpstr>12-05-2026</vt:lpstr>
      <vt:lpstr>13-05-2026</vt:lpstr>
      <vt:lpstr>14-05-2026</vt:lpstr>
      <vt:lpstr>15-05-2026</vt:lpstr>
      <vt:lpstr>Summary %--</vt:lpstr>
      <vt:lpstr>9-5</vt:lpstr>
      <vt:lpstr>Encours au Prép </vt:lpstr>
      <vt:lpstr>15-5</vt:lpstr>
      <vt:lpstr>Encours au Prép</vt:lpstr>
      <vt:lpstr>4-5</vt:lpstr>
      <vt:lpstr>Obprix</vt:lpstr>
      <vt:lpstr>Feuil2</vt:lpstr>
      <vt:lpstr>Obj Prix</vt:lpstr>
      <vt:lpstr>Lancements</vt:lpstr>
      <vt:lpstr>'01-05-2026'!Print_Area</vt:lpstr>
      <vt:lpstr>'02-04-2022'!Print_Area</vt:lpstr>
      <vt:lpstr>'04-05-2026'!Print_Area</vt:lpstr>
      <vt:lpstr>'05-05-2026'!Print_Area</vt:lpstr>
      <vt:lpstr>'06-05-2026'!Print_Area</vt:lpstr>
      <vt:lpstr>'07-05-2026'!Print_Area</vt:lpstr>
      <vt:lpstr>'08-05-2026'!Print_Area</vt:lpstr>
      <vt:lpstr>'09-05-2026'!Print_Area</vt:lpstr>
      <vt:lpstr>'11-05-2026'!Print_Area</vt:lpstr>
      <vt:lpstr>'12-05-2026'!Print_Area</vt:lpstr>
      <vt:lpstr>'13-05-2026'!Print_Area</vt:lpstr>
      <vt:lpstr>'13-08-2022 (2)'!Print_Area</vt:lpstr>
      <vt:lpstr>'14-05-2026'!Print_Area</vt:lpstr>
      <vt:lpstr>'15-05-2026'!Print_Area</vt:lpstr>
      <vt:lpstr>'23-08-2022 (2)'!Print_Area</vt:lpstr>
      <vt:lpstr>'25-04-2022 (Simulation)'!Print_Area</vt:lpstr>
      <vt:lpstr>FF!Print_Area</vt:lpstr>
      <vt:lpstr>'Summary %'!Print_Area</vt:lpstr>
      <vt:lpstr>'Summary %--'!Print_Area</vt:lpstr>
      <vt:lpstr>'02-04-2022'!Print_Titles</vt:lpstr>
      <vt:lpstr>'13-08-2022 (2)'!Print_Titles</vt:lpstr>
      <vt:lpstr>'23-08-2022 (2)'!Print_Titles</vt:lpstr>
      <vt:lpstr>'25-04-2022 (Simulation)'!Print_Titles</vt:lpstr>
      <vt:lpstr>FF!Print_Titles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2026-05-15T13:39:40Z</dcterms:modified>
</cp:coreProperties>
</file>